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urmeier-my.sharepoint.com/personal/mascoutah_surmeier_com/Documents/Desktop/Useful Documents/Projects/"/>
    </mc:Choice>
  </mc:AlternateContent>
  <xr:revisionPtr revIDLastSave="268" documentId="8_{1FE7B279-9F81-446A-8355-15E1CD87180F}" xr6:coauthVersionLast="47" xr6:coauthVersionMax="47" xr10:uidLastSave="{D136D871-2972-47A3-B354-F275AA9FC1A1}"/>
  <bookViews>
    <workbookView minimized="1" xWindow="23445" yWindow="7305" windowWidth="2055" windowHeight="585" tabRatio="787" activeTab="12" xr2:uid="{00000000-000D-0000-FFFF-FFFF00000000}"/>
  </bookViews>
  <sheets>
    <sheet name="Build" sheetId="14" r:id="rId1"/>
    <sheet name="Calc" sheetId="13" r:id="rId2"/>
    <sheet name="Decals" sheetId="2" r:id="rId3"/>
    <sheet name="Fighters" sheetId="6" r:id="rId4"/>
    <sheet name="Weapons" sheetId="7" r:id="rId5"/>
    <sheet name="Weapon Mastery" sheetId="15" r:id="rId6"/>
    <sheet name="Weapon Moves" sheetId="9" r:id="rId7"/>
    <sheet name="Heads" sheetId="10" r:id="rId8"/>
    <sheet name="Bodies" sheetId="11" r:id="rId9"/>
    <sheet name="Legs" sheetId="12" r:id="rId10"/>
    <sheet name="Lists" sheetId="3" r:id="rId11"/>
    <sheet name="Notes" sheetId="4" r:id="rId12"/>
    <sheet name="Table Parse Test" sheetId="16" r:id="rId13"/>
  </sheets>
  <functionGroups builtInGroupCount="19"/>
  <definedNames>
    <definedName name="_xlnm._FilterDatabase" localSheetId="2" hidden="1">Decals!$A$1:$AC$219</definedName>
    <definedName name="_xlpm.dual_wield" hidden="1" xlm="1">#NAME?</definedName>
    <definedName name="_xlpm.ele" hidden="1" xlm="1">#NAME?</definedName>
    <definedName name="_xlpm.fac" hidden="1" xlm="1">#NAME?</definedName>
    <definedName name="_xlpm.fac_wep" hidden="1" xlm="1">#NAME?</definedName>
    <definedName name="_xlpm.full_fac" hidden="1" xlm="1">#NAME?</definedName>
    <definedName name="_xlpm.full_set" hidden="1" xlm="1">#NAME?</definedName>
    <definedName name="_xlpm.hands" hidden="1" xlm="1">#NAME?</definedName>
    <definedName name="_xlpm.raw" hidden="1" xlm="1">#NAME?</definedName>
    <definedName name="_xlpm.wep" hidden="1" xlm="1">#NAME?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4" roundtripDataChecksum="YLD8iuuatnypr0BgccKy1LA7xpobRz7VyycG6gyqw5I="/>
    </ext>
  </extLst>
</workbook>
</file>

<file path=xl/calcChain.xml><?xml version="1.0" encoding="utf-8"?>
<calcChain xmlns="http://schemas.openxmlformats.org/spreadsheetml/2006/main">
  <c r="AG40" i="14" l="1"/>
  <c r="A11" i="14"/>
  <c r="A12" i="14" s="1"/>
  <c r="AG35" i="14"/>
  <c r="AF35" i="14"/>
  <c r="AE35" i="14"/>
  <c r="N15" i="13"/>
  <c r="E15" i="13"/>
  <c r="C31" i="14"/>
  <c r="AB37" i="14"/>
  <c r="AA37" i="14"/>
  <c r="AB36" i="14"/>
  <c r="AA36" i="14"/>
  <c r="AB34" i="14"/>
  <c r="AA34" i="14"/>
  <c r="G23" i="14"/>
  <c r="C23" i="14"/>
  <c r="G16" i="14"/>
  <c r="C16" i="14"/>
  <c r="C9" i="14"/>
  <c r="G9" i="14"/>
  <c r="AB35" i="14"/>
  <c r="AA35" i="14"/>
  <c r="B29" i="13"/>
  <c r="E74" i="13" s="1"/>
  <c r="B30" i="13"/>
  <c r="I75" i="13" s="1"/>
  <c r="B31" i="13"/>
  <c r="I76" i="13" s="1"/>
  <c r="B32" i="13"/>
  <c r="J77" i="13" s="1"/>
  <c r="B33" i="13"/>
  <c r="I78" i="13" s="1"/>
  <c r="B34" i="13"/>
  <c r="I79" i="13" s="1"/>
  <c r="B35" i="13"/>
  <c r="E80" i="13" s="1"/>
  <c r="B36" i="13"/>
  <c r="I81" i="13" s="1"/>
  <c r="B28" i="13"/>
  <c r="G73" i="13" s="1"/>
  <c r="M15" i="13"/>
  <c r="J15" i="13"/>
  <c r="Q21" i="13" s="1" a="1"/>
  <c r="Q21" i="13" s="1"/>
  <c r="V113" i="13" s="1"/>
  <c r="D15" i="13"/>
  <c r="A15" i="13"/>
  <c r="F38" i="14" s="1" a="1"/>
  <c r="F38" i="14" s="1"/>
  <c r="V8" i="13"/>
  <c r="Q8" i="13"/>
  <c r="W11" i="13" s="1"/>
  <c r="N8" i="13"/>
  <c r="I8" i="13"/>
  <c r="O11" i="13" s="1"/>
  <c r="F8" i="13"/>
  <c r="A8" i="13"/>
  <c r="C11" i="13" s="1"/>
  <c r="H3" i="13"/>
  <c r="I3" i="13"/>
  <c r="J3" i="13"/>
  <c r="K3" i="13"/>
  <c r="L3" i="13"/>
  <c r="G3" i="13"/>
  <c r="C3" i="13"/>
  <c r="C2" i="13"/>
  <c r="H50" i="14" a="1"/>
  <c r="H50" i="14" s="1"/>
  <c r="F50" i="14" a="1"/>
  <c r="F50" i="14" s="1"/>
  <c r="C50" i="14"/>
  <c r="C38" i="14"/>
  <c r="H49" i="14" a="1"/>
  <c r="H49" i="14" s="1"/>
  <c r="F49" i="14" a="1"/>
  <c r="F49" i="14" s="1"/>
  <c r="C49" i="14"/>
  <c r="C37" i="14"/>
  <c r="H48" i="14" a="1"/>
  <c r="H48" i="14" s="1"/>
  <c r="F48" i="14" a="1"/>
  <c r="F48" i="14" s="1"/>
  <c r="C48" i="14"/>
  <c r="C36" i="14"/>
  <c r="H47" i="14" a="1"/>
  <c r="H47" i="14" s="1"/>
  <c r="F47" i="14" a="1"/>
  <c r="F47" i="14" s="1"/>
  <c r="C47" i="14"/>
  <c r="C35" i="14"/>
  <c r="H46" i="14" a="1"/>
  <c r="H46" i="14" s="1"/>
  <c r="F46" i="14" a="1"/>
  <c r="F46" i="14" s="1"/>
  <c r="C46" i="14"/>
  <c r="C34" i="14"/>
  <c r="H45" i="14" a="1"/>
  <c r="H45" i="14" s="1"/>
  <c r="F45" i="14" a="1"/>
  <c r="F45" i="14" s="1"/>
  <c r="D45" i="14"/>
  <c r="C45" i="14"/>
  <c r="AB44" i="14" s="1"/>
  <c r="D33" i="14"/>
  <c r="C33" i="14"/>
  <c r="AA44" i="14" s="1"/>
  <c r="H44" i="14" a="1"/>
  <c r="H44" i="14" s="1"/>
  <c r="F44" i="14" a="1"/>
  <c r="F44" i="14" s="1"/>
  <c r="D44" i="14"/>
  <c r="C44" i="14"/>
  <c r="AB41" i="14" s="1"/>
  <c r="D32" i="14"/>
  <c r="C32" i="14"/>
  <c r="AA41" i="14" s="1"/>
  <c r="C43" i="14"/>
  <c r="C42" i="14"/>
  <c r="C30" i="14"/>
  <c r="G25" i="14"/>
  <c r="F25" i="14"/>
  <c r="E25" i="14"/>
  <c r="D25" i="14"/>
  <c r="C25" i="14"/>
  <c r="B25" i="14"/>
  <c r="A25" i="14"/>
  <c r="A26" i="14" s="1"/>
  <c r="G18" i="14"/>
  <c r="F18" i="14"/>
  <c r="E18" i="14"/>
  <c r="D18" i="14"/>
  <c r="C18" i="14"/>
  <c r="B18" i="14"/>
  <c r="A18" i="14"/>
  <c r="A19" i="14" s="1"/>
  <c r="G11" i="14"/>
  <c r="F11" i="14"/>
  <c r="E11" i="14"/>
  <c r="D11" i="14"/>
  <c r="C11" i="14"/>
  <c r="B11" i="14"/>
  <c r="F5" i="14" a="1"/>
  <c r="F5" i="14" s="1"/>
  <c r="E5" i="14" a="1"/>
  <c r="E5" i="14" s="1"/>
  <c r="D5" i="14" a="1"/>
  <c r="D5" i="14" s="1"/>
  <c r="C5" i="14" a="1"/>
  <c r="C5" i="14" s="1"/>
  <c r="B5" i="14" a="1"/>
  <c r="B5" i="14" s="1"/>
  <c r="A5" i="14" a="1"/>
  <c r="A5" i="14" s="1"/>
  <c r="N95" i="13" l="1"/>
  <c r="N96" i="13"/>
  <c r="C17" i="13"/>
  <c r="I74" i="13"/>
  <c r="H48" i="13"/>
  <c r="H38" i="14" a="1"/>
  <c r="H38" i="14" s="1"/>
  <c r="K9" i="13"/>
  <c r="AA39" i="14"/>
  <c r="AA40" i="14"/>
  <c r="C9" i="13"/>
  <c r="G9" i="13"/>
  <c r="AB40" i="14"/>
  <c r="AB39" i="14"/>
  <c r="AB42" i="14"/>
  <c r="AB43" i="14"/>
  <c r="AA42" i="14"/>
  <c r="AA43" i="14"/>
  <c r="AO35" i="13"/>
  <c r="AG35" i="13"/>
  <c r="M29" i="13"/>
  <c r="AT30" i="13"/>
  <c r="F42" i="13"/>
  <c r="J30" i="13"/>
  <c r="H58" i="13"/>
  <c r="H21" i="13" a="1"/>
  <c r="H21" i="13" s="1"/>
  <c r="V103" i="13" s="1"/>
  <c r="AW29" i="13"/>
  <c r="G58" i="13"/>
  <c r="AE36" i="13"/>
  <c r="S29" i="13"/>
  <c r="H75" i="13"/>
  <c r="T36" i="13"/>
  <c r="D11" i="13"/>
  <c r="B42" i="13"/>
  <c r="B58" i="13" s="1"/>
  <c r="B74" i="13" s="1"/>
  <c r="S36" i="13"/>
  <c r="W35" i="13"/>
  <c r="AH30" i="13"/>
  <c r="AQ29" i="13"/>
  <c r="G29" i="13"/>
  <c r="P43" i="13"/>
  <c r="E65" i="13"/>
  <c r="N81" i="13"/>
  <c r="F37" i="14" a="1"/>
  <c r="F37" i="14" s="1"/>
  <c r="F65" i="13"/>
  <c r="F36" i="14" a="1"/>
  <c r="F36" i="14" s="1"/>
  <c r="B49" i="13"/>
  <c r="B65" i="13" s="1"/>
  <c r="B81" i="13" s="1"/>
  <c r="AK30" i="13"/>
  <c r="AR36" i="13"/>
  <c r="O35" i="13"/>
  <c r="AK29" i="13"/>
  <c r="K81" i="13"/>
  <c r="C19" i="13"/>
  <c r="K50" i="13" s="1"/>
  <c r="AQ36" i="13"/>
  <c r="G36" i="13"/>
  <c r="E35" i="13"/>
  <c r="V30" i="13"/>
  <c r="AE29" i="13"/>
  <c r="L49" i="13"/>
  <c r="T42" i="13"/>
  <c r="K59" i="13"/>
  <c r="N80" i="13"/>
  <c r="F35" i="14" a="1"/>
  <c r="F35" i="14" s="1"/>
  <c r="S43" i="13"/>
  <c r="C21" i="13"/>
  <c r="H36" i="13"/>
  <c r="Y30" i="13"/>
  <c r="O49" i="13"/>
  <c r="G43" i="13"/>
  <c r="G64" i="13"/>
  <c r="F22" i="13" a="1"/>
  <c r="F22" i="13" s="1"/>
  <c r="T104" i="13" s="1"/>
  <c r="AF36" i="13"/>
  <c r="AY35" i="13"/>
  <c r="AW30" i="13"/>
  <c r="M30" i="13"/>
  <c r="Y29" i="13"/>
  <c r="S48" i="13"/>
  <c r="M42" i="13"/>
  <c r="H59" i="13"/>
  <c r="J75" i="13"/>
  <c r="H33" i="14" a="1"/>
  <c r="H33" i="14" s="1"/>
  <c r="F34" i="14" a="1"/>
  <c r="F34" i="14" s="1"/>
  <c r="AV35" i="13"/>
  <c r="AN35" i="13"/>
  <c r="AD35" i="13"/>
  <c r="V35" i="13"/>
  <c r="L35" i="13"/>
  <c r="AV29" i="13"/>
  <c r="AP29" i="13"/>
  <c r="AJ29" i="13"/>
  <c r="AD29" i="13"/>
  <c r="X29" i="13"/>
  <c r="R29" i="13"/>
  <c r="L29" i="13"/>
  <c r="F29" i="13"/>
  <c r="R48" i="13"/>
  <c r="G48" i="13"/>
  <c r="S42" i="13"/>
  <c r="L42" i="13"/>
  <c r="E42" i="13"/>
  <c r="H74" i="13"/>
  <c r="H35" i="14" a="1"/>
  <c r="H35" i="14" s="1"/>
  <c r="H36" i="14" a="1"/>
  <c r="H36" i="14" s="1"/>
  <c r="F11" i="13"/>
  <c r="C23" i="13"/>
  <c r="F18" i="13" a="1"/>
  <c r="F18" i="13" s="1"/>
  <c r="T100" i="13" s="1"/>
  <c r="F24" i="13" a="1"/>
  <c r="F24" i="13" s="1"/>
  <c r="T106" i="13" s="1"/>
  <c r="H23" i="13" a="1"/>
  <c r="H23" i="13" s="1"/>
  <c r="V105" i="13" s="1"/>
  <c r="AU35" i="13"/>
  <c r="AM35" i="13"/>
  <c r="AC35" i="13"/>
  <c r="U35" i="13"/>
  <c r="K35" i="13"/>
  <c r="AU29" i="13"/>
  <c r="AO29" i="13"/>
  <c r="AI29" i="13"/>
  <c r="AC29" i="13"/>
  <c r="W29" i="13"/>
  <c r="Q29" i="13"/>
  <c r="K29" i="13"/>
  <c r="E29" i="13"/>
  <c r="Q48" i="13"/>
  <c r="E48" i="13"/>
  <c r="R42" i="13"/>
  <c r="K42" i="13"/>
  <c r="F58" i="13"/>
  <c r="J80" i="13"/>
  <c r="O74" i="13"/>
  <c r="F74" i="13"/>
  <c r="AT35" i="13"/>
  <c r="AJ35" i="13"/>
  <c r="AB35" i="13"/>
  <c r="R35" i="13"/>
  <c r="J35" i="13"/>
  <c r="AZ29" i="13"/>
  <c r="AT29" i="13"/>
  <c r="AN29" i="13"/>
  <c r="AH29" i="13"/>
  <c r="AB29" i="13"/>
  <c r="V29" i="13"/>
  <c r="P29" i="13"/>
  <c r="J29" i="13"/>
  <c r="N48" i="13"/>
  <c r="Q42" i="13"/>
  <c r="J42" i="13"/>
  <c r="L58" i="13"/>
  <c r="E58" i="13"/>
  <c r="G80" i="13"/>
  <c r="N74" i="13"/>
  <c r="E11" i="13"/>
  <c r="C22" i="13"/>
  <c r="C16" i="13"/>
  <c r="F23" i="13" a="1"/>
  <c r="F23" i="13" s="1"/>
  <c r="T105" i="13" s="1"/>
  <c r="H22" i="13" a="1"/>
  <c r="H22" i="13" s="1"/>
  <c r="V104" i="13" s="1"/>
  <c r="M80" i="13"/>
  <c r="H34" i="14" a="1"/>
  <c r="H34" i="14" s="1"/>
  <c r="H37" i="14" a="1"/>
  <c r="H37" i="14" s="1"/>
  <c r="G11" i="13"/>
  <c r="C24" i="13"/>
  <c r="F19" i="13" a="1"/>
  <c r="F19" i="13" s="1"/>
  <c r="T101" i="13" s="1"/>
  <c r="H18" i="13" a="1"/>
  <c r="H18" i="13" s="1"/>
  <c r="V100" i="13" s="1"/>
  <c r="H24" i="13" a="1"/>
  <c r="H24" i="13" s="1"/>
  <c r="V106" i="13" s="1"/>
  <c r="D18" i="13"/>
  <c r="AS35" i="13"/>
  <c r="AI35" i="13"/>
  <c r="AA35" i="13"/>
  <c r="Q35" i="13"/>
  <c r="I35" i="13"/>
  <c r="AY29" i="13"/>
  <c r="AS29" i="13"/>
  <c r="AM29" i="13"/>
  <c r="AG29" i="13"/>
  <c r="AA29" i="13"/>
  <c r="U29" i="13"/>
  <c r="O29" i="13"/>
  <c r="I29" i="13"/>
  <c r="M48" i="13"/>
  <c r="P42" i="13"/>
  <c r="H42" i="13"/>
  <c r="J64" i="13"/>
  <c r="K58" i="13"/>
  <c r="F80" i="13"/>
  <c r="L74" i="13"/>
  <c r="P74" i="13"/>
  <c r="B11" i="13"/>
  <c r="C18" i="13"/>
  <c r="F20" i="13" a="1"/>
  <c r="F20" i="13" s="1"/>
  <c r="T102" i="13" s="1"/>
  <c r="H19" i="13" a="1"/>
  <c r="H19" i="13" s="1"/>
  <c r="V101" i="13" s="1"/>
  <c r="C20" i="13"/>
  <c r="D19" i="13"/>
  <c r="F21" i="13" a="1"/>
  <c r="F21" i="13" s="1"/>
  <c r="T103" i="13" s="1"/>
  <c r="H20" i="13" a="1"/>
  <c r="H20" i="13" s="1"/>
  <c r="V102" i="13" s="1"/>
  <c r="B48" i="13"/>
  <c r="B64" i="13" s="1"/>
  <c r="B80" i="13" s="1"/>
  <c r="AZ35" i="13"/>
  <c r="AP35" i="13"/>
  <c r="AH35" i="13"/>
  <c r="X35" i="13"/>
  <c r="P35" i="13"/>
  <c r="F35" i="13"/>
  <c r="AX29" i="13"/>
  <c r="AR29" i="13"/>
  <c r="AL29" i="13"/>
  <c r="AF29" i="13"/>
  <c r="Z29" i="13"/>
  <c r="T29" i="13"/>
  <c r="N29" i="13"/>
  <c r="H29" i="13"/>
  <c r="T48" i="13"/>
  <c r="K48" i="13"/>
  <c r="N42" i="13"/>
  <c r="G42" i="13"/>
  <c r="I64" i="13"/>
  <c r="J58" i="13"/>
  <c r="J74" i="13"/>
  <c r="L48" i="13"/>
  <c r="F48" i="13"/>
  <c r="H64" i="13"/>
  <c r="L80" i="13"/>
  <c r="AX35" i="13"/>
  <c r="AR35" i="13"/>
  <c r="AL35" i="13"/>
  <c r="AF35" i="13"/>
  <c r="Z35" i="13"/>
  <c r="T35" i="13"/>
  <c r="N35" i="13"/>
  <c r="H35" i="13"/>
  <c r="P48" i="13"/>
  <c r="J48" i="13"/>
  <c r="F64" i="13"/>
  <c r="P80" i="13"/>
  <c r="I80" i="13"/>
  <c r="AW35" i="13"/>
  <c r="AQ35" i="13"/>
  <c r="AK35" i="13"/>
  <c r="AE35" i="13"/>
  <c r="Y35" i="13"/>
  <c r="S35" i="13"/>
  <c r="M35" i="13"/>
  <c r="G35" i="13"/>
  <c r="O48" i="13"/>
  <c r="I48" i="13"/>
  <c r="L64" i="13"/>
  <c r="O80" i="13"/>
  <c r="H80" i="13"/>
  <c r="AR32" i="13"/>
  <c r="AF32" i="13"/>
  <c r="T32" i="13"/>
  <c r="H32" i="13"/>
  <c r="P45" i="13"/>
  <c r="H77" i="13"/>
  <c r="AE32" i="13"/>
  <c r="K61" i="13"/>
  <c r="AA32" i="13"/>
  <c r="K45" i="13"/>
  <c r="O77" i="13"/>
  <c r="AX32" i="13"/>
  <c r="Z32" i="13"/>
  <c r="J45" i="13"/>
  <c r="I61" i="13"/>
  <c r="AW32" i="13"/>
  <c r="AK32" i="13"/>
  <c r="Y32" i="13"/>
  <c r="M32" i="13"/>
  <c r="R45" i="13"/>
  <c r="F45" i="13"/>
  <c r="E61" i="13"/>
  <c r="M77" i="13"/>
  <c r="AQ32" i="13"/>
  <c r="S32" i="13"/>
  <c r="G32" i="13"/>
  <c r="L45" i="13"/>
  <c r="G77" i="13"/>
  <c r="B45" i="13"/>
  <c r="B61" i="13" s="1"/>
  <c r="B77" i="13" s="1"/>
  <c r="AY32" i="13"/>
  <c r="AM32" i="13"/>
  <c r="O32" i="13"/>
  <c r="J61" i="13"/>
  <c r="AL32" i="13"/>
  <c r="N32" i="13"/>
  <c r="N77" i="13"/>
  <c r="AS32" i="13"/>
  <c r="AG32" i="13"/>
  <c r="U32" i="13"/>
  <c r="I32" i="13"/>
  <c r="Q45" i="13"/>
  <c r="E45" i="13"/>
  <c r="I77" i="13"/>
  <c r="AS28" i="13"/>
  <c r="O28" i="13"/>
  <c r="AO36" i="13"/>
  <c r="AC36" i="13"/>
  <c r="Q36" i="13"/>
  <c r="E36" i="13"/>
  <c r="AS30" i="13"/>
  <c r="AG30" i="13"/>
  <c r="U30" i="13"/>
  <c r="I30" i="13"/>
  <c r="K49" i="13"/>
  <c r="O43" i="13"/>
  <c r="G59" i="13"/>
  <c r="J81" i="13"/>
  <c r="E75" i="13"/>
  <c r="AX36" i="13"/>
  <c r="AL36" i="13"/>
  <c r="Z36" i="13"/>
  <c r="N36" i="13"/>
  <c r="J31" i="13"/>
  <c r="AQ30" i="13"/>
  <c r="AE30" i="13"/>
  <c r="S30" i="13"/>
  <c r="G30" i="13"/>
  <c r="I49" i="13"/>
  <c r="M43" i="13"/>
  <c r="L65" i="13"/>
  <c r="E59" i="13"/>
  <c r="H81" i="13"/>
  <c r="P75" i="13"/>
  <c r="A11" i="13"/>
  <c r="A12" i="13" s="1"/>
  <c r="AW36" i="13"/>
  <c r="AK36" i="13"/>
  <c r="Y36" i="13"/>
  <c r="M36" i="13"/>
  <c r="AZ30" i="13"/>
  <c r="AN30" i="13"/>
  <c r="AB30" i="13"/>
  <c r="P30" i="13"/>
  <c r="R49" i="13"/>
  <c r="F49" i="13"/>
  <c r="J43" i="13"/>
  <c r="K65" i="13"/>
  <c r="E81" i="13"/>
  <c r="N75" i="13"/>
  <c r="AU36" i="13"/>
  <c r="AI36" i="13"/>
  <c r="W36" i="13"/>
  <c r="K36" i="13"/>
  <c r="AY30" i="13"/>
  <c r="AM30" i="13"/>
  <c r="AA30" i="13"/>
  <c r="O30" i="13"/>
  <c r="Q49" i="13"/>
  <c r="E49" i="13"/>
  <c r="I43" i="13"/>
  <c r="I65" i="13"/>
  <c r="P81" i="13"/>
  <c r="K75" i="13"/>
  <c r="AN31" i="13"/>
  <c r="F44" i="13"/>
  <c r="V31" i="13"/>
  <c r="L60" i="13"/>
  <c r="AG28" i="13"/>
  <c r="E41" i="13"/>
  <c r="AA28" i="13"/>
  <c r="AV32" i="13"/>
  <c r="X32" i="13"/>
  <c r="I45" i="13"/>
  <c r="L77" i="13"/>
  <c r="F77" i="13"/>
  <c r="B41" i="13"/>
  <c r="B57" i="13" s="1"/>
  <c r="B73" i="13" s="1"/>
  <c r="I28" i="13"/>
  <c r="AU32" i="13"/>
  <c r="AO32" i="13"/>
  <c r="AI32" i="13"/>
  <c r="AC32" i="13"/>
  <c r="W32" i="13"/>
  <c r="Q32" i="13"/>
  <c r="K32" i="13"/>
  <c r="E32" i="13"/>
  <c r="T45" i="13"/>
  <c r="N45" i="13"/>
  <c r="H45" i="13"/>
  <c r="G61" i="13"/>
  <c r="K77" i="13"/>
  <c r="E77" i="13"/>
  <c r="AP32" i="13"/>
  <c r="AJ32" i="13"/>
  <c r="AD32" i="13"/>
  <c r="R32" i="13"/>
  <c r="L32" i="13"/>
  <c r="F32" i="13"/>
  <c r="O45" i="13"/>
  <c r="H61" i="13"/>
  <c r="AY28" i="13"/>
  <c r="AZ32" i="13"/>
  <c r="AT32" i="13"/>
  <c r="AN32" i="13"/>
  <c r="AH32" i="13"/>
  <c r="AB32" i="13"/>
  <c r="V32" i="13"/>
  <c r="P32" i="13"/>
  <c r="J32" i="13"/>
  <c r="AT31" i="13"/>
  <c r="S45" i="13"/>
  <c r="M45" i="13"/>
  <c r="G45" i="13"/>
  <c r="L61" i="13"/>
  <c r="F61" i="13"/>
  <c r="P77" i="13"/>
  <c r="K76" i="13"/>
  <c r="U28" i="13"/>
  <c r="AH31" i="13"/>
  <c r="O41" i="13"/>
  <c r="R44" i="13"/>
  <c r="K57" i="13"/>
  <c r="AB31" i="13"/>
  <c r="I41" i="13"/>
  <c r="L44" i="13"/>
  <c r="AM28" i="13"/>
  <c r="AZ31" i="13"/>
  <c r="P31" i="13"/>
  <c r="F60" i="13"/>
  <c r="P73" i="13"/>
  <c r="E76" i="13"/>
  <c r="H32" i="14" a="1"/>
  <c r="H32" i="14" s="1"/>
  <c r="J11" i="13"/>
  <c r="Y33" i="13"/>
  <c r="O18" i="13" a="1"/>
  <c r="O18" i="13" s="1"/>
  <c r="T110" i="13" s="1"/>
  <c r="S33" i="13"/>
  <c r="O19" i="13" a="1"/>
  <c r="O19" i="13" s="1"/>
  <c r="T111" i="13" s="1"/>
  <c r="O42" i="13"/>
  <c r="I42" i="13"/>
  <c r="K64" i="13"/>
  <c r="E64" i="13"/>
  <c r="I58" i="13"/>
  <c r="F73" i="13"/>
  <c r="K80" i="13"/>
  <c r="M74" i="13"/>
  <c r="G74" i="13"/>
  <c r="F32" i="14" a="1"/>
  <c r="F32" i="14" s="1"/>
  <c r="O9" i="13"/>
  <c r="K74" i="13"/>
  <c r="F33" i="14" a="1"/>
  <c r="F33" i="14" s="1"/>
  <c r="AX28" i="13"/>
  <c r="Z28" i="13"/>
  <c r="V11" i="13"/>
  <c r="R41" i="13"/>
  <c r="L41" i="13"/>
  <c r="F41" i="13"/>
  <c r="O44" i="13"/>
  <c r="I44" i="13"/>
  <c r="H57" i="13"/>
  <c r="N76" i="13"/>
  <c r="H76" i="13"/>
  <c r="B44" i="13"/>
  <c r="B60" i="13" s="1"/>
  <c r="B76" i="13" s="1"/>
  <c r="E28" i="13"/>
  <c r="AU28" i="13"/>
  <c r="AO28" i="13"/>
  <c r="AI28" i="13"/>
  <c r="AC28" i="13"/>
  <c r="W28" i="13"/>
  <c r="Q28" i="13"/>
  <c r="K28" i="13"/>
  <c r="AZ36" i="13"/>
  <c r="AT36" i="13"/>
  <c r="AN36" i="13"/>
  <c r="AH36" i="13"/>
  <c r="AB36" i="13"/>
  <c r="V36" i="13"/>
  <c r="P36" i="13"/>
  <c r="J36" i="13"/>
  <c r="AV31" i="13"/>
  <c r="AP31" i="13"/>
  <c r="AJ31" i="13"/>
  <c r="AD31" i="13"/>
  <c r="X31" i="13"/>
  <c r="R31" i="13"/>
  <c r="L31" i="13"/>
  <c r="F31" i="13"/>
  <c r="AV30" i="13"/>
  <c r="AP30" i="13"/>
  <c r="AJ30" i="13"/>
  <c r="AD30" i="13"/>
  <c r="X30" i="13"/>
  <c r="R30" i="13"/>
  <c r="L30" i="13"/>
  <c r="F30" i="13"/>
  <c r="Q41" i="13"/>
  <c r="K41" i="13"/>
  <c r="T49" i="13"/>
  <c r="N49" i="13"/>
  <c r="H49" i="13"/>
  <c r="T44" i="13"/>
  <c r="N44" i="13"/>
  <c r="H44" i="13"/>
  <c r="R43" i="13"/>
  <c r="L43" i="13"/>
  <c r="F43" i="13"/>
  <c r="E57" i="13"/>
  <c r="G57" i="13"/>
  <c r="H65" i="13"/>
  <c r="H60" i="13"/>
  <c r="J59" i="13"/>
  <c r="J73" i="13"/>
  <c r="M81" i="13"/>
  <c r="G81" i="13"/>
  <c r="M76" i="13"/>
  <c r="G76" i="13"/>
  <c r="M75" i="13"/>
  <c r="G75" i="13"/>
  <c r="AR28" i="13"/>
  <c r="AL28" i="13"/>
  <c r="AF28" i="13"/>
  <c r="T28" i="13"/>
  <c r="N28" i="13"/>
  <c r="H28" i="13"/>
  <c r="AV28" i="13"/>
  <c r="AP28" i="13"/>
  <c r="AJ28" i="13"/>
  <c r="AD28" i="13"/>
  <c r="X28" i="13"/>
  <c r="R28" i="13"/>
  <c r="L28" i="13"/>
  <c r="F28" i="13"/>
  <c r="AW31" i="13"/>
  <c r="AQ31" i="13"/>
  <c r="AK31" i="13"/>
  <c r="AE31" i="13"/>
  <c r="Y31" i="13"/>
  <c r="S31" i="13"/>
  <c r="M31" i="13"/>
  <c r="G31" i="13"/>
  <c r="I60" i="13"/>
  <c r="K73" i="13"/>
  <c r="B43" i="13"/>
  <c r="B59" i="13" s="1"/>
  <c r="B75" i="13" s="1"/>
  <c r="AZ28" i="13"/>
  <c r="AT28" i="13"/>
  <c r="AN28" i="13"/>
  <c r="AH28" i="13"/>
  <c r="AB28" i="13"/>
  <c r="V28" i="13"/>
  <c r="P28" i="13"/>
  <c r="J28" i="13"/>
  <c r="AY36" i="13"/>
  <c r="AS36" i="13"/>
  <c r="AM36" i="13"/>
  <c r="AG36" i="13"/>
  <c r="AA36" i="13"/>
  <c r="U36" i="13"/>
  <c r="O36" i="13"/>
  <c r="I36" i="13"/>
  <c r="AU31" i="13"/>
  <c r="AO31" i="13"/>
  <c r="AI31" i="13"/>
  <c r="AC31" i="13"/>
  <c r="W31" i="13"/>
  <c r="Q31" i="13"/>
  <c r="K31" i="13"/>
  <c r="E31" i="13"/>
  <c r="AU30" i="13"/>
  <c r="AO30" i="13"/>
  <c r="AI30" i="13"/>
  <c r="AC30" i="13"/>
  <c r="W30" i="13"/>
  <c r="Q30" i="13"/>
  <c r="K30" i="13"/>
  <c r="E30" i="13"/>
  <c r="P41" i="13"/>
  <c r="J41" i="13"/>
  <c r="S49" i="13"/>
  <c r="M49" i="13"/>
  <c r="G49" i="13"/>
  <c r="S44" i="13"/>
  <c r="M44" i="13"/>
  <c r="G44" i="13"/>
  <c r="Q43" i="13"/>
  <c r="K43" i="13"/>
  <c r="E43" i="13"/>
  <c r="L57" i="13"/>
  <c r="F57" i="13"/>
  <c r="G65" i="13"/>
  <c r="G60" i="13"/>
  <c r="I59" i="13"/>
  <c r="H73" i="13"/>
  <c r="L81" i="13"/>
  <c r="F81" i="13"/>
  <c r="L76" i="13"/>
  <c r="F76" i="13"/>
  <c r="L75" i="13"/>
  <c r="F75" i="13"/>
  <c r="AY31" i="13"/>
  <c r="AS31" i="13"/>
  <c r="AM31" i="13"/>
  <c r="AG31" i="13"/>
  <c r="AA31" i="13"/>
  <c r="U31" i="13"/>
  <c r="O31" i="13"/>
  <c r="I31" i="13"/>
  <c r="T41" i="13"/>
  <c r="N41" i="13"/>
  <c r="H41" i="13"/>
  <c r="Q44" i="13"/>
  <c r="K44" i="13"/>
  <c r="E44" i="13"/>
  <c r="J57" i="13"/>
  <c r="K60" i="13"/>
  <c r="E60" i="13"/>
  <c r="N73" i="13"/>
  <c r="P76" i="13"/>
  <c r="J76" i="13"/>
  <c r="E73" i="13"/>
  <c r="AW28" i="13"/>
  <c r="AQ28" i="13"/>
  <c r="AK28" i="13"/>
  <c r="AE28" i="13"/>
  <c r="Y28" i="13"/>
  <c r="S28" i="13"/>
  <c r="M28" i="13"/>
  <c r="G28" i="13"/>
  <c r="AV36" i="13"/>
  <c r="AP36" i="13"/>
  <c r="AJ36" i="13"/>
  <c r="AD36" i="13"/>
  <c r="X36" i="13"/>
  <c r="R36" i="13"/>
  <c r="L36" i="13"/>
  <c r="F36" i="13"/>
  <c r="AX31" i="13"/>
  <c r="AR31" i="13"/>
  <c r="AL31" i="13"/>
  <c r="AF31" i="13"/>
  <c r="Z31" i="13"/>
  <c r="T31" i="13"/>
  <c r="N31" i="13"/>
  <c r="H31" i="13"/>
  <c r="AX30" i="13"/>
  <c r="AR30" i="13"/>
  <c r="AL30" i="13"/>
  <c r="AF30" i="13"/>
  <c r="Z30" i="13"/>
  <c r="T30" i="13"/>
  <c r="N30" i="13"/>
  <c r="H30" i="13"/>
  <c r="S41" i="13"/>
  <c r="M41" i="13"/>
  <c r="G41" i="13"/>
  <c r="P49" i="13"/>
  <c r="J49" i="13"/>
  <c r="P44" i="13"/>
  <c r="J44" i="13"/>
  <c r="T43" i="13"/>
  <c r="N43" i="13"/>
  <c r="H43" i="13"/>
  <c r="I57" i="13"/>
  <c r="J65" i="13"/>
  <c r="J60" i="13"/>
  <c r="L59" i="13"/>
  <c r="F59" i="13"/>
  <c r="L73" i="13"/>
  <c r="O81" i="13"/>
  <c r="O76" i="13"/>
  <c r="O75" i="13"/>
  <c r="Q22" i="13" a="1"/>
  <c r="Q22" i="13" s="1"/>
  <c r="V114" i="13" s="1"/>
  <c r="AV33" i="13"/>
  <c r="L33" i="13"/>
  <c r="N78" i="13"/>
  <c r="L17" i="13"/>
  <c r="D111" i="13" s="1"/>
  <c r="Q20" i="13" a="1"/>
  <c r="Q20" i="13" s="1"/>
  <c r="V112" i="13" s="1"/>
  <c r="AQ33" i="13"/>
  <c r="G33" i="13"/>
  <c r="M78" i="13"/>
  <c r="L21" i="13"/>
  <c r="AK33" i="13"/>
  <c r="M46" i="13"/>
  <c r="I62" i="13"/>
  <c r="M18" i="13"/>
  <c r="AD33" i="13"/>
  <c r="H46" i="13"/>
  <c r="N11" i="13"/>
  <c r="O22" i="13" a="1"/>
  <c r="O22" i="13" s="1"/>
  <c r="T114" i="13" s="1"/>
  <c r="AP33" i="13"/>
  <c r="X33" i="13"/>
  <c r="F33" i="13"/>
  <c r="G46" i="13"/>
  <c r="H62" i="13"/>
  <c r="H78" i="13"/>
  <c r="T46" i="13"/>
  <c r="G78" i="13"/>
  <c r="S34" i="13"/>
  <c r="AJ33" i="13"/>
  <c r="R33" i="13"/>
  <c r="S46" i="13"/>
  <c r="AW33" i="13"/>
  <c r="AE33" i="13"/>
  <c r="M33" i="13"/>
  <c r="N46" i="13"/>
  <c r="I11" i="13"/>
  <c r="I12" i="13" s="1"/>
  <c r="L19" i="13"/>
  <c r="L51" i="13" s="1"/>
  <c r="O21" i="13" a="1"/>
  <c r="O21" i="13" s="1"/>
  <c r="T113" i="13" s="1"/>
  <c r="AQ34" i="13"/>
  <c r="G34" i="13"/>
  <c r="AU33" i="13"/>
  <c r="AO33" i="13"/>
  <c r="AI33" i="13"/>
  <c r="AC33" i="13"/>
  <c r="W33" i="13"/>
  <c r="Q33" i="13"/>
  <c r="K33" i="13"/>
  <c r="E33" i="13"/>
  <c r="R46" i="13"/>
  <c r="L46" i="13"/>
  <c r="F46" i="13"/>
  <c r="I63" i="13"/>
  <c r="G62" i="13"/>
  <c r="N79" i="13"/>
  <c r="L78" i="13"/>
  <c r="F78" i="13"/>
  <c r="AK34" i="13"/>
  <c r="AZ33" i="13"/>
  <c r="AT33" i="13"/>
  <c r="AN33" i="13"/>
  <c r="AH33" i="13"/>
  <c r="AB33" i="13"/>
  <c r="V33" i="13"/>
  <c r="P33" i="13"/>
  <c r="J33" i="13"/>
  <c r="Q47" i="13"/>
  <c r="Q46" i="13"/>
  <c r="K46" i="13"/>
  <c r="E46" i="13"/>
  <c r="L62" i="13"/>
  <c r="F62" i="13"/>
  <c r="H79" i="13"/>
  <c r="K78" i="13"/>
  <c r="E78" i="13"/>
  <c r="M34" i="13"/>
  <c r="M11" i="13"/>
  <c r="L24" i="13"/>
  <c r="Q23" i="13" a="1"/>
  <c r="Q23" i="13" s="1"/>
  <c r="V115" i="13" s="1"/>
  <c r="B46" i="13"/>
  <c r="B62" i="13" s="1"/>
  <c r="B78" i="13" s="1"/>
  <c r="AE34" i="13"/>
  <c r="AY33" i="13"/>
  <c r="AS33" i="13"/>
  <c r="AM33" i="13"/>
  <c r="AG33" i="13"/>
  <c r="AA33" i="13"/>
  <c r="U33" i="13"/>
  <c r="O33" i="13"/>
  <c r="I33" i="13"/>
  <c r="K47" i="13"/>
  <c r="P46" i="13"/>
  <c r="J46" i="13"/>
  <c r="K62" i="13"/>
  <c r="E62" i="13"/>
  <c r="P78" i="13"/>
  <c r="J78" i="13"/>
  <c r="AW34" i="13"/>
  <c r="Y34" i="13"/>
  <c r="AX33" i="13"/>
  <c r="AR33" i="13"/>
  <c r="AL33" i="13"/>
  <c r="AF33" i="13"/>
  <c r="Z33" i="13"/>
  <c r="T33" i="13"/>
  <c r="N33" i="13"/>
  <c r="H33" i="13"/>
  <c r="E47" i="13"/>
  <c r="O46" i="13"/>
  <c r="I46" i="13"/>
  <c r="J62" i="13"/>
  <c r="O78" i="13"/>
  <c r="AV34" i="13"/>
  <c r="AP34" i="13"/>
  <c r="AJ34" i="13"/>
  <c r="AD34" i="13"/>
  <c r="X34" i="13"/>
  <c r="R34" i="13"/>
  <c r="L34" i="13"/>
  <c r="F34" i="13"/>
  <c r="P47" i="13"/>
  <c r="J47" i="13"/>
  <c r="H63" i="13"/>
  <c r="M79" i="13"/>
  <c r="G79" i="13"/>
  <c r="AU34" i="13"/>
  <c r="AO34" i="13"/>
  <c r="AI34" i="13"/>
  <c r="AC34" i="13"/>
  <c r="W34" i="13"/>
  <c r="Q34" i="13"/>
  <c r="K34" i="13"/>
  <c r="E34" i="13"/>
  <c r="O47" i="13"/>
  <c r="I47" i="13"/>
  <c r="G63" i="13"/>
  <c r="L79" i="13"/>
  <c r="F79" i="13"/>
  <c r="AZ34" i="13"/>
  <c r="AT34" i="13"/>
  <c r="AN34" i="13"/>
  <c r="AH34" i="13"/>
  <c r="AB34" i="13"/>
  <c r="V34" i="13"/>
  <c r="P34" i="13"/>
  <c r="J34" i="13"/>
  <c r="T47" i="13"/>
  <c r="N47" i="13"/>
  <c r="H47" i="13"/>
  <c r="L63" i="13"/>
  <c r="F63" i="13"/>
  <c r="K79" i="13"/>
  <c r="E79" i="13"/>
  <c r="AY34" i="13"/>
  <c r="AS34" i="13"/>
  <c r="AM34" i="13"/>
  <c r="AG34" i="13"/>
  <c r="AA34" i="13"/>
  <c r="U34" i="13"/>
  <c r="O34" i="13"/>
  <c r="I34" i="13"/>
  <c r="S47" i="13"/>
  <c r="M47" i="13"/>
  <c r="G47" i="13"/>
  <c r="K63" i="13"/>
  <c r="E63" i="13"/>
  <c r="P79" i="13"/>
  <c r="J79" i="13"/>
  <c r="B47" i="13"/>
  <c r="B63" i="13" s="1"/>
  <c r="B79" i="13" s="1"/>
  <c r="AX34" i="13"/>
  <c r="AR34" i="13"/>
  <c r="AL34" i="13"/>
  <c r="AF34" i="13"/>
  <c r="Z34" i="13"/>
  <c r="T34" i="13"/>
  <c r="N34" i="13"/>
  <c r="H34" i="13"/>
  <c r="R47" i="13"/>
  <c r="L47" i="13"/>
  <c r="F47" i="13"/>
  <c r="J63" i="13"/>
  <c r="O79" i="13"/>
  <c r="O73" i="13"/>
  <c r="I73" i="13"/>
  <c r="M73" i="13"/>
  <c r="R11" i="13"/>
  <c r="U11" i="13"/>
  <c r="W9" i="13"/>
  <c r="K11" i="13"/>
  <c r="S11" i="13"/>
  <c r="L16" i="13"/>
  <c r="L22" i="13"/>
  <c r="O24" i="13" a="1"/>
  <c r="O24" i="13" s="1"/>
  <c r="T116" i="13" s="1"/>
  <c r="Q18" i="13" a="1"/>
  <c r="Q18" i="13" s="1"/>
  <c r="V110" i="13" s="1"/>
  <c r="Q19" i="13" a="1"/>
  <c r="Q19" i="13" s="1"/>
  <c r="V111" i="13" s="1"/>
  <c r="S9" i="13"/>
  <c r="L11" i="13"/>
  <c r="T11" i="13"/>
  <c r="L18" i="13"/>
  <c r="L23" i="13"/>
  <c r="O23" i="13" a="1"/>
  <c r="O23" i="13" s="1"/>
  <c r="T115" i="13" s="1"/>
  <c r="Q24" i="13" a="1"/>
  <c r="Q24" i="13" s="1"/>
  <c r="V116" i="13" s="1"/>
  <c r="Q11" i="13"/>
  <c r="Q12" i="13" s="1"/>
  <c r="L20" i="13"/>
  <c r="M19" i="13"/>
  <c r="O20" i="13" a="1"/>
  <c r="O20" i="13" s="1"/>
  <c r="T112" i="13" s="1"/>
  <c r="D101" i="13" l="1"/>
  <c r="D100" i="13"/>
  <c r="AB38" i="14"/>
  <c r="AA38" i="14"/>
  <c r="D110" i="13"/>
  <c r="O52" i="13"/>
  <c r="I87" i="13" s="1"/>
  <c r="O13" i="14" s="1"/>
  <c r="O58" i="13"/>
  <c r="Q60" i="13"/>
  <c r="Q81" i="13"/>
  <c r="N52" i="13"/>
  <c r="Q63" i="13"/>
  <c r="M59" i="13"/>
  <c r="Q80" i="13"/>
  <c r="Q64" i="13"/>
  <c r="O57" i="13"/>
  <c r="M64" i="13"/>
  <c r="O64" i="13"/>
  <c r="K51" i="13"/>
  <c r="M61" i="13"/>
  <c r="Q75" i="13"/>
  <c r="M57" i="13"/>
  <c r="Q74" i="13"/>
  <c r="Q58" i="13"/>
  <c r="O59" i="13"/>
  <c r="M60" i="13"/>
  <c r="Q77" i="13"/>
  <c r="U45" i="13"/>
  <c r="Q57" i="13"/>
  <c r="O65" i="13"/>
  <c r="O61" i="13"/>
  <c r="Q76" i="13"/>
  <c r="O62" i="13"/>
  <c r="Q65" i="13"/>
  <c r="M62" i="13"/>
  <c r="M65" i="13"/>
  <c r="Q73" i="13"/>
  <c r="M58" i="13"/>
  <c r="Q62" i="13"/>
  <c r="O63" i="13"/>
  <c r="O60" i="13"/>
  <c r="Q61" i="13"/>
  <c r="Q78" i="13"/>
  <c r="M63" i="13"/>
  <c r="U43" i="13"/>
  <c r="W43" i="13"/>
  <c r="Q59" i="13"/>
  <c r="Q79" i="13"/>
  <c r="U47" i="13"/>
  <c r="W41" i="13"/>
  <c r="U42" i="13"/>
  <c r="U49" i="13"/>
  <c r="W42" i="13"/>
  <c r="U48" i="13"/>
  <c r="W48" i="13"/>
  <c r="W49" i="13"/>
  <c r="U41" i="13"/>
  <c r="W44" i="13"/>
  <c r="W47" i="13"/>
  <c r="U46" i="13"/>
  <c r="W45" i="13"/>
  <c r="U44" i="13"/>
  <c r="W46" i="13"/>
  <c r="G50" i="13"/>
  <c r="D95" i="13" s="1"/>
  <c r="L50" i="13"/>
  <c r="F5" i="13" a="1"/>
  <c r="F5" i="13" s="1"/>
  <c r="E5" i="13" a="1"/>
  <c r="E5" i="13" s="1"/>
  <c r="D5" i="13" a="1"/>
  <c r="D5" i="13" s="1"/>
  <c r="C5" i="13" a="1"/>
  <c r="C5" i="13" s="1"/>
  <c r="B5" i="13" a="1"/>
  <c r="B5" i="13" s="1"/>
  <c r="A5" i="13" a="1"/>
  <c r="A5" i="13" s="1"/>
  <c r="H51" i="13" l="1"/>
  <c r="E96" i="13" s="1"/>
  <c r="J50" i="13"/>
  <c r="G95" i="13" s="1"/>
  <c r="H50" i="13"/>
  <c r="E95" i="13" s="1"/>
  <c r="AA32" i="14"/>
  <c r="AB32" i="14"/>
  <c r="G51" i="13"/>
  <c r="D96" i="13" s="1"/>
  <c r="J51" i="13"/>
  <c r="G96" i="13" s="1"/>
  <c r="K68" i="13"/>
  <c r="H66" i="13"/>
  <c r="N87" i="13" s="1"/>
  <c r="R9" i="14" s="1"/>
  <c r="E66" i="13"/>
  <c r="G67" i="13"/>
  <c r="L67" i="13"/>
  <c r="F67" i="13"/>
  <c r="I66" i="13"/>
  <c r="O87" i="13" s="1"/>
  <c r="S9" i="14" s="1"/>
  <c r="E67" i="13"/>
  <c r="K82" i="13"/>
  <c r="G68" i="13"/>
  <c r="G66" i="13"/>
  <c r="M87" i="13" s="1"/>
  <c r="Q9" i="14" s="1"/>
  <c r="J68" i="13"/>
  <c r="E68" i="13"/>
  <c r="T51" i="13"/>
  <c r="J82" i="13"/>
  <c r="G87" i="13" s="1"/>
  <c r="L82" i="13"/>
  <c r="F68" i="13"/>
  <c r="I68" i="13"/>
  <c r="I67" i="13"/>
  <c r="K67" i="13"/>
  <c r="L66" i="13"/>
  <c r="G82" i="13"/>
  <c r="D87" i="13" s="1"/>
  <c r="H67" i="13"/>
  <c r="K66" i="13"/>
  <c r="Q87" i="13" s="1"/>
  <c r="U9" i="14" s="1"/>
  <c r="F66" i="13"/>
  <c r="L87" i="13" s="1"/>
  <c r="P9" i="14" s="1"/>
  <c r="F92" i="13"/>
  <c r="E82" i="13"/>
  <c r="I82" i="13"/>
  <c r="F87" i="13" s="1"/>
  <c r="S5" i="14" s="1"/>
  <c r="L68" i="13"/>
  <c r="J67" i="13"/>
  <c r="J66" i="13"/>
  <c r="P87" i="13" s="1"/>
  <c r="T9" i="14" s="1"/>
  <c r="H82" i="13"/>
  <c r="E87" i="13" s="1"/>
  <c r="R5" i="14" s="1"/>
  <c r="F82" i="13"/>
  <c r="C87" i="13" s="1"/>
  <c r="P5" i="14" s="1"/>
  <c r="S50" i="13"/>
  <c r="H68" i="13"/>
  <c r="Q91" i="13"/>
  <c r="M91" i="13"/>
  <c r="N91" i="13"/>
  <c r="Q50" i="13"/>
  <c r="D91" i="13"/>
  <c r="G91" i="13"/>
  <c r="P92" i="13"/>
  <c r="I50" i="13"/>
  <c r="F95" i="13" s="1"/>
  <c r="P50" i="13"/>
  <c r="L91" i="13"/>
  <c r="I51" i="13"/>
  <c r="F96" i="13" s="1"/>
  <c r="O91" i="13"/>
  <c r="I91" i="13"/>
  <c r="J92" i="13"/>
  <c r="H92" i="13"/>
  <c r="Q51" i="13"/>
  <c r="M50" i="13"/>
  <c r="H95" i="13" s="1"/>
  <c r="Q13" i="14" s="1"/>
  <c r="AA33" i="14" s="1"/>
  <c r="K91" i="13"/>
  <c r="P91" i="13"/>
  <c r="M92" i="13"/>
  <c r="E92" i="13"/>
  <c r="P51" i="13"/>
  <c r="H91" i="13"/>
  <c r="K92" i="13"/>
  <c r="I92" i="13"/>
  <c r="M51" i="13"/>
  <c r="H96" i="13" s="1"/>
  <c r="S13" i="14" s="1"/>
  <c r="AB33" i="14" s="1"/>
  <c r="R50" i="13"/>
  <c r="E91" i="13"/>
  <c r="J91" i="13"/>
  <c r="G92" i="13"/>
  <c r="D92" i="13"/>
  <c r="S51" i="13"/>
  <c r="L92" i="13"/>
  <c r="T50" i="13"/>
  <c r="R51" i="13"/>
  <c r="F91" i="13"/>
  <c r="N92" i="13"/>
  <c r="Q92" i="13"/>
  <c r="O92" i="13"/>
  <c r="AA45" i="14" l="1"/>
  <c r="L96" i="13"/>
  <c r="L95" i="13"/>
  <c r="Q5" i="14"/>
  <c r="B87" i="13"/>
  <c r="O5" i="14" s="1"/>
  <c r="H87" i="13"/>
  <c r="U5" i="14" s="1"/>
  <c r="T5" i="14"/>
  <c r="K87" i="13"/>
  <c r="O9" i="14" s="1"/>
  <c r="R92" i="13"/>
  <c r="R91" i="13"/>
  <c r="F100" i="13" s="1"/>
  <c r="F110" i="13" l="1"/>
  <c r="H110" i="13" s="1"/>
  <c r="J110" i="13" s="1"/>
  <c r="L110" i="13" s="1"/>
  <c r="W116" i="13" s="1"/>
  <c r="F101" i="13"/>
  <c r="H101" i="13" s="1"/>
  <c r="J101" i="13" s="1"/>
  <c r="L101" i="13" s="1"/>
  <c r="Y100" i="13" s="1"/>
  <c r="H100" i="13"/>
  <c r="J100" i="13" s="1"/>
  <c r="L100" i="13" s="1"/>
  <c r="F111" i="13"/>
  <c r="H111" i="13" s="1"/>
  <c r="J111" i="13" s="1"/>
  <c r="W106" i="13" l="1"/>
  <c r="I38" i="14" s="1"/>
  <c r="W100" i="13"/>
  <c r="I32" i="14" s="1"/>
  <c r="L111" i="13"/>
  <c r="Y116" i="13" s="1"/>
  <c r="W114" i="13"/>
  <c r="W115" i="13"/>
  <c r="W112" i="13"/>
  <c r="I46" i="14" s="1"/>
  <c r="W113" i="13"/>
  <c r="W110" i="13"/>
  <c r="I44" i="14" s="1"/>
  <c r="W111" i="13"/>
  <c r="I45" i="14" s="1"/>
  <c r="Y105" i="13"/>
  <c r="K37" i="14" s="1"/>
  <c r="Y106" i="13"/>
  <c r="K38" i="14" s="1"/>
  <c r="Y102" i="13"/>
  <c r="K34" i="14" s="1"/>
  <c r="Y103" i="13"/>
  <c r="K35" i="14" s="1"/>
  <c r="K32" i="14"/>
  <c r="Y101" i="13"/>
  <c r="K33" i="14" s="1"/>
  <c r="O33" i="14" s="1"/>
  <c r="W104" i="13"/>
  <c r="I36" i="14" s="1"/>
  <c r="W105" i="13"/>
  <c r="I37" i="14" s="1"/>
  <c r="W102" i="13"/>
  <c r="I34" i="14" s="1"/>
  <c r="W103" i="13"/>
  <c r="I35" i="14" s="1"/>
  <c r="W101" i="13"/>
  <c r="I33" i="14" s="1"/>
  <c r="Y104" i="13"/>
  <c r="K36" i="14" s="1"/>
  <c r="Y114" i="13" l="1"/>
  <c r="K48" i="14" s="1"/>
  <c r="Y115" i="13"/>
  <c r="K49" i="14" s="1"/>
  <c r="Y112" i="13"/>
  <c r="K46" i="14" s="1"/>
  <c r="Y113" i="13"/>
  <c r="K47" i="14" s="1"/>
  <c r="Y111" i="13"/>
  <c r="K45" i="14" s="1"/>
  <c r="Y110" i="13"/>
  <c r="K44" i="14" s="1"/>
  <c r="K50" i="14"/>
  <c r="I47" i="14"/>
  <c r="I49" i="14"/>
  <c r="I50" i="14"/>
  <c r="I48" i="14"/>
  <c r="M32" i="14" l="1"/>
  <c r="AB45" i="14"/>
  <c r="O44" i="14" l="1"/>
  <c r="M44" i="14"/>
  <c r="O37" i="14"/>
  <c r="O49" i="14"/>
  <c r="O35" i="14"/>
  <c r="M50" i="14"/>
  <c r="M37" i="14"/>
  <c r="M35" i="14"/>
  <c r="M33" i="14"/>
  <c r="O46" i="14"/>
  <c r="M49" i="14"/>
  <c r="O48" i="14"/>
  <c r="O45" i="14"/>
  <c r="M46" i="14"/>
  <c r="M48" i="14"/>
  <c r="M45" i="14"/>
  <c r="O38" i="14"/>
  <c r="O36" i="14"/>
  <c r="O34" i="14"/>
  <c r="O32" i="14"/>
  <c r="Q32" i="14" s="1"/>
  <c r="U32" i="14" s="1"/>
  <c r="M47" i="14"/>
  <c r="O50" i="14"/>
  <c r="O47" i="14"/>
  <c r="M38" i="14"/>
  <c r="M36" i="14"/>
  <c r="M34" i="14"/>
  <c r="Q44" i="14" l="1"/>
  <c r="S44" i="14" s="1"/>
  <c r="Q50" i="14"/>
  <c r="U50" i="14" s="1"/>
  <c r="Q46" i="14"/>
  <c r="U46" i="14" s="1"/>
  <c r="Q47" i="14"/>
  <c r="Q48" i="14"/>
  <c r="Q49" i="14"/>
  <c r="S49" i="14" s="1"/>
  <c r="Q45" i="14"/>
  <c r="U45" i="14" s="1"/>
  <c r="S32" i="14"/>
  <c r="Q38" i="14"/>
  <c r="Q37" i="14"/>
  <c r="Q34" i="14"/>
  <c r="Q33" i="14"/>
  <c r="Q36" i="14"/>
  <c r="Q35" i="14"/>
  <c r="U44" i="14" l="1"/>
  <c r="S34" i="14"/>
  <c r="U34" i="14"/>
  <c r="S50" i="14"/>
  <c r="S46" i="14"/>
  <c r="U49" i="14"/>
  <c r="S45" i="14"/>
  <c r="S47" i="14"/>
  <c r="U47" i="14"/>
  <c r="U48" i="14"/>
  <c r="S48" i="14"/>
  <c r="S38" i="14"/>
  <c r="U38" i="14"/>
  <c r="S33" i="14"/>
  <c r="U33" i="14"/>
  <c r="S37" i="14"/>
  <c r="U37" i="14"/>
  <c r="S35" i="14"/>
  <c r="U35" i="14"/>
  <c r="S36" i="14"/>
  <c r="U36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<sst xmlns="http://schemas.openxmlformats.org/spreadsheetml/2006/main" count="2831" uniqueCount="1000">
  <si>
    <t>ATK</t>
  </si>
  <si>
    <t>Assault Rifle</t>
  </si>
  <si>
    <t>RAW TYPE</t>
  </si>
  <si>
    <t>Piercing</t>
  </si>
  <si>
    <t>ELEMENT TYPE</t>
  </si>
  <si>
    <t>None</t>
  </si>
  <si>
    <t>Name</t>
  </si>
  <si>
    <t>A GRP</t>
  </si>
  <si>
    <t>C GRP</t>
  </si>
  <si>
    <t>ATK *</t>
  </si>
  <si>
    <t>ATK 2 *</t>
  </si>
  <si>
    <t>HS *</t>
  </si>
  <si>
    <t>CRIT %</t>
  </si>
  <si>
    <t>CRIT *</t>
  </si>
  <si>
    <t>Professional Cosplayer</t>
  </si>
  <si>
    <t>Joker</t>
  </si>
  <si>
    <t>Barbarian</t>
  </si>
  <si>
    <t>Critical Attack</t>
  </si>
  <si>
    <t>Assault Rifle Addict</t>
  </si>
  <si>
    <t>Golden Gym</t>
  </si>
  <si>
    <t>Five-leaf Clover</t>
  </si>
  <si>
    <t>Serial Killer</t>
  </si>
  <si>
    <t>NAME</t>
  </si>
  <si>
    <t>RAGE DMG *</t>
  </si>
  <si>
    <t>HP &lt;= 15%</t>
  </si>
  <si>
    <t>HP 100%</t>
  </si>
  <si>
    <t>DOWN ATK *</t>
  </si>
  <si>
    <t>Super Hero</t>
  </si>
  <si>
    <t>Legendary Hero</t>
  </si>
  <si>
    <t>Bull</t>
  </si>
  <si>
    <t>Raging Bull</t>
  </si>
  <si>
    <t>Dumbbell</t>
  </si>
  <si>
    <t>Barbell</t>
  </si>
  <si>
    <t>Judge's Gavel</t>
  </si>
  <si>
    <t>One Shot One Kill</t>
  </si>
  <si>
    <t>Dual Wielding Master</t>
  </si>
  <si>
    <t>Master Builder</t>
  </si>
  <si>
    <t>DOD</t>
  </si>
  <si>
    <t>Drill Sergeant</t>
  </si>
  <si>
    <t>WE</t>
  </si>
  <si>
    <t>Wizard</t>
  </si>
  <si>
    <t>CW</t>
  </si>
  <si>
    <t>Medalist</t>
  </si>
  <si>
    <t>MILK</t>
  </si>
  <si>
    <t>Samurai</t>
  </si>
  <si>
    <t>Slash</t>
  </si>
  <si>
    <t>Slugger</t>
  </si>
  <si>
    <t>Blunt</t>
  </si>
  <si>
    <t>Firestarter</t>
  </si>
  <si>
    <t>Fire</t>
  </si>
  <si>
    <t>Electrifier</t>
  </si>
  <si>
    <t>Electric</t>
  </si>
  <si>
    <t>Hornet</t>
  </si>
  <si>
    <t>Poison</t>
  </si>
  <si>
    <t>Giant Killer</t>
  </si>
  <si>
    <t>Four-leaf Clover</t>
  </si>
  <si>
    <t>Superalloy</t>
  </si>
  <si>
    <t>Dengeki Playstation</t>
  </si>
  <si>
    <t>Self-Defense</t>
  </si>
  <si>
    <t>Hammer Addict</t>
  </si>
  <si>
    <t>Hammer</t>
  </si>
  <si>
    <t>Machete Addict</t>
  </si>
  <si>
    <t>Machete</t>
  </si>
  <si>
    <t>Saber Addict</t>
  </si>
  <si>
    <t>Saber</t>
  </si>
  <si>
    <t>Fireworks Addict</t>
  </si>
  <si>
    <t>Fireworks</t>
  </si>
  <si>
    <t>Trump Card</t>
  </si>
  <si>
    <t>Iron Addict</t>
  </si>
  <si>
    <t>Iron</t>
  </si>
  <si>
    <t>Crossbow Addict</t>
  </si>
  <si>
    <t>Crossbow</t>
  </si>
  <si>
    <t>Katana Addict</t>
  </si>
  <si>
    <t>Katana</t>
  </si>
  <si>
    <t>Hockey Addict</t>
  </si>
  <si>
    <t>Hockey Stick</t>
  </si>
  <si>
    <t>Panther Mode</t>
  </si>
  <si>
    <t>Jupiter Style</t>
  </si>
  <si>
    <t>Durga Angel</t>
  </si>
  <si>
    <t>Crowd Pleaser</t>
  </si>
  <si>
    <t>Cerberus</t>
  </si>
  <si>
    <t>Trigger Happy</t>
  </si>
  <si>
    <t>Tiger II</t>
  </si>
  <si>
    <t>Chi-Ha</t>
  </si>
  <si>
    <t>T95E2</t>
  </si>
  <si>
    <t>INVADER (WoT)</t>
  </si>
  <si>
    <t>Full Metal Jacket</t>
  </si>
  <si>
    <t>Sniper Rifle</t>
  </si>
  <si>
    <t>Hagakure</t>
  </si>
  <si>
    <t>Buzzsaw Addict</t>
  </si>
  <si>
    <t>Buzzsaw</t>
  </si>
  <si>
    <t>Magnum Addict</t>
  </si>
  <si>
    <t>Magnum</t>
  </si>
  <si>
    <t>Sword Addict</t>
  </si>
  <si>
    <t>Sword</t>
  </si>
  <si>
    <t>Poison Master</t>
  </si>
  <si>
    <t>Sniper Rifle Addict</t>
  </si>
  <si>
    <t>Chopper Addict</t>
  </si>
  <si>
    <t>Chopper</t>
  </si>
  <si>
    <t>Claw Addict</t>
  </si>
  <si>
    <t>Claw</t>
  </si>
  <si>
    <t>Night Assassin</t>
  </si>
  <si>
    <t>Knife</t>
  </si>
  <si>
    <t>Knife Addict</t>
  </si>
  <si>
    <t>Chainsaw Addict</t>
  </si>
  <si>
    <t>Chainsaw</t>
  </si>
  <si>
    <t>Pitching Addict</t>
  </si>
  <si>
    <t>Pitching</t>
  </si>
  <si>
    <t>Pinch Hitter</t>
  </si>
  <si>
    <t>Bat</t>
  </si>
  <si>
    <t>Bowling Addict</t>
  </si>
  <si>
    <t>Bowling Ball</t>
  </si>
  <si>
    <t>Bat Addict</t>
  </si>
  <si>
    <t>Rocket Launcher Addict</t>
  </si>
  <si>
    <t>Rocket Launcher</t>
  </si>
  <si>
    <t>Con Smith</t>
  </si>
  <si>
    <t>Samantha</t>
  </si>
  <si>
    <t>Kevin Smith</t>
  </si>
  <si>
    <t>Dan Smith</t>
  </si>
  <si>
    <t>KAEDE Smith</t>
  </si>
  <si>
    <t>Mask De Smith</t>
  </si>
  <si>
    <t>Garcian Smith</t>
  </si>
  <si>
    <t>Pickaxe Addict</t>
  </si>
  <si>
    <t>Pickaxe</t>
  </si>
  <si>
    <t>Axe Addict</t>
  </si>
  <si>
    <t>Axe</t>
  </si>
  <si>
    <t>Shotgun Addict</t>
  </si>
  <si>
    <t>Shotgun</t>
  </si>
  <si>
    <t>Hammerhead</t>
  </si>
  <si>
    <t>Gravedigger</t>
  </si>
  <si>
    <t>Shovel</t>
  </si>
  <si>
    <t>Corkscrew Punch</t>
  </si>
  <si>
    <t>Boxing Gloves</t>
  </si>
  <si>
    <t>Boxing Addict</t>
  </si>
  <si>
    <t>Fire Baton Addict</t>
  </si>
  <si>
    <t>Fire Baton</t>
  </si>
  <si>
    <t>Drill Addict</t>
  </si>
  <si>
    <t>Drill</t>
  </si>
  <si>
    <t>Thunder Road</t>
  </si>
  <si>
    <t>Motorcycle</t>
  </si>
  <si>
    <t>Vigilante</t>
  </si>
  <si>
    <t>Fire Rod Addict</t>
  </si>
  <si>
    <t>Fire Rod</t>
  </si>
  <si>
    <t>Motorcycle Addict</t>
  </si>
  <si>
    <t>Welding Gun Addict</t>
  </si>
  <si>
    <t>Welding Gun</t>
  </si>
  <si>
    <t>Don Quixote</t>
  </si>
  <si>
    <t>Drill Mole</t>
  </si>
  <si>
    <t>Nail Gun Addict</t>
  </si>
  <si>
    <t>Nail Gun</t>
  </si>
  <si>
    <t>Shovel Addict</t>
  </si>
  <si>
    <t>Flamethrower Addict</t>
  </si>
  <si>
    <t>Flamethrower</t>
  </si>
  <si>
    <t>Flashdance</t>
  </si>
  <si>
    <t>ANGRY MAMA</t>
  </si>
  <si>
    <t>Death Hunt</t>
  </si>
  <si>
    <t>Stun Rod Addict</t>
  </si>
  <si>
    <t>Stun Rod</t>
  </si>
  <si>
    <t>Shuriken Addict</t>
  </si>
  <si>
    <t>Shuriken</t>
  </si>
  <si>
    <t>Thunder Rod Addict</t>
  </si>
  <si>
    <t>Thunder Rod</t>
  </si>
  <si>
    <t>TRAVIS TOUCHDOWN (NMH)</t>
  </si>
  <si>
    <t>SYLVIA CHRISTEL (NMH)</t>
  </si>
  <si>
    <t>SHINOBU (NMH)</t>
  </si>
  <si>
    <t>SPEED BUSTER (NMH)</t>
  </si>
  <si>
    <t>DESTROYMAN (NMH)</t>
  </si>
  <si>
    <t>HOLLY SUMMERS (NMH)</t>
  </si>
  <si>
    <t>BAD GIRL (NMH)</t>
  </si>
  <si>
    <t>HENRY (NMH)</t>
  </si>
  <si>
    <t>Musketeer</t>
  </si>
  <si>
    <t>Lumberjack</t>
  </si>
  <si>
    <t>Bazooka Wake-Up</t>
  </si>
  <si>
    <t>Spear Addict</t>
  </si>
  <si>
    <t>Spear</t>
  </si>
  <si>
    <t>Warrior Monk</t>
  </si>
  <si>
    <t>Great Hero</t>
  </si>
  <si>
    <t>CENTER FORWARD</t>
  </si>
  <si>
    <t>Invader</t>
  </si>
  <si>
    <t>Dragonfire</t>
  </si>
  <si>
    <t>Jungle Tiger</t>
  </si>
  <si>
    <t>Flail Addict</t>
  </si>
  <si>
    <t>Flail</t>
  </si>
  <si>
    <t>Six-leaf Clover</t>
  </si>
  <si>
    <t>Salamander</t>
  </si>
  <si>
    <t>Firewheel</t>
  </si>
  <si>
    <t>Perfect Closer</t>
  </si>
  <si>
    <t>Pitching Machine</t>
  </si>
  <si>
    <t>Archery Addict</t>
  </si>
  <si>
    <t>Archer's Bow</t>
  </si>
  <si>
    <t>Local Butcher</t>
  </si>
  <si>
    <t>Niten Ichi-ryu</t>
  </si>
  <si>
    <t>King of Coal</t>
  </si>
  <si>
    <t>Pro Bowler</t>
  </si>
  <si>
    <t>Chimera</t>
  </si>
  <si>
    <t>Timber Addict</t>
  </si>
  <si>
    <t>Timber</t>
  </si>
  <si>
    <t>Bandit</t>
  </si>
  <si>
    <t>Stun Gun Addict</t>
  </si>
  <si>
    <t>Stun Gun</t>
  </si>
  <si>
    <t>Electric Bop</t>
  </si>
  <si>
    <t>Lion Dance Addict</t>
  </si>
  <si>
    <t>Lion Dance Knuckle</t>
  </si>
  <si>
    <t>Lion Man</t>
  </si>
  <si>
    <t>Billy the Kid</t>
  </si>
  <si>
    <t>Spin Master</t>
  </si>
  <si>
    <t>Yo-Yo Addict</t>
  </si>
  <si>
    <t>Yo-Yo</t>
  </si>
  <si>
    <t>Below the Belt</t>
  </si>
  <si>
    <t>Final Hero</t>
  </si>
  <si>
    <t>Superalloy Death Zam</t>
  </si>
  <si>
    <t>Rio Bravo</t>
  </si>
  <si>
    <t>Special Unit Captain</t>
  </si>
  <si>
    <t>Uncle-D2 (DEATHVERSE)</t>
  </si>
  <si>
    <t>Queen B (DEATHVERSE)</t>
  </si>
  <si>
    <t>Queen of the Wolves</t>
  </si>
  <si>
    <t>Blacksmith</t>
  </si>
  <si>
    <t>Violence Class</t>
  </si>
  <si>
    <t>Precocious Bouncer</t>
  </si>
  <si>
    <t>Poison General</t>
  </si>
  <si>
    <t>One Way Ticket</t>
  </si>
  <si>
    <t>Dog Day Afternoon</t>
  </si>
  <si>
    <t>Fire Angel</t>
  </si>
  <si>
    <t>Grand Master Builder</t>
  </si>
  <si>
    <t>Hellish Drill Sergeant</t>
  </si>
  <si>
    <t>Electro Beast</t>
  </si>
  <si>
    <t>Arch Wizard</t>
  </si>
  <si>
    <t>Queen Of Spades</t>
  </si>
  <si>
    <t>Platinum Medalist</t>
  </si>
  <si>
    <t>Magic Fencer</t>
  </si>
  <si>
    <t>WEAPON TYPES</t>
  </si>
  <si>
    <t>LUK</t>
  </si>
  <si>
    <t>Crit Chance</t>
  </si>
  <si>
    <t>Attack Damage Formula</t>
  </si>
  <si>
    <t>(Current working formula. Will be changed as better information is gathered)</t>
  </si>
  <si>
    <t>Defense Formula</t>
  </si>
  <si>
    <t>1.1 +((DEF * FUN * (VIT + 25)) / 23200)</t>
  </si>
  <si>
    <t>Final Damage Calculation</t>
  </si>
  <si>
    <t>ATK FORM / DEF FORM</t>
  </si>
  <si>
    <t>GRADE</t>
  </si>
  <si>
    <t>ALL-ROUNDER</t>
  </si>
  <si>
    <t>HP</t>
  </si>
  <si>
    <t>STM</t>
  </si>
  <si>
    <t>STR</t>
  </si>
  <si>
    <t>DEX</t>
  </si>
  <si>
    <t>VIT</t>
  </si>
  <si>
    <t>STRIKER</t>
  </si>
  <si>
    <t>DEFENDER</t>
  </si>
  <si>
    <t>ATTACKER</t>
  </si>
  <si>
    <t>SHOOTER</t>
  </si>
  <si>
    <t>COLLECTOR</t>
  </si>
  <si>
    <t>SKILL MASTER</t>
  </si>
  <si>
    <t>LUCKY STAR</t>
  </si>
  <si>
    <t>FIGHTER CLASS</t>
  </si>
  <si>
    <t>FIGHTER CLASSES</t>
  </si>
  <si>
    <t>All-rounder</t>
  </si>
  <si>
    <t>Striker</t>
  </si>
  <si>
    <t>Defender</t>
  </si>
  <si>
    <t>Attacker</t>
  </si>
  <si>
    <t>Shooter</t>
  </si>
  <si>
    <t>Collector</t>
  </si>
  <si>
    <t>Skill Master</t>
  </si>
  <si>
    <t>Lucky Star</t>
  </si>
  <si>
    <t>Hands</t>
  </si>
  <si>
    <t>REQ</t>
  </si>
  <si>
    <t>T1</t>
  </si>
  <si>
    <t>T2</t>
  </si>
  <si>
    <t>T3</t>
  </si>
  <si>
    <t>T4</t>
  </si>
  <si>
    <t>B</t>
  </si>
  <si>
    <t>C</t>
  </si>
  <si>
    <t>A</t>
  </si>
  <si>
    <t>-</t>
  </si>
  <si>
    <t>D</t>
  </si>
  <si>
    <t>Spike Crusher</t>
  </si>
  <si>
    <t>Hell Spike Crusher</t>
  </si>
  <si>
    <t>Static Massager</t>
  </si>
  <si>
    <t>Viral Massager</t>
  </si>
  <si>
    <t>Assault Rifle RE</t>
  </si>
  <si>
    <t>M2G-87</t>
  </si>
  <si>
    <t>M2G-87 Mod.1 FireFly</t>
  </si>
  <si>
    <t>Sword RE</t>
  </si>
  <si>
    <t>Claws</t>
  </si>
  <si>
    <t>Death's Scythe</t>
  </si>
  <si>
    <t>Vajra of Light</t>
  </si>
  <si>
    <t>Vajra of God</t>
  </si>
  <si>
    <t>Head of Medusa</t>
  </si>
  <si>
    <t>Head of Euryale</t>
  </si>
  <si>
    <t>Mortal Bobslayer</t>
  </si>
  <si>
    <t>Immortal Bobslayer</t>
  </si>
  <si>
    <t>Jackal Sword</t>
  </si>
  <si>
    <t>Jackal Sword D</t>
  </si>
  <si>
    <t>Jackal Blaster</t>
  </si>
  <si>
    <t>Jackal Blaster D</t>
  </si>
  <si>
    <t>Jackal Yo-Yo</t>
  </si>
  <si>
    <t>Jackal Yo-Yo D</t>
  </si>
  <si>
    <t>Fists</t>
  </si>
  <si>
    <t>Yes</t>
  </si>
  <si>
    <t>Death's Scythe (Red)</t>
  </si>
  <si>
    <t>NONE</t>
  </si>
  <si>
    <t>RAGE</t>
  </si>
  <si>
    <t>GUARD POWER</t>
  </si>
  <si>
    <t>STAMINA</t>
  </si>
  <si>
    <t>RAW %</t>
  </si>
  <si>
    <t>E TYPE</t>
  </si>
  <si>
    <t>E %</t>
  </si>
  <si>
    <t>DEX %</t>
  </si>
  <si>
    <t>STR %</t>
  </si>
  <si>
    <t>9</t>
  </si>
  <si>
    <t>14</t>
  </si>
  <si>
    <t>19</t>
  </si>
  <si>
    <t>Beam Katana</t>
  </si>
  <si>
    <t>Demon Gun</t>
  </si>
  <si>
    <t>GLIDER</t>
  </si>
  <si>
    <t>Assault Rifle WoT</t>
  </si>
  <si>
    <t>Lion Dance Knuckles</t>
  </si>
  <si>
    <t>Motorcycle ZX</t>
  </si>
  <si>
    <t>Yes Knife</t>
  </si>
  <si>
    <t>No Knife</t>
  </si>
  <si>
    <t>HEADSHOT</t>
  </si>
  <si>
    <t>SLASH</t>
  </si>
  <si>
    <t>BLUNT</t>
  </si>
  <si>
    <t>PIERCE</t>
  </si>
  <si>
    <t>HEAD</t>
  </si>
  <si>
    <t>BODY</t>
  </si>
  <si>
    <t>LEG</t>
  </si>
  <si>
    <t>Scythe</t>
  </si>
  <si>
    <t>Bobslayer</t>
  </si>
  <si>
    <t>General formula (Formula is applied to weapon damage types separately)</t>
  </si>
  <si>
    <t>f(DAM1) + f(DAM2) = Final Attack Power</t>
  </si>
  <si>
    <t>SLASH *</t>
  </si>
  <si>
    <t>BLUNT *</t>
  </si>
  <si>
    <t>PIERCING *</t>
  </si>
  <si>
    <t>FIRE *</t>
  </si>
  <si>
    <t>ELECTRIC *</t>
  </si>
  <si>
    <t>POISON *</t>
  </si>
  <si>
    <t>TYPE</t>
  </si>
  <si>
    <t>RAW</t>
  </si>
  <si>
    <t>ELE</t>
  </si>
  <si>
    <t>HANDS</t>
  </si>
  <si>
    <t>FACTION</t>
  </si>
  <si>
    <t>FIRE</t>
  </si>
  <si>
    <t>ELECTRIC</t>
  </si>
  <si>
    <t>POISON</t>
  </si>
  <si>
    <t>WP * ATK * MODS * FUN * Scale * Coeff * (1-RES)</t>
  </si>
  <si>
    <t>Move Name</t>
  </si>
  <si>
    <t>Coeff</t>
  </si>
  <si>
    <t>Move Name2</t>
  </si>
  <si>
    <t>Coeff3</t>
  </si>
  <si>
    <t>Move Name4</t>
  </si>
  <si>
    <t>Coeff5</t>
  </si>
  <si>
    <t>Move Name6</t>
  </si>
  <si>
    <t>Coeff7</t>
  </si>
  <si>
    <t>normal</t>
  </si>
  <si>
    <t>Move Name3</t>
  </si>
  <si>
    <t>Move Name5</t>
  </si>
  <si>
    <t>Move Name7</t>
  </si>
  <si>
    <t>Coeff2</t>
  </si>
  <si>
    <t>Coeff4</t>
  </si>
  <si>
    <t>Coeff6</t>
  </si>
  <si>
    <t>steam</t>
  </si>
  <si>
    <t>Rage</t>
  </si>
  <si>
    <t xml:space="preserve"> normal P2</t>
  </si>
  <si>
    <t xml:space="preserve"> normal P3</t>
  </si>
  <si>
    <t xml:space="preserve"> Rage p1</t>
  </si>
  <si>
    <t xml:space="preserve"> Rage p2</t>
  </si>
  <si>
    <t>alt attack</t>
  </si>
  <si>
    <t>normal P2</t>
  </si>
  <si>
    <t>normal P3</t>
  </si>
  <si>
    <t>backdrop</t>
  </si>
  <si>
    <t>dropkick</t>
  </si>
  <si>
    <t>3-ball rage</t>
  </si>
  <si>
    <t>yoyo combo</t>
  </si>
  <si>
    <t>alt attack yoyo</t>
  </si>
  <si>
    <t>L1 non-charged</t>
  </si>
  <si>
    <t xml:space="preserve"> L1 charged</t>
  </si>
  <si>
    <t xml:space="preserve"> L2 non-charged</t>
  </si>
  <si>
    <t xml:space="preserve"> L2 charged</t>
  </si>
  <si>
    <t>L2 P1</t>
  </si>
  <si>
    <t>L2 P2</t>
  </si>
  <si>
    <t xml:space="preserve"> R1</t>
  </si>
  <si>
    <t xml:space="preserve"> R2</t>
  </si>
  <si>
    <t>L2 P1 fire</t>
  </si>
  <si>
    <t>L2 P2 fire</t>
  </si>
  <si>
    <t>L2</t>
  </si>
  <si>
    <t xml:space="preserve"> normal P4</t>
  </si>
  <si>
    <t>normal L1 boosted</t>
  </si>
  <si>
    <t>L2 P3</t>
  </si>
  <si>
    <t>L1</t>
  </si>
  <si>
    <t xml:space="preserve"> normal p2</t>
  </si>
  <si>
    <t xml:space="preserve"> normal p3</t>
  </si>
  <si>
    <t xml:space="preserve"> p3 AoE</t>
  </si>
  <si>
    <t xml:space="preserve"> Rage p3</t>
  </si>
  <si>
    <t>Charged 4 ammo</t>
  </si>
  <si>
    <t>melee</t>
  </si>
  <si>
    <t>knife</t>
  </si>
  <si>
    <t>shotgun</t>
  </si>
  <si>
    <t>fireworks</t>
  </si>
  <si>
    <t>rocket</t>
  </si>
  <si>
    <t>grenade</t>
  </si>
  <si>
    <t>M2g rifle</t>
  </si>
  <si>
    <t>1 Bar Rage</t>
  </si>
  <si>
    <t>2 Bar Rage</t>
  </si>
  <si>
    <t>pitching</t>
  </si>
  <si>
    <t>pitching melee</t>
  </si>
  <si>
    <t>pitching rage</t>
  </si>
  <si>
    <t>blaster</t>
  </si>
  <si>
    <t>Blaster melee</t>
  </si>
  <si>
    <t>Blaster Rage</t>
  </si>
  <si>
    <t xml:space="preserve">  0 charge</t>
  </si>
  <si>
    <t xml:space="preserve"> Charged close</t>
  </si>
  <si>
    <t xml:space="preserve"> Charged far</t>
  </si>
  <si>
    <t>DoT</t>
  </si>
  <si>
    <t>Rage DoT</t>
  </si>
  <si>
    <t xml:space="preserve"> R1 P1</t>
  </si>
  <si>
    <t xml:space="preserve"> R2 P2</t>
  </si>
  <si>
    <t xml:space="preserve"> R2 P1</t>
  </si>
  <si>
    <t xml:space="preserve"> R1 P2</t>
  </si>
  <si>
    <t xml:space="preserve">L1 </t>
  </si>
  <si>
    <t xml:space="preserve">Delayed </t>
  </si>
  <si>
    <t xml:space="preserve"> normal P2 </t>
  </si>
  <si>
    <t>guard</t>
  </si>
  <si>
    <t xml:space="preserve"> normal uncharged</t>
  </si>
  <si>
    <t xml:space="preserve"> Normal 100%</t>
  </si>
  <si>
    <t xml:space="preserve"> normal sword</t>
  </si>
  <si>
    <t xml:space="preserve"> normal sword P2</t>
  </si>
  <si>
    <t xml:space="preserve"> Delayed sword</t>
  </si>
  <si>
    <t xml:space="preserve"> alt attack sword</t>
  </si>
  <si>
    <t xml:space="preserve"> rage sword</t>
  </si>
  <si>
    <t xml:space="preserve"> L1-R1</t>
  </si>
  <si>
    <t xml:space="preserve"> R2 not charged</t>
  </si>
  <si>
    <t xml:space="preserve"> R2 charged</t>
  </si>
  <si>
    <t>L1 P2 ticks</t>
  </si>
  <si>
    <t>3 Bar Rage</t>
  </si>
  <si>
    <t xml:space="preserve"> normal P5</t>
  </si>
  <si>
    <t xml:space="preserve"> normal P7</t>
  </si>
  <si>
    <t>normal uncharged</t>
  </si>
  <si>
    <t xml:space="preserve"> alt attack P2</t>
  </si>
  <si>
    <t xml:space="preserve"> normal P11</t>
  </si>
  <si>
    <t xml:space="preserve"> normal P15</t>
  </si>
  <si>
    <t>alt attack fire</t>
  </si>
  <si>
    <t xml:space="preserve">normal </t>
  </si>
  <si>
    <t xml:space="preserve"> normal P6</t>
  </si>
  <si>
    <t>T1 Bowling</t>
  </si>
  <si>
    <t>Dominion</t>
  </si>
  <si>
    <t>Medusa</t>
  </si>
  <si>
    <t>Lethal Weapon</t>
  </si>
  <si>
    <t>Electro Trigger</t>
  </si>
  <si>
    <t>Brutal yoyo</t>
  </si>
  <si>
    <t>COEFF</t>
  </si>
  <si>
    <t>FUNSHOTS</t>
  </si>
  <si>
    <t>DIY Attack Head</t>
  </si>
  <si>
    <t>Doctor Drill Mask</t>
  </si>
  <si>
    <t>Trucker Hat</t>
  </si>
  <si>
    <t>Steel Soldier Mask</t>
  </si>
  <si>
    <t>Steel Tribe Mask</t>
  </si>
  <si>
    <t>Power Stomper Mask</t>
  </si>
  <si>
    <t>Texas Farmer Mask</t>
  </si>
  <si>
    <t>Road Shocker Head</t>
  </si>
  <si>
    <t>White Steel Head</t>
  </si>
  <si>
    <t>Hell Steel Head</t>
  </si>
  <si>
    <t>Assault Force Head</t>
  </si>
  <si>
    <t>Dark Ryback Mask</t>
  </si>
  <si>
    <t>Phantom Soldier Head</t>
  </si>
  <si>
    <t>Night Scout Head</t>
  </si>
  <si>
    <t>Special Forces' Beret</t>
  </si>
  <si>
    <t>Iron Eagle Head</t>
  </si>
  <si>
    <t>Iron Eagle Head RE</t>
  </si>
  <si>
    <t>Barrett Punisher Head</t>
  </si>
  <si>
    <t>Guerrilla Blaster Head</t>
  </si>
  <si>
    <t>Red Napalm Head</t>
  </si>
  <si>
    <t>Hell Napalm Head</t>
  </si>
  <si>
    <t>Knight's Helm</t>
  </si>
  <si>
    <t>Agamemnon Mask</t>
  </si>
  <si>
    <t>Clay Figurine Helmet</t>
  </si>
  <si>
    <t>Clay Figurine Helmet RE</t>
  </si>
  <si>
    <t>Rogue Helmet</t>
  </si>
  <si>
    <t>Sengoku Helmet</t>
  </si>
  <si>
    <t>Paladin Helmet</t>
  </si>
  <si>
    <t>Priest's Cowl</t>
  </si>
  <si>
    <t>Black Thunder Helmet</t>
  </si>
  <si>
    <t>Hell Thunder Helmet</t>
  </si>
  <si>
    <t>Motocross Head</t>
  </si>
  <si>
    <t>Killer Wrestler Head</t>
  </si>
  <si>
    <t>Heavy Hitter Head</t>
  </si>
  <si>
    <t>Hard Puncher Head</t>
  </si>
  <si>
    <t>Splatter 13 Head</t>
  </si>
  <si>
    <t>Pale Wind Head</t>
  </si>
  <si>
    <t>Hell Wind Head</t>
  </si>
  <si>
    <t>Jackal X Head</t>
  </si>
  <si>
    <t>Jackal X</t>
  </si>
  <si>
    <t>Jackal X Head R (Uncap)</t>
  </si>
  <si>
    <t>Jackal X Head D</t>
  </si>
  <si>
    <t>Jackal Y Head</t>
  </si>
  <si>
    <t>Jackal Y</t>
  </si>
  <si>
    <t>Jackal Y Head R (Uncap)</t>
  </si>
  <si>
    <t>Jackal Y Head D</t>
  </si>
  <si>
    <t>Jackal Z Head</t>
  </si>
  <si>
    <t>Jackal Z</t>
  </si>
  <si>
    <t>Jackal Z Head R (Uncap)</t>
  </si>
  <si>
    <t>Jackal Z Head D</t>
  </si>
  <si>
    <t>X-Ray Glasses (Blue)</t>
  </si>
  <si>
    <t>X-Ray Glasses (Red)</t>
  </si>
  <si>
    <t>4M Gas Mask</t>
  </si>
  <si>
    <t>M42 Gas Mask</t>
  </si>
  <si>
    <t>Surgical Mask</t>
  </si>
  <si>
    <t>Pilot's Mask</t>
  </si>
  <si>
    <t>Iron Mask</t>
  </si>
  <si>
    <t>Tuscan Mask</t>
  </si>
  <si>
    <t>Fencer's Mask</t>
  </si>
  <si>
    <t>Desert Scarf</t>
  </si>
  <si>
    <t>4M Gas Mask N</t>
  </si>
  <si>
    <t>M42 Gas Mask N</t>
  </si>
  <si>
    <t>Surgical Mask N</t>
  </si>
  <si>
    <t>Pilot's Mask N</t>
  </si>
  <si>
    <t>Iron Mask N</t>
  </si>
  <si>
    <t>Tuscan Mask N</t>
  </si>
  <si>
    <t>Fencer's Mask N</t>
  </si>
  <si>
    <t>Desert Scarf N</t>
  </si>
  <si>
    <t>DIY Attack Coat</t>
  </si>
  <si>
    <t>DIY Attack Coat EL</t>
  </si>
  <si>
    <t>Doctor Drill Body</t>
  </si>
  <si>
    <t>Trucker Apron</t>
  </si>
  <si>
    <t>Steel Soldier Apron</t>
  </si>
  <si>
    <t>Steel Tribe Body</t>
  </si>
  <si>
    <t>Power Stomper Body</t>
  </si>
  <si>
    <t>Texas Farmer Coat</t>
  </si>
  <si>
    <t>Road Shocker Coat</t>
  </si>
  <si>
    <t>White Steel Body</t>
  </si>
  <si>
    <t>Hell Steel Body</t>
  </si>
  <si>
    <t>Assault Force Body</t>
  </si>
  <si>
    <t>Dark Ryback Body</t>
  </si>
  <si>
    <t>Phantom Soldier Body</t>
  </si>
  <si>
    <t>Night Scout Body</t>
  </si>
  <si>
    <t>Special Forces' Vest</t>
  </si>
  <si>
    <t>Iron Eagle Body</t>
  </si>
  <si>
    <t>Iron Eagle Body RE</t>
  </si>
  <si>
    <t>Barrett Punisher Body</t>
  </si>
  <si>
    <t>Guerrilla Blaster Body</t>
  </si>
  <si>
    <t>Red Napalm Body</t>
  </si>
  <si>
    <t>Hell Napalm Body</t>
  </si>
  <si>
    <t>Knight's Armor</t>
  </si>
  <si>
    <t>Agamemnon Mail</t>
  </si>
  <si>
    <t>Clay Figurine Armor</t>
  </si>
  <si>
    <t>Clay Figurine Armor RE</t>
  </si>
  <si>
    <t>Rogue Armor</t>
  </si>
  <si>
    <t>Sengoku Armor</t>
  </si>
  <si>
    <t>Sengoku Armor BT</t>
  </si>
  <si>
    <t>Paladin Armor</t>
  </si>
  <si>
    <t>Paladin Armor EW</t>
  </si>
  <si>
    <t>Priest's Coat</t>
  </si>
  <si>
    <t>Black Thunder Armor</t>
  </si>
  <si>
    <t>Hell Thunder Armor</t>
  </si>
  <si>
    <t>Motocross Rider Body</t>
  </si>
  <si>
    <t>Killer Wrestler Body</t>
  </si>
  <si>
    <t>Heavy Hitter Body</t>
  </si>
  <si>
    <t>Hard Puncher Body</t>
  </si>
  <si>
    <t>Splatter 13 Body</t>
  </si>
  <si>
    <t>Pale Wind Body</t>
  </si>
  <si>
    <t>Hell Wind Body</t>
  </si>
  <si>
    <t>Jackal X Body</t>
  </si>
  <si>
    <t>Jackal X Body R (Uncap)</t>
  </si>
  <si>
    <t>Jackal X Body D</t>
  </si>
  <si>
    <t>Jackal Y Body</t>
  </si>
  <si>
    <t>Jackal Y Body R (Uncap)</t>
  </si>
  <si>
    <t>Jackal Y Body D</t>
  </si>
  <si>
    <t>Jackal Z Body</t>
  </si>
  <si>
    <t>Jackal Z Body R (Uncap)</t>
  </si>
  <si>
    <t>Jackal Z Body D</t>
  </si>
  <si>
    <t>Reaper's Coat</t>
  </si>
  <si>
    <t>DIY Attack Pants</t>
  </si>
  <si>
    <t>Doctor Drill Pants</t>
  </si>
  <si>
    <t>Trucker Pants</t>
  </si>
  <si>
    <t>Steel Soldier Pants</t>
  </si>
  <si>
    <t>Steel Tribe Pants</t>
  </si>
  <si>
    <t>Power Stomper Pants</t>
  </si>
  <si>
    <t>Texas Farmer Pants</t>
  </si>
  <si>
    <t>Road Shocker Pants</t>
  </si>
  <si>
    <t>White Steel Leggings</t>
  </si>
  <si>
    <t>Hell Steel Leggings</t>
  </si>
  <si>
    <t>Assault Force Pants</t>
  </si>
  <si>
    <t>Dark Ryback Pants</t>
  </si>
  <si>
    <t>Phantom Soldier Pants</t>
  </si>
  <si>
    <t>Night Scout Pants</t>
  </si>
  <si>
    <t>Special Forces' Pants</t>
  </si>
  <si>
    <t>Iron Eagle Pants</t>
  </si>
  <si>
    <t>Iron Eagle Pants RE</t>
  </si>
  <si>
    <t>Barrett Punisher Pants</t>
  </si>
  <si>
    <t>Guerrilla Blaster Pants</t>
  </si>
  <si>
    <t>Red Napalm Pants</t>
  </si>
  <si>
    <t>Hell Napalm Pants</t>
  </si>
  <si>
    <t>Knight's Leggings</t>
  </si>
  <si>
    <t>Agamemnon Leggings</t>
  </si>
  <si>
    <t>Clay Figurine Leggings</t>
  </si>
  <si>
    <t>Clay Figurine Leggings RE</t>
  </si>
  <si>
    <t>Rogue Leggings</t>
  </si>
  <si>
    <t>Sengoku Leggings</t>
  </si>
  <si>
    <t>Paladin Leggings</t>
  </si>
  <si>
    <t>Priest's Leggings</t>
  </si>
  <si>
    <t>Black Thunder Leggings</t>
  </si>
  <si>
    <t>Hell Thunder Leggings</t>
  </si>
  <si>
    <t>Motocross Rider Pants</t>
  </si>
  <si>
    <t>Killer Wrestler Pants</t>
  </si>
  <si>
    <t>Heavy Hitter Pants</t>
  </si>
  <si>
    <t>Hard Puncher Pants</t>
  </si>
  <si>
    <t>Splatter 13 Boots</t>
  </si>
  <si>
    <t>Pale Wind Pants</t>
  </si>
  <si>
    <t>Hell Wind Pants</t>
  </si>
  <si>
    <t>Jackal X Pants</t>
  </si>
  <si>
    <t>Jackal X Pants R (Uncap)</t>
  </si>
  <si>
    <t>Jackal X Pants D</t>
  </si>
  <si>
    <t>Jackal Y Pants</t>
  </si>
  <si>
    <t>Jackal Y Pants R (Uncap)</t>
  </si>
  <si>
    <t>Jackal Y Pants D</t>
  </si>
  <si>
    <t>Jackal Z Pants</t>
  </si>
  <si>
    <t>Jackal Z Pants R (Uncap)</t>
  </si>
  <si>
    <t>Jackal Z Pants D</t>
  </si>
  <si>
    <t>Reaper's Pants</t>
  </si>
  <si>
    <t>Happy Wheeler Pants</t>
  </si>
  <si>
    <t>Chemical Agent Pants</t>
  </si>
  <si>
    <t>Travis' Pants</t>
  </si>
  <si>
    <t>Violent Grinder Pants</t>
  </si>
  <si>
    <t>Phantom Soldier Pants WoT</t>
  </si>
  <si>
    <t>Night Raider Pants WoT</t>
  </si>
  <si>
    <t>Silent Sniper Pants</t>
  </si>
  <si>
    <t>Combat Diver Pants</t>
  </si>
  <si>
    <t>Tank Commander Pants</t>
  </si>
  <si>
    <t>Exo-armor Pants</t>
  </si>
  <si>
    <t>Knight's Leggings ZX</t>
  </si>
  <si>
    <t>Fencing Leggings</t>
  </si>
  <si>
    <t>Evil Wizard Leggings</t>
  </si>
  <si>
    <t>Warrior Leggings</t>
  </si>
  <si>
    <t>Kat Boots</t>
  </si>
  <si>
    <t>Sword Dancer Leggings</t>
  </si>
  <si>
    <t>Apocalyptic Hockey Pants</t>
  </si>
  <si>
    <t>Kendo Pants</t>
  </si>
  <si>
    <t>Blitz Bowler Pants</t>
  </si>
  <si>
    <t>Cycle Madness Pants</t>
  </si>
  <si>
    <t>Swimming Master Pants</t>
  </si>
  <si>
    <t>Hard Target Pants</t>
  </si>
  <si>
    <t>Happy Wheeler Head</t>
  </si>
  <si>
    <t>Chemical Agent Mask</t>
  </si>
  <si>
    <t>Travis' Sunglasses</t>
  </si>
  <si>
    <t>Violent Grinder Head</t>
  </si>
  <si>
    <t>Phantom Soldier Head WoT</t>
  </si>
  <si>
    <t>Night Raider Head WoT</t>
  </si>
  <si>
    <t>Silent Sniper Head</t>
  </si>
  <si>
    <t>Ghost Sniper Head E</t>
  </si>
  <si>
    <t>Combat Diver Head</t>
  </si>
  <si>
    <t>Tank Commander Helmet</t>
  </si>
  <si>
    <t>Exo-armor Head</t>
  </si>
  <si>
    <t>Knight's Helm ZX</t>
  </si>
  <si>
    <t>Fencing Helmet</t>
  </si>
  <si>
    <t>Evil Wizard Cowl</t>
  </si>
  <si>
    <t>Warrior Helmet</t>
  </si>
  <si>
    <t>Kat Head</t>
  </si>
  <si>
    <t>Sword Dancer Head</t>
  </si>
  <si>
    <t>Apocalyptic Hockey Mask</t>
  </si>
  <si>
    <t>Kendo Mask</t>
  </si>
  <si>
    <t>Blitz Bowler Head</t>
  </si>
  <si>
    <t>Cycle Madness Head</t>
  </si>
  <si>
    <t>Swimming Master Head</t>
  </si>
  <si>
    <t>Hard Target Head</t>
  </si>
  <si>
    <t>Meijin Head 1</t>
  </si>
  <si>
    <t>Meijin Head 2</t>
  </si>
  <si>
    <t>Meijin Head 3</t>
  </si>
  <si>
    <t>Momoko Yamada Head 1</t>
  </si>
  <si>
    <t>Momoko Yamada Head 2</t>
  </si>
  <si>
    <t>Momoko Yamada Head 3</t>
  </si>
  <si>
    <t>Space Funglasses</t>
  </si>
  <si>
    <t>Ultra 3D Glasses</t>
  </si>
  <si>
    <t>Ultra 3D Glasses W</t>
  </si>
  <si>
    <t>X-Rated Glasses</t>
  </si>
  <si>
    <t>DAIMON Glasses</t>
  </si>
  <si>
    <t>Travis' Jacket</t>
  </si>
  <si>
    <t>Phantom Soldier Body WoT</t>
  </si>
  <si>
    <t>Night Raider Body WoT</t>
  </si>
  <si>
    <t>Tank Commander Armor</t>
  </si>
  <si>
    <t>Knight's Armor ZX</t>
  </si>
  <si>
    <t>Kat Body</t>
  </si>
  <si>
    <t>Happy Wheeler Body</t>
  </si>
  <si>
    <t>Chemical Agent Body</t>
  </si>
  <si>
    <t>Silent Sniper Body</t>
  </si>
  <si>
    <t>Warrior Armor</t>
  </si>
  <si>
    <t>Apocalyptic Hockey Body</t>
  </si>
  <si>
    <t>Blitz Bowler Body</t>
  </si>
  <si>
    <t>Violent Grinder Body</t>
  </si>
  <si>
    <t>Combat Diver Body</t>
  </si>
  <si>
    <t>Exo-armor Body</t>
  </si>
  <si>
    <t>Evil Wizard Coat</t>
  </si>
  <si>
    <t>Sword Dancer Armor</t>
  </si>
  <si>
    <t>Kendo Body</t>
  </si>
  <si>
    <t>Swimming Master Body</t>
  </si>
  <si>
    <t>Hard Target Body</t>
  </si>
  <si>
    <t>Fencing Armor</t>
  </si>
  <si>
    <t>Cycle Madness Body</t>
  </si>
  <si>
    <t>DEG%</t>
  </si>
  <si>
    <t>HP%</t>
  </si>
  <si>
    <t>STM%</t>
  </si>
  <si>
    <t>STR%</t>
  </si>
  <si>
    <t>DEX%</t>
  </si>
  <si>
    <t>VIT%</t>
  </si>
  <si>
    <t>LUK%</t>
  </si>
  <si>
    <t>BLUNT%</t>
  </si>
  <si>
    <t>FIRE%</t>
  </si>
  <si>
    <t>POISON%</t>
  </si>
  <si>
    <t>SLASH%</t>
  </si>
  <si>
    <t>DEF</t>
  </si>
  <si>
    <t>PIERCE%</t>
  </si>
  <si>
    <t>ELEC%</t>
  </si>
  <si>
    <t>DECALS</t>
  </si>
  <si>
    <t>SET</t>
  </si>
  <si>
    <t>Trucker</t>
  </si>
  <si>
    <t>Agamemnon</t>
  </si>
  <si>
    <t>Happy Wheeler</t>
  </si>
  <si>
    <t>Chemical Agent</t>
  </si>
  <si>
    <t>Steel Soldier</t>
  </si>
  <si>
    <t>Power Stomper</t>
  </si>
  <si>
    <t>Texas Farmer</t>
  </si>
  <si>
    <t>Road Shocker</t>
  </si>
  <si>
    <t>Violent Grinder</t>
  </si>
  <si>
    <t>White Steel</t>
  </si>
  <si>
    <t>Hell Steel</t>
  </si>
  <si>
    <t>Assault Force</t>
  </si>
  <si>
    <t>Dark Ryback</t>
  </si>
  <si>
    <t>Phantom Soldier</t>
  </si>
  <si>
    <t>Night Scout</t>
  </si>
  <si>
    <t>Iron Eagle</t>
  </si>
  <si>
    <t>Silent Sniper</t>
  </si>
  <si>
    <t>Barrett Punisher</t>
  </si>
  <si>
    <t>Combat Diver</t>
  </si>
  <si>
    <t>Tank Commander</t>
  </si>
  <si>
    <t>Exo-armor</t>
  </si>
  <si>
    <t>Red Napalm</t>
  </si>
  <si>
    <t>Hell Napalm</t>
  </si>
  <si>
    <t>DIY Attack</t>
  </si>
  <si>
    <t>Doctor Drill</t>
  </si>
  <si>
    <t>Steel Tribe</t>
  </si>
  <si>
    <t>Travis</t>
  </si>
  <si>
    <t>Night Raider WoT</t>
  </si>
  <si>
    <t>Iron Eagle RE</t>
  </si>
  <si>
    <t>Guerrilla Blaster</t>
  </si>
  <si>
    <t>Fencing</t>
  </si>
  <si>
    <t>Clay Figurine</t>
  </si>
  <si>
    <t>Clay Figurine RE</t>
  </si>
  <si>
    <t>Rogue</t>
  </si>
  <si>
    <t>Sengoku</t>
  </si>
  <si>
    <t>Evil Wizard</t>
  </si>
  <si>
    <t>Paladin</t>
  </si>
  <si>
    <t>Priest's</t>
  </si>
  <si>
    <t>Warrior</t>
  </si>
  <si>
    <t>Kat</t>
  </si>
  <si>
    <t>Sword Dancer</t>
  </si>
  <si>
    <t>Black Thunder</t>
  </si>
  <si>
    <t>Hell Thunder</t>
  </si>
  <si>
    <t>Apocalyptic Hockey</t>
  </si>
  <si>
    <t>Motocross</t>
  </si>
  <si>
    <t>Killer Wrestler</t>
  </si>
  <si>
    <t>Kendo</t>
  </si>
  <si>
    <t>Heavy Hitter</t>
  </si>
  <si>
    <t>Hard Puncher</t>
  </si>
  <si>
    <t>Blitz Bowler</t>
  </si>
  <si>
    <t>Cycle Madness</t>
  </si>
  <si>
    <t>Swimming Master</t>
  </si>
  <si>
    <t>Hard Target</t>
  </si>
  <si>
    <t>Splatter 13</t>
  </si>
  <si>
    <t>Pale Wind</t>
  </si>
  <si>
    <t>Hell Wind</t>
  </si>
  <si>
    <t>Meijin</t>
  </si>
  <si>
    <t>Momoko Yamada</t>
  </si>
  <si>
    <t>Jackal X D</t>
  </si>
  <si>
    <t>Jackal Y D</t>
  </si>
  <si>
    <t>Jackal Z D</t>
  </si>
  <si>
    <t>Reaper</t>
  </si>
  <si>
    <t>DIY Attack EL</t>
  </si>
  <si>
    <t>Phantom Soldier WoT</t>
  </si>
  <si>
    <t>Sengoku BT</t>
  </si>
  <si>
    <t>Paladin EW</t>
  </si>
  <si>
    <t>Motocross Rider</t>
  </si>
  <si>
    <t>MOVESET</t>
  </si>
  <si>
    <t>Special Forces</t>
  </si>
  <si>
    <t>Knight</t>
  </si>
  <si>
    <t>Knight ZX</t>
  </si>
  <si>
    <t>YES</t>
  </si>
  <si>
    <t>Checmical Agent</t>
  </si>
  <si>
    <t>Priest</t>
  </si>
  <si>
    <t>FULL SET</t>
  </si>
  <si>
    <t>FAC SET</t>
  </si>
  <si>
    <t>WEP</t>
  </si>
  <si>
    <t>DUAL WIELD</t>
  </si>
  <si>
    <t>Tank</t>
  </si>
  <si>
    <t>Heavy Tank</t>
  </si>
  <si>
    <t>DEF%</t>
  </si>
  <si>
    <t>Emerald</t>
  </si>
  <si>
    <t>Diamond</t>
  </si>
  <si>
    <t>Silver Heart</t>
  </si>
  <si>
    <t>Gold Heart</t>
  </si>
  <si>
    <t>REQ STR</t>
  </si>
  <si>
    <t>REQ HP</t>
  </si>
  <si>
    <t>REQ STM</t>
  </si>
  <si>
    <t>REQ DEX</t>
  </si>
  <si>
    <t>REQ VIT</t>
  </si>
  <si>
    <t>REQ LUK</t>
  </si>
  <si>
    <t>Strength Discount</t>
  </si>
  <si>
    <t>Dexterity Discount</t>
  </si>
  <si>
    <t>Vitality Discount</t>
  </si>
  <si>
    <t>Health Discount</t>
  </si>
  <si>
    <t>Stamina Discount</t>
  </si>
  <si>
    <t>Luck Discount</t>
  </si>
  <si>
    <t>DIY Enthusiast</t>
  </si>
  <si>
    <t>Military Enthusiast</t>
  </si>
  <si>
    <t>Fantasy Enthusiast</t>
  </si>
  <si>
    <t>Sports Enthusiast</t>
  </si>
  <si>
    <t>4Gamer.net</t>
  </si>
  <si>
    <t>Ultimate Fighter</t>
  </si>
  <si>
    <t>Kali Angel</t>
  </si>
  <si>
    <t>Golem</t>
  </si>
  <si>
    <t>World of Tanks</t>
  </si>
  <si>
    <t>Harman Smith</t>
  </si>
  <si>
    <t>Pyrotechnician</t>
  </si>
  <si>
    <t>FULL FAC SET</t>
  </si>
  <si>
    <t>Pile Bunker</t>
  </si>
  <si>
    <t>SLASH RES</t>
  </si>
  <si>
    <t>BLUNT RES</t>
  </si>
  <si>
    <t>PIERCING RES</t>
  </si>
  <si>
    <t>FIRE RES</t>
  </si>
  <si>
    <t>ELECTRIC RES</t>
  </si>
  <si>
    <t>POISON RES</t>
  </si>
  <si>
    <t>EXP *</t>
  </si>
  <si>
    <t>Leader's Wheels</t>
  </si>
  <si>
    <t>Big Bro's Pocket</t>
  </si>
  <si>
    <t>Lil Bro's Basket</t>
  </si>
  <si>
    <t>JEANE (NMH)</t>
  </si>
  <si>
    <t>Fiery Captain</t>
  </si>
  <si>
    <t>Electric Duchess</t>
  </si>
  <si>
    <t>Scornful Susie</t>
  </si>
  <si>
    <t>Red Diamond</t>
  </si>
  <si>
    <t>Hyper Zeus</t>
  </si>
  <si>
    <t>Super Helmet 2</t>
  </si>
  <si>
    <t>HS RES</t>
  </si>
  <si>
    <t>Super Heavy Tank</t>
  </si>
  <si>
    <t>Propeller Man</t>
  </si>
  <si>
    <t>Everything's On Sale</t>
  </si>
  <si>
    <t>Body Double</t>
  </si>
  <si>
    <t>On-Site Supervisor</t>
  </si>
  <si>
    <t>Ultimate Fighter's Return</t>
  </si>
  <si>
    <t>Colonial Marine Corps</t>
  </si>
  <si>
    <t>PANTS</t>
  </si>
  <si>
    <t>FIGHER</t>
  </si>
  <si>
    <t>&lt;- * FUNSHOT</t>
  </si>
  <si>
    <t>ELEMENT TPYPE</t>
  </si>
  <si>
    <t>STR SCALE</t>
  </si>
  <si>
    <t>DEX SCALE</t>
  </si>
  <si>
    <t>HEADSHOT *</t>
  </si>
  <si>
    <t>MOVE NAME</t>
  </si>
  <si>
    <t>WEAPON TYPE</t>
  </si>
  <si>
    <t>DEFENSE BUFF BREAKDOWN</t>
  </si>
  <si>
    <t>ATTACK  AND CRIT BUFF BREAKDOWN</t>
  </si>
  <si>
    <t>STAT BUFF AND REQUIREMENT BREAKDOWN</t>
  </si>
  <si>
    <t>MEETS REQS FOR LEFT HAND</t>
  </si>
  <si>
    <t>MEETS REQS FOR RIGHT HAND</t>
  </si>
  <si>
    <t>LEFT HAND TOTAL</t>
  </si>
  <si>
    <t>RIGHT HAND TOTAL</t>
  </si>
  <si>
    <t>HEAD TOTAL</t>
  </si>
  <si>
    <t>BODY TOTAL</t>
  </si>
  <si>
    <t>PANTS TOTAL</t>
  </si>
  <si>
    <t>FAC</t>
  </si>
  <si>
    <t>MEETS REQS</t>
  </si>
  <si>
    <t>MEETS REQS FOR HEAD</t>
  </si>
  <si>
    <t>MEETS REQS FOR BODY</t>
  </si>
  <si>
    <t>MEETS REQS FOR PANTS</t>
  </si>
  <si>
    <t>TOTALS</t>
  </si>
  <si>
    <t>NEW STATS</t>
  </si>
  <si>
    <t>NEW DEF/RES</t>
  </si>
  <si>
    <t>Slash  Blunt</t>
  </si>
  <si>
    <t>SLASH BLUNT</t>
  </si>
  <si>
    <t>FIRE ELECTRIC POISON</t>
  </si>
  <si>
    <t>LEFT WEAPON</t>
  </si>
  <si>
    <t>RIGHT WEAPON</t>
  </si>
  <si>
    <t>BASE ATK MULS</t>
  </si>
  <si>
    <t>LEFT HAND</t>
  </si>
  <si>
    <t>RIGHT HAND</t>
  </si>
  <si>
    <t>TOTAL</t>
  </si>
  <si>
    <t>PIERCING</t>
  </si>
  <si>
    <t>HS</t>
  </si>
  <si>
    <t>OTHER MULS</t>
  </si>
  <si>
    <t>SCALE FACTOR</t>
  </si>
  <si>
    <t>ELEMENTAL</t>
  </si>
  <si>
    <t>BASE</t>
  </si>
  <si>
    <t>* MULS</t>
  </si>
  <si>
    <t>* SCALE</t>
  </si>
  <si>
    <t>* SPLIT</t>
  </si>
  <si>
    <t>LEFT HAND CALC</t>
  </si>
  <si>
    <t>RIGHT HAND CALC</t>
  </si>
  <si>
    <t>NON-CRIT</t>
  </si>
  <si>
    <t>CRIT</t>
  </si>
  <si>
    <t>Crit</t>
  </si>
  <si>
    <t>Headshot</t>
  </si>
  <si>
    <t>Roll Catch</t>
  </si>
  <si>
    <t>Back Attack</t>
  </si>
  <si>
    <t>PURE DAMAGE</t>
  </si>
  <si>
    <t>MODDED DAMAGE</t>
  </si>
  <si>
    <t>ATTACK MODS</t>
  </si>
  <si>
    <t>MULTIPLIERS</t>
  </si>
  <si>
    <t>LH HEADSHOT</t>
  </si>
  <si>
    <t>RH HEADSHOT</t>
  </si>
  <si>
    <t>LH</t>
  </si>
  <si>
    <t>RH</t>
  </si>
  <si>
    <t>Enemy</t>
  </si>
  <si>
    <t>PRC RES</t>
  </si>
  <si>
    <t>F RES</t>
  </si>
  <si>
    <t>E RES</t>
  </si>
  <si>
    <t>P RES</t>
  </si>
  <si>
    <t>S RES</t>
  </si>
  <si>
    <t>B RES</t>
  </si>
  <si>
    <t>Pierce</t>
  </si>
  <si>
    <t>COMBINED</t>
  </si>
  <si>
    <t>Counter</t>
  </si>
  <si>
    <t>Play Dead</t>
  </si>
  <si>
    <t>FS</t>
  </si>
  <si>
    <t>ATK2</t>
  </si>
  <si>
    <t>RAGE3</t>
  </si>
  <si>
    <t>ATK4</t>
  </si>
  <si>
    <t>RAGE5</t>
  </si>
  <si>
    <t>ATK6</t>
  </si>
  <si>
    <t>RAGE7</t>
  </si>
  <si>
    <t>ATK8</t>
  </si>
  <si>
    <t>RAGE9</t>
  </si>
  <si>
    <t>ATK10</t>
  </si>
  <si>
    <t>RAGE11</t>
  </si>
  <si>
    <t>ATK12</t>
  </si>
  <si>
    <t>RAGE13</t>
  </si>
  <si>
    <t>ATK14</t>
  </si>
  <si>
    <t>RAGE15</t>
  </si>
  <si>
    <t>ATK16</t>
  </si>
  <si>
    <t>RAGE17</t>
  </si>
  <si>
    <t>ATK18</t>
  </si>
  <si>
    <t>RAGE19</t>
  </si>
  <si>
    <t>ATK20</t>
  </si>
  <si>
    <t>RAGE21</t>
  </si>
  <si>
    <t>ATK22</t>
  </si>
  <si>
    <t>RAGE23</t>
  </si>
  <si>
    <t>ATK24</t>
  </si>
  <si>
    <t>RAGE25</t>
  </si>
  <si>
    <t>ATK26</t>
  </si>
  <si>
    <t>RAGE27</t>
  </si>
  <si>
    <t>ATK28</t>
  </si>
  <si>
    <t>RAGE29</t>
  </si>
  <si>
    <t>ATK30</t>
  </si>
  <si>
    <t>RAGE31</t>
  </si>
  <si>
    <t>ATK32</t>
  </si>
  <si>
    <t>RAGE33</t>
  </si>
  <si>
    <t>ATK34</t>
  </si>
  <si>
    <t>RAGE35</t>
  </si>
  <si>
    <t>ATK36</t>
  </si>
  <si>
    <t>RAGE37</t>
  </si>
  <si>
    <t>ATK38</t>
  </si>
  <si>
    <t>RAGE39</t>
  </si>
  <si>
    <t>MASTERY</t>
  </si>
  <si>
    <t>* MASTERY ATK</t>
  </si>
  <si>
    <t>MASTERY ATK</t>
  </si>
  <si>
    <t>-5%</t>
  </si>
  <si>
    <t>+5%</t>
  </si>
  <si>
    <t>ENEMY DEFENSE FACTOR</t>
  </si>
  <si>
    <t>ENEMY STATS</t>
  </si>
  <si>
    <t>T1+0</t>
  </si>
  <si>
    <t>T1+1</t>
  </si>
  <si>
    <t>T1+2</t>
  </si>
  <si>
    <t>T1+3</t>
  </si>
  <si>
    <t>T1+4</t>
  </si>
  <si>
    <t>T2+0</t>
  </si>
  <si>
    <t>T2+1</t>
  </si>
  <si>
    <t>T2+2</t>
  </si>
  <si>
    <t>T2+3</t>
  </si>
  <si>
    <t>T2+4</t>
  </si>
  <si>
    <t>T3+0</t>
  </si>
  <si>
    <t>T3+1</t>
  </si>
  <si>
    <t>T3+2</t>
  </si>
  <si>
    <t>T3+3</t>
  </si>
  <si>
    <t>T3+4</t>
  </si>
  <si>
    <t>T4+0</t>
  </si>
  <si>
    <t>T4+1</t>
  </si>
  <si>
    <t>T4+2</t>
  </si>
  <si>
    <t>T4+3</t>
  </si>
  <si>
    <t>T4+4</t>
  </si>
  <si>
    <t>+12</t>
  </si>
  <si>
    <t>+5</t>
  </si>
  <si>
    <t>+6</t>
  </si>
  <si>
    <t>+7</t>
  </si>
  <si>
    <t>+8</t>
  </si>
  <si>
    <t>+9</t>
  </si>
  <si>
    <t>+10</t>
  </si>
  <si>
    <t>+11</t>
  </si>
  <si>
    <t>+13</t>
  </si>
  <si>
    <t>+14</t>
  </si>
  <si>
    <t>+15</t>
  </si>
  <si>
    <t>+16</t>
  </si>
  <si>
    <t>+17</t>
  </si>
  <si>
    <t>+18</t>
  </si>
  <si>
    <t>+19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</si>
</sst>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31"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</font>
    <font>
      <sz val="11"/>
      <color theme="1"/>
      <name val="Aptos Narrow"/>
      <family val="2"/>
    </font>
    <font>
      <sz val="11"/>
      <color theme="1"/>
      <name val="Arial"/>
      <family val="2"/>
    </font>
    <font>
      <b/>
      <sz val="11"/>
      <color theme="0"/>
      <name val="Aptos Narrow"/>
      <family val="2"/>
    </font>
    <font>
      <b/>
      <sz val="11"/>
      <color theme="1"/>
      <name val="Arial"/>
      <family val="2"/>
    </font>
    <font>
      <b/>
      <sz val="11"/>
      <color rgb="FF000000"/>
      <name val="Sans-serif"/>
    </font>
    <font>
      <sz val="11"/>
      <color rgb="FF000000"/>
      <name val="Sans-serif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b/>
      <u/>
      <sz val="11"/>
      <color theme="1"/>
      <name val="Arial"/>
      <family val="2"/>
    </font>
    <font>
      <i/>
      <sz val="11"/>
      <color theme="1"/>
      <name val="Arial"/>
      <family val="2"/>
    </font>
    <font>
      <i/>
      <sz val="12"/>
      <color theme="1"/>
      <name val="Arial"/>
      <family val="2"/>
    </font>
    <font>
      <b/>
      <i/>
      <sz val="11"/>
      <color theme="1"/>
      <name val="Arial"/>
      <family val="2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ajor"/>
    </font>
    <font>
      <sz val="11"/>
      <color rgb="FF0A0A0A"/>
      <name val="Aptos Narrow"/>
      <family val="2"/>
      <scheme val="major"/>
    </font>
    <font>
      <i/>
      <u/>
      <sz val="11"/>
      <color theme="1"/>
      <name val="Arial"/>
      <family val="2"/>
    </font>
    <font>
      <b/>
      <i/>
      <sz val="11"/>
      <color theme="1"/>
      <name val="Aptos Narrow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theme="0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sz val="11"/>
      <name val="Aptos Narrow"/>
      <family val="2"/>
      <scheme val="minor"/>
    </font>
    <font>
      <b/>
      <i/>
      <sz val="11"/>
      <color rgb="FFC00000"/>
      <name val="Aptos Narrow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99"/>
        <bgColor rgb="FFFFFF99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rgb="FFFF5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99"/>
        <bgColor theme="0"/>
      </patternFill>
    </fill>
    <fill>
      <patternFill patternType="solid">
        <fgColor rgb="FFFFFF99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theme="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rgb="FFF1A983"/>
      </patternFill>
    </fill>
    <fill>
      <patternFill patternType="solid">
        <fgColor rgb="FF92D050"/>
        <bgColor indexed="64"/>
      </patternFill>
    </fill>
    <fill>
      <patternFill patternType="solid">
        <fgColor theme="2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4B4B"/>
        <bgColor indexed="64"/>
      </patternFill>
    </fill>
    <fill>
      <patternFill patternType="solid">
        <fgColor theme="5" tint="0.39997558519241921"/>
        <bgColor rgb="FFF1A983"/>
      </patternFill>
    </fill>
  </fills>
  <borders count="30">
    <border>
      <left/>
      <right/>
      <top/>
      <bottom/>
      <diagonal/>
    </border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20">
    <xf numFmtId="0" fontId="0" fillId="0" borderId="0" xfId="0"/>
    <xf numFmtId="0" fontId="6" fillId="2" borderId="0" xfId="0" applyFont="1" applyFill="1" applyAlignment="1">
      <alignment horizontal="left"/>
    </xf>
    <xf numFmtId="0" fontId="14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7" fillId="0" borderId="0" xfId="0" applyFont="1"/>
    <xf numFmtId="0" fontId="9" fillId="5" borderId="0" xfId="0" applyFont="1" applyFill="1"/>
    <xf numFmtId="0" fontId="9" fillId="6" borderId="0" xfId="0" applyFont="1" applyFill="1"/>
    <xf numFmtId="0" fontId="10" fillId="6" borderId="0" xfId="0" applyFont="1" applyFill="1" applyAlignment="1">
      <alignment horizontal="center"/>
    </xf>
    <xf numFmtId="0" fontId="0" fillId="5" borderId="0" xfId="0" applyFill="1"/>
    <xf numFmtId="0" fontId="7" fillId="6" borderId="0" xfId="0" applyFont="1" applyFill="1" applyAlignment="1">
      <alignment horizontal="left"/>
    </xf>
    <xf numFmtId="0" fontId="6" fillId="6" borderId="0" xfId="0" applyFont="1" applyFill="1" applyAlignment="1">
      <alignment horizontal="left"/>
    </xf>
    <xf numFmtId="0" fontId="11" fillId="6" borderId="0" xfId="0" applyFont="1" applyFill="1"/>
    <xf numFmtId="0" fontId="12" fillId="6" borderId="0" xfId="0" applyFont="1" applyFill="1" applyAlignment="1">
      <alignment horizontal="left"/>
    </xf>
    <xf numFmtId="0" fontId="13" fillId="6" borderId="0" xfId="0" applyFont="1" applyFill="1"/>
    <xf numFmtId="0" fontId="11" fillId="6" borderId="0" xfId="0" applyFont="1" applyFill="1" applyAlignment="1">
      <alignment horizontal="left"/>
    </xf>
    <xf numFmtId="0" fontId="4" fillId="6" borderId="0" xfId="0" applyFont="1" applyFill="1"/>
    <xf numFmtId="0" fontId="18" fillId="7" borderId="5" xfId="0" applyFont="1" applyFill="1" applyBorder="1" applyAlignment="1">
      <alignment horizontal="center"/>
    </xf>
    <xf numFmtId="0" fontId="18" fillId="8" borderId="6" xfId="0" applyFont="1" applyFill="1" applyBorder="1" applyAlignment="1">
      <alignment horizontal="center"/>
    </xf>
    <xf numFmtId="0" fontId="18" fillId="9" borderId="6" xfId="0" applyFont="1" applyFill="1" applyBorder="1" applyAlignment="1">
      <alignment horizontal="center"/>
    </xf>
    <xf numFmtId="0" fontId="18" fillId="12" borderId="6" xfId="0" applyFont="1" applyFill="1" applyBorder="1" applyAlignment="1">
      <alignment horizontal="center"/>
    </xf>
    <xf numFmtId="0" fontId="18" fillId="13" borderId="6" xfId="0" applyFont="1" applyFill="1" applyBorder="1" applyAlignment="1">
      <alignment horizontal="center"/>
    </xf>
    <xf numFmtId="0" fontId="18" fillId="14" borderId="6" xfId="0" applyFont="1" applyFill="1" applyBorder="1" applyAlignment="1">
      <alignment horizontal="center"/>
    </xf>
    <xf numFmtId="0" fontId="0" fillId="15" borderId="7" xfId="0" applyFill="1" applyBorder="1"/>
    <xf numFmtId="0" fontId="0" fillId="15" borderId="9" xfId="0" applyFill="1" applyBorder="1"/>
    <xf numFmtId="0" fontId="0" fillId="16" borderId="3" xfId="0" applyFill="1" applyBorder="1"/>
    <xf numFmtId="0" fontId="0" fillId="16" borderId="10" xfId="0" applyFill="1" applyBorder="1"/>
    <xf numFmtId="0" fontId="0" fillId="17" borderId="3" xfId="0" applyFill="1" applyBorder="1"/>
    <xf numFmtId="0" fontId="0" fillId="17" borderId="10" xfId="0" applyFill="1" applyBorder="1"/>
    <xf numFmtId="0" fontId="0" fillId="10" borderId="3" xfId="0" applyFill="1" applyBorder="1"/>
    <xf numFmtId="0" fontId="0" fillId="10" borderId="10" xfId="0" applyFill="1" applyBorder="1"/>
    <xf numFmtId="0" fontId="0" fillId="11" borderId="3" xfId="0" applyFill="1" applyBorder="1"/>
    <xf numFmtId="0" fontId="0" fillId="11" borderId="10" xfId="0" applyFill="1" applyBorder="1"/>
    <xf numFmtId="0" fontId="0" fillId="18" borderId="8" xfId="0" applyFill="1" applyBorder="1"/>
    <xf numFmtId="0" fontId="0" fillId="18" borderId="11" xfId="0" applyFill="1" applyBorder="1"/>
    <xf numFmtId="0" fontId="18" fillId="20" borderId="4" xfId="0" applyFont="1" applyFill="1" applyBorder="1" applyAlignment="1">
      <alignment horizontal="right"/>
    </xf>
    <xf numFmtId="0" fontId="18" fillId="19" borderId="2" xfId="0" applyFont="1" applyFill="1" applyBorder="1" applyAlignment="1">
      <alignment horizontal="right"/>
    </xf>
    <xf numFmtId="0" fontId="0" fillId="21" borderId="0" xfId="0" applyFill="1"/>
    <xf numFmtId="0" fontId="18" fillId="5" borderId="0" xfId="0" applyFont="1" applyFill="1"/>
    <xf numFmtId="0" fontId="4" fillId="5" borderId="0" xfId="0" applyFont="1" applyFill="1"/>
    <xf numFmtId="0" fontId="18" fillId="7" borderId="2" xfId="0" applyFont="1" applyFill="1" applyBorder="1" applyAlignment="1">
      <alignment horizontal="center"/>
    </xf>
    <xf numFmtId="0" fontId="18" fillId="8" borderId="2" xfId="0" applyFont="1" applyFill="1" applyBorder="1" applyAlignment="1">
      <alignment horizontal="center"/>
    </xf>
    <xf numFmtId="0" fontId="18" fillId="9" borderId="2" xfId="0" applyFont="1" applyFill="1" applyBorder="1" applyAlignment="1">
      <alignment horizontal="center"/>
    </xf>
    <xf numFmtId="0" fontId="18" fillId="14" borderId="2" xfId="0" applyFont="1" applyFill="1" applyBorder="1" applyAlignment="1">
      <alignment horizontal="center"/>
    </xf>
    <xf numFmtId="0" fontId="18" fillId="13" borderId="2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21" fillId="0" borderId="0" xfId="0" applyFont="1"/>
    <xf numFmtId="0" fontId="22" fillId="0" borderId="0" xfId="0" applyFont="1"/>
    <xf numFmtId="0" fontId="18" fillId="24" borderId="2" xfId="0" applyFont="1" applyFill="1" applyBorder="1" applyAlignment="1">
      <alignment horizontal="center"/>
    </xf>
    <xf numFmtId="0" fontId="19" fillId="0" borderId="2" xfId="0" applyFont="1" applyBorder="1"/>
    <xf numFmtId="0" fontId="23" fillId="0" borderId="0" xfId="0" applyFont="1"/>
    <xf numFmtId="0" fontId="18" fillId="20" borderId="2" xfId="0" applyFont="1" applyFill="1" applyBorder="1"/>
    <xf numFmtId="0" fontId="18" fillId="0" borderId="0" xfId="0" applyFont="1" applyAlignment="1">
      <alignment horizontal="center"/>
    </xf>
    <xf numFmtId="0" fontId="25" fillId="0" borderId="0" xfId="0" applyFont="1"/>
    <xf numFmtId="0" fontId="25" fillId="0" borderId="0" xfId="0" applyFont="1" applyAlignment="1">
      <alignment horizontal="right"/>
    </xf>
    <xf numFmtId="164" fontId="25" fillId="0" borderId="0" xfId="0" applyNumberFormat="1" applyFont="1" applyAlignment="1">
      <alignment horizontal="right"/>
    </xf>
    <xf numFmtId="0" fontId="26" fillId="0" borderId="0" xfId="0" applyFont="1" applyAlignment="1">
      <alignment horizontal="right"/>
    </xf>
    <xf numFmtId="164" fontId="26" fillId="0" borderId="0" xfId="0" applyNumberFormat="1" applyFont="1" applyAlignment="1">
      <alignment horizontal="right"/>
    </xf>
    <xf numFmtId="0" fontId="26" fillId="0" borderId="0" xfId="0" applyFont="1"/>
    <xf numFmtId="0" fontId="19" fillId="0" borderId="2" xfId="0" applyFont="1" applyBorder="1" applyAlignment="1">
      <alignment horizontal="center"/>
    </xf>
    <xf numFmtId="0" fontId="3" fillId="0" borderId="0" xfId="0" applyFont="1"/>
    <xf numFmtId="0" fontId="27" fillId="0" borderId="1" xfId="0" applyFont="1" applyBorder="1" applyAlignment="1">
      <alignment horizontal="center"/>
    </xf>
    <xf numFmtId="0" fontId="27" fillId="0" borderId="24" xfId="0" applyFont="1" applyBorder="1" applyAlignment="1">
      <alignment horizontal="center"/>
    </xf>
    <xf numFmtId="0" fontId="27" fillId="0" borderId="25" xfId="0" applyFont="1" applyBorder="1" applyAlignment="1">
      <alignment horizontal="center"/>
    </xf>
    <xf numFmtId="0" fontId="3" fillId="0" borderId="15" xfId="0" applyFont="1" applyBorder="1"/>
    <xf numFmtId="0" fontId="3" fillId="0" borderId="19" xfId="0" applyFont="1" applyBorder="1"/>
    <xf numFmtId="0" fontId="3" fillId="0" borderId="20" xfId="0" applyFont="1" applyBorder="1"/>
    <xf numFmtId="0" fontId="3" fillId="0" borderId="22" xfId="0" applyFont="1" applyBorder="1"/>
    <xf numFmtId="0" fontId="3" fillId="0" borderId="17" xfId="0" applyFont="1" applyBorder="1"/>
    <xf numFmtId="0" fontId="3" fillId="0" borderId="18" xfId="0" applyFont="1" applyBorder="1"/>
    <xf numFmtId="0" fontId="3" fillId="0" borderId="23" xfId="0" applyFont="1" applyBorder="1"/>
    <xf numFmtId="0" fontId="3" fillId="0" borderId="21" xfId="0" applyFont="1" applyBorder="1"/>
    <xf numFmtId="0" fontId="3" fillId="0" borderId="16" xfId="0" applyFont="1" applyBorder="1"/>
    <xf numFmtId="0" fontId="18" fillId="19" borderId="2" xfId="0" applyFont="1" applyFill="1" applyBorder="1" applyAlignment="1">
      <alignment horizontal="center"/>
    </xf>
    <xf numFmtId="0" fontId="28" fillId="29" borderId="2" xfId="0" applyFont="1" applyFill="1" applyBorder="1"/>
    <xf numFmtId="0" fontId="28" fillId="29" borderId="2" xfId="0" applyFont="1" applyFill="1" applyBorder="1" applyAlignment="1">
      <alignment horizontal="center"/>
    </xf>
    <xf numFmtId="0" fontId="19" fillId="2" borderId="2" xfId="0" applyFont="1" applyFill="1" applyBorder="1" applyAlignment="1">
      <alignment vertical="center" wrapText="1"/>
    </xf>
    <xf numFmtId="0" fontId="3" fillId="0" borderId="1" xfId="0" applyFont="1" applyBorder="1"/>
    <xf numFmtId="0" fontId="3" fillId="21" borderId="2" xfId="0" applyFont="1" applyFill="1" applyBorder="1"/>
    <xf numFmtId="0" fontId="2" fillId="0" borderId="0" xfId="0" applyFont="1"/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8" fillId="0" borderId="1" xfId="0" applyFont="1" applyBorder="1" applyAlignment="1">
      <alignment horizontal="left"/>
    </xf>
    <xf numFmtId="0" fontId="0" fillId="0" borderId="1" xfId="0" applyBorder="1"/>
    <xf numFmtId="0" fontId="5" fillId="0" borderId="1" xfId="0" applyFont="1" applyBorder="1" applyAlignment="1">
      <alignment horizontal="left"/>
    </xf>
    <xf numFmtId="0" fontId="5" fillId="0" borderId="1" xfId="0" applyFont="1" applyBorder="1"/>
    <xf numFmtId="0" fontId="5" fillId="0" borderId="1" xfId="0" applyFont="1" applyBorder="1" applyAlignment="1">
      <alignment horizontal="right"/>
    </xf>
    <xf numFmtId="0" fontId="6" fillId="0" borderId="1" xfId="0" applyFont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0" fontId="0" fillId="0" borderId="1" xfId="0" applyBorder="1" applyAlignment="1">
      <alignment horizontal="right"/>
    </xf>
    <xf numFmtId="0" fontId="18" fillId="24" borderId="2" xfId="0" applyFont="1" applyFill="1" applyBorder="1"/>
    <xf numFmtId="0" fontId="3" fillId="21" borderId="0" xfId="0" applyFont="1" applyFill="1"/>
    <xf numFmtId="0" fontId="18" fillId="27" borderId="2" xfId="0" applyFont="1" applyFill="1" applyBorder="1" applyAlignment="1">
      <alignment horizontal="center"/>
    </xf>
    <xf numFmtId="0" fontId="24" fillId="0" borderId="2" xfId="0" applyFont="1" applyBorder="1" applyAlignment="1">
      <alignment horizontal="center"/>
    </xf>
    <xf numFmtId="0" fontId="19" fillId="0" borderId="2" xfId="0" applyFont="1" applyBorder="1" applyAlignment="1">
      <alignment horizontal="left"/>
    </xf>
    <xf numFmtId="0" fontId="19" fillId="0" borderId="4" xfId="0" applyFont="1" applyBorder="1" applyAlignment="1">
      <alignment horizontal="left"/>
    </xf>
    <xf numFmtId="0" fontId="19" fillId="0" borderId="13" xfId="0" applyFont="1" applyBorder="1" applyAlignment="1">
      <alignment horizontal="right"/>
    </xf>
    <xf numFmtId="0" fontId="19" fillId="0" borderId="27" xfId="0" applyFont="1" applyBorder="1" applyAlignment="1">
      <alignment horizontal="right"/>
    </xf>
    <xf numFmtId="0" fontId="19" fillId="0" borderId="26" xfId="0" applyFont="1" applyBorder="1" applyAlignment="1">
      <alignment horizontal="left"/>
    </xf>
    <xf numFmtId="0" fontId="3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21" fillId="0" borderId="14" xfId="0" applyFont="1" applyBorder="1"/>
    <xf numFmtId="0" fontId="0" fillId="0" borderId="0" xfId="0" applyAlignment="1">
      <alignment horizontal="center"/>
    </xf>
    <xf numFmtId="0" fontId="18" fillId="19" borderId="12" xfId="0" applyFont="1" applyFill="1" applyBorder="1" applyAlignment="1">
      <alignment horizontal="center"/>
    </xf>
    <xf numFmtId="0" fontId="8" fillId="4" borderId="2" xfId="0" applyFont="1" applyFill="1" applyBorder="1"/>
    <xf numFmtId="0" fontId="8" fillId="4" borderId="2" xfId="0" applyFont="1" applyFill="1" applyBorder="1" applyAlignment="1">
      <alignment horizontal="left"/>
    </xf>
    <xf numFmtId="0" fontId="19" fillId="21" borderId="2" xfId="0" applyFont="1" applyFill="1" applyBorder="1" applyAlignment="1">
      <alignment horizontal="center"/>
    </xf>
    <xf numFmtId="0" fontId="19" fillId="25" borderId="2" xfId="0" applyFont="1" applyFill="1" applyBorder="1" applyAlignment="1">
      <alignment horizontal="right"/>
    </xf>
    <xf numFmtId="0" fontId="19" fillId="30" borderId="2" xfId="0" applyFont="1" applyFill="1" applyBorder="1" applyAlignment="1">
      <alignment horizontal="right"/>
    </xf>
    <xf numFmtId="0" fontId="18" fillId="16" borderId="12" xfId="0" applyFont="1" applyFill="1" applyBorder="1" applyAlignment="1">
      <alignment horizontal="center"/>
    </xf>
    <xf numFmtId="0" fontId="18" fillId="32" borderId="12" xfId="0" applyFont="1" applyFill="1" applyBorder="1" applyAlignment="1">
      <alignment horizontal="center"/>
    </xf>
    <xf numFmtId="0" fontId="19" fillId="21" borderId="1" xfId="0" applyFont="1" applyFill="1" applyBorder="1" applyAlignment="1">
      <alignment horizontal="center"/>
    </xf>
    <xf numFmtId="0" fontId="19" fillId="21" borderId="2" xfId="0" applyFont="1" applyFill="1" applyBorder="1" applyAlignment="1">
      <alignment horizontal="right"/>
    </xf>
    <xf numFmtId="0" fontId="18" fillId="0" borderId="1" xfId="0" applyFont="1" applyBorder="1" applyAlignment="1">
      <alignment horizontal="right"/>
    </xf>
    <xf numFmtId="0" fontId="19" fillId="0" borderId="1" xfId="0" applyFont="1" applyBorder="1" applyAlignment="1">
      <alignment horizontal="right"/>
    </xf>
    <xf numFmtId="0" fontId="19" fillId="0" borderId="1" xfId="0" applyFont="1" applyBorder="1"/>
    <xf numFmtId="0" fontId="19" fillId="20" borderId="2" xfId="0" applyFont="1" applyFill="1" applyBorder="1"/>
    <xf numFmtId="0" fontId="19" fillId="19" borderId="2" xfId="0" applyFont="1" applyFill="1" applyBorder="1"/>
    <xf numFmtId="0" fontId="19" fillId="27" borderId="2" xfId="0" applyFont="1" applyFill="1" applyBorder="1"/>
    <xf numFmtId="0" fontId="18" fillId="34" borderId="2" xfId="0" applyFont="1" applyFill="1" applyBorder="1" applyAlignment="1">
      <alignment horizontal="center"/>
    </xf>
    <xf numFmtId="0" fontId="18" fillId="27" borderId="12" xfId="0" applyFont="1" applyFill="1" applyBorder="1" applyAlignment="1">
      <alignment horizontal="center"/>
    </xf>
    <xf numFmtId="0" fontId="18" fillId="7" borderId="12" xfId="0" applyFont="1" applyFill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24" fillId="9" borderId="2" xfId="0" applyFont="1" applyFill="1" applyBorder="1" applyAlignment="1">
      <alignment horizontal="center"/>
    </xf>
    <xf numFmtId="0" fontId="19" fillId="0" borderId="2" xfId="0" applyFont="1" applyBorder="1" applyAlignment="1">
      <alignment horizontal="right"/>
    </xf>
    <xf numFmtId="0" fontId="1" fillId="0" borderId="0" xfId="0" applyFont="1"/>
    <xf numFmtId="0" fontId="0" fillId="0" borderId="26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18" fillId="16" borderId="2" xfId="0" applyFont="1" applyFill="1" applyBorder="1" applyAlignment="1">
      <alignment horizontal="center"/>
    </xf>
    <xf numFmtId="0" fontId="18" fillId="32" borderId="2" xfId="0" applyFont="1" applyFill="1" applyBorder="1" applyAlignment="1">
      <alignment horizontal="center"/>
    </xf>
    <xf numFmtId="0" fontId="18" fillId="0" borderId="12" xfId="0" applyFont="1" applyBorder="1" applyAlignment="1">
      <alignment horizontal="center"/>
    </xf>
    <xf numFmtId="0" fontId="18" fillId="0" borderId="4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2" xfId="0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30" fillId="29" borderId="2" xfId="0" applyFont="1" applyFill="1" applyBorder="1" applyAlignment="1">
      <alignment horizontal="center"/>
    </xf>
    <xf numFmtId="0" fontId="30" fillId="29" borderId="2" xfId="0" applyFont="1" applyFill="1" applyBorder="1"/>
    <xf numFmtId="0" fontId="18" fillId="27" borderId="2" xfId="0" applyFont="1" applyFill="1" applyBorder="1" applyAlignment="1">
      <alignment horizontal="right"/>
    </xf>
    <xf numFmtId="0" fontId="0" fillId="21" borderId="2" xfId="0" applyFill="1" applyBorder="1"/>
    <xf numFmtId="0" fontId="24" fillId="8" borderId="2" xfId="0" applyFont="1" applyFill="1" applyBorder="1" applyAlignment="1">
      <alignment horizontal="center"/>
    </xf>
    <xf numFmtId="0" fontId="30" fillId="29" borderId="6" xfId="0" applyFont="1" applyFill="1" applyBorder="1" applyAlignment="1">
      <alignment horizontal="center"/>
    </xf>
    <xf numFmtId="4" fontId="0" fillId="0" borderId="0" xfId="0" applyNumberFormat="1"/>
    <xf numFmtId="0" fontId="21" fillId="35" borderId="16" xfId="0" applyFont="1" applyFill="1" applyBorder="1"/>
    <xf numFmtId="0" fontId="21" fillId="0" borderId="16" xfId="0" applyFont="1" applyBorder="1"/>
    <xf numFmtId="49" fontId="0" fillId="0" borderId="0" xfId="0" applyNumberFormat="1"/>
    <xf numFmtId="49" fontId="18" fillId="19" borderId="2" xfId="0" applyNumberFormat="1" applyFont="1" applyFill="1" applyBorder="1" applyAlignment="1">
      <alignment horizontal="center"/>
    </xf>
    <xf numFmtId="0" fontId="18" fillId="37" borderId="2" xfId="0" applyFont="1" applyFill="1" applyBorder="1" applyAlignment="1">
      <alignment horizontal="center"/>
    </xf>
    <xf numFmtId="0" fontId="18" fillId="9" borderId="2" xfId="0" applyFont="1" applyFill="1" applyBorder="1" applyAlignment="1">
      <alignment horizontal="center"/>
    </xf>
    <xf numFmtId="0" fontId="18" fillId="3" borderId="2" xfId="0" applyFont="1" applyFill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28" fillId="28" borderId="2" xfId="0" applyFont="1" applyFill="1" applyBorder="1" applyAlignment="1">
      <alignment horizontal="center" vertical="center" wrapText="1"/>
    </xf>
    <xf numFmtId="0" fontId="18" fillId="23" borderId="2" xfId="0" applyFont="1" applyFill="1" applyBorder="1" applyAlignment="1">
      <alignment horizontal="center"/>
    </xf>
    <xf numFmtId="0" fontId="28" fillId="28" borderId="2" xfId="0" applyFont="1" applyFill="1" applyBorder="1" applyAlignment="1">
      <alignment horizontal="center"/>
    </xf>
    <xf numFmtId="0" fontId="28" fillId="29" borderId="2" xfId="0" applyFont="1" applyFill="1" applyBorder="1" applyAlignment="1">
      <alignment horizontal="center"/>
    </xf>
    <xf numFmtId="0" fontId="18" fillId="24" borderId="2" xfId="0" applyFont="1" applyFill="1" applyBorder="1" applyAlignment="1">
      <alignment horizontal="center"/>
    </xf>
    <xf numFmtId="0" fontId="18" fillId="30" borderId="12" xfId="0" applyFont="1" applyFill="1" applyBorder="1" applyAlignment="1">
      <alignment horizontal="center"/>
    </xf>
    <xf numFmtId="0" fontId="19" fillId="0" borderId="12" xfId="0" applyFont="1" applyBorder="1" applyAlignment="1">
      <alignment horizontal="center"/>
    </xf>
    <xf numFmtId="0" fontId="18" fillId="19" borderId="12" xfId="0" applyFont="1" applyFill="1" applyBorder="1" applyAlignment="1">
      <alignment horizontal="center"/>
    </xf>
    <xf numFmtId="0" fontId="18" fillId="19" borderId="2" xfId="0" applyFont="1" applyFill="1" applyBorder="1" applyAlignment="1">
      <alignment horizontal="center"/>
    </xf>
    <xf numFmtId="0" fontId="18" fillId="27" borderId="2" xfId="0" applyFont="1" applyFill="1" applyBorder="1" applyAlignment="1">
      <alignment horizontal="left"/>
    </xf>
    <xf numFmtId="0" fontId="18" fillId="30" borderId="2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8" fillId="20" borderId="2" xfId="0" applyFont="1" applyFill="1" applyBorder="1" applyAlignment="1">
      <alignment horizontal="left"/>
    </xf>
    <xf numFmtId="0" fontId="19" fillId="0" borderId="6" xfId="0" applyFont="1" applyBorder="1" applyAlignment="1">
      <alignment horizontal="left"/>
    </xf>
    <xf numFmtId="49" fontId="18" fillId="19" borderId="2" xfId="0" applyNumberFormat="1" applyFont="1" applyFill="1" applyBorder="1" applyAlignment="1">
      <alignment horizontal="center"/>
    </xf>
    <xf numFmtId="0" fontId="19" fillId="0" borderId="2" xfId="0" applyFont="1" applyBorder="1" applyAlignment="1">
      <alignment horizontal="left"/>
    </xf>
    <xf numFmtId="49" fontId="18" fillId="9" borderId="12" xfId="0" applyNumberFormat="1" applyFont="1" applyFill="1" applyBorder="1" applyAlignment="1">
      <alignment horizontal="center"/>
    </xf>
    <xf numFmtId="49" fontId="18" fillId="9" borderId="2" xfId="0" applyNumberFormat="1" applyFont="1" applyFill="1" applyBorder="1" applyAlignment="1">
      <alignment horizontal="center"/>
    </xf>
    <xf numFmtId="0" fontId="19" fillId="0" borderId="12" xfId="0" applyFont="1" applyBorder="1" applyAlignment="1">
      <alignment horizontal="left"/>
    </xf>
    <xf numFmtId="0" fontId="19" fillId="0" borderId="4" xfId="0" applyFont="1" applyBorder="1" applyAlignment="1">
      <alignment horizontal="left"/>
    </xf>
    <xf numFmtId="0" fontId="19" fillId="0" borderId="13" xfId="0" applyFont="1" applyBorder="1" applyAlignment="1">
      <alignment horizontal="left"/>
    </xf>
    <xf numFmtId="0" fontId="18" fillId="20" borderId="4" xfId="0" applyFont="1" applyFill="1" applyBorder="1" applyAlignment="1">
      <alignment horizontal="left"/>
    </xf>
    <xf numFmtId="4" fontId="18" fillId="0" borderId="2" xfId="0" applyNumberFormat="1" applyFont="1" applyBorder="1" applyAlignment="1">
      <alignment horizontal="center"/>
    </xf>
    <xf numFmtId="0" fontId="28" fillId="29" borderId="2" xfId="0" applyFont="1" applyFill="1" applyBorder="1" applyAlignment="1">
      <alignment horizontal="left"/>
    </xf>
    <xf numFmtId="49" fontId="18" fillId="36" borderId="6" xfId="0" applyNumberFormat="1" applyFont="1" applyFill="1" applyBorder="1" applyAlignment="1">
      <alignment horizontal="center"/>
    </xf>
    <xf numFmtId="49" fontId="18" fillId="8" borderId="6" xfId="0" applyNumberFormat="1" applyFont="1" applyFill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8" fillId="9" borderId="4" xfId="0" applyFont="1" applyFill="1" applyBorder="1" applyAlignment="1">
      <alignment horizontal="center"/>
    </xf>
    <xf numFmtId="0" fontId="18" fillId="9" borderId="29" xfId="0" applyFont="1" applyFill="1" applyBorder="1" applyAlignment="1">
      <alignment horizontal="center"/>
    </xf>
    <xf numFmtId="0" fontId="18" fillId="9" borderId="13" xfId="0" applyFont="1" applyFill="1" applyBorder="1" applyAlignment="1">
      <alignment horizontal="center"/>
    </xf>
    <xf numFmtId="0" fontId="19" fillId="0" borderId="2" xfId="0" applyFont="1" applyBorder="1" applyAlignment="1">
      <alignment horizontal="right"/>
    </xf>
    <xf numFmtId="0" fontId="18" fillId="14" borderId="2" xfId="0" applyFont="1" applyFill="1" applyBorder="1" applyAlignment="1">
      <alignment horizontal="center"/>
    </xf>
    <xf numFmtId="0" fontId="18" fillId="26" borderId="2" xfId="0" applyFont="1" applyFill="1" applyBorder="1" applyAlignment="1">
      <alignment horizontal="center"/>
    </xf>
    <xf numFmtId="0" fontId="18" fillId="0" borderId="13" xfId="0" applyFont="1" applyBorder="1" applyAlignment="1">
      <alignment horizontal="left"/>
    </xf>
    <xf numFmtId="0" fontId="18" fillId="0" borderId="2" xfId="0" applyFont="1" applyBorder="1" applyAlignment="1">
      <alignment horizontal="left"/>
    </xf>
    <xf numFmtId="4" fontId="18" fillId="0" borderId="4" xfId="0" applyNumberFormat="1" applyFont="1" applyBorder="1" applyAlignment="1">
      <alignment horizontal="center"/>
    </xf>
    <xf numFmtId="0" fontId="18" fillId="0" borderId="28" xfId="0" applyFont="1" applyBorder="1" applyAlignment="1">
      <alignment horizontal="left"/>
    </xf>
    <xf numFmtId="0" fontId="18" fillId="0" borderId="27" xfId="0" applyFont="1" applyBorder="1" applyAlignment="1">
      <alignment horizontal="left"/>
    </xf>
    <xf numFmtId="49" fontId="18" fillId="12" borderId="2" xfId="0" quotePrefix="1" applyNumberFormat="1" applyFont="1" applyFill="1" applyBorder="1" applyAlignment="1">
      <alignment horizontal="center"/>
    </xf>
    <xf numFmtId="49" fontId="18" fillId="12" borderId="2" xfId="0" applyNumberFormat="1" applyFont="1" applyFill="1" applyBorder="1" applyAlignment="1">
      <alignment horizontal="center"/>
    </xf>
    <xf numFmtId="49" fontId="18" fillId="26" borderId="2" xfId="0" quotePrefix="1" applyNumberFormat="1" applyFont="1" applyFill="1" applyBorder="1" applyAlignment="1">
      <alignment horizontal="center"/>
    </xf>
    <xf numFmtId="49" fontId="18" fillId="26" borderId="2" xfId="0" applyNumberFormat="1" applyFont="1" applyFill="1" applyBorder="1" applyAlignment="1">
      <alignment horizontal="center"/>
    </xf>
    <xf numFmtId="0" fontId="18" fillId="0" borderId="29" xfId="0" applyFont="1" applyBorder="1" applyAlignment="1">
      <alignment horizontal="left"/>
    </xf>
    <xf numFmtId="0" fontId="18" fillId="19" borderId="2" xfId="0" applyFont="1" applyFill="1" applyBorder="1" applyAlignment="1">
      <alignment horizontal="right"/>
    </xf>
    <xf numFmtId="0" fontId="24" fillId="0" borderId="2" xfId="0" applyFont="1" applyBorder="1" applyAlignment="1">
      <alignment horizontal="center"/>
    </xf>
    <xf numFmtId="0" fontId="18" fillId="25" borderId="2" xfId="0" applyFont="1" applyFill="1" applyBorder="1" applyAlignment="1">
      <alignment horizontal="right"/>
    </xf>
    <xf numFmtId="0" fontId="18" fillId="26" borderId="2" xfId="0" applyFont="1" applyFill="1" applyBorder="1" applyAlignment="1">
      <alignment horizontal="center" wrapText="1"/>
    </xf>
    <xf numFmtId="0" fontId="18" fillId="30" borderId="2" xfId="0" applyFont="1" applyFill="1" applyBorder="1" applyAlignment="1">
      <alignment horizontal="right"/>
    </xf>
    <xf numFmtId="0" fontId="18" fillId="9" borderId="2" xfId="0" applyFont="1" applyFill="1" applyBorder="1" applyAlignment="1">
      <alignment horizontal="left"/>
    </xf>
    <xf numFmtId="0" fontId="18" fillId="33" borderId="2" xfId="0" applyFont="1" applyFill="1" applyBorder="1" applyAlignment="1">
      <alignment horizontal="right"/>
    </xf>
    <xf numFmtId="0" fontId="18" fillId="31" borderId="2" xfId="0" applyFont="1" applyFill="1" applyBorder="1" applyAlignment="1">
      <alignment horizontal="center"/>
    </xf>
    <xf numFmtId="0" fontId="18" fillId="26" borderId="2" xfId="0" applyFont="1" applyFill="1" applyBorder="1" applyAlignment="1">
      <alignment horizontal="center" vertical="center" wrapText="1"/>
    </xf>
    <xf numFmtId="0" fontId="18" fillId="20" borderId="2" xfId="0" applyFont="1" applyFill="1" applyBorder="1" applyAlignment="1">
      <alignment horizontal="right"/>
    </xf>
    <xf numFmtId="0" fontId="18" fillId="36" borderId="2" xfId="0" applyFont="1" applyFill="1" applyBorder="1" applyAlignment="1">
      <alignment horizontal="right"/>
    </xf>
    <xf numFmtId="0" fontId="18" fillId="8" borderId="2" xfId="0" applyFont="1" applyFill="1" applyBorder="1" applyAlignment="1">
      <alignment horizontal="right"/>
    </xf>
    <xf numFmtId="0" fontId="18" fillId="0" borderId="2" xfId="0" applyFont="1" applyBorder="1" applyAlignment="1">
      <alignment horizontal="right"/>
    </xf>
    <xf numFmtId="0" fontId="18" fillId="36" borderId="6" xfId="0" applyFont="1" applyFill="1" applyBorder="1" applyAlignment="1">
      <alignment horizontal="center"/>
    </xf>
    <xf numFmtId="0" fontId="18" fillId="8" borderId="6" xfId="0" applyFont="1" applyFill="1" applyBorder="1" applyAlignment="1">
      <alignment horizontal="center"/>
    </xf>
    <xf numFmtId="0" fontId="18" fillId="9" borderId="6" xfId="0" applyFont="1" applyFill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13" xfId="0" applyFont="1" applyBorder="1" applyAlignment="1">
      <alignment horizontal="center"/>
    </xf>
    <xf numFmtId="0" fontId="18" fillId="22" borderId="2" xfId="0" applyFont="1" applyFill="1" applyBorder="1" applyAlignment="1">
      <alignment horizontal="center"/>
    </xf>
    <xf numFmtId="0" fontId="0" fillId="22" borderId="2" xfId="0" applyFill="1" applyBorder="1" applyAlignment="1">
      <alignment horizontal="center"/>
    </xf>
    <xf numFmtId="0" fontId="18" fillId="27" borderId="2" xfId="0" applyFont="1" applyFill="1" applyBorder="1" applyAlignment="1">
      <alignment horizontal="center"/>
    </xf>
    <xf numFmtId="0" fontId="21" fillId="0" borderId="0" xfId="0" quotePrefix="1" applyFont="1"/>
  </cellXfs>
  <cellStyles count="1">
    <cellStyle name="Normal" xfId="0" builtinId="0"/>
  </cellStyles>
  <dxfs count="1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A0A"/>
        <name val="Aptos Narrow"/>
        <family val="2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A0A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A0A"/>
        <name val="Aptos Narrow"/>
        <family val="2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A0A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A0A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top style="thin">
          <color theme="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b val="0"/>
      </font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</font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</font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</font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</font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</font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</font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</font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  <numFmt numFmtId="0" formatCode="General"/>
      <fill>
        <patternFill patternType="none">
          <fgColor theme="0" tint="-0.14999847407452621"/>
          <bgColor auto="1"/>
        </patternFill>
      </fill>
    </dxf>
    <dxf>
      <font>
        <b val="0"/>
        <family val="2"/>
      </font>
      <numFmt numFmtId="0" formatCode="General"/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aj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border>
        <top style="double">
          <color theme="1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</dxfs>
  <tableStyles count="2">
    <tableStyle name="Lists-style" pivot="0" count="2" xr9:uid="{00000000-0011-0000-FFFF-FFFF00000000}">
      <tableStyleElement type="firstRowStripe" dxfId="192"/>
      <tableStyleElement type="secondRowStripe" dxfId="191"/>
    </tableStyle>
    <tableStyle name="TableStyleMedium16 2" pivot="0" count="7" xr9:uid="{550A0348-215F-4A82-A7B6-C57F74F8E2D3}">
      <tableStyleElement type="wholeTable" dxfId="190"/>
      <tableStyleElement type="headerRow" dxfId="189"/>
      <tableStyleElement type="totalRow" dxfId="188"/>
      <tableStyleElement type="firstColumn" dxfId="187"/>
      <tableStyleElement type="lastColumn" dxfId="186"/>
      <tableStyleElement type="firstRowStripe" dxfId="185"/>
      <tableStyleElement type="firstColumnStripe" dxfId="184"/>
    </tableStyle>
  </tableStyles>
  <colors>
    <mruColors>
      <color rgb="FFFFFF99"/>
      <color rgb="FFFF4B4B"/>
      <color rgb="FFFFFF66"/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5</xdr:row>
      <xdr:rowOff>28575</xdr:rowOff>
    </xdr:from>
    <xdr:to>
      <xdr:col>1</xdr:col>
      <xdr:colOff>209550</xdr:colOff>
      <xdr:row>6</xdr:row>
      <xdr:rowOff>57150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46603AC3-134C-605E-285E-96C879899D2E}"/>
            </a:ext>
          </a:extLst>
        </xdr:cNvPr>
        <xdr:cNvSpPr/>
      </xdr:nvSpPr>
      <xdr:spPr>
        <a:xfrm>
          <a:off x="933450" y="809625"/>
          <a:ext cx="114300" cy="219075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595C0AB-480B-4E68-B80D-E918071006FF}" name="TableDecals" displayName="TableDecals" ref="A1:AW219" totalsRowShown="0" headerRowDxfId="183" dataDxfId="182">
  <autoFilter ref="A1:AW219" xr:uid="{00000000-0009-0000-0000-000001000000}"/>
  <tableColumns count="49">
    <tableColumn id="1" xr3:uid="{AEF5E23E-E4CD-470E-B59C-36A72728319F}" name="NAME" dataDxfId="181"/>
    <tableColumn id="2" xr3:uid="{41651E7D-28E9-4B02-9E50-D87EE511AF20}" name="A GRP" dataDxfId="180"/>
    <tableColumn id="3" xr3:uid="{735F88BA-9B03-4F2F-AEF0-8CDD401CAFBB}" name="C GRP" dataDxfId="179"/>
    <tableColumn id="28" xr3:uid="{F009A3B3-8798-40CA-87C2-B47452480611}" name="SET" dataDxfId="178"/>
    <tableColumn id="42" xr3:uid="{7FBBFAF1-AC8C-4BB3-85D0-C6FA4443653F}" name="FULL SET" dataDxfId="177"/>
    <tableColumn id="27" xr3:uid="{74851900-A858-43FB-9C7E-80861922E14F}" name="FAC SET" dataDxfId="176"/>
    <tableColumn id="23" xr3:uid="{5F282923-B762-429F-A4A1-4BA2E212EB95}" name="FULL FAC SET" dataDxfId="175"/>
    <tableColumn id="4" xr3:uid="{4869BC39-A2EB-474C-B540-129E924501CF}" name="WEP" dataDxfId="174"/>
    <tableColumn id="5" xr3:uid="{33CCDCB5-BF12-443A-ADFB-270AED8F5087}" name="FAC" dataDxfId="173"/>
    <tableColumn id="25" xr3:uid="{C238DF93-9D2F-46DD-BBB5-EE8C12FAD172}" name="RAW" dataDxfId="172"/>
    <tableColumn id="26" xr3:uid="{DEF58643-E0A6-43F4-AA5B-B19E3C507B3F}" name="ELE" dataDxfId="171"/>
    <tableColumn id="29" xr3:uid="{BFD5A179-5B57-435C-A96C-5749C68F9359}" name="DUAL WIELD" dataDxfId="170"/>
    <tableColumn id="6" xr3:uid="{A2A82BEB-A06B-4DE1-AC29-64172017F32F}" name="HANDS" dataDxfId="169"/>
    <tableColumn id="7" xr3:uid="{00836B31-5833-45B9-B9C3-A2B8C11F1E87}" name="ATK *" dataDxfId="168"/>
    <tableColumn id="8" xr3:uid="{2B60963D-93A4-4970-977A-997361EA7F71}" name="ATK 2 *" dataDxfId="167"/>
    <tableColumn id="9" xr3:uid="{E97490B5-2E4C-484C-894B-9A87D7DD1DDC}" name="SLASH *" dataDxfId="166"/>
    <tableColumn id="10" xr3:uid="{BC3624BC-3177-41C8-A133-D863B8441CD0}" name="BLUNT *" dataDxfId="165"/>
    <tableColumn id="11" xr3:uid="{A31D3C07-EF2C-40FD-81D5-ED8F15AAE691}" name="PIERCING *" dataDxfId="164"/>
    <tableColumn id="12" xr3:uid="{1086802F-F01A-4A93-B0BB-88443265438F}" name="FIRE *" dataDxfId="163"/>
    <tableColumn id="13" xr3:uid="{3D83652A-2F6B-47AC-8881-7D0FC17C117B}" name="ELECTRIC *" dataDxfId="162"/>
    <tableColumn id="14" xr3:uid="{3B0CD093-FBEB-419E-B8B5-F6053DA3F705}" name="POISON *" dataDxfId="161"/>
    <tableColumn id="15" xr3:uid="{4019451C-35B8-406E-B55B-40C2E146C2EE}" name="HS *" dataDxfId="160"/>
    <tableColumn id="16" xr3:uid="{92EEBD90-D156-4BE4-ABF4-C01B69DDE1E5}" name="CRIT %" dataDxfId="159"/>
    <tableColumn id="17" xr3:uid="{AF95360D-8697-4595-8AA8-6D168F95E531}" name="CRIT *" dataDxfId="158"/>
    <tableColumn id="18" xr3:uid="{BD96F960-6361-4594-9110-A61DA011BAFF}" name="EXP *" dataDxfId="157"/>
    <tableColumn id="19" xr3:uid="{4A8968CA-96DB-444F-A36B-E10F7DD0430A}" name="RAGE DMG *" dataDxfId="156"/>
    <tableColumn id="20" xr3:uid="{E0599C5E-6DD1-437C-91E6-6A3176D7C6AD}" name="HP &lt;= 15%" dataDxfId="155"/>
    <tableColumn id="21" xr3:uid="{E90A9C38-D3AD-4C81-954D-26C309F8ED3F}" name="HP 100%" dataDxfId="154"/>
    <tableColumn id="22" xr3:uid="{1EF33E99-44F9-439D-A96F-873CF1772ADA}" name="DOWN ATK *" dataDxfId="153"/>
    <tableColumn id="35" xr3:uid="{C7996EF3-6A39-4F47-B45F-DC2F1479EE83}" name="DEF%" dataDxfId="152"/>
    <tableColumn id="47" xr3:uid="{31427AE6-1853-45B2-83C9-AC4748D42212}" name="SLASH RES" dataDxfId="151"/>
    <tableColumn id="48" xr3:uid="{FCF50898-767F-43F1-B4F1-38D0072AC716}" name="BLUNT RES" dataDxfId="150"/>
    <tableColumn id="52" xr3:uid="{7BD45C1C-D98B-40D9-B76B-FF7F19A4CB3A}" name="PIERCING RES" dataDxfId="149"/>
    <tableColumn id="51" xr3:uid="{97583CA3-3890-468C-AC25-9663A3A1EE5C}" name="FIRE RES" dataDxfId="148"/>
    <tableColumn id="50" xr3:uid="{611C15C8-E76A-4AF1-86EC-6F2AA4FE020F}" name="ELECTRIC RES" dataDxfId="147"/>
    <tableColumn id="49" xr3:uid="{4625D92B-547F-495B-883B-D076666BDAC6}" name="POISON RES" dataDxfId="146"/>
    <tableColumn id="53" xr3:uid="{403D0528-1109-4E9C-92D4-D27088AA637D}" name="HS RES" dataDxfId="145"/>
    <tableColumn id="24" xr3:uid="{1C51FF6D-952A-4B74-9C14-F964F6C4CA84}" name="HP%" dataDxfId="144"/>
    <tableColumn id="30" xr3:uid="{7DCBC9A1-36D6-42DC-AAD5-5BAD3FC1E84F}" name="STM%" dataDxfId="143"/>
    <tableColumn id="31" xr3:uid="{AC051714-E284-435C-A28F-41A2606C043D}" name="STR%" dataDxfId="142"/>
    <tableColumn id="32" xr3:uid="{258392B0-7DB8-4747-B047-D52BAFA11FA3}" name="DEX%" dataDxfId="141"/>
    <tableColumn id="33" xr3:uid="{8059741B-797E-4D45-B412-5B52C35CD2BF}" name="VIT%" dataDxfId="140"/>
    <tableColumn id="34" xr3:uid="{D23FE6B8-FB4A-4A2C-B60E-E558C3DEAF4D}" name="LUK%" dataDxfId="139"/>
    <tableColumn id="36" xr3:uid="{91C7B0F1-6C7B-444B-A63F-7A8C97DBDE12}" name="REQ HP" dataDxfId="138"/>
    <tableColumn id="37" xr3:uid="{E1A4298B-9CB1-4314-87CC-42DC343D949C}" name="REQ STM" dataDxfId="137"/>
    <tableColumn id="38" xr3:uid="{966EF5F9-5303-482C-BC3D-D76C5C3016DF}" name="REQ STR" dataDxfId="136"/>
    <tableColumn id="39" xr3:uid="{A2C1F5D3-CB6C-4CA4-9C5E-3FA5CDB3817E}" name="REQ DEX" dataDxfId="135"/>
    <tableColumn id="40" xr3:uid="{4D72573D-2F14-4416-BD8A-8A6C3BFA8BBA}" name="REQ VIT" dataDxfId="134"/>
    <tableColumn id="41" xr3:uid="{70C321A4-0E5F-4FB5-B86E-8CE9F2238624}" name="REQ LUK" dataDxfId="133"/>
  </tableColumns>
  <tableStyleInfo name="TableStyleMedium16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2B25D4-9767-4D0E-A5FB-3C9806934C67}" name="TableWeapons" displayName="TableWeapons" ref="A1:AX74" totalsRowShown="0" headerRowDxfId="51" dataDxfId="50">
  <autoFilter ref="A1:AX74" xr:uid="{F82B25D4-9767-4D0E-A5FB-3C9806934C67}"/>
  <tableColumns count="50">
    <tableColumn id="1" xr3:uid="{D6003D26-3350-4558-81AA-B5288EC25CB7}" name="NAME" dataDxfId="49"/>
    <tableColumn id="2" xr3:uid="{3BDF7038-E613-4C82-B3E4-D450682D7C89}" name="TYPE" dataDxfId="48"/>
    <tableColumn id="3" xr3:uid="{88FC19EC-BD35-419C-879D-4FD47F0E939B}" name="FACTION" dataDxfId="47"/>
    <tableColumn id="4" xr3:uid="{4F745570-C6B4-411A-A647-7D7E3437C986}" name="Hands" dataDxfId="46"/>
    <tableColumn id="5" xr3:uid="{618D6A98-7CBD-4106-830B-0EBAC8D9EE0E}" name="RAGE" dataDxfId="45"/>
    <tableColumn id="6" xr3:uid="{00201C20-73A7-4E35-AC51-EE208A3DB420}" name="GUARD POWER" dataDxfId="44"/>
    <tableColumn id="7" xr3:uid="{1DA1DFD8-C2A1-41C1-A039-8059E3B47C9D}" name="STAMINA" dataDxfId="43"/>
    <tableColumn id="8" xr3:uid="{1928815A-489D-48FD-965D-A05CCF041D40}" name="REQ" dataDxfId="42"/>
    <tableColumn id="9" xr3:uid="{24140181-848B-4ABF-B8FB-654F0A9EE82C}" name="RAW TYPE" dataDxfId="41"/>
    <tableColumn id="10" xr3:uid="{468F6FF0-3D25-45DE-BCFA-B5502FB9B7C1}" name="RAW %" dataDxfId="40"/>
    <tableColumn id="11" xr3:uid="{C8F00D7D-698F-4E56-BBBE-0C207F591510}" name="E TYPE" dataDxfId="39"/>
    <tableColumn id="12" xr3:uid="{ABD0D640-9165-4D8A-AE60-DEFED6CDCB90}" name="E %" dataDxfId="38"/>
    <tableColumn id="13" xr3:uid="{78AF09F7-D704-4237-B498-C865C605A10F}" name="STR %" dataDxfId="37"/>
    <tableColumn id="14" xr3:uid="{D6F8C6ED-DCC2-4C77-9ED1-D3D5DAEB18B9}" name="DEX %" dataDxfId="36"/>
    <tableColumn id="22" xr3:uid="{359921F5-95F9-4679-BF68-A0A54B533504}" name="HEADSHOT" dataDxfId="35"/>
    <tableColumn id="15" xr3:uid="{899F8242-CBFD-45E4-B779-F6DF2F84BF03}" name="T1+0" dataDxfId="34"/>
    <tableColumn id="16" xr3:uid="{27FE88A6-2009-48F3-8B84-5B811B59EEF5}" name="T1+1" dataDxfId="33"/>
    <tableColumn id="17" xr3:uid="{36BF8E8D-728E-44F7-9793-1DDDD5097DBF}" name="T1+2" dataDxfId="32"/>
    <tableColumn id="18" xr3:uid="{904CF4F0-EAF3-4EA7-8FB0-9F0EB0AA3E0F}" name="T1+3" dataDxfId="31"/>
    <tableColumn id="19" xr3:uid="{BEFED345-5D2B-4103-9D75-BD461F5B8C94}" name="T1+4" dataDxfId="30"/>
    <tableColumn id="23" xr3:uid="{51A22DA0-D4DC-496E-A145-78857E314CD2}" name="T2+0" dataDxfId="29"/>
    <tableColumn id="20" xr3:uid="{90542C8E-57F4-4BCC-80A2-E492045DD806}" name="T2+1" dataDxfId="28"/>
    <tableColumn id="21" xr3:uid="{7F32673B-6702-4C9D-9CC9-6EFFC357334F}" name="T2+2" dataDxfId="27"/>
    <tableColumn id="24" xr3:uid="{55578296-9CA5-4383-AE22-7F0AE09D056B}" name="T2+3" dataDxfId="26"/>
    <tableColumn id="25" xr3:uid="{BAE44937-FE0F-48C0-AE68-749CFACB0568}" name="T2+4" dataDxfId="25"/>
    <tableColumn id="26" xr3:uid="{706B6B66-2798-4FE7-9E69-889E4C16EBAC}" name="T3+0" dataDxfId="24"/>
    <tableColumn id="27" xr3:uid="{02447EE8-1133-42BE-AAEF-67941EE25511}" name="T3+1" dataDxfId="23"/>
    <tableColumn id="28" xr3:uid="{FF69C106-D2E3-4478-BDF0-5C32502D1A85}" name="T3+2" dataDxfId="22"/>
    <tableColumn id="29" xr3:uid="{7B4CF5B8-CF31-40B6-A0DE-380FD971DE00}" name="T3+3" dataDxfId="21"/>
    <tableColumn id="30" xr3:uid="{0B72C16D-C11E-4AFE-8657-3AF399F25232}" name="T3+4" dataDxfId="20"/>
    <tableColumn id="31" xr3:uid="{2E4EFA9F-533C-4AC3-BFCD-ADD42CE18E4A}" name="T4+0" dataDxfId="19"/>
    <tableColumn id="32" xr3:uid="{31B68D7B-6245-4E18-B819-CBD2E3E5DE04}" name="T4+1" dataDxfId="18"/>
    <tableColumn id="33" xr3:uid="{859B1796-5D28-4810-9AB0-58B3FF33FA10}" name="T4+2" dataDxfId="17"/>
    <tableColumn id="34" xr3:uid="{46CA7F02-7892-41CF-9449-18F846FBFB38}" name="T4+3" dataDxfId="16"/>
    <tableColumn id="35" xr3:uid="{C8232C90-2DCE-4C18-93DB-0BA3BCA22AD6}" name="T4+4" dataDxfId="15"/>
    <tableColumn id="36" xr3:uid="{BFE9817B-5806-4D5C-9FFD-8C1473A489C8}" name="+5" dataDxfId="14"/>
    <tableColumn id="37" xr3:uid="{E44CF435-7424-4BF1-BF2A-7E67D1F011CD}" name="+6" dataDxfId="13"/>
    <tableColumn id="38" xr3:uid="{876EC09E-553E-44ED-93F1-45065CA3453F}" name="+7" dataDxfId="12"/>
    <tableColumn id="39" xr3:uid="{12D7716B-3FE2-49F6-AC1D-B0F6B1B26377}" name="+8" dataDxfId="11"/>
    <tableColumn id="40" xr3:uid="{2526E18B-388D-4CC3-B658-80C607370AC5}" name="+9" dataDxfId="10"/>
    <tableColumn id="41" xr3:uid="{B74538DE-109A-4A84-A7A1-94C3F4604935}" name="+10" dataDxfId="9"/>
    <tableColumn id="42" xr3:uid="{011DD5FD-AA2F-4C7E-87B6-9FA7269651C8}" name="+11" dataDxfId="8"/>
    <tableColumn id="43" xr3:uid="{DB4630E9-7D69-4A0C-A1AC-AF8F7D5DE1C2}" name="+12" dataDxfId="7"/>
    <tableColumn id="44" xr3:uid="{CA1D119C-1CA2-41D5-92E5-72D4E17725B9}" name="+13" dataDxfId="6"/>
    <tableColumn id="45" xr3:uid="{A1AA9C1A-DCBD-416B-8751-2C4A266D236B}" name="+14" dataDxfId="5"/>
    <tableColumn id="46" xr3:uid="{71A1614F-527B-4294-B74E-9F2CBBA72E71}" name="+15" dataDxfId="4"/>
    <tableColumn id="47" xr3:uid="{3BF23FEB-72DA-4339-B2FE-0D7C4C265B8A}" name="+16" dataDxfId="3"/>
    <tableColumn id="48" xr3:uid="{0456168C-FD99-400F-8F0E-7997BE37E7F1}" name="+17" dataDxfId="2"/>
    <tableColumn id="49" xr3:uid="{79B399BE-653E-4FC8-8289-B99CE6BBDC6E}" name="+18" dataDxfId="1"/>
    <tableColumn id="50" xr3:uid="{0D7C0F36-E5B7-4C5A-A529-306ECD585625}" name="+19" dataDxfId="0"/>
  </tableColumns>
  <tableStyleInfo name="TableStyleMedium16 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C88E25C-E87C-4423-84C9-D991064966CF}" name="Table8" displayName="Table8" ref="A2:AO75" totalsRowShown="0" headerRowDxfId="132">
  <autoFilter ref="A2:AO75" xr:uid="{DC88E25C-E87C-4423-84C9-D991064966CF}"/>
  <tableColumns count="41">
    <tableColumn id="1" xr3:uid="{A71FB947-33D7-4370-86A4-B85616BB1C93}" name="NAME" dataDxfId="131"/>
    <tableColumn id="2" xr3:uid="{8AD01740-D47A-45A1-AE0E-1F66573102D8}" name="ATK"/>
    <tableColumn id="3" xr3:uid="{1BDB3173-62C0-47B0-BE31-8C257B033231}" name="RAGE"/>
    <tableColumn id="4" xr3:uid="{480CF866-FE9A-4EB2-A699-69128C998B30}" name="ATK2"/>
    <tableColumn id="5" xr3:uid="{28148C3E-8E37-461E-AE13-E066D1B0B7B0}" name="RAGE3"/>
    <tableColumn id="6" xr3:uid="{867097BE-7828-44F8-A1D8-9780324BC28F}" name="ATK4"/>
    <tableColumn id="7" xr3:uid="{0D51E46D-D572-4836-B02F-8B1A48602730}" name="RAGE5"/>
    <tableColumn id="8" xr3:uid="{3BCE66AB-A856-4F6B-B344-6FD043AF1ACE}" name="ATK6"/>
    <tableColumn id="9" xr3:uid="{681200E1-1408-4291-B4FF-C671AA1D4453}" name="RAGE7"/>
    <tableColumn id="10" xr3:uid="{9494629F-7351-4F73-9149-78B860949DB9}" name="ATK8"/>
    <tableColumn id="11" xr3:uid="{C304D834-9DDB-4921-9FEC-68275624DE6E}" name="RAGE9"/>
    <tableColumn id="12" xr3:uid="{C66ADE26-C78F-419B-8EB1-9E1F5B5E3149}" name="ATK10"/>
    <tableColumn id="13" xr3:uid="{9914A17F-F98B-43EE-9263-1DEE75AEEDF0}" name="RAGE11"/>
    <tableColumn id="14" xr3:uid="{F6A2CDA2-7544-4161-B492-A72E8ACB8540}" name="ATK12"/>
    <tableColumn id="15" xr3:uid="{94D19AFC-649D-4F7B-A715-078CD9056F2B}" name="RAGE13"/>
    <tableColumn id="16" xr3:uid="{106C609B-5E83-45E3-BBEE-67D4710DD0D5}" name="ATK14"/>
    <tableColumn id="17" xr3:uid="{5AA16070-75DB-4E81-ADE5-BFE51C4EA8C8}" name="RAGE15"/>
    <tableColumn id="18" xr3:uid="{D21DE397-C229-47BD-9CEB-6D0015E65696}" name="ATK16"/>
    <tableColumn id="19" xr3:uid="{796A0D94-42B0-4090-8269-4B70D5295DF5}" name="RAGE17"/>
    <tableColumn id="20" xr3:uid="{4FE94D59-BCF3-4CAA-88B4-931CC1780E3A}" name="ATK18"/>
    <tableColumn id="21" xr3:uid="{5E546190-54CA-4531-B8E3-D2B1C3035DC3}" name="RAGE19"/>
    <tableColumn id="22" xr3:uid="{EB77AE6C-6B2D-4CE1-AA3D-FE3199F1BD3F}" name="ATK20"/>
    <tableColumn id="23" xr3:uid="{9AD2337C-BFB5-44D5-9C6E-7C73DB087BCB}" name="RAGE21"/>
    <tableColumn id="24" xr3:uid="{60EEEF5E-BA8C-42DB-88CB-2DDB61629584}" name="ATK22"/>
    <tableColumn id="25" xr3:uid="{7FC1D662-EA73-4E84-86C6-B867D7D5C8AA}" name="RAGE23"/>
    <tableColumn id="26" xr3:uid="{27DB0A89-2D13-4097-8F60-7ABF657024C6}" name="ATK24"/>
    <tableColumn id="27" xr3:uid="{039A22D1-DFEF-41AD-800C-C3F0857E654B}" name="RAGE25"/>
    <tableColumn id="28" xr3:uid="{64DAFCCE-187C-4D1B-BC2A-F468F51680A4}" name="ATK26"/>
    <tableColumn id="29" xr3:uid="{A09691A7-23AC-4DEC-816C-8F30E3990B03}" name="RAGE27"/>
    <tableColumn id="30" xr3:uid="{0D9932D6-EEBA-4D6A-83FE-7CE8B4449E9C}" name="ATK28"/>
    <tableColumn id="31" xr3:uid="{0D9F323C-FD5A-4474-8546-3C98DD31247B}" name="RAGE29"/>
    <tableColumn id="32" xr3:uid="{F7FA552C-F844-4EF5-A024-3693F76BDF58}" name="ATK30"/>
    <tableColumn id="33" xr3:uid="{D95DE7C4-12FD-439F-8436-35673E9E61D3}" name="RAGE31"/>
    <tableColumn id="34" xr3:uid="{A0A507B5-21CB-4DCD-93DD-FE8D52DE5838}" name="ATK32"/>
    <tableColumn id="35" xr3:uid="{9B37DC47-A9AF-4F87-AF5D-C83E0BA18E23}" name="RAGE33"/>
    <tableColumn id="36" xr3:uid="{A08E9CA6-A56A-428F-98DB-4D12D2069865}" name="ATK34"/>
    <tableColumn id="37" xr3:uid="{F2E4ABB0-EDB8-48A7-8229-05E325B7576A}" name="RAGE35"/>
    <tableColumn id="38" xr3:uid="{A8D92F7F-4EA4-411D-A304-EBEE2AF6B05F}" name="ATK36"/>
    <tableColumn id="39" xr3:uid="{8F0E3CE1-9B52-470E-8429-94572A9C3596}" name="RAGE37"/>
    <tableColumn id="40" xr3:uid="{C26BFF4D-52A0-4A7C-925A-E69168D0C6FE}" name="ATK38"/>
    <tableColumn id="41" xr3:uid="{AF2E468D-87D0-42D1-84E0-1FBA781EBC9F}" name="RAGE39"/>
  </tableColumns>
  <tableStyleInfo name="TableStyleMedium16 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157799-8CF1-4931-89B3-E968FC444CBC}" name="TableMoves" displayName="TableMoves" ref="A2:O75" totalsRowShown="0" headerRowDxfId="130" dataDxfId="129">
  <autoFilter ref="A2:O75" xr:uid="{A3157799-8CF1-4931-89B3-E968FC444CBC}"/>
  <sortState xmlns:xlrd2="http://schemas.microsoft.com/office/spreadsheetml/2017/richdata2" ref="A3:N75">
    <sortCondition ref="A2:A75"/>
  </sortState>
  <tableColumns count="15">
    <tableColumn id="1" xr3:uid="{70568732-77E7-41C8-BF73-5969FCA8A14C}" name="Name" dataDxfId="128"/>
    <tableColumn id="2" xr3:uid="{CE7F14D0-DF33-4366-925B-A4E99014F594}" name="Move Name" dataDxfId="127"/>
    <tableColumn id="16" xr3:uid="{4B1117AA-BCD6-4407-A3B6-86ACA5D4736F}" name="Coeff" dataDxfId="126"/>
    <tableColumn id="4" xr3:uid="{598F906A-2A6D-433C-912A-2701422A04E5}" name="Move Name2" dataDxfId="125"/>
    <tableColumn id="17" xr3:uid="{E66BE197-D0CC-40F2-A36A-8627FCEE1A5B}" name="Coeff2" dataDxfId="124"/>
    <tableColumn id="6" xr3:uid="{0167AAFD-6BD3-4938-A28F-360669DD02AE}" name="Move Name3" dataDxfId="123"/>
    <tableColumn id="18" xr3:uid="{A846DB77-4395-412C-AAD6-9F2A30872086}" name="Coeff3" dataDxfId="122"/>
    <tableColumn id="8" xr3:uid="{9DFD57BF-EE65-4F4E-9966-C1A9E11244C0}" name="Move Name4" dataDxfId="121"/>
    <tableColumn id="19" xr3:uid="{EAFDDEF2-E2CA-4BD1-925E-879480BC4864}" name="Coeff4" dataDxfId="120"/>
    <tableColumn id="10" xr3:uid="{2453E1EB-EBAE-4725-8B78-5BB3D9FB49DB}" name="Move Name5" dataDxfId="119"/>
    <tableColumn id="20" xr3:uid="{22E3AD6D-3F90-44CF-B535-AA536961E86D}" name="Coeff5" dataDxfId="118"/>
    <tableColumn id="12" xr3:uid="{A6DAE8E1-B5FA-4850-8D30-339F1A81CE57}" name="Move Name6" dataDxfId="117"/>
    <tableColumn id="21" xr3:uid="{57B7D1B0-7D6E-4496-9AED-71D3C48A3E23}" name="Coeff6" dataDxfId="116"/>
    <tableColumn id="14" xr3:uid="{6291AA15-928F-4A92-82EE-366296765B33}" name="Move Name7" dataDxfId="115"/>
    <tableColumn id="22" xr3:uid="{4B9D3C08-2CAA-44E9-8A22-EA15C910920F}" name="Coeff7" dataDxfId="114"/>
  </tableColumns>
  <tableStyleInfo name="TableStyleMedium16 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33F5C83-EBC8-4091-BBC3-A152A8FFC8A2}" name="TableHeads" displayName="TableHeads" ref="A1:Q101" totalsRowShown="0" headerRowDxfId="113" dataDxfId="112" tableBorderDxfId="111">
  <autoFilter ref="A1:Q101" xr:uid="{433F5C83-EBC8-4091-BBC3-A152A8FFC8A2}"/>
  <tableColumns count="17">
    <tableColumn id="1" xr3:uid="{EC76C2E5-C0A2-457D-B1A1-5427A443DE5F}" name="NAME" dataDxfId="110"/>
    <tableColumn id="17" xr3:uid="{16E9FF11-1696-4043-A402-B0A1CA1BE91E}" name="SET" dataDxfId="109"/>
    <tableColumn id="2" xr3:uid="{9C1D6CFA-EEBA-44A4-8692-FE7107CDAFEA}" name="FACTION" dataDxfId="108"/>
    <tableColumn id="16" xr3:uid="{D383ABE8-CA61-4281-BA2B-896534EA7671}" name="DEG%" dataDxfId="107"/>
    <tableColumn id="3" xr3:uid="{C559F7E7-3C6B-404A-A1D4-B198651F8EF4}" name="HP%" dataDxfId="106"/>
    <tableColumn id="4" xr3:uid="{2A5BCA25-BD77-4271-A59A-81387C53A94A}" name="STM%" dataDxfId="105"/>
    <tableColumn id="5" xr3:uid="{1262EE0A-0090-48D0-8B71-895BC44AB76E}" name="STR%" dataDxfId="104"/>
    <tableColumn id="6" xr3:uid="{A03A792C-5E94-4EF3-8B7C-EAE8D88570AD}" name="DEX%" dataDxfId="103"/>
    <tableColumn id="7" xr3:uid="{D04A5EA6-8A51-420E-A740-39DE048BACF3}" name="VIT%" dataDxfId="102"/>
    <tableColumn id="8" xr3:uid="{EF633487-E6EB-46B5-8C95-9F9E262DEB19}" name="LUK%" dataDxfId="101"/>
    <tableColumn id="9" xr3:uid="{FFF54CF2-1420-474D-AE14-ED7120B843F9}" name="T1" dataDxfId="100"/>
    <tableColumn id="10" xr3:uid="{31E76BEF-0C3C-4533-A01F-2284D98FEF5E}" name="T2" dataDxfId="99"/>
    <tableColumn id="11" xr3:uid="{0EB2DCAF-AE20-4BFF-98A6-71218BDF72BD}" name="T3" dataDxfId="98"/>
    <tableColumn id="12" xr3:uid="{E698BDC0-5277-4FDB-8AD9-8652627767E9}" name="T4" dataDxfId="97"/>
    <tableColumn id="13" xr3:uid="{52C5332E-48BE-405C-ADA0-44315F34DE19}" name="9" dataDxfId="96"/>
    <tableColumn id="14" xr3:uid="{01E46500-0F72-41C0-9B81-EC572C427B52}" name="14" dataDxfId="95"/>
    <tableColumn id="15" xr3:uid="{4C74C792-DD88-4FA5-B362-9DF750C86FAB}" name="19" dataDxfId="94"/>
  </tableColumns>
  <tableStyleInfo name="TableStyleMedium16 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8FB464C-FA8B-4B29-8729-F3F446E6C5FA}" name="TableBodies" displayName="TableBodies" ref="A1:Q75" totalsRowShown="0" headerRowDxfId="93">
  <autoFilter ref="A1:Q75" xr:uid="{08FB464C-FA8B-4B29-8729-F3F446E6C5FA}"/>
  <tableColumns count="17">
    <tableColumn id="1" xr3:uid="{80E8D82C-3C54-4915-9F03-17A2C8EDC5AE}" name="NAME" dataDxfId="92"/>
    <tableColumn id="17" xr3:uid="{0A14121E-D3B8-4923-9431-A1D8C120FDEA}" name="SET" dataDxfId="91"/>
    <tableColumn id="2" xr3:uid="{15454108-D06C-4C94-BE4F-477142E2EFCC}" name="FACTION" dataDxfId="90"/>
    <tableColumn id="16" xr3:uid="{D0D42606-26DA-46D7-A2E5-0472D4AB63C3}" name="DEG%" dataDxfId="89"/>
    <tableColumn id="3" xr3:uid="{9DA3851A-60FF-4607-B96E-A253AEA64FAF}" name="SLASH%" dataDxfId="88"/>
    <tableColumn id="4" xr3:uid="{B581AE1A-2CBA-4D55-A37C-0F9A61D640B3}" name="BLUNT%" dataDxfId="87"/>
    <tableColumn id="5" xr3:uid="{3C828BAF-8F43-48AB-8339-BAF61D55A712}" name="PIERCE%" dataDxfId="86"/>
    <tableColumn id="6" xr3:uid="{24013ECA-5D18-430F-827E-FB32A4F112FB}" name="FIRE%" dataDxfId="85"/>
    <tableColumn id="7" xr3:uid="{9F8B9097-9391-4A83-B631-316E616F36F7}" name="ELEC%" dataDxfId="84"/>
    <tableColumn id="8" xr3:uid="{589AC244-7E2B-45F0-AA0C-E08D7391E418}" name="POISON%" dataDxfId="83"/>
    <tableColumn id="9" xr3:uid="{031F4CA4-B8BF-4C00-B50A-B4B92D90DBD6}" name="T1" dataDxfId="82"/>
    <tableColumn id="10" xr3:uid="{E7074F54-4F9D-4E64-BCB5-82F19768CA34}" name="T2" dataDxfId="81"/>
    <tableColumn id="11" xr3:uid="{5592E4AC-751F-45D2-A1BE-DBEF02350482}" name="T3" dataDxfId="80"/>
    <tableColumn id="12" xr3:uid="{B0DB5122-AF2E-4B73-B591-E5A936273EFA}" name="T4" dataDxfId="79"/>
    <tableColumn id="13" xr3:uid="{AA4CE21C-FA72-4E1E-A3EF-962621FCD740}" name="9" dataDxfId="78"/>
    <tableColumn id="14" xr3:uid="{CC9962A1-BD83-42E0-B7FD-738B8092D4F6}" name="14" dataDxfId="77"/>
    <tableColumn id="15" xr3:uid="{1A40B89D-A84D-4A60-A144-754F4878FE97}" name="19" dataDxfId="76"/>
  </tableColumns>
  <tableStyleInfo name="TableStyleMedium16 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DCA32EA-17F0-4A5E-8E1E-228D74385064}" name="TableLegs" displayName="TableLegs" ref="A1:Q72" totalsRowShown="0" headerRowDxfId="75">
  <autoFilter ref="A1:Q72" xr:uid="{3DCA32EA-17F0-4A5E-8E1E-228D74385064}"/>
  <tableColumns count="17">
    <tableColumn id="1" xr3:uid="{77B273B6-A0D2-4766-A409-BA9F63E9BC84}" name="NAME" dataDxfId="74"/>
    <tableColumn id="17" xr3:uid="{C353DCF3-AC46-4CAF-ABFF-C30FB3D77E13}" name="SET" dataDxfId="73"/>
    <tableColumn id="2" xr3:uid="{6844AD63-231D-48EA-8DE7-122A3C651FA7}" name="FACTION" dataDxfId="72"/>
    <tableColumn id="16" xr3:uid="{F1576341-9A10-4846-99C2-69EDF4B00F73}" name="DEG%" dataDxfId="71"/>
    <tableColumn id="3" xr3:uid="{B553A0F8-6051-4083-B0C5-A7C629C8F7F6}" name="SLASH%" dataDxfId="70"/>
    <tableColumn id="4" xr3:uid="{DC63D54A-555F-45CE-A947-1CAC6A558BC0}" name="BLUNT%" dataDxfId="69"/>
    <tableColumn id="5" xr3:uid="{60CE5A83-4256-4D63-83AD-DD22AFAC3A20}" name="PIERCE%" dataDxfId="68"/>
    <tableColumn id="6" xr3:uid="{65714875-1EA5-4C24-97C9-A0D9BA7200DC}" name="FIRE%" dataDxfId="67"/>
    <tableColumn id="7" xr3:uid="{199BA150-16AD-40B5-BB5B-A82C7759E785}" name="ELEC%" dataDxfId="66"/>
    <tableColumn id="8" xr3:uid="{537EE494-0089-4DA2-9D1D-D72CCD621491}" name="POISON%" dataDxfId="65"/>
    <tableColumn id="9" xr3:uid="{9D6E1079-8253-4FB7-B757-40855B5FDBFC}" name="T1" dataDxfId="64"/>
    <tableColumn id="10" xr3:uid="{C88D0306-AEFD-41D7-A588-B079E437DF72}" name="T2" dataDxfId="63"/>
    <tableColumn id="11" xr3:uid="{0A1DECE4-A3CC-4D4A-8A49-BF572989FF57}" name="T3" dataDxfId="62"/>
    <tableColumn id="12" xr3:uid="{0A50BBA1-4B28-4EA9-81A2-22BFF4414968}" name="T4" dataDxfId="61"/>
    <tableColumn id="13" xr3:uid="{CF27396E-FA81-4C04-AB0F-97E6C6558167}" name="9" dataDxfId="60"/>
    <tableColumn id="14" xr3:uid="{1B12FC5E-3DF6-4239-9670-053097F065FA}" name="14" dataDxfId="59"/>
    <tableColumn id="15" xr3:uid="{0E4601C6-077B-40F7-8E60-A3EEA32AE53E}" name="19" dataDxfId="58"/>
  </tableColumns>
  <tableStyleInfo name="TableStyleMedium16 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57EBE-EB43-46BE-9C8A-0374BD36AE2C}">
  <sheetPr codeName="Sheet1"/>
  <dimension ref="A1:AJ50"/>
  <sheetViews>
    <sheetView topLeftCell="A21" workbookViewId="0">
      <selection activeCell="AH36" sqref="AH36"/>
    </sheetView>
  </sheetViews>
  <sheetFormatPr defaultRowHeight="15"/>
  <sheetData>
    <row r="1" spans="1:23" ht="15.75" thickBot="1">
      <c r="A1" s="150" t="s">
        <v>848</v>
      </c>
      <c r="B1" s="150"/>
      <c r="C1" s="150"/>
      <c r="D1" s="150"/>
      <c r="E1" s="150"/>
      <c r="F1" s="150"/>
      <c r="G1" s="151" t="s">
        <v>450</v>
      </c>
      <c r="H1" s="151"/>
      <c r="I1" s="151"/>
      <c r="J1" s="151"/>
      <c r="K1" s="151"/>
      <c r="L1" s="151"/>
      <c r="M1" s="61"/>
      <c r="R1" s="61"/>
      <c r="S1" s="61"/>
      <c r="T1" s="61"/>
      <c r="U1" s="61"/>
      <c r="V1" s="61"/>
      <c r="W1" s="61"/>
    </row>
    <row r="2" spans="1:23" ht="15.75" thickBot="1">
      <c r="A2" s="152" t="s">
        <v>253</v>
      </c>
      <c r="B2" s="153"/>
      <c r="C2" s="154" t="s">
        <v>259</v>
      </c>
      <c r="D2" s="154"/>
      <c r="E2" s="154"/>
      <c r="F2" s="154"/>
      <c r="G2" s="49" t="s">
        <v>320</v>
      </c>
      <c r="H2" s="49" t="s">
        <v>321</v>
      </c>
      <c r="I2" s="49" t="s">
        <v>322</v>
      </c>
      <c r="J2" s="49" t="s">
        <v>323</v>
      </c>
      <c r="K2" s="49" t="s">
        <v>324</v>
      </c>
      <c r="L2" s="49" t="s">
        <v>325</v>
      </c>
      <c r="M2" s="61"/>
      <c r="R2" s="61"/>
      <c r="S2" s="61"/>
      <c r="T2" s="61"/>
      <c r="U2" s="61"/>
      <c r="V2" s="61"/>
      <c r="W2" s="61"/>
    </row>
    <row r="3" spans="1:23" ht="15.75" thickBot="1">
      <c r="A3" s="155" t="s">
        <v>239</v>
      </c>
      <c r="B3" s="155"/>
      <c r="C3" s="156">
        <v>8</v>
      </c>
      <c r="D3" s="156"/>
      <c r="E3" s="156"/>
      <c r="F3" s="156"/>
      <c r="G3" s="75">
        <v>14</v>
      </c>
      <c r="H3" s="75">
        <v>18.2</v>
      </c>
      <c r="I3" s="75">
        <v>12.5</v>
      </c>
      <c r="J3" s="75">
        <v>22.2</v>
      </c>
      <c r="K3" s="75">
        <v>19.8</v>
      </c>
      <c r="L3" s="75">
        <v>19.600000000000001</v>
      </c>
      <c r="M3" s="61"/>
      <c r="O3" s="182" t="s">
        <v>872</v>
      </c>
      <c r="P3" s="183"/>
      <c r="Q3" s="183"/>
      <c r="R3" s="183"/>
      <c r="S3" s="183"/>
      <c r="T3" s="183"/>
      <c r="U3" s="184"/>
      <c r="V3" s="61"/>
    </row>
    <row r="4" spans="1:23" ht="15.75" thickBot="1">
      <c r="A4" s="41" t="s">
        <v>241</v>
      </c>
      <c r="B4" s="42" t="s">
        <v>242</v>
      </c>
      <c r="C4" s="43" t="s">
        <v>243</v>
      </c>
      <c r="D4" s="44" t="s">
        <v>244</v>
      </c>
      <c r="E4" s="45" t="s">
        <v>245</v>
      </c>
      <c r="F4" s="46" t="s">
        <v>231</v>
      </c>
      <c r="G4" s="61"/>
      <c r="H4" s="61"/>
      <c r="I4" s="61"/>
      <c r="J4" s="61"/>
      <c r="K4" s="61"/>
      <c r="L4" s="61"/>
      <c r="M4" s="61"/>
      <c r="O4" s="41" t="s">
        <v>241</v>
      </c>
      <c r="P4" s="42" t="s">
        <v>242</v>
      </c>
      <c r="Q4" s="43" t="s">
        <v>243</v>
      </c>
      <c r="R4" s="44" t="s">
        <v>244</v>
      </c>
      <c r="S4" s="45" t="s">
        <v>245</v>
      </c>
      <c r="T4" s="46" t="s">
        <v>231</v>
      </c>
      <c r="U4" s="121" t="s">
        <v>12</v>
      </c>
      <c r="V4" s="61"/>
    </row>
    <row r="5" spans="1:23" ht="15.75" thickBot="1">
      <c r="A5" s="77" cm="1">
        <f t="array" ref="A5">INDEX(Fighters!$B$3:$AW$10,
  MATCH($C$3,Fighters!$A$3:$A$10,0),
  MATCH($C$2,Fighters!$B$1:$AW$1,0) + MATCH(A4,Fighters!$B$2:$G$2,0) - 1
)</f>
        <v>20295</v>
      </c>
      <c r="B5" s="77" cm="1">
        <f t="array" ref="B5">INDEX(Fighters!$B$3:$AW$10,
  MATCH($C$3,Fighters!$A$3:$A$10,0),
  MATCH($C$2,Fighters!$B$1:$AW$1,0) + MATCH(B4,Fighters!$B$2:$G$2,0) - 1
)</f>
        <v>282</v>
      </c>
      <c r="C5" s="77" cm="1">
        <f t="array" ref="C5">INDEX(Fighters!$B$3:$AW$10,
  MATCH($C$3,Fighters!$A$3:$A$10,0),
  MATCH($C$2,Fighters!$B$1:$AW$1,0) + MATCH(C4,Fighters!$B$2:$G$2,0) - 1
)</f>
        <v>206</v>
      </c>
      <c r="D5" s="77" cm="1">
        <f t="array" ref="D5">INDEX(Fighters!$B$3:$AW$10,
  MATCH($C$3,Fighters!$A$3:$A$10,0),
  MATCH($C$2,Fighters!$B$1:$AW$1,0) + MATCH(D4,Fighters!$B$2:$G$2,0) - 1
)</f>
        <v>540</v>
      </c>
      <c r="E5" s="77" cm="1">
        <f t="array" ref="E5">INDEX(Fighters!$B$3:$AW$10,
  MATCH($C$3,Fighters!$A$3:$A$10,0),
  MATCH($C$2,Fighters!$B$1:$AW$1,0) + MATCH(E4,Fighters!$B$2:$G$2,0) - 1
)</f>
        <v>174</v>
      </c>
      <c r="F5" s="77" cm="1">
        <f t="array" ref="F5">INDEX(Fighters!$B$3:$AW$10,
  MATCH($C$3,Fighters!$A$3:$A$10,0),
  MATCH($C$2,Fighters!$B$1:$AW$1,0) + MATCH(F4,Fighters!$B$2:$G$2,0) - 1
)</f>
        <v>53</v>
      </c>
      <c r="G5" s="61"/>
      <c r="H5" s="61"/>
      <c r="I5" s="61"/>
      <c r="J5" s="61"/>
      <c r="K5" s="61"/>
      <c r="L5" s="61"/>
      <c r="M5" s="61"/>
      <c r="O5" s="50">
        <f ca="1">Calc!B87</f>
        <v>22121.550000000003</v>
      </c>
      <c r="P5" s="50">
        <f ca="1">Calc!C87</f>
        <v>282</v>
      </c>
      <c r="Q5" s="50">
        <f ca="1">Calc!D87</f>
        <v>206</v>
      </c>
      <c r="R5" s="50">
        <f ca="1">Calc!E87</f>
        <v>626.4</v>
      </c>
      <c r="S5" s="50">
        <f ca="1">Calc!F87</f>
        <v>174</v>
      </c>
      <c r="T5" s="50">
        <f ca="1">Calc!G87</f>
        <v>53</v>
      </c>
      <c r="U5" s="50">
        <f ca="1">Calc!H87</f>
        <v>35.5</v>
      </c>
      <c r="V5" s="61"/>
    </row>
    <row r="6" spans="1:23" ht="15.75" thickBot="1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U6" s="61"/>
      <c r="V6" s="61"/>
      <c r="W6" s="61"/>
    </row>
    <row r="7" spans="1:23" ht="15.75" thickBot="1">
      <c r="A7" s="158" t="s">
        <v>323</v>
      </c>
      <c r="B7" s="158"/>
      <c r="C7" s="158"/>
      <c r="D7" s="158"/>
      <c r="E7" s="158"/>
      <c r="F7" s="158" t="s">
        <v>239</v>
      </c>
      <c r="G7" s="158"/>
      <c r="I7" s="78"/>
      <c r="J7" s="158" t="s">
        <v>710</v>
      </c>
      <c r="K7" s="158"/>
      <c r="L7" s="158"/>
      <c r="O7" s="151" t="s">
        <v>873</v>
      </c>
      <c r="P7" s="151"/>
      <c r="Q7" s="151"/>
      <c r="R7" s="151"/>
      <c r="S7" s="151"/>
      <c r="T7" s="151"/>
      <c r="U7" s="151"/>
    </row>
    <row r="8" spans="1:23" ht="15.75" thickBot="1">
      <c r="A8" s="157" t="s">
        <v>467</v>
      </c>
      <c r="B8" s="157"/>
      <c r="C8" s="157"/>
      <c r="D8" s="157"/>
      <c r="E8" s="157"/>
      <c r="F8" s="157" t="s">
        <v>309</v>
      </c>
      <c r="G8" s="157"/>
      <c r="I8" s="92">
        <v>1</v>
      </c>
      <c r="J8" s="178"/>
      <c r="K8" s="178"/>
      <c r="L8" s="178"/>
      <c r="O8" s="122" t="s">
        <v>707</v>
      </c>
      <c r="P8" s="105" t="s">
        <v>320</v>
      </c>
      <c r="Q8" s="105" t="s">
        <v>321</v>
      </c>
      <c r="R8" s="105" t="s">
        <v>322</v>
      </c>
      <c r="S8" s="123" t="s">
        <v>341</v>
      </c>
      <c r="T8" s="111" t="s">
        <v>342</v>
      </c>
      <c r="U8" s="112" t="s">
        <v>343</v>
      </c>
    </row>
    <row r="9" spans="1:23" ht="15.75" thickBot="1">
      <c r="A9" s="164" t="s">
        <v>711</v>
      </c>
      <c r="B9" s="164"/>
      <c r="C9" s="165" t="str">
        <f>_xlfn.XLOOKUP(A8,Heads!A2:A101,Heads!B2:B101)</f>
        <v>Iron Eagle RE</v>
      </c>
      <c r="D9" s="166"/>
      <c r="E9" s="162" t="s">
        <v>340</v>
      </c>
      <c r="F9" s="162"/>
      <c r="G9" s="135" t="str">
        <f>_xlfn.XLOOKUP(A8,Heads!A2:A101,Heads!C2:C101)</f>
        <v>WE</v>
      </c>
      <c r="I9" s="92">
        <v>2</v>
      </c>
      <c r="J9" s="178"/>
      <c r="K9" s="178"/>
      <c r="L9" s="178"/>
      <c r="O9" s="50">
        <f ca="1">Calc!K87</f>
        <v>10916.928</v>
      </c>
      <c r="P9" s="50">
        <f ca="1">Calc!L87</f>
        <v>0</v>
      </c>
      <c r="Q9" s="50">
        <f ca="1">Calc!M87</f>
        <v>0</v>
      </c>
      <c r="R9" s="50">
        <f ca="1">Calc!N87</f>
        <v>18</v>
      </c>
      <c r="S9" s="50">
        <f ca="1">Calc!O87</f>
        <v>10</v>
      </c>
      <c r="T9" s="50">
        <f ca="1">Calc!P87</f>
        <v>0</v>
      </c>
      <c r="U9" s="50">
        <f ca="1">Calc!Q87</f>
        <v>18</v>
      </c>
    </row>
    <row r="10" spans="1:23" ht="15.75" thickBot="1">
      <c r="A10" s="94" t="s">
        <v>707</v>
      </c>
      <c r="B10" s="41" t="s">
        <v>241</v>
      </c>
      <c r="C10" s="42" t="s">
        <v>242</v>
      </c>
      <c r="D10" s="43" t="s">
        <v>243</v>
      </c>
      <c r="E10" s="44" t="s">
        <v>244</v>
      </c>
      <c r="F10" s="45" t="s">
        <v>245</v>
      </c>
      <c r="G10" s="46" t="s">
        <v>231</v>
      </c>
      <c r="I10" s="92">
        <v>3</v>
      </c>
      <c r="J10" s="178"/>
      <c r="K10" s="178"/>
      <c r="L10" s="178"/>
    </row>
    <row r="11" spans="1:23" ht="15.75" thickBot="1">
      <c r="A11" s="60">
        <f>INDEX(TableHeads[],
  MATCH(A8,TableHeads[NAME],0),
  MATCH(F8,TableHeads[#Headers],0)
)</f>
        <v>1295</v>
      </c>
      <c r="B11" s="60">
        <f>_xlfn.XLOOKUP(A8,TableHeads[NAME],TableHeads[HP%])</f>
        <v>9</v>
      </c>
      <c r="C11" s="60">
        <f>_xlfn.XLOOKUP(A8,TableHeads[NAME],TableHeads[STM%])</f>
        <v>0</v>
      </c>
      <c r="D11" s="60">
        <f>_xlfn.XLOOKUP(A8,TableHeads[NAME],TableHeads[STR%])</f>
        <v>0</v>
      </c>
      <c r="E11" s="60">
        <f>_xlfn.XLOOKUP(A8,TableHeads[NAME],TableHeads[DEX%])</f>
        <v>16</v>
      </c>
      <c r="F11" s="60">
        <f>_xlfn.XLOOKUP(A8,TableHeads[NAME],TableHeads[VIT%])</f>
        <v>0</v>
      </c>
      <c r="G11" s="60">
        <f>_xlfn.XLOOKUP(A8,TableHeads[NAME],TableHeads[LUK%])</f>
        <v>0</v>
      </c>
      <c r="I11" s="92">
        <v>4</v>
      </c>
      <c r="J11" s="178"/>
      <c r="K11" s="178"/>
      <c r="L11" s="178"/>
      <c r="O11" s="151" t="s">
        <v>903</v>
      </c>
      <c r="P11" s="151"/>
      <c r="Q11" s="151"/>
      <c r="R11" s="151"/>
      <c r="S11" s="151"/>
      <c r="T11" s="151"/>
    </row>
    <row r="12" spans="1:23" ht="15.75" thickBot="1">
      <c r="A12" s="95">
        <f>A11*(J3/100+1)</f>
        <v>1582.49</v>
      </c>
      <c r="B12" s="163" t="s">
        <v>849</v>
      </c>
      <c r="C12" s="163"/>
      <c r="D12" s="163"/>
      <c r="E12" s="79"/>
      <c r="F12" s="79"/>
      <c r="G12" s="79"/>
      <c r="H12" s="61"/>
      <c r="I12" s="92">
        <v>5</v>
      </c>
      <c r="J12" s="178"/>
      <c r="K12" s="178"/>
      <c r="L12" s="178"/>
      <c r="O12" s="186" t="s">
        <v>895</v>
      </c>
      <c r="P12" s="186"/>
      <c r="Q12" s="187" t="s">
        <v>904</v>
      </c>
      <c r="R12" s="187"/>
      <c r="S12" s="187" t="s">
        <v>905</v>
      </c>
      <c r="T12" s="187"/>
    </row>
    <row r="13" spans="1:23" ht="15.75" thickBot="1">
      <c r="H13" s="61"/>
      <c r="I13" s="92">
        <v>6</v>
      </c>
      <c r="J13" s="178"/>
      <c r="K13" s="178"/>
      <c r="L13" s="178"/>
      <c r="O13" s="181">
        <f>Calc!I87</f>
        <v>1.5</v>
      </c>
      <c r="P13" s="181"/>
      <c r="Q13" s="181">
        <f ca="1">Calc!H95</f>
        <v>1.5</v>
      </c>
      <c r="R13" s="181"/>
      <c r="S13" s="181">
        <f ca="1">Calc!H96</f>
        <v>2.38</v>
      </c>
      <c r="T13" s="181"/>
    </row>
    <row r="14" spans="1:23" ht="15.75" thickBot="1">
      <c r="A14" s="158" t="s">
        <v>324</v>
      </c>
      <c r="B14" s="158"/>
      <c r="C14" s="158"/>
      <c r="D14" s="158"/>
      <c r="E14" s="158"/>
      <c r="F14" s="158" t="s">
        <v>239</v>
      </c>
      <c r="G14" s="158"/>
      <c r="H14" s="80"/>
      <c r="I14" s="92">
        <v>7</v>
      </c>
      <c r="J14" s="178"/>
      <c r="K14" s="178"/>
      <c r="L14" s="178"/>
      <c r="P14" s="80"/>
    </row>
    <row r="15" spans="1:23" ht="15.75" thickBot="1">
      <c r="A15" s="157" t="s">
        <v>536</v>
      </c>
      <c r="B15" s="157"/>
      <c r="C15" s="157"/>
      <c r="D15" s="157"/>
      <c r="E15" s="157"/>
      <c r="F15" s="157" t="s">
        <v>309</v>
      </c>
      <c r="G15" s="157"/>
      <c r="H15" s="61"/>
      <c r="I15" s="92">
        <v>8</v>
      </c>
      <c r="J15" s="178"/>
      <c r="K15" s="178"/>
      <c r="L15" s="178"/>
      <c r="P15" s="61"/>
    </row>
    <row r="16" spans="1:23" ht="15.75" thickBot="1">
      <c r="A16" s="159" t="s">
        <v>711</v>
      </c>
      <c r="B16" s="159"/>
      <c r="C16" s="160" t="str">
        <f>_xlfn.XLOOKUP(A15,Bodies!A2:A101,Bodies!B2:B101)</f>
        <v>Iron Eagle RE</v>
      </c>
      <c r="D16" s="160"/>
      <c r="E16" s="161" t="s">
        <v>340</v>
      </c>
      <c r="F16" s="162"/>
      <c r="G16" s="60" t="str">
        <f>_xlfn.XLOOKUP(A15,Bodies!A2:A101,Bodies!C2:C101)</f>
        <v>WE</v>
      </c>
      <c r="H16" s="61"/>
      <c r="I16" s="92">
        <v>9</v>
      </c>
      <c r="J16" s="178"/>
      <c r="K16" s="178"/>
      <c r="L16" s="178"/>
      <c r="P16" s="61"/>
    </row>
    <row r="17" spans="1:36" ht="15.75" thickBot="1">
      <c r="A17" s="94" t="s">
        <v>707</v>
      </c>
      <c r="B17" s="74" t="s">
        <v>320</v>
      </c>
      <c r="C17" s="74" t="s">
        <v>321</v>
      </c>
      <c r="D17" s="74" t="s">
        <v>322</v>
      </c>
      <c r="E17" s="41" t="s">
        <v>341</v>
      </c>
      <c r="F17" s="111" t="s">
        <v>342</v>
      </c>
      <c r="G17" s="112" t="s">
        <v>343</v>
      </c>
      <c r="H17" s="61"/>
      <c r="P17" s="61"/>
    </row>
    <row r="18" spans="1:36" ht="15.75" thickBot="1">
      <c r="A18" s="60">
        <f>INDEX(TableBodies[],
  MATCH(A15,TableBodies[NAME],0),
  MATCH(F15,TableBodies[#Headers],0)
)</f>
        <v>4613</v>
      </c>
      <c r="B18" s="60">
        <f>_xlfn.XLOOKUP(A15,TableBodies[NAME],TableBodies[SLASH%])</f>
        <v>0</v>
      </c>
      <c r="C18" s="60">
        <f>_xlfn.XLOOKUP(A15,TableBodies[NAME],TableBodies[BLUNT%])</f>
        <v>0</v>
      </c>
      <c r="D18" s="60">
        <f>_xlfn.XLOOKUP(A15,TableBodies[NAME],TableBodies[PIERCE%])</f>
        <v>9</v>
      </c>
      <c r="E18" s="60">
        <f>_xlfn.XLOOKUP(A15,TableBodies[NAME],TableBodies[FIRE%])</f>
        <v>5</v>
      </c>
      <c r="F18" s="60">
        <f>_xlfn.XLOOKUP(A15,TableBodies[NAME],TableBodies[ELEC%])</f>
        <v>0</v>
      </c>
      <c r="G18" s="60">
        <f>_xlfn.XLOOKUP(A15,TableBodies[NAME],TableBodies[POISON%])</f>
        <v>9</v>
      </c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</row>
    <row r="19" spans="1:36" ht="15.75" thickBot="1">
      <c r="A19" s="95">
        <f>A18*(K3/100+1)</f>
        <v>5526.3739999999998</v>
      </c>
      <c r="B19" s="163" t="s">
        <v>849</v>
      </c>
      <c r="C19" s="163"/>
      <c r="D19" s="163"/>
      <c r="E19" s="79"/>
      <c r="F19" s="79"/>
      <c r="G19" s="79"/>
      <c r="R19" s="61"/>
      <c r="S19" s="61"/>
      <c r="T19" s="61"/>
      <c r="U19" s="61"/>
      <c r="V19" s="61"/>
    </row>
    <row r="20" spans="1:36" ht="15.75" thickBot="1">
      <c r="R20" s="61"/>
      <c r="S20" s="61"/>
      <c r="T20" s="61"/>
      <c r="U20" s="61"/>
      <c r="V20" s="61"/>
    </row>
    <row r="21" spans="1:36" ht="15.75" thickBot="1">
      <c r="A21" s="158" t="s">
        <v>847</v>
      </c>
      <c r="B21" s="158"/>
      <c r="C21" s="158"/>
      <c r="D21" s="158"/>
      <c r="E21" s="158"/>
      <c r="F21" s="158" t="s">
        <v>239</v>
      </c>
      <c r="G21" s="158"/>
      <c r="R21" s="78"/>
      <c r="S21" s="61"/>
    </row>
    <row r="22" spans="1:36" ht="15.75" thickBot="1">
      <c r="A22" s="157" t="s">
        <v>586</v>
      </c>
      <c r="B22" s="157"/>
      <c r="C22" s="157"/>
      <c r="D22" s="157"/>
      <c r="E22" s="157"/>
      <c r="F22" s="157" t="s">
        <v>309</v>
      </c>
      <c r="G22" s="157"/>
      <c r="R22" s="61"/>
      <c r="S22" s="61"/>
    </row>
    <row r="23" spans="1:36" ht="15.75" thickBot="1">
      <c r="A23" s="159" t="s">
        <v>711</v>
      </c>
      <c r="B23" s="159"/>
      <c r="C23" s="160" t="str">
        <f>_xlfn.XLOOKUP(A22,Legs!A2:A101,Legs!B2:B101)</f>
        <v>Iron Eagle RE</v>
      </c>
      <c r="D23" s="160"/>
      <c r="E23" s="161" t="s">
        <v>340</v>
      </c>
      <c r="F23" s="162"/>
      <c r="G23" s="60" t="str">
        <f>_xlfn.XLOOKUP(A22,Legs!A2:A101,Legs!C2:C101)</f>
        <v>WE</v>
      </c>
      <c r="R23" s="61"/>
      <c r="S23" s="61"/>
    </row>
    <row r="24" spans="1:36" ht="15.75" thickBot="1">
      <c r="A24" s="94" t="s">
        <v>707</v>
      </c>
      <c r="B24" s="74" t="s">
        <v>320</v>
      </c>
      <c r="C24" s="74" t="s">
        <v>321</v>
      </c>
      <c r="D24" s="74" t="s">
        <v>322</v>
      </c>
      <c r="E24" s="41" t="s">
        <v>341</v>
      </c>
      <c r="F24" s="111" t="s">
        <v>342</v>
      </c>
      <c r="G24" s="112" t="s">
        <v>343</v>
      </c>
      <c r="R24" s="61"/>
      <c r="S24" s="61"/>
    </row>
    <row r="25" spans="1:36" ht="15.75" thickBot="1">
      <c r="A25" s="60">
        <f>INDEX(TableLegs[],
  MATCH(A22,TableLegs[NAME],0),
  MATCH(F22,TableLegs[#Headers],0)
)</f>
        <v>3184</v>
      </c>
      <c r="B25" s="60">
        <f>_xlfn.XLOOKUP(A22,TableLegs[NAME],TableLegs[SLASH%])</f>
        <v>0</v>
      </c>
      <c r="C25" s="60">
        <f>_xlfn.XLOOKUP(A22,TableLegs[NAME],TableLegs[BLUNT%])</f>
        <v>0</v>
      </c>
      <c r="D25" s="60">
        <f>_xlfn.XLOOKUP(A22,TableLegs[NAME],TableLegs[PIERCE%])</f>
        <v>9</v>
      </c>
      <c r="E25" s="60">
        <f>_xlfn.XLOOKUP(A22,TableLegs[NAME],TableLegs[FIRE%])</f>
        <v>5</v>
      </c>
      <c r="F25" s="60">
        <f>_xlfn.XLOOKUP(A22,TableLegs[NAME],TableLegs[ELEC%])</f>
        <v>0</v>
      </c>
      <c r="G25" s="60">
        <f>_xlfn.XLOOKUP(A22,TableLegs[NAME],TableLegs[POISON%])</f>
        <v>9</v>
      </c>
      <c r="R25" s="78"/>
      <c r="S25" s="61"/>
    </row>
    <row r="26" spans="1:36" ht="15.75" thickBot="1">
      <c r="A26" s="95">
        <f>A25*(L3/100+1)</f>
        <v>3808.0639999999999</v>
      </c>
      <c r="B26" s="163" t="s">
        <v>849</v>
      </c>
      <c r="C26" s="163"/>
      <c r="D26" s="163"/>
      <c r="E26" s="79"/>
      <c r="F26" s="79"/>
      <c r="G26" s="79"/>
      <c r="R26" s="61"/>
    </row>
    <row r="27" spans="1:36" ht="15.75" thickBot="1">
      <c r="R27" s="61"/>
    </row>
    <row r="28" spans="1:36" ht="15.75" thickBot="1">
      <c r="A28" s="158" t="s">
        <v>877</v>
      </c>
      <c r="B28" s="158"/>
      <c r="C28" s="158"/>
      <c r="D28" s="49" t="s">
        <v>239</v>
      </c>
      <c r="E28" s="158" t="s">
        <v>958</v>
      </c>
      <c r="F28" s="158"/>
      <c r="G28" s="61"/>
      <c r="H28" s="61"/>
      <c r="R28" s="61"/>
    </row>
    <row r="29" spans="1:36" ht="15.75" thickBot="1">
      <c r="A29" s="157" t="s">
        <v>278</v>
      </c>
      <c r="B29" s="157"/>
      <c r="C29" s="157"/>
      <c r="D29" s="76" t="s">
        <v>309</v>
      </c>
      <c r="E29" s="157">
        <v>20</v>
      </c>
      <c r="F29" s="157"/>
      <c r="G29" s="61"/>
      <c r="H29" s="61"/>
      <c r="R29" s="61"/>
    </row>
    <row r="30" spans="1:36" ht="15.75" thickBot="1">
      <c r="A30" s="167" t="s">
        <v>855</v>
      </c>
      <c r="B30" s="167"/>
      <c r="C30" s="170" t="str">
        <f>_xlfn.XLOOKUP(A29,Weapons!A2:A74,Weapons!B2:B74)</f>
        <v>Assault Rifle</v>
      </c>
      <c r="D30" s="170"/>
      <c r="E30" s="78"/>
      <c r="F30" s="171" t="s">
        <v>779</v>
      </c>
      <c r="G30" s="172"/>
      <c r="H30" s="172"/>
      <c r="I30" s="172" t="s">
        <v>900</v>
      </c>
      <c r="J30" s="172"/>
      <c r="K30" s="172"/>
      <c r="L30" s="172"/>
      <c r="M30" s="172" t="s">
        <v>901</v>
      </c>
      <c r="N30" s="172"/>
      <c r="O30" s="172"/>
      <c r="P30" s="172"/>
      <c r="Q30" s="148"/>
      <c r="R30" s="148"/>
      <c r="S30" s="148"/>
      <c r="T30" s="148"/>
      <c r="U30" s="148"/>
      <c r="V30" s="148"/>
    </row>
    <row r="31" spans="1:36" ht="15.75" thickBot="1">
      <c r="A31" s="167" t="s">
        <v>0</v>
      </c>
      <c r="B31" s="167"/>
      <c r="C31" s="168" t="e">
        <f>INDEX(Weapons!A2:W74,
  MATCH(A29,Weapons!A2:A74,0),
  MATCH(D29,Weapons!A1:W1,0)
)</f>
        <v>#N/A</v>
      </c>
      <c r="D31" s="168"/>
      <c r="E31" s="61"/>
      <c r="F31" s="169" t="s">
        <v>854</v>
      </c>
      <c r="G31" s="169"/>
      <c r="H31" s="149" t="s">
        <v>449</v>
      </c>
      <c r="I31" s="179" t="s">
        <v>337</v>
      </c>
      <c r="J31" s="179"/>
      <c r="K31" s="180" t="s">
        <v>887</v>
      </c>
      <c r="L31" s="180"/>
      <c r="M31" s="179" t="s">
        <v>337</v>
      </c>
      <c r="N31" s="179"/>
      <c r="O31" s="180" t="s">
        <v>887</v>
      </c>
      <c r="P31" s="180"/>
      <c r="Q31" s="169" t="s">
        <v>916</v>
      </c>
      <c r="R31" s="169"/>
      <c r="S31" s="195" t="s">
        <v>961</v>
      </c>
      <c r="T31" s="196"/>
      <c r="U31" s="193" t="s">
        <v>962</v>
      </c>
      <c r="V31" s="194"/>
      <c r="X31" s="151" t="s">
        <v>902</v>
      </c>
      <c r="Y31" s="151"/>
      <c r="Z31" s="151"/>
      <c r="AA31" s="43" t="s">
        <v>906</v>
      </c>
      <c r="AB31" s="43" t="s">
        <v>907</v>
      </c>
      <c r="AD31" s="151" t="s">
        <v>964</v>
      </c>
      <c r="AE31" s="151"/>
      <c r="AF31" s="151"/>
      <c r="AG31" s="151"/>
      <c r="AH31" s="151"/>
      <c r="AI31" s="151"/>
      <c r="AJ31" s="151"/>
    </row>
    <row r="32" spans="1:36" ht="15.75" thickBot="1">
      <c r="A32" s="167" t="s">
        <v>2</v>
      </c>
      <c r="B32" s="176"/>
      <c r="C32" s="97" t="str">
        <f>_xlfn.XLOOKUP(A29,TableWeapons[NAME],TableWeapons[RAW TYPE])</f>
        <v>Piercing</v>
      </c>
      <c r="D32" s="98">
        <f>_xlfn.XLOOKUP(A29,TableWeapons[NAME],TableWeapons[RAW %])</f>
        <v>100</v>
      </c>
      <c r="E32" s="52">
        <v>1</v>
      </c>
      <c r="F32" s="170" t="str" cm="1">
        <f t="array" ref="F32">INDEX('Weapon Moves'!$A$3:$O$75,
  MATCH(Calc!A15,'Weapon Moves'!$A$3:$A$75,0),
  MATCH(Calc!E18,'Weapon Moves'!$A$1:$O$1,0) + MATCH(Calc!$F$17,'Weapon Moves'!$B$2:$C$2,0) - 1
)</f>
        <v>normal</v>
      </c>
      <c r="G32" s="170"/>
      <c r="H32" s="96" cm="1">
        <f t="array" ref="H32">INDEX('Weapon Moves'!$A$3:$O$75,
  MATCH(Calc!A15,'Weapon Moves'!$A$3:$A$75,0),
  MATCH(Calc!E18,'Weapon Moves'!$A$1:$O$1,0) + MATCH(Calc!$F$17,'Weapon Moves'!$B$2:$C$2,0)
)</f>
        <v>3.9643010960087349E-2</v>
      </c>
      <c r="I32" s="177" t="e">
        <f ca="1">Calc!W100</f>
        <v>#N/A</v>
      </c>
      <c r="J32" s="177"/>
      <c r="K32" s="177" t="e">
        <f ca="1">Calc!Y100</f>
        <v>#N/A</v>
      </c>
      <c r="L32" s="177"/>
      <c r="M32" s="177" t="e">
        <f t="shared" ref="M32:M38" ca="1" si="0">I32*$AA$45</f>
        <v>#N/A</v>
      </c>
      <c r="N32" s="177"/>
      <c r="O32" s="177" t="e">
        <f t="shared" ref="O32:O38" ca="1" si="1">K32*$AA$45</f>
        <v>#N/A</v>
      </c>
      <c r="P32" s="177"/>
      <c r="Q32" s="177" t="e">
        <f ca="1">M32+O32</f>
        <v>#N/A</v>
      </c>
      <c r="R32" s="190"/>
      <c r="S32" s="177" t="e">
        <f ca="1">Q32*0.95</f>
        <v>#N/A</v>
      </c>
      <c r="T32" s="177"/>
      <c r="U32" s="177" t="e">
        <f ca="1">Q32*1.05</f>
        <v>#N/A</v>
      </c>
      <c r="V32" s="177"/>
      <c r="X32" s="130" t="b">
        <v>0</v>
      </c>
      <c r="Y32" s="197" t="s">
        <v>896</v>
      </c>
      <c r="Z32" s="188"/>
      <c r="AA32" s="124">
        <f>IF(X32=TRUE,O13, 1)</f>
        <v>1</v>
      </c>
      <c r="AB32" s="124">
        <f>IF(X32=TRUE,O13, 1)</f>
        <v>1</v>
      </c>
      <c r="AD32" s="84"/>
      <c r="AE32" s="122" t="s">
        <v>323</v>
      </c>
      <c r="AF32" s="122" t="s">
        <v>324</v>
      </c>
      <c r="AG32" s="122" t="s">
        <v>847</v>
      </c>
      <c r="AH32" s="122" t="s">
        <v>882</v>
      </c>
      <c r="AI32" s="84"/>
      <c r="AJ32" s="84"/>
    </row>
    <row r="33" spans="1:36" ht="15.75" thickBot="1">
      <c r="A33" s="167" t="s">
        <v>850</v>
      </c>
      <c r="B33" s="176"/>
      <c r="C33" s="100">
        <f>_xlfn.XLOOKUP(A29,TableWeapons[NAME],TableWeapons[E TYPE])</f>
        <v>0</v>
      </c>
      <c r="D33" s="99">
        <f>_xlfn.XLOOKUP(A29,TableWeapons[NAME],TableWeapons[E %])</f>
        <v>0</v>
      </c>
      <c r="E33" s="52">
        <v>2</v>
      </c>
      <c r="F33" s="174" t="str" cm="1">
        <f t="array" ref="F33">INDEX('Weapon Moves'!$A$3:$O$75,
  MATCH(Calc!A15,'Weapon Moves'!$A$3:$A$75,0),
  MATCH(Calc!E19,'Weapon Moves'!$A$1:$O$1,0) + MATCH(Calc!$F$17,'Weapon Moves'!$B$2:$C$2,0) - 1
)</f>
        <v>Rage</v>
      </c>
      <c r="G33" s="175"/>
      <c r="H33" s="96" cm="1">
        <f t="array" ref="H33">INDEX('Weapon Moves'!$A$3:$O$75,
  MATCH(Calc!A15,'Weapon Moves'!$A$3:$A$75,0),
  MATCH(Calc!E19,'Weapon Moves'!$A$1:$O$1,0) + MATCH(Calc!$F$17,'Weapon Moves'!$B$2:$C$2,0)
)</f>
        <v>0.5642641803488887</v>
      </c>
      <c r="I33" s="177" t="e">
        <f ca="1">Calc!W101</f>
        <v>#N/A</v>
      </c>
      <c r="J33" s="177"/>
      <c r="K33" s="177" t="e">
        <f ca="1">Calc!Y101</f>
        <v>#N/A</v>
      </c>
      <c r="L33" s="177"/>
      <c r="M33" s="177" t="e">
        <f t="shared" ca="1" si="0"/>
        <v>#N/A</v>
      </c>
      <c r="N33" s="177"/>
      <c r="O33" s="177" t="e">
        <f ca="1">K33*$AA$45</f>
        <v>#N/A</v>
      </c>
      <c r="P33" s="177"/>
      <c r="Q33" s="177" t="e">
        <f t="shared" ref="Q33:Q38" ca="1" si="2">M33+O33</f>
        <v>#N/A</v>
      </c>
      <c r="R33" s="190"/>
      <c r="S33" s="177" t="e">
        <f t="shared" ref="S33:S38" ca="1" si="3">Q33*0.95</f>
        <v>#N/A</v>
      </c>
      <c r="T33" s="177"/>
      <c r="U33" s="177" t="e">
        <f t="shared" ref="U33:U38" ca="1" si="4">Q33*1.05</f>
        <v>#N/A</v>
      </c>
      <c r="V33" s="177"/>
      <c r="X33" s="130" t="b">
        <v>0</v>
      </c>
      <c r="Y33" s="197" t="s">
        <v>897</v>
      </c>
      <c r="Z33" s="188"/>
      <c r="AA33" s="124">
        <f>IF(X33=TRUE,Q13,1)</f>
        <v>1</v>
      </c>
      <c r="AB33" s="124">
        <f>IF(X33=TRUE,S13,1)</f>
        <v>1</v>
      </c>
      <c r="AD33" s="141" t="s">
        <v>707</v>
      </c>
      <c r="AE33" s="139">
        <v>2000</v>
      </c>
      <c r="AF33" s="139">
        <v>7000</v>
      </c>
      <c r="AG33" s="139">
        <v>4000</v>
      </c>
      <c r="AH33" s="142"/>
    </row>
    <row r="34" spans="1:36" ht="15.75" thickBot="1">
      <c r="A34" s="167" t="s">
        <v>851</v>
      </c>
      <c r="B34" s="167"/>
      <c r="C34" s="173">
        <f>_xlfn.XLOOKUP(A29,TableWeapons[NAME],TableWeapons[STR %])</f>
        <v>0</v>
      </c>
      <c r="D34" s="173"/>
      <c r="E34" s="52">
        <v>3</v>
      </c>
      <c r="F34" s="174" t="str" cm="1">
        <f t="array" ref="F34">INDEX('Weapon Moves'!$A$3:$O$75,
  MATCH(Calc!A15,'Weapon Moves'!$A$3:$A$75,0),
  MATCH(Calc!E20,'Weapon Moves'!$A$1:$O$1,0) + MATCH(Calc!$F$17,'Weapon Moves'!$B$2:$C$2,0) - 1
)</f>
        <v>melee</v>
      </c>
      <c r="G34" s="175"/>
      <c r="H34" s="96" cm="1">
        <f t="array" ref="H34">INDEX('Weapon Moves'!$A$3:$O$75,
  MATCH(Calc!A15,'Weapon Moves'!$A$3:$A$75,0),
  MATCH(Calc!E20,'Weapon Moves'!$A$1:$O$1,0) + MATCH(Calc!$F$17,'Weapon Moves'!$B$2:$C$2,0)
)</f>
        <v>9.1917938082192022E-2</v>
      </c>
      <c r="I34" s="177" t="e">
        <f ca="1">Calc!W102</f>
        <v>#N/A</v>
      </c>
      <c r="J34" s="177"/>
      <c r="K34" s="177" t="e">
        <f ca="1">Calc!Y102</f>
        <v>#N/A</v>
      </c>
      <c r="L34" s="177"/>
      <c r="M34" s="177" t="e">
        <f t="shared" ca="1" si="0"/>
        <v>#N/A</v>
      </c>
      <c r="N34" s="177"/>
      <c r="O34" s="177" t="e">
        <f t="shared" ca="1" si="1"/>
        <v>#N/A</v>
      </c>
      <c r="P34" s="177"/>
      <c r="Q34" s="177" t="e">
        <f t="shared" ca="1" si="2"/>
        <v>#N/A</v>
      </c>
      <c r="R34" s="190"/>
      <c r="S34" s="177" t="e">
        <f ca="1">Q34*0.95</f>
        <v>#N/A</v>
      </c>
      <c r="T34" s="177"/>
      <c r="U34" s="177" t="e">
        <f ca="1">Q34*1.05</f>
        <v>#N/A</v>
      </c>
      <c r="V34" s="177"/>
      <c r="X34" s="130" t="b">
        <v>0</v>
      </c>
      <c r="Y34" s="197" t="s">
        <v>898</v>
      </c>
      <c r="Z34" s="188"/>
      <c r="AA34" s="124">
        <f>IF(X34=TRUE,0.75, 1)</f>
        <v>1</v>
      </c>
      <c r="AB34" s="124">
        <f>IF(X34=TRUE,0.75, 1)</f>
        <v>1</v>
      </c>
      <c r="AD34" s="141" t="s">
        <v>919</v>
      </c>
      <c r="AE34" s="144">
        <v>0</v>
      </c>
      <c r="AF34" s="144">
        <v>0</v>
      </c>
      <c r="AG34" s="144">
        <v>0</v>
      </c>
      <c r="AH34" s="142"/>
    </row>
    <row r="35" spans="1:36" ht="15.75" thickBot="1">
      <c r="A35" s="167" t="s">
        <v>852</v>
      </c>
      <c r="B35" s="167"/>
      <c r="C35" s="170">
        <f>_xlfn.XLOOKUP(A29,TableWeapons[NAME],TableWeapons[DEX %])</f>
        <v>100</v>
      </c>
      <c r="D35" s="170"/>
      <c r="E35" s="52">
        <v>4</v>
      </c>
      <c r="F35" s="174" cm="1">
        <f t="array" ref="F35">INDEX('Weapon Moves'!$A$3:$O$75,
  MATCH(Calc!A15,'Weapon Moves'!$A$3:$A$75,0),
  MATCH(Calc!E21,'Weapon Moves'!$A$1:$O$1,0) + MATCH(Calc!$F$17,'Weapon Moves'!$B$2:$C$2,0) - 1
)</f>
        <v>0</v>
      </c>
      <c r="G35" s="175"/>
      <c r="H35" s="96" cm="1">
        <f t="array" ref="H35">INDEX('Weapon Moves'!$A$3:$O$75,
  MATCH(Calc!A15,'Weapon Moves'!$A$3:$A$75,0),
  MATCH(Calc!E21,'Weapon Moves'!$A$1:$O$1,0) + MATCH(Calc!$F$17,'Weapon Moves'!$B$2:$C$2,0)
)</f>
        <v>0</v>
      </c>
      <c r="I35" s="177" t="e">
        <f ca="1">Calc!W103</f>
        <v>#N/A</v>
      </c>
      <c r="J35" s="177"/>
      <c r="K35" s="177" t="e">
        <f ca="1">Calc!Y103</f>
        <v>#N/A</v>
      </c>
      <c r="L35" s="177"/>
      <c r="M35" s="177" t="e">
        <f t="shared" ca="1" si="0"/>
        <v>#N/A</v>
      </c>
      <c r="N35" s="177"/>
      <c r="O35" s="177" t="e">
        <f t="shared" ca="1" si="1"/>
        <v>#N/A</v>
      </c>
      <c r="P35" s="177"/>
      <c r="Q35" s="177" t="e">
        <f t="shared" ca="1" si="2"/>
        <v>#N/A</v>
      </c>
      <c r="R35" s="190"/>
      <c r="S35" s="177" t="e">
        <f t="shared" ca="1" si="3"/>
        <v>#N/A</v>
      </c>
      <c r="T35" s="177"/>
      <c r="U35" s="177" t="e">
        <f t="shared" ca="1" si="4"/>
        <v>#N/A</v>
      </c>
      <c r="V35" s="177"/>
      <c r="X35" s="129" t="b">
        <v>0</v>
      </c>
      <c r="Y35" s="191" t="s">
        <v>899</v>
      </c>
      <c r="Z35" s="192"/>
      <c r="AA35" s="124">
        <f>IF(X35=TRUE, 1.2, 1)</f>
        <v>1</v>
      </c>
      <c r="AB35" s="124">
        <f>IF(X35=TRUE, 1.2, 1)</f>
        <v>1</v>
      </c>
      <c r="AE35" s="95">
        <f>IF(AE33 &lt;= 10, 10, AE33*(AE34/100+1))</f>
        <v>2000</v>
      </c>
      <c r="AF35" s="95">
        <f>IF(AF33&lt;=10,10,AF33*(AF34/100+1))</f>
        <v>7000</v>
      </c>
      <c r="AG35" s="95">
        <f>IF(AG33 &lt;= 10, 10, AG33*(AG34/100+1))</f>
        <v>4000</v>
      </c>
      <c r="AH35" s="143">
        <v>14000</v>
      </c>
    </row>
    <row r="36" spans="1:36" ht="15.75" thickBot="1">
      <c r="A36" s="167" t="s">
        <v>853</v>
      </c>
      <c r="B36" s="167"/>
      <c r="C36" s="170">
        <f>_xlfn.XLOOKUP(A29,TableWeapons[NAME],TableWeapons[HEADSHOT])</f>
        <v>1.5</v>
      </c>
      <c r="D36" s="170"/>
      <c r="E36" s="52">
        <v>5</v>
      </c>
      <c r="F36" s="174" cm="1">
        <f t="array" ref="F36">INDEX('Weapon Moves'!$A$3:$O$75,
  MATCH(Calc!A15,'Weapon Moves'!$A$3:$A$75,0),
  MATCH(Calc!E22,'Weapon Moves'!$A$1:$O$1,0) + MATCH(Calc!$F$17,'Weapon Moves'!$B$2:$C$2,0) - 1
)</f>
        <v>0</v>
      </c>
      <c r="G36" s="175"/>
      <c r="H36" s="96" cm="1">
        <f t="array" ref="H36">INDEX('Weapon Moves'!$A$3:$O$75,
  MATCH(Calc!A15,'Weapon Moves'!$A$3:$A$75,0),
  MATCH(Calc!E22,'Weapon Moves'!$A$1:$O$1,0) + MATCH(Calc!$F$17,'Weapon Moves'!$B$2:$C$2,0)
)</f>
        <v>0</v>
      </c>
      <c r="I36" s="177" t="e">
        <f ca="1">Calc!W104</f>
        <v>#N/A</v>
      </c>
      <c r="J36" s="177"/>
      <c r="K36" s="177" t="e">
        <f ca="1">Calc!Y104</f>
        <v>#N/A</v>
      </c>
      <c r="L36" s="177"/>
      <c r="M36" s="177" t="e">
        <f t="shared" ca="1" si="0"/>
        <v>#N/A</v>
      </c>
      <c r="N36" s="177"/>
      <c r="O36" s="177" t="e">
        <f t="shared" ca="1" si="1"/>
        <v>#N/A</v>
      </c>
      <c r="P36" s="177"/>
      <c r="Q36" s="177" t="e">
        <f t="shared" ca="1" si="2"/>
        <v>#N/A</v>
      </c>
      <c r="R36" s="190"/>
      <c r="S36" s="177" t="e">
        <f t="shared" ca="1" si="3"/>
        <v>#N/A</v>
      </c>
      <c r="T36" s="177"/>
      <c r="U36" s="177" t="e">
        <f t="shared" ca="1" si="4"/>
        <v>#N/A</v>
      </c>
      <c r="V36" s="177"/>
      <c r="X36" s="129" t="b">
        <v>0</v>
      </c>
      <c r="Y36" s="191" t="s">
        <v>917</v>
      </c>
      <c r="Z36" s="192"/>
      <c r="AA36" s="124">
        <f>IF(X36=TRUE, 1.4, 1)</f>
        <v>1</v>
      </c>
      <c r="AB36" s="124">
        <f>IF(X36=TRUE, 1.4, 1)</f>
        <v>1</v>
      </c>
    </row>
    <row r="37" spans="1:36" ht="15.75" thickBot="1">
      <c r="A37" s="167" t="s">
        <v>339</v>
      </c>
      <c r="B37" s="167"/>
      <c r="C37" s="170">
        <f>_xlfn.XLOOKUP(A29,TableWeapons[NAME],TableWeapons[Hands])</f>
        <v>2</v>
      </c>
      <c r="D37" s="170"/>
      <c r="E37" s="52">
        <v>6</v>
      </c>
      <c r="F37" s="174" cm="1">
        <f t="array" ref="F37">INDEX('Weapon Moves'!$A$3:$O$75,
  MATCH(Calc!A15,'Weapon Moves'!$A$3:$A$75,0),
  MATCH(Calc!E23,'Weapon Moves'!$A$1:$O$1,0) + MATCH(Calc!$F$17,'Weapon Moves'!$B$2:$C$2,0) - 1
)</f>
        <v>0</v>
      </c>
      <c r="G37" s="175"/>
      <c r="H37" s="96" cm="1">
        <f t="array" ref="H37">INDEX('Weapon Moves'!$A$3:$O$75,
  MATCH(Calc!A15,'Weapon Moves'!$A$3:$A$75,0),
  MATCH(Calc!E23,'Weapon Moves'!$A$1:$O$1,0) + MATCH(Calc!$F$17,'Weapon Moves'!$B$2:$C$2,0)
)</f>
        <v>0</v>
      </c>
      <c r="I37" s="177" t="e">
        <f ca="1">Calc!W105</f>
        <v>#N/A</v>
      </c>
      <c r="J37" s="177"/>
      <c r="K37" s="177" t="e">
        <f ca="1">Calc!Y105</f>
        <v>#N/A</v>
      </c>
      <c r="L37" s="177"/>
      <c r="M37" s="177" t="e">
        <f t="shared" ca="1" si="0"/>
        <v>#N/A</v>
      </c>
      <c r="N37" s="177"/>
      <c r="O37" s="177" t="e">
        <f t="shared" ca="1" si="1"/>
        <v>#N/A</v>
      </c>
      <c r="P37" s="177"/>
      <c r="Q37" s="177" t="e">
        <f t="shared" ca="1" si="2"/>
        <v>#N/A</v>
      </c>
      <c r="R37" s="190"/>
      <c r="S37" s="177" t="e">
        <f t="shared" ca="1" si="3"/>
        <v>#N/A</v>
      </c>
      <c r="T37" s="177"/>
      <c r="U37" s="177" t="e">
        <f t="shared" ca="1" si="4"/>
        <v>#N/A</v>
      </c>
      <c r="V37" s="177"/>
      <c r="X37" s="129" t="b">
        <v>0</v>
      </c>
      <c r="Y37" s="191" t="s">
        <v>918</v>
      </c>
      <c r="Z37" s="192"/>
      <c r="AA37" s="124">
        <f>IF(X37=TRUE, 0.65, 1)</f>
        <v>1</v>
      </c>
      <c r="AB37" s="124">
        <f>IF(X37=TRUE, 0.65, 1)</f>
        <v>1</v>
      </c>
      <c r="AD37" s="45" t="s">
        <v>245</v>
      </c>
      <c r="AE37" s="74" t="s">
        <v>913</v>
      </c>
      <c r="AF37" s="74" t="s">
        <v>914</v>
      </c>
      <c r="AG37" s="74" t="s">
        <v>909</v>
      </c>
      <c r="AH37" s="41" t="s">
        <v>910</v>
      </c>
      <c r="AI37" s="131" t="s">
        <v>911</v>
      </c>
      <c r="AJ37" s="132" t="s">
        <v>912</v>
      </c>
    </row>
    <row r="38" spans="1:36" ht="15.75" thickBot="1">
      <c r="A38" s="167" t="s">
        <v>340</v>
      </c>
      <c r="B38" s="167"/>
      <c r="C38" s="170" t="str">
        <f>_xlfn.XLOOKUP(A29,TableWeapons[NAME],TableWeapons[FACTION])</f>
        <v>WE</v>
      </c>
      <c r="D38" s="170"/>
      <c r="E38" s="52">
        <v>7</v>
      </c>
      <c r="F38" s="174" cm="1">
        <f t="array" ref="F38">INDEX('Weapon Moves'!$A$3:$O$75,
  MATCH(Calc!A15,'Weapon Moves'!$A$3:$A$75,0),
  MATCH(Calc!E24,'Weapon Moves'!$A$1:$O$1,0) + MATCH(Calc!$F$17,'Weapon Moves'!$B$2:$C$2,0) - 1
)</f>
        <v>0</v>
      </c>
      <c r="G38" s="175"/>
      <c r="H38" s="96" cm="1">
        <f t="array" ref="H38">INDEX('Weapon Moves'!$A$3:$O$75,
  MATCH(Calc!A15,'Weapon Moves'!$A$3:$A$75,0),
  MATCH(Calc!E24,'Weapon Moves'!$A$1:$O$1,0) + MATCH(Calc!$F$17,'Weapon Moves'!$B$2:$C$2,0)
)</f>
        <v>0</v>
      </c>
      <c r="I38" s="177" t="e">
        <f ca="1">Calc!W106</f>
        <v>#N/A</v>
      </c>
      <c r="J38" s="177"/>
      <c r="K38" s="177" t="e">
        <f ca="1">Calc!Y106</f>
        <v>#N/A</v>
      </c>
      <c r="L38" s="177"/>
      <c r="M38" s="177" t="e">
        <f t="shared" ca="1" si="0"/>
        <v>#N/A</v>
      </c>
      <c r="N38" s="177"/>
      <c r="O38" s="177" t="e">
        <f t="shared" ca="1" si="1"/>
        <v>#N/A</v>
      </c>
      <c r="P38" s="177"/>
      <c r="Q38" s="177" t="e">
        <f t="shared" ca="1" si="2"/>
        <v>#N/A</v>
      </c>
      <c r="R38" s="190"/>
      <c r="S38" s="177" t="e">
        <f t="shared" ca="1" si="3"/>
        <v>#N/A</v>
      </c>
      <c r="T38" s="177"/>
      <c r="U38" s="177" t="e">
        <f t="shared" ca="1" si="4"/>
        <v>#N/A</v>
      </c>
      <c r="V38" s="177"/>
      <c r="X38" s="134" t="b">
        <v>1</v>
      </c>
      <c r="Y38" s="188" t="s">
        <v>908</v>
      </c>
      <c r="Z38" s="189"/>
      <c r="AA38" s="124">
        <f>IF(X38=TRUE,1 / AG40,1)</f>
        <v>8.4194634769480907E-3</v>
      </c>
      <c r="AB38" s="124">
        <f>IF(X38=TRUE,1 / AG40,1)</f>
        <v>8.4194634769480907E-3</v>
      </c>
      <c r="AD38" s="139">
        <v>170</v>
      </c>
      <c r="AE38" s="139">
        <v>20</v>
      </c>
      <c r="AF38" s="139">
        <v>20</v>
      </c>
      <c r="AG38" s="139">
        <v>35</v>
      </c>
      <c r="AH38" s="140">
        <v>0</v>
      </c>
      <c r="AI38" s="140">
        <v>0</v>
      </c>
      <c r="AJ38" s="140">
        <v>0</v>
      </c>
    </row>
    <row r="39" spans="1:36" ht="15.75" thickBot="1">
      <c r="I39" s="145"/>
      <c r="J39" s="145"/>
      <c r="K39" s="145"/>
      <c r="L39" s="145"/>
      <c r="M39" s="145"/>
      <c r="N39" s="145"/>
      <c r="O39" s="145"/>
      <c r="P39" s="145"/>
      <c r="Q39" s="145"/>
      <c r="R39" s="145"/>
      <c r="S39" s="145"/>
      <c r="T39" s="145"/>
      <c r="U39" s="145"/>
      <c r="V39" s="145"/>
      <c r="X39" s="84"/>
      <c r="Y39" s="185" t="s">
        <v>45</v>
      </c>
      <c r="Z39" s="185"/>
      <c r="AA39" s="60">
        <f>IF(AND($X$38=TRUE,$C$32="Slash"),1-(AE38/100),1)</f>
        <v>1</v>
      </c>
      <c r="AB39" s="60">
        <f>IF(AND($X$38=TRUE,$C$44="Slash"),1-(AE38/100),1)</f>
        <v>1</v>
      </c>
    </row>
    <row r="40" spans="1:36" ht="15.75" thickBot="1">
      <c r="A40" s="158" t="s">
        <v>878</v>
      </c>
      <c r="B40" s="158"/>
      <c r="C40" s="158"/>
      <c r="D40" s="49" t="s">
        <v>239</v>
      </c>
      <c r="E40" s="158" t="s">
        <v>958</v>
      </c>
      <c r="F40" s="158"/>
      <c r="G40" s="61"/>
      <c r="H40" s="61"/>
      <c r="I40" s="145"/>
      <c r="J40" s="145"/>
      <c r="K40" s="145"/>
      <c r="L40" s="145"/>
      <c r="M40" s="145"/>
      <c r="N40" s="145"/>
      <c r="O40" s="145"/>
      <c r="P40" s="145"/>
      <c r="Q40" s="145"/>
      <c r="R40" s="145"/>
      <c r="S40" s="145"/>
      <c r="T40" s="145"/>
      <c r="U40" s="145"/>
      <c r="V40" s="145"/>
      <c r="Y40" s="185" t="s">
        <v>47</v>
      </c>
      <c r="Z40" s="185"/>
      <c r="AA40" s="60">
        <f>IF(AND($X$38=TRUE,$C$32="Blunt"),1-(AF38/100),1)</f>
        <v>1</v>
      </c>
      <c r="AB40" s="60">
        <f>IF(AND($X$38=TRUE,$C$44="Blunt"),1-(AF38/100),1)</f>
        <v>1</v>
      </c>
      <c r="AD40" s="198" t="s">
        <v>963</v>
      </c>
      <c r="AE40" s="198"/>
      <c r="AF40" s="198"/>
      <c r="AG40" s="199">
        <f>1.1 + ((AH35 * (AD38 + 25)) / 23200)</f>
        <v>118.77241379310344</v>
      </c>
      <c r="AH40" s="199"/>
    </row>
    <row r="41" spans="1:36" ht="15.75" thickBot="1">
      <c r="A41" s="157" t="s">
        <v>92</v>
      </c>
      <c r="B41" s="157"/>
      <c r="C41" s="157"/>
      <c r="D41" s="76" t="s">
        <v>309</v>
      </c>
      <c r="E41" s="157">
        <v>20</v>
      </c>
      <c r="F41" s="157"/>
      <c r="G41" s="61"/>
      <c r="H41" s="61"/>
      <c r="I41" s="145"/>
      <c r="J41" s="145"/>
      <c r="K41" s="145"/>
      <c r="L41" s="145"/>
      <c r="M41" s="145"/>
      <c r="N41" s="145"/>
      <c r="O41" s="145"/>
      <c r="P41" s="145"/>
      <c r="Q41" s="145"/>
      <c r="R41" s="145"/>
      <c r="S41" s="145"/>
      <c r="T41" s="145"/>
      <c r="U41" s="145"/>
      <c r="V41" s="145"/>
      <c r="Y41" s="185" t="s">
        <v>915</v>
      </c>
      <c r="Z41" s="185"/>
      <c r="AA41" s="60">
        <f>IF(AND($X$38=TRUE,$C$32="Piercing"),1-(AG38/100),1)</f>
        <v>0.65</v>
      </c>
      <c r="AB41" s="60">
        <f>IF(AND($X$38=TRUE,$C$44="Piercing"),1-(AG38/100),1)</f>
        <v>0.65</v>
      </c>
    </row>
    <row r="42" spans="1:36" ht="15.75" thickBot="1">
      <c r="A42" s="167" t="s">
        <v>855</v>
      </c>
      <c r="B42" s="167"/>
      <c r="C42" s="170" t="str">
        <f>_xlfn.XLOOKUP(A41,Weapons!A2:A74,Weapons!B2:B74)</f>
        <v>Magnum</v>
      </c>
      <c r="D42" s="170"/>
      <c r="E42" s="61"/>
      <c r="F42" s="172" t="s">
        <v>779</v>
      </c>
      <c r="G42" s="172"/>
      <c r="H42" s="172"/>
      <c r="I42" s="172" t="s">
        <v>900</v>
      </c>
      <c r="J42" s="172"/>
      <c r="K42" s="172"/>
      <c r="L42" s="172"/>
      <c r="M42" s="172" t="s">
        <v>901</v>
      </c>
      <c r="N42" s="172"/>
      <c r="O42" s="172"/>
      <c r="P42" s="172"/>
      <c r="Q42" s="148"/>
      <c r="R42" s="148"/>
      <c r="S42" s="148"/>
      <c r="T42" s="148"/>
      <c r="U42" s="148"/>
      <c r="V42" s="148"/>
      <c r="Y42" s="185" t="s">
        <v>49</v>
      </c>
      <c r="Z42" s="185"/>
      <c r="AA42" s="60">
        <f>IF(AND($X$38=TRUE,$C$33="Fire"),1-(AH38/100),1)</f>
        <v>1</v>
      </c>
      <c r="AB42" s="60">
        <f>IF(AND($X$38=TRUE,$C$45="Fire"),1-(AH38/100),1)</f>
        <v>1</v>
      </c>
    </row>
    <row r="43" spans="1:36" ht="15.75" thickBot="1">
      <c r="A43" s="167" t="s">
        <v>0</v>
      </c>
      <c r="B43" s="167"/>
      <c r="C43" s="168" t="e">
        <f>INDEX(Weapons!A2:W74,
  MATCH(A41,Weapons!A2:A74,0),
  MATCH(D41,Weapons!A1:W1,0)
)</f>
        <v>#N/A</v>
      </c>
      <c r="D43" s="168"/>
      <c r="E43" s="61"/>
      <c r="F43" s="169" t="s">
        <v>854</v>
      </c>
      <c r="G43" s="169"/>
      <c r="H43" s="149" t="s">
        <v>449</v>
      </c>
      <c r="I43" s="179" t="s">
        <v>337</v>
      </c>
      <c r="J43" s="179"/>
      <c r="K43" s="180" t="s">
        <v>887</v>
      </c>
      <c r="L43" s="180"/>
      <c r="M43" s="179" t="s">
        <v>337</v>
      </c>
      <c r="N43" s="179"/>
      <c r="O43" s="180" t="s">
        <v>887</v>
      </c>
      <c r="P43" s="180"/>
      <c r="Q43" s="169" t="s">
        <v>916</v>
      </c>
      <c r="R43" s="169"/>
      <c r="S43" s="196" t="s">
        <v>961</v>
      </c>
      <c r="T43" s="196"/>
      <c r="U43" s="194" t="s">
        <v>962</v>
      </c>
      <c r="V43" s="194"/>
      <c r="Y43" s="185" t="s">
        <v>51</v>
      </c>
      <c r="Z43" s="185"/>
      <c r="AA43" s="60">
        <f>IF(AND($X$38=TRUE,$C$33="Electric"),1-(AI38/100),1)</f>
        <v>1</v>
      </c>
      <c r="AB43" s="60">
        <f>IF(AND($X$38=TRUE,$C$45="Electric"),1-(AI38/100),1)</f>
        <v>1</v>
      </c>
    </row>
    <row r="44" spans="1:36" ht="15.75" thickBot="1">
      <c r="A44" s="167" t="s">
        <v>2</v>
      </c>
      <c r="B44" s="176"/>
      <c r="C44" s="97" t="str">
        <f>_xlfn.XLOOKUP(A41,TableWeapons[NAME],TableWeapons[RAW TYPE])</f>
        <v>Piercing</v>
      </c>
      <c r="D44" s="98">
        <f>_xlfn.XLOOKUP(A41,TableWeapons[NAME],TableWeapons[RAW %])</f>
        <v>100</v>
      </c>
      <c r="E44" s="52">
        <v>1</v>
      </c>
      <c r="F44" s="170" t="str" cm="1">
        <f t="array" ref="F44">INDEX('Weapon Moves'!$A$3:$O$75,
  MATCH($A$41,'Weapon Moves'!$A$3:$A$75,0),
  MATCH(Calc!N18,'Weapon Moves'!$A$1:$O$1,0) + MATCH($F$43,'Weapon Moves'!$B$2:$C$2,0) - 1
)</f>
        <v>normal</v>
      </c>
      <c r="G44" s="170"/>
      <c r="H44" s="96" cm="1">
        <f t="array" ref="H44">INDEX('Weapon Moves'!$A$3:$O$75,
  MATCH($A$41,'Weapon Moves'!$A$3:$A$75,0),
  MATCH(Calc!N18,'Weapon Moves'!$A$1:$O$1,0) + MATCH($F$43,'Weapon Moves'!$B$2:$C$2,0)
)</f>
        <v>0.12120555403473551</v>
      </c>
      <c r="I44" s="177" t="e">
        <f ca="1">Calc!W110</f>
        <v>#N/A</v>
      </c>
      <c r="J44" s="177"/>
      <c r="K44" s="177" t="e">
        <f ca="1">Calc!Y110</f>
        <v>#N/A</v>
      </c>
      <c r="L44" s="177"/>
      <c r="M44" s="177" t="e">
        <f t="shared" ref="M44:M50" ca="1" si="5">I44*$AB$45</f>
        <v>#N/A</v>
      </c>
      <c r="N44" s="177"/>
      <c r="O44" s="177" t="e">
        <f ca="1">K44*$AB$45</f>
        <v>#N/A</v>
      </c>
      <c r="P44" s="177"/>
      <c r="Q44" s="177" t="e">
        <f ca="1">M44+O44</f>
        <v>#N/A</v>
      </c>
      <c r="R44" s="190"/>
      <c r="S44" s="177" t="e">
        <f ca="1">Q44*0.95</f>
        <v>#N/A</v>
      </c>
      <c r="T44" s="177"/>
      <c r="U44" s="177" t="e">
        <f ca="1">Q44*1.05</f>
        <v>#N/A</v>
      </c>
      <c r="V44" s="177"/>
      <c r="Y44" s="185" t="s">
        <v>53</v>
      </c>
      <c r="Z44" s="185"/>
      <c r="AA44" s="60">
        <f>IF(AND($X$38=TRUE,$C$33="Poison"),1-(AJ38/100),1)</f>
        <v>1</v>
      </c>
      <c r="AB44" s="60">
        <f>IF(AND($X$38=TRUE,$C$45="Poison"),1-(AJ38/100),1)</f>
        <v>1</v>
      </c>
    </row>
    <row r="45" spans="1:36" ht="15.75" thickBot="1">
      <c r="A45" s="167" t="s">
        <v>850</v>
      </c>
      <c r="B45" s="176"/>
      <c r="C45" s="100">
        <f>_xlfn.XLOOKUP(A41,TableWeapons[NAME],TableWeapons[E TYPE])</f>
        <v>0</v>
      </c>
      <c r="D45" s="99">
        <f>_xlfn.XLOOKUP(A41,TableWeapons[NAME],TableWeapons[E %])</f>
        <v>0</v>
      </c>
      <c r="E45" s="52">
        <v>2</v>
      </c>
      <c r="F45" s="170" t="str" cm="1">
        <f t="array" ref="F45">INDEX('Weapon Moves'!$A$3:$O$75,
  MATCH($A$41,'Weapon Moves'!$A$3:$A$75,0),
  MATCH(Calc!N19,'Weapon Moves'!$A$1:$O$1,0) + MATCH($F$43,'Weapon Moves'!$B$2:$C$2,0) - 1
)</f>
        <v>melee</v>
      </c>
      <c r="G45" s="170"/>
      <c r="H45" s="96" cm="1">
        <f t="array" ref="H45">INDEX('Weapon Moves'!$A$3:$O$75,
  MATCH($A$41,'Weapon Moves'!$A$3:$A$75,0),
  MATCH(Calc!N19,'Weapon Moves'!$A$1:$O$1,0) + MATCH($F$43,'Weapon Moves'!$B$2:$C$2,0)
)</f>
        <v>4.9785820759764378E-2</v>
      </c>
      <c r="I45" s="177" t="e">
        <f ca="1">Calc!W111</f>
        <v>#N/A</v>
      </c>
      <c r="J45" s="177"/>
      <c r="K45" s="177" t="e">
        <f ca="1">Calc!Y111</f>
        <v>#N/A</v>
      </c>
      <c r="L45" s="177"/>
      <c r="M45" s="177" t="e">
        <f t="shared" ca="1" si="5"/>
        <v>#N/A</v>
      </c>
      <c r="N45" s="177"/>
      <c r="O45" s="177" t="e">
        <f ca="1">K45*$AB$45</f>
        <v>#N/A</v>
      </c>
      <c r="P45" s="177"/>
      <c r="Q45" s="177" t="e">
        <f t="shared" ref="Q45:Q50" ca="1" si="6">M45+O45</f>
        <v>#N/A</v>
      </c>
      <c r="R45" s="190"/>
      <c r="S45" s="177" t="e">
        <f t="shared" ref="S45:S50" ca="1" si="7">Q45*0.95</f>
        <v>#N/A</v>
      </c>
      <c r="T45" s="177"/>
      <c r="U45" s="177" t="e">
        <f ca="1">Q45*1.05</f>
        <v>#N/A</v>
      </c>
      <c r="V45" s="177"/>
      <c r="AA45" s="133">
        <f>PRODUCT(AA32:AA44)</f>
        <v>5.4726512600162588E-3</v>
      </c>
      <c r="AB45" s="133">
        <f>PRODUCT(AB32:AB44)</f>
        <v>5.4726512600162588E-3</v>
      </c>
    </row>
    <row r="46" spans="1:36" ht="15.75" thickBot="1">
      <c r="A46" s="167" t="s">
        <v>851</v>
      </c>
      <c r="B46" s="167"/>
      <c r="C46" s="173">
        <f>_xlfn.XLOOKUP(A41,TableWeapons[NAME],TableWeapons[STR %])</f>
        <v>30</v>
      </c>
      <c r="D46" s="173"/>
      <c r="E46" s="52">
        <v>3</v>
      </c>
      <c r="F46" s="170" t="str" cm="1">
        <f t="array" ref="F46">INDEX('Weapon Moves'!$A$3:$O$75,
  MATCH($A$41,'Weapon Moves'!$A$3:$A$75,0),
  MATCH(Calc!N20,'Weapon Moves'!$A$1:$O$1,0) + MATCH($F$43,'Weapon Moves'!$B$2:$C$2,0) - 1
)</f>
        <v>Rage</v>
      </c>
      <c r="G46" s="170"/>
      <c r="H46" s="96" cm="1">
        <f t="array" ref="H46">INDEX('Weapon Moves'!$A$3:$O$75,
  MATCH($A$41,'Weapon Moves'!$A$3:$A$75,0),
  MATCH(Calc!N20,'Weapon Moves'!$A$1:$O$1,0) + MATCH($F$43,'Weapon Moves'!$B$2:$C$2,0)
)</f>
        <v>0.36782046941013269</v>
      </c>
      <c r="I46" s="177" t="e">
        <f ca="1">Calc!W112</f>
        <v>#N/A</v>
      </c>
      <c r="J46" s="177"/>
      <c r="K46" s="177" t="e">
        <f ca="1">Calc!Y112</f>
        <v>#N/A</v>
      </c>
      <c r="L46" s="177"/>
      <c r="M46" s="177" t="e">
        <f t="shared" ca="1" si="5"/>
        <v>#N/A</v>
      </c>
      <c r="N46" s="177"/>
      <c r="O46" s="177" t="e">
        <f ca="1">K46*$AB$45</f>
        <v>#N/A</v>
      </c>
      <c r="P46" s="177"/>
      <c r="Q46" s="177" t="e">
        <f t="shared" ca="1" si="6"/>
        <v>#N/A</v>
      </c>
      <c r="R46" s="190"/>
      <c r="S46" s="177" t="e">
        <f t="shared" ca="1" si="7"/>
        <v>#N/A</v>
      </c>
      <c r="T46" s="177"/>
      <c r="U46" s="177" t="e">
        <f t="shared" ref="U46:U50" ca="1" si="8">Q46*1.05</f>
        <v>#N/A</v>
      </c>
      <c r="V46" s="177"/>
    </row>
    <row r="47" spans="1:36" ht="15.75" thickBot="1">
      <c r="A47" s="167" t="s">
        <v>852</v>
      </c>
      <c r="B47" s="167"/>
      <c r="C47" s="170">
        <f>_xlfn.XLOOKUP(A41,TableWeapons[NAME],TableWeapons[DEX %])</f>
        <v>70</v>
      </c>
      <c r="D47" s="170"/>
      <c r="E47" s="52">
        <v>4</v>
      </c>
      <c r="F47" s="170" cm="1">
        <f t="array" ref="F47">INDEX('Weapon Moves'!$A$3:$O$75,
  MATCH($A$41,'Weapon Moves'!$A$3:$A$75,0),
  MATCH(Calc!N21,'Weapon Moves'!$A$1:$O$1,0) + MATCH($F$43,'Weapon Moves'!$B$2:$C$2,0) - 1
)</f>
        <v>0</v>
      </c>
      <c r="G47" s="170"/>
      <c r="H47" s="96" cm="1">
        <f t="array" ref="H47">INDEX('Weapon Moves'!$A$3:$O$75,
  MATCH($A$41,'Weapon Moves'!$A$3:$A$75,0),
  MATCH(Calc!N21,'Weapon Moves'!$A$1:$O$1,0) + MATCH($F$43,'Weapon Moves'!$B$2:$C$2,0)
)</f>
        <v>0</v>
      </c>
      <c r="I47" s="177" t="e">
        <f ca="1">Calc!W113</f>
        <v>#N/A</v>
      </c>
      <c r="J47" s="177"/>
      <c r="K47" s="177" t="e">
        <f ca="1">Calc!Y113</f>
        <v>#N/A</v>
      </c>
      <c r="L47" s="177"/>
      <c r="M47" s="177" t="e">
        <f t="shared" ca="1" si="5"/>
        <v>#N/A</v>
      </c>
      <c r="N47" s="177"/>
      <c r="O47" s="177" t="e">
        <f ca="1">K47*$AB$45</f>
        <v>#N/A</v>
      </c>
      <c r="P47" s="177"/>
      <c r="Q47" s="177" t="e">
        <f t="shared" ca="1" si="6"/>
        <v>#N/A</v>
      </c>
      <c r="R47" s="190"/>
      <c r="S47" s="177" t="e">
        <f t="shared" ca="1" si="7"/>
        <v>#N/A</v>
      </c>
      <c r="T47" s="177"/>
      <c r="U47" s="177" t="e">
        <f t="shared" ca="1" si="8"/>
        <v>#N/A</v>
      </c>
      <c r="V47" s="177"/>
    </row>
    <row r="48" spans="1:36" ht="15.75" thickBot="1">
      <c r="A48" s="167" t="s">
        <v>853</v>
      </c>
      <c r="B48" s="167"/>
      <c r="C48" s="170">
        <f>_xlfn.XLOOKUP(A41,TableWeapons[NAME],TableWeapons[HEADSHOT])</f>
        <v>2.38</v>
      </c>
      <c r="D48" s="170"/>
      <c r="E48" s="52">
        <v>5</v>
      </c>
      <c r="F48" s="170" cm="1">
        <f t="array" ref="F48">INDEX('Weapon Moves'!$A$3:$O$75,
  MATCH($A$41,'Weapon Moves'!$A$3:$A$75,0),
  MATCH(Calc!N22,'Weapon Moves'!$A$1:$O$1,0) + MATCH($F$43,'Weapon Moves'!$B$2:$C$2,0) - 1
)</f>
        <v>0</v>
      </c>
      <c r="G48" s="170"/>
      <c r="H48" s="96" cm="1">
        <f t="array" ref="H48">INDEX('Weapon Moves'!$A$3:$O$75,
  MATCH($A$41,'Weapon Moves'!$A$3:$A$75,0),
  MATCH(Calc!N22,'Weapon Moves'!$A$1:$O$1,0) + MATCH($F$43,'Weapon Moves'!$B$2:$C$2,0)
)</f>
        <v>0</v>
      </c>
      <c r="I48" s="177" t="e">
        <f ca="1">Calc!W114</f>
        <v>#N/A</v>
      </c>
      <c r="J48" s="177"/>
      <c r="K48" s="177" t="e">
        <f ca="1">Calc!Y114</f>
        <v>#N/A</v>
      </c>
      <c r="L48" s="177"/>
      <c r="M48" s="177" t="e">
        <f t="shared" ca="1" si="5"/>
        <v>#N/A</v>
      </c>
      <c r="N48" s="177"/>
      <c r="O48" s="177" t="e">
        <f ca="1">K48*$AB$45</f>
        <v>#N/A</v>
      </c>
      <c r="P48" s="177"/>
      <c r="Q48" s="177" t="e">
        <f t="shared" ca="1" si="6"/>
        <v>#N/A</v>
      </c>
      <c r="R48" s="190"/>
      <c r="S48" s="177" t="e">
        <f t="shared" ca="1" si="7"/>
        <v>#N/A</v>
      </c>
      <c r="T48" s="177"/>
      <c r="U48" s="177" t="e">
        <f t="shared" ca="1" si="8"/>
        <v>#N/A</v>
      </c>
      <c r="V48" s="177"/>
    </row>
    <row r="49" spans="1:22" ht="15.75" thickBot="1">
      <c r="A49" s="167" t="s">
        <v>339</v>
      </c>
      <c r="B49" s="167"/>
      <c r="C49" s="170">
        <f>_xlfn.XLOOKUP(A41,TableWeapons[NAME],TableWeapons[Hands])</f>
        <v>2</v>
      </c>
      <c r="D49" s="170"/>
      <c r="E49" s="52">
        <v>6</v>
      </c>
      <c r="F49" s="170" cm="1">
        <f t="array" ref="F49">INDEX('Weapon Moves'!$A$3:$O$75,
  MATCH($A$41,'Weapon Moves'!$A$3:$A$75,0),
  MATCH(Calc!N23,'Weapon Moves'!$A$1:$O$1,0) + MATCH($F$43,'Weapon Moves'!$B$2:$C$2,0) - 1
)</f>
        <v>0</v>
      </c>
      <c r="G49" s="170"/>
      <c r="H49" s="96" cm="1">
        <f t="array" ref="H49">INDEX('Weapon Moves'!$A$3:$O$75,
  MATCH($A$41,'Weapon Moves'!$A$3:$A$75,0),
  MATCH(Calc!N23,'Weapon Moves'!$A$1:$O$1,0) + MATCH($F$43,'Weapon Moves'!$B$2:$C$2,0)
)</f>
        <v>0</v>
      </c>
      <c r="I49" s="177" t="e">
        <f ca="1">Calc!W115</f>
        <v>#N/A</v>
      </c>
      <c r="J49" s="177"/>
      <c r="K49" s="177" t="e">
        <f ca="1">Calc!Y115</f>
        <v>#N/A</v>
      </c>
      <c r="L49" s="177"/>
      <c r="M49" s="177" t="e">
        <f t="shared" ca="1" si="5"/>
        <v>#N/A</v>
      </c>
      <c r="N49" s="177"/>
      <c r="O49" s="177" t="e">
        <f ca="1">K49*$AA$45</f>
        <v>#N/A</v>
      </c>
      <c r="P49" s="177"/>
      <c r="Q49" s="177" t="e">
        <f t="shared" ca="1" si="6"/>
        <v>#N/A</v>
      </c>
      <c r="R49" s="190"/>
      <c r="S49" s="177" t="e">
        <f t="shared" ca="1" si="7"/>
        <v>#N/A</v>
      </c>
      <c r="T49" s="177"/>
      <c r="U49" s="177" t="e">
        <f t="shared" ca="1" si="8"/>
        <v>#N/A</v>
      </c>
      <c r="V49" s="177"/>
    </row>
    <row r="50" spans="1:22" ht="15.75" thickBot="1">
      <c r="A50" s="167" t="s">
        <v>340</v>
      </c>
      <c r="B50" s="167"/>
      <c r="C50" s="170" t="str">
        <f>_xlfn.XLOOKUP(A41,TableWeapons[NAME],TableWeapons[FACTION])</f>
        <v>WE</v>
      </c>
      <c r="D50" s="170"/>
      <c r="E50" s="52">
        <v>7</v>
      </c>
      <c r="F50" s="170" cm="1">
        <f t="array" ref="F50">INDEX('Weapon Moves'!$A$3:$O$75,
  MATCH($A$41,'Weapon Moves'!$A$3:$A$75,0),
  MATCH(Calc!N24,'Weapon Moves'!$A$1:$O$1,0) + MATCH($F$43,'Weapon Moves'!$B$2:$C$2,0) - 1
)</f>
        <v>0</v>
      </c>
      <c r="G50" s="170"/>
      <c r="H50" s="96" cm="1">
        <f t="array" ref="H50">INDEX('Weapon Moves'!$A$3:$O$75,
  MATCH($A$41,'Weapon Moves'!$A$3:$A$75,0),
  MATCH(Calc!N24,'Weapon Moves'!$A$1:$O$1,0) + MATCH($F$43,'Weapon Moves'!$B$2:$C$2,0)
)</f>
        <v>0</v>
      </c>
      <c r="I50" s="177" t="e">
        <f ca="1">Calc!W116</f>
        <v>#N/A</v>
      </c>
      <c r="J50" s="177"/>
      <c r="K50" s="177" t="e">
        <f ca="1">Calc!Y116</f>
        <v>#N/A</v>
      </c>
      <c r="L50" s="177"/>
      <c r="M50" s="177" t="e">
        <f t="shared" ca="1" si="5"/>
        <v>#N/A</v>
      </c>
      <c r="N50" s="177"/>
      <c r="O50" s="177" t="e">
        <f ca="1">K50*$AA$45</f>
        <v>#N/A</v>
      </c>
      <c r="P50" s="177"/>
      <c r="Q50" s="177" t="e">
        <f t="shared" ca="1" si="6"/>
        <v>#N/A</v>
      </c>
      <c r="R50" s="190"/>
      <c r="S50" s="177" t="e">
        <f t="shared" ca="1" si="7"/>
        <v>#N/A</v>
      </c>
      <c r="T50" s="177"/>
      <c r="U50" s="177" t="e">
        <f t="shared" ca="1" si="8"/>
        <v>#N/A</v>
      </c>
      <c r="V50" s="177"/>
    </row>
  </sheetData>
  <mergeCells count="240">
    <mergeCell ref="AD40:AF40"/>
    <mergeCell ref="AG40:AH40"/>
    <mergeCell ref="AD31:AJ31"/>
    <mergeCell ref="Q49:R49"/>
    <mergeCell ref="S49:T49"/>
    <mergeCell ref="U49:V49"/>
    <mergeCell ref="Q45:R45"/>
    <mergeCell ref="S45:T45"/>
    <mergeCell ref="U45:V45"/>
    <mergeCell ref="Q46:R46"/>
    <mergeCell ref="S46:T46"/>
    <mergeCell ref="U46:V46"/>
    <mergeCell ref="Q43:R43"/>
    <mergeCell ref="S43:T43"/>
    <mergeCell ref="U43:V43"/>
    <mergeCell ref="Q44:R44"/>
    <mergeCell ref="S44:T44"/>
    <mergeCell ref="U44:V44"/>
    <mergeCell ref="S38:T38"/>
    <mergeCell ref="S37:T37"/>
    <mergeCell ref="S36:T36"/>
    <mergeCell ref="U33:V33"/>
    <mergeCell ref="U34:V34"/>
    <mergeCell ref="Q50:R50"/>
    <mergeCell ref="S50:T50"/>
    <mergeCell ref="U50:V50"/>
    <mergeCell ref="Q47:R47"/>
    <mergeCell ref="S47:T47"/>
    <mergeCell ref="U47:V47"/>
    <mergeCell ref="Q48:R48"/>
    <mergeCell ref="S48:T48"/>
    <mergeCell ref="U48:V48"/>
    <mergeCell ref="Q32:R32"/>
    <mergeCell ref="Y36:Z36"/>
    <mergeCell ref="Y37:Z37"/>
    <mergeCell ref="U31:V31"/>
    <mergeCell ref="S31:T31"/>
    <mergeCell ref="U32:V32"/>
    <mergeCell ref="S32:T32"/>
    <mergeCell ref="Q38:R38"/>
    <mergeCell ref="Q37:R37"/>
    <mergeCell ref="Q36:R36"/>
    <mergeCell ref="Q35:R35"/>
    <mergeCell ref="Q34:R34"/>
    <mergeCell ref="Q33:R33"/>
    <mergeCell ref="Y35:Z35"/>
    <mergeCell ref="Y34:Z34"/>
    <mergeCell ref="Y33:Z33"/>
    <mergeCell ref="Y32:Z32"/>
    <mergeCell ref="S35:T35"/>
    <mergeCell ref="S34:T34"/>
    <mergeCell ref="S33:T33"/>
    <mergeCell ref="U38:V38"/>
    <mergeCell ref="U37:V37"/>
    <mergeCell ref="U36:V36"/>
    <mergeCell ref="U35:V35"/>
    <mergeCell ref="I50:J50"/>
    <mergeCell ref="K50:L50"/>
    <mergeCell ref="M50:N50"/>
    <mergeCell ref="O50:P50"/>
    <mergeCell ref="Y38:Z38"/>
    <mergeCell ref="Y44:Z44"/>
    <mergeCell ref="Y43:Z43"/>
    <mergeCell ref="Y42:Z42"/>
    <mergeCell ref="Y41:Z41"/>
    <mergeCell ref="Y40:Z40"/>
    <mergeCell ref="I48:J48"/>
    <mergeCell ref="K48:L48"/>
    <mergeCell ref="M48:N48"/>
    <mergeCell ref="O48:P48"/>
    <mergeCell ref="I49:J49"/>
    <mergeCell ref="K49:L49"/>
    <mergeCell ref="M49:N49"/>
    <mergeCell ref="O49:P49"/>
    <mergeCell ref="I46:J46"/>
    <mergeCell ref="K46:L46"/>
    <mergeCell ref="M46:N46"/>
    <mergeCell ref="O46:P46"/>
    <mergeCell ref="I47:J47"/>
    <mergeCell ref="K47:L47"/>
    <mergeCell ref="M47:N47"/>
    <mergeCell ref="O47:P47"/>
    <mergeCell ref="I44:J44"/>
    <mergeCell ref="K44:L44"/>
    <mergeCell ref="M44:N44"/>
    <mergeCell ref="O44:P44"/>
    <mergeCell ref="I45:J45"/>
    <mergeCell ref="K45:L45"/>
    <mergeCell ref="M45:N45"/>
    <mergeCell ref="O45:P45"/>
    <mergeCell ref="O13:P13"/>
    <mergeCell ref="O3:U3"/>
    <mergeCell ref="I42:L42"/>
    <mergeCell ref="M42:P42"/>
    <mergeCell ref="I43:J43"/>
    <mergeCell ref="K43:L43"/>
    <mergeCell ref="M43:N43"/>
    <mergeCell ref="O43:P43"/>
    <mergeCell ref="Y39:Z39"/>
    <mergeCell ref="Q31:R31"/>
    <mergeCell ref="O7:U7"/>
    <mergeCell ref="X31:Z31"/>
    <mergeCell ref="O12:P12"/>
    <mergeCell ref="Q12:R12"/>
    <mergeCell ref="S12:T12"/>
    <mergeCell ref="O11:T11"/>
    <mergeCell ref="S13:T13"/>
    <mergeCell ref="Q13:R13"/>
    <mergeCell ref="M36:N36"/>
    <mergeCell ref="O36:P36"/>
    <mergeCell ref="M37:N37"/>
    <mergeCell ref="O37:P37"/>
    <mergeCell ref="M38:N38"/>
    <mergeCell ref="O38:P38"/>
    <mergeCell ref="M30:P30"/>
    <mergeCell ref="M31:N31"/>
    <mergeCell ref="O31:P31"/>
    <mergeCell ref="M32:N32"/>
    <mergeCell ref="O32:P32"/>
    <mergeCell ref="M33:N33"/>
    <mergeCell ref="O33:P33"/>
    <mergeCell ref="I38:J38"/>
    <mergeCell ref="K38:L38"/>
    <mergeCell ref="M34:N34"/>
    <mergeCell ref="O34:P34"/>
    <mergeCell ref="M35:N35"/>
    <mergeCell ref="O35:P35"/>
    <mergeCell ref="I35:J35"/>
    <mergeCell ref="K35:L35"/>
    <mergeCell ref="I36:J36"/>
    <mergeCell ref="K36:L36"/>
    <mergeCell ref="I37:J37"/>
    <mergeCell ref="K37:L37"/>
    <mergeCell ref="I32:J32"/>
    <mergeCell ref="K32:L32"/>
    <mergeCell ref="I33:J33"/>
    <mergeCell ref="K33:L33"/>
    <mergeCell ref="I34:J34"/>
    <mergeCell ref="K34:L34"/>
    <mergeCell ref="J13:L13"/>
    <mergeCell ref="J14:L14"/>
    <mergeCell ref="J15:L15"/>
    <mergeCell ref="J16:L16"/>
    <mergeCell ref="I31:J31"/>
    <mergeCell ref="K31:L31"/>
    <mergeCell ref="I30:L30"/>
    <mergeCell ref="J7:L7"/>
    <mergeCell ref="J8:L8"/>
    <mergeCell ref="J9:L9"/>
    <mergeCell ref="J10:L10"/>
    <mergeCell ref="J11:L11"/>
    <mergeCell ref="J12:L12"/>
    <mergeCell ref="A50:B50"/>
    <mergeCell ref="C50:D50"/>
    <mergeCell ref="F50:G50"/>
    <mergeCell ref="A37:B37"/>
    <mergeCell ref="C37:D37"/>
    <mergeCell ref="F37:G37"/>
    <mergeCell ref="A49:B49"/>
    <mergeCell ref="C49:D49"/>
    <mergeCell ref="F49:G49"/>
    <mergeCell ref="E40:F40"/>
    <mergeCell ref="E41:F41"/>
    <mergeCell ref="A48:B48"/>
    <mergeCell ref="C48:D48"/>
    <mergeCell ref="F48:G48"/>
    <mergeCell ref="A35:B35"/>
    <mergeCell ref="C35:D35"/>
    <mergeCell ref="F35:G35"/>
    <mergeCell ref="A47:B47"/>
    <mergeCell ref="C47:D47"/>
    <mergeCell ref="F47:G47"/>
    <mergeCell ref="A38:B38"/>
    <mergeCell ref="C38:D38"/>
    <mergeCell ref="F38:G38"/>
    <mergeCell ref="A46:B46"/>
    <mergeCell ref="C46:D46"/>
    <mergeCell ref="F46:G46"/>
    <mergeCell ref="A32:B32"/>
    <mergeCell ref="F32:G32"/>
    <mergeCell ref="A44:B44"/>
    <mergeCell ref="F44:G44"/>
    <mergeCell ref="A33:B33"/>
    <mergeCell ref="F33:G33"/>
    <mergeCell ref="A45:B45"/>
    <mergeCell ref="F45:G45"/>
    <mergeCell ref="F42:H42"/>
    <mergeCell ref="A36:B36"/>
    <mergeCell ref="C36:D36"/>
    <mergeCell ref="F36:G36"/>
    <mergeCell ref="A43:B43"/>
    <mergeCell ref="C43:D43"/>
    <mergeCell ref="F43:G43"/>
    <mergeCell ref="A28:C28"/>
    <mergeCell ref="A40:C40"/>
    <mergeCell ref="A29:C29"/>
    <mergeCell ref="A41:C41"/>
    <mergeCell ref="A30:B30"/>
    <mergeCell ref="C30:D30"/>
    <mergeCell ref="F30:H30"/>
    <mergeCell ref="A42:B42"/>
    <mergeCell ref="C42:D42"/>
    <mergeCell ref="E28:F28"/>
    <mergeCell ref="A34:B34"/>
    <mergeCell ref="C34:D34"/>
    <mergeCell ref="F34:G34"/>
    <mergeCell ref="E29:F29"/>
    <mergeCell ref="B26:D26"/>
    <mergeCell ref="A9:B9"/>
    <mergeCell ref="C9:D9"/>
    <mergeCell ref="E9:F9"/>
    <mergeCell ref="A16:B16"/>
    <mergeCell ref="C16:D16"/>
    <mergeCell ref="E16:F16"/>
    <mergeCell ref="A31:B31"/>
    <mergeCell ref="C31:D31"/>
    <mergeCell ref="F31:G31"/>
    <mergeCell ref="A22:E22"/>
    <mergeCell ref="F22:G22"/>
    <mergeCell ref="A7:E7"/>
    <mergeCell ref="F7:G7"/>
    <mergeCell ref="A14:E14"/>
    <mergeCell ref="F14:G14"/>
    <mergeCell ref="A21:E21"/>
    <mergeCell ref="F21:G21"/>
    <mergeCell ref="A23:B23"/>
    <mergeCell ref="C23:D23"/>
    <mergeCell ref="E23:F23"/>
    <mergeCell ref="B12:D12"/>
    <mergeCell ref="B19:D19"/>
    <mergeCell ref="A1:F1"/>
    <mergeCell ref="G1:L1"/>
    <mergeCell ref="A2:B2"/>
    <mergeCell ref="C2:F2"/>
    <mergeCell ref="A3:B3"/>
    <mergeCell ref="C3:F3"/>
    <mergeCell ref="A8:E8"/>
    <mergeCell ref="F8:G8"/>
    <mergeCell ref="A15:E15"/>
    <mergeCell ref="F15:G15"/>
  </mergeCells>
  <dataValidations count="1">
    <dataValidation type="list" allowBlank="1" showInputMessage="1" showErrorMessage="1" sqref="E29:F29 E41:F41" xr:uid="{37466D7D-4809-416D-9CD0-2470A15AD06B}">
      <formula1>"1,2,3,4,5,6,7,8,9,10,11,12,13,14,15,16,17,18,19,20"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CB24BE3F-425E-452C-B7FB-4525BF138779}">
          <x14:formula1>
            <xm:f>Heads!$K$1:$Q$1</xm:f>
          </x14:formula1>
          <xm:sqref>F15 F22 F8</xm:sqref>
        </x14:dataValidation>
        <x14:dataValidation type="list" allowBlank="1" showInputMessage="1" showErrorMessage="1" xr:uid="{2FAF8055-9369-4D8F-AE56-29C8229E0F8F}">
          <x14:formula1>
            <xm:f>Weapons!$A$2:$A$74</xm:f>
          </x14:formula1>
          <xm:sqref>A29:C29 A41:C41</xm:sqref>
        </x14:dataValidation>
        <x14:dataValidation type="list" allowBlank="1" showInputMessage="1" showErrorMessage="1" xr:uid="{2112D33B-E94B-4093-8F59-D04ED16A3310}">
          <x14:formula1>
            <xm:f>Lists!$A$2:$A$9</xm:f>
          </x14:formula1>
          <xm:sqref>C2</xm:sqref>
        </x14:dataValidation>
        <x14:dataValidation type="list" allowBlank="1" showInputMessage="1" showErrorMessage="1" xr:uid="{FF772940-4459-4255-BD36-5EAA89D4ABD9}">
          <x14:formula1>
            <xm:f>Fighters!$A$3:$A$10</xm:f>
          </x14:formula1>
          <xm:sqref>C3</xm:sqref>
        </x14:dataValidation>
        <x14:dataValidation type="list" allowBlank="1" showInputMessage="1" showErrorMessage="1" xr:uid="{F3AE6F14-6E2F-499C-8860-892FF42413B8}">
          <x14:formula1>
            <xm:f>Decals!$A$2:$A$202</xm:f>
          </x14:formula1>
          <xm:sqref>J8:J16</xm:sqref>
        </x14:dataValidation>
        <x14:dataValidation type="list" showInputMessage="1" showErrorMessage="1" xr:uid="{9278CFE4-E941-4E6B-94F3-1B6F976D1A6D}">
          <x14:formula1>
            <xm:f>Heads!$A$2:$A$101</xm:f>
          </x14:formula1>
          <xm:sqref>A8:E8</xm:sqref>
        </x14:dataValidation>
        <x14:dataValidation type="list" allowBlank="1" showInputMessage="1" showErrorMessage="1" xr:uid="{78874261-DE17-4608-B150-174511BFB2E2}">
          <x14:formula1>
            <xm:f>Bodies!$A$2:$A$75</xm:f>
          </x14:formula1>
          <xm:sqref>A15:E15</xm:sqref>
        </x14:dataValidation>
        <x14:dataValidation type="list" allowBlank="1" showInputMessage="1" showErrorMessage="1" xr:uid="{AD3661C8-62DE-4EDC-997D-2BE90F807167}">
          <x14:formula1>
            <xm:f>Legs!$A$2:$A$72</xm:f>
          </x14:formula1>
          <xm:sqref>A22:E22</xm:sqref>
        </x14:dataValidation>
        <x14:dataValidation type="list" allowBlank="1" showInputMessage="1" showErrorMessage="1" xr:uid="{D3C02493-8946-4EEE-8225-5733C2EB013F}">
          <x14:formula1>
            <xm:f>Weapons!$P$1:$W$1</xm:f>
          </x14:formula1>
          <xm:sqref>D29 D41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AD1DD-1839-41CE-890D-5BE016F34D9D}">
  <sheetPr codeName="Sheet2"/>
  <dimension ref="A1:AZ116"/>
  <sheetViews>
    <sheetView topLeftCell="A86" workbookViewId="0">
      <selection activeCell="W101" sqref="W101:X101"/>
    </sheetView>
  </sheetViews>
  <sheetFormatPr defaultRowHeight="15"/>
  <cols>
    <col min="1" max="13" width="9.140625" style="61"/>
    <col min="14" max="14" width="9.140625" style="61" customWidth="1"/>
    <col min="15" max="16384" width="9.140625" style="61"/>
  </cols>
  <sheetData>
    <row r="1" spans="1:23" ht="15.75" thickBot="1">
      <c r="A1" s="205" t="s">
        <v>848</v>
      </c>
      <c r="B1" s="205"/>
      <c r="C1" s="205"/>
      <c r="D1" s="205"/>
      <c r="E1" s="205"/>
      <c r="F1" s="205"/>
      <c r="G1" s="162" t="s">
        <v>450</v>
      </c>
      <c r="H1" s="162"/>
      <c r="I1" s="162"/>
      <c r="J1" s="162"/>
      <c r="K1" s="162"/>
      <c r="L1" s="162"/>
    </row>
    <row r="2" spans="1:23" ht="15.75" thickBot="1">
      <c r="A2" s="152" t="s">
        <v>253</v>
      </c>
      <c r="B2" s="153"/>
      <c r="C2" s="154" t="str">
        <f>Build!C2</f>
        <v>Shooter</v>
      </c>
      <c r="D2" s="154"/>
      <c r="E2" s="154"/>
      <c r="F2" s="154"/>
      <c r="G2" s="49" t="s">
        <v>320</v>
      </c>
      <c r="H2" s="49" t="s">
        <v>321</v>
      </c>
      <c r="I2" s="49" t="s">
        <v>322</v>
      </c>
      <c r="J2" s="49" t="s">
        <v>323</v>
      </c>
      <c r="K2" s="49" t="s">
        <v>324</v>
      </c>
      <c r="L2" s="49" t="s">
        <v>325</v>
      </c>
    </row>
    <row r="3" spans="1:23" ht="15.75" thickBot="1">
      <c r="A3" s="155" t="s">
        <v>239</v>
      </c>
      <c r="B3" s="155"/>
      <c r="C3" s="156">
        <f>Build!C3</f>
        <v>8</v>
      </c>
      <c r="D3" s="156"/>
      <c r="E3" s="156"/>
      <c r="F3" s="156"/>
      <c r="G3" s="75">
        <f>Build!G3</f>
        <v>14</v>
      </c>
      <c r="H3" s="75">
        <f>Build!H3</f>
        <v>18.2</v>
      </c>
      <c r="I3" s="75">
        <f>Build!I3</f>
        <v>12.5</v>
      </c>
      <c r="J3" s="75">
        <f>Build!J3</f>
        <v>22.2</v>
      </c>
      <c r="K3" s="75">
        <f>Build!K3</f>
        <v>19.8</v>
      </c>
      <c r="L3" s="75">
        <f>Build!L3</f>
        <v>19.600000000000001</v>
      </c>
    </row>
    <row r="4" spans="1:23" ht="15.75" thickBot="1">
      <c r="A4" s="41" t="s">
        <v>241</v>
      </c>
      <c r="B4" s="42" t="s">
        <v>242</v>
      </c>
      <c r="C4" s="43" t="s">
        <v>243</v>
      </c>
      <c r="D4" s="44" t="s">
        <v>244</v>
      </c>
      <c r="E4" s="45" t="s">
        <v>245</v>
      </c>
      <c r="F4" s="46" t="s">
        <v>231</v>
      </c>
    </row>
    <row r="5" spans="1:23" ht="15.75" thickBot="1">
      <c r="A5" s="77" cm="1">
        <f t="array" ref="A5">INDEX(Fighters!$B$3:$AW$10,
  MATCH($C$3,Fighters!$A$3:$A$10,0),
  MATCH($C$2,Fighters!$B$1:$AW$1,0) + MATCH(A4,Fighters!$B$2:$G$2,0) - 1
)</f>
        <v>20295</v>
      </c>
      <c r="B5" s="77" cm="1">
        <f t="array" ref="B5">INDEX(Fighters!$B$3:$AW$10,
  MATCH($C$3,Fighters!$A$3:$A$10,0),
  MATCH($C$2,Fighters!$B$1:$AW$1,0) + MATCH(B4,Fighters!$B$2:$G$2,0) - 1
)</f>
        <v>282</v>
      </c>
      <c r="C5" s="77" cm="1">
        <f t="array" ref="C5">INDEX(Fighters!$B$3:$AW$10,
  MATCH($C$3,Fighters!$A$3:$A$10,0),
  MATCH($C$2,Fighters!$B$1:$AW$1,0) + MATCH(C4,Fighters!$B$2:$G$2,0) - 1
)</f>
        <v>206</v>
      </c>
      <c r="D5" s="77" cm="1">
        <f t="array" ref="D5">INDEX(Fighters!$B$3:$AW$10,
  MATCH($C$3,Fighters!$A$3:$A$10,0),
  MATCH($C$2,Fighters!$B$1:$AW$1,0) + MATCH(D4,Fighters!$B$2:$G$2,0) - 1
)</f>
        <v>540</v>
      </c>
      <c r="E5" s="77" cm="1">
        <f t="array" ref="E5">INDEX(Fighters!$B$3:$AW$10,
  MATCH($C$3,Fighters!$A$3:$A$10,0),
  MATCH($C$2,Fighters!$B$1:$AW$1,0) + MATCH(E4,Fighters!$B$2:$G$2,0) - 1
)</f>
        <v>174</v>
      </c>
      <c r="F5" s="77" cm="1">
        <f t="array" ref="F5">INDEX(Fighters!$B$3:$AW$10,
  MATCH($C$3,Fighters!$A$3:$A$10,0),
  MATCH($C$2,Fighters!$B$1:$AW$1,0) + MATCH(F4,Fighters!$B$2:$G$2,0) - 1
)</f>
        <v>53</v>
      </c>
    </row>
    <row r="6" spans="1:23" ht="15.75" thickBot="1"/>
    <row r="7" spans="1:23" ht="15.75" thickBot="1">
      <c r="A7" s="158" t="s">
        <v>323</v>
      </c>
      <c r="B7" s="158"/>
      <c r="C7" s="158"/>
      <c r="D7" s="158"/>
      <c r="E7" s="158"/>
      <c r="F7" s="158" t="s">
        <v>239</v>
      </c>
      <c r="G7" s="158"/>
      <c r="I7" s="158" t="s">
        <v>324</v>
      </c>
      <c r="J7" s="158"/>
      <c r="K7" s="158"/>
      <c r="L7" s="158"/>
      <c r="M7" s="158"/>
      <c r="N7" s="158" t="s">
        <v>239</v>
      </c>
      <c r="O7" s="158"/>
      <c r="Q7" s="158" t="s">
        <v>847</v>
      </c>
      <c r="R7" s="158"/>
      <c r="S7" s="158"/>
      <c r="T7" s="158"/>
      <c r="U7" s="158"/>
      <c r="V7" s="158" t="s">
        <v>239</v>
      </c>
      <c r="W7" s="158"/>
    </row>
    <row r="8" spans="1:23" ht="15.75" thickBot="1">
      <c r="A8" s="157" t="str">
        <f>Build!A8</f>
        <v>Iron Eagle Head RE</v>
      </c>
      <c r="B8" s="157"/>
      <c r="C8" s="157"/>
      <c r="D8" s="157"/>
      <c r="E8" s="157"/>
      <c r="F8" s="157" t="str">
        <f>Build!F8</f>
        <v>14</v>
      </c>
      <c r="G8" s="157"/>
      <c r="I8" s="157" t="str">
        <f>Build!A15</f>
        <v>Iron Eagle Body RE</v>
      </c>
      <c r="J8" s="157"/>
      <c r="K8" s="157"/>
      <c r="L8" s="157"/>
      <c r="M8" s="157"/>
      <c r="N8" s="157" t="str">
        <f>Build!F15</f>
        <v>14</v>
      </c>
      <c r="O8" s="157"/>
      <c r="Q8" s="157" t="str">
        <f>Build!A22</f>
        <v>Iron Eagle Pants RE</v>
      </c>
      <c r="R8" s="157"/>
      <c r="S8" s="157"/>
      <c r="T8" s="157"/>
      <c r="U8" s="157"/>
      <c r="V8" s="157" t="str">
        <f>Build!F22</f>
        <v>14</v>
      </c>
      <c r="W8" s="157"/>
    </row>
    <row r="9" spans="1:23" s="80" customFormat="1" ht="15.75" thickBot="1">
      <c r="A9" s="164" t="s">
        <v>711</v>
      </c>
      <c r="B9" s="164"/>
      <c r="C9" s="165" t="str">
        <f>_xlfn.XLOOKUP(A8,Heads!A2:A101,Heads!B2:B101)</f>
        <v>Iron Eagle RE</v>
      </c>
      <c r="D9" s="166"/>
      <c r="E9" s="162" t="s">
        <v>340</v>
      </c>
      <c r="F9" s="162"/>
      <c r="G9" s="135" t="str">
        <f>_xlfn.XLOOKUP(A8,Heads!A2:A101,Heads!C2:C101)</f>
        <v>WE</v>
      </c>
      <c r="I9" s="159" t="s">
        <v>711</v>
      </c>
      <c r="J9" s="159"/>
      <c r="K9" s="160" t="str">
        <f>_xlfn.XLOOKUP(I8,Bodies!A3:A101,Bodies!B3:B101)</f>
        <v>Iron Eagle RE</v>
      </c>
      <c r="L9" s="160"/>
      <c r="M9" s="161" t="s">
        <v>340</v>
      </c>
      <c r="N9" s="162"/>
      <c r="O9" s="60" t="str">
        <f>_xlfn.XLOOKUP(I8,Bodies!A3:A101,Bodies!C3:C101)</f>
        <v>WE</v>
      </c>
      <c r="Q9" s="159" t="s">
        <v>711</v>
      </c>
      <c r="R9" s="159"/>
      <c r="S9" s="160" t="str">
        <f>_xlfn.XLOOKUP(Q8,Legs!A3:A101,Legs!B3:B101)</f>
        <v>Iron Eagle RE</v>
      </c>
      <c r="T9" s="160"/>
      <c r="U9" s="161" t="s">
        <v>340</v>
      </c>
      <c r="V9" s="162"/>
      <c r="W9" s="60" t="str">
        <f>_xlfn.XLOOKUP(Q8,Legs!A3:A101,Legs!C3:C101)</f>
        <v>WE</v>
      </c>
    </row>
    <row r="10" spans="1:23" ht="15.75" thickBot="1">
      <c r="A10" s="94" t="s">
        <v>707</v>
      </c>
      <c r="B10" s="41" t="s">
        <v>241</v>
      </c>
      <c r="C10" s="42" t="s">
        <v>242</v>
      </c>
      <c r="D10" s="43" t="s">
        <v>243</v>
      </c>
      <c r="E10" s="44" t="s">
        <v>244</v>
      </c>
      <c r="F10" s="45" t="s">
        <v>245</v>
      </c>
      <c r="G10" s="46" t="s">
        <v>231</v>
      </c>
      <c r="I10" s="94" t="s">
        <v>707</v>
      </c>
      <c r="J10" s="74" t="s">
        <v>320</v>
      </c>
      <c r="K10" s="74" t="s">
        <v>321</v>
      </c>
      <c r="L10" s="74" t="s">
        <v>322</v>
      </c>
      <c r="M10" s="41" t="s">
        <v>341</v>
      </c>
      <c r="N10" s="111" t="s">
        <v>342</v>
      </c>
      <c r="O10" s="112" t="s">
        <v>343</v>
      </c>
      <c r="Q10" s="94" t="s">
        <v>707</v>
      </c>
      <c r="R10" s="74" t="s">
        <v>320</v>
      </c>
      <c r="S10" s="74" t="s">
        <v>321</v>
      </c>
      <c r="T10" s="74" t="s">
        <v>322</v>
      </c>
      <c r="U10" s="41" t="s">
        <v>341</v>
      </c>
      <c r="V10" s="111" t="s">
        <v>342</v>
      </c>
      <c r="W10" s="112" t="s">
        <v>343</v>
      </c>
    </row>
    <row r="11" spans="1:23" ht="15.75" thickBot="1">
      <c r="A11" s="60">
        <f>INDEX(TableHeads[],
  MATCH(A8,TableHeads[NAME],0),
  MATCH(F8,TableHeads[#Headers],0)
)</f>
        <v>1295</v>
      </c>
      <c r="B11" s="60">
        <f>_xlfn.XLOOKUP(A8,TableHeads[NAME],TableHeads[HP%])</f>
        <v>9</v>
      </c>
      <c r="C11" s="60">
        <f>_xlfn.XLOOKUP(A8,TableHeads[NAME],TableHeads[STM%])</f>
        <v>0</v>
      </c>
      <c r="D11" s="60">
        <f>_xlfn.XLOOKUP(A8,TableHeads[NAME],TableHeads[STR%])</f>
        <v>0</v>
      </c>
      <c r="E11" s="60">
        <f>_xlfn.XLOOKUP(A8,TableHeads[NAME],TableHeads[DEX%])</f>
        <v>16</v>
      </c>
      <c r="F11" s="60">
        <f>_xlfn.XLOOKUP(A8,TableHeads[NAME],TableHeads[VIT%])</f>
        <v>0</v>
      </c>
      <c r="G11" s="60">
        <f>_xlfn.XLOOKUP(A8,TableHeads[NAME],TableHeads[LUK%])</f>
        <v>0</v>
      </c>
      <c r="I11" s="60">
        <f>INDEX(TableBodies[],
  MATCH(I8,TableBodies[NAME],0),
  MATCH(N8,TableBodies[#Headers],0)
)</f>
        <v>4613</v>
      </c>
      <c r="J11" s="60">
        <f>_xlfn.XLOOKUP(I8,TableBodies[NAME],TableBodies[SLASH%])</f>
        <v>0</v>
      </c>
      <c r="K11" s="60">
        <f>_xlfn.XLOOKUP(I8,TableBodies[NAME],TableBodies[BLUNT%])</f>
        <v>0</v>
      </c>
      <c r="L11" s="60">
        <f>_xlfn.XLOOKUP(I8,TableBodies[NAME],TableBodies[PIERCE%])</f>
        <v>9</v>
      </c>
      <c r="M11" s="60">
        <f>_xlfn.XLOOKUP(I8,TableBodies[NAME],TableBodies[FIRE%])</f>
        <v>5</v>
      </c>
      <c r="N11" s="60">
        <f>_xlfn.XLOOKUP(I8,TableBodies[NAME],TableBodies[ELEC%])</f>
        <v>0</v>
      </c>
      <c r="O11" s="60">
        <f>_xlfn.XLOOKUP(I8,TableBodies[NAME],TableBodies[POISON%])</f>
        <v>9</v>
      </c>
      <c r="Q11" s="60">
        <f>INDEX(TableLegs[],
  MATCH(Q8,TableLegs[NAME],0),
  MATCH(V8,TableLegs[#Headers],0)
)</f>
        <v>3184</v>
      </c>
      <c r="R11" s="60">
        <f>_xlfn.XLOOKUP(Q8,TableLegs[NAME],TableLegs[SLASH%])</f>
        <v>0</v>
      </c>
      <c r="S11" s="60">
        <f>_xlfn.XLOOKUP(Q8,TableLegs[NAME],TableLegs[BLUNT%])</f>
        <v>0</v>
      </c>
      <c r="T11" s="60">
        <f>_xlfn.XLOOKUP(Q8,TableLegs[NAME],TableLegs[PIERCE%])</f>
        <v>9</v>
      </c>
      <c r="U11" s="60">
        <f>_xlfn.XLOOKUP(Q8,TableLegs[NAME],TableLegs[FIRE%])</f>
        <v>5</v>
      </c>
      <c r="V11" s="60">
        <f>_xlfn.XLOOKUP(Q8,TableLegs[NAME],TableLegs[ELEC%])</f>
        <v>0</v>
      </c>
      <c r="W11" s="60">
        <f>_xlfn.XLOOKUP(Q8,TableLegs[NAME],TableLegs[POISON%])</f>
        <v>9</v>
      </c>
    </row>
    <row r="12" spans="1:23" ht="15.75" thickBot="1">
      <c r="A12" s="95">
        <f>A11*(J3/100+1)</f>
        <v>1582.49</v>
      </c>
      <c r="B12" s="163" t="s">
        <v>849</v>
      </c>
      <c r="C12" s="163"/>
      <c r="D12" s="163"/>
      <c r="E12" s="79"/>
      <c r="F12" s="79"/>
      <c r="G12" s="79"/>
      <c r="I12" s="95">
        <f>I11*(K3/100+1)</f>
        <v>5526.3739999999998</v>
      </c>
      <c r="J12" s="163" t="s">
        <v>849</v>
      </c>
      <c r="K12" s="163"/>
      <c r="L12" s="163"/>
      <c r="M12" s="79"/>
      <c r="N12" s="79"/>
      <c r="O12" s="79"/>
      <c r="Q12" s="95">
        <f>Q11*(L3/100+1)</f>
        <v>3808.0639999999999</v>
      </c>
      <c r="R12" s="163" t="s">
        <v>849</v>
      </c>
      <c r="S12" s="163"/>
      <c r="T12" s="163"/>
      <c r="U12" s="79"/>
      <c r="V12" s="79"/>
      <c r="W12" s="79"/>
    </row>
    <row r="13" spans="1:23" ht="15.75" thickBot="1"/>
    <row r="14" spans="1:23" ht="15.75" thickBot="1">
      <c r="A14" s="158" t="s">
        <v>877</v>
      </c>
      <c r="B14" s="158"/>
      <c r="C14" s="158"/>
      <c r="D14" s="49" t="s">
        <v>239</v>
      </c>
      <c r="E14" s="158" t="s">
        <v>958</v>
      </c>
      <c r="F14" s="158"/>
      <c r="J14" s="158" t="s">
        <v>878</v>
      </c>
      <c r="K14" s="158"/>
      <c r="L14" s="158"/>
      <c r="M14" s="49" t="s">
        <v>239</v>
      </c>
      <c r="N14" s="158" t="s">
        <v>958</v>
      </c>
      <c r="O14" s="158"/>
    </row>
    <row r="15" spans="1:23" ht="15.75" thickBot="1">
      <c r="A15" s="157" t="str">
        <f>Build!A29</f>
        <v>Assault Rifle RE</v>
      </c>
      <c r="B15" s="157"/>
      <c r="C15" s="157"/>
      <c r="D15" s="76" t="str">
        <f>Build!D29</f>
        <v>14</v>
      </c>
      <c r="E15" s="157">
        <f>Build!E29</f>
        <v>20</v>
      </c>
      <c r="F15" s="157"/>
      <c r="J15" s="157" t="str">
        <f>Build!A41</f>
        <v>Magnum</v>
      </c>
      <c r="K15" s="157"/>
      <c r="L15" s="157"/>
      <c r="M15" s="76" t="str">
        <f>Build!D41</f>
        <v>14</v>
      </c>
      <c r="N15" s="157">
        <f>Build!E41</f>
        <v>20</v>
      </c>
      <c r="O15" s="157"/>
    </row>
    <row r="16" spans="1:23" ht="15.75" thickBot="1">
      <c r="A16" s="167" t="s">
        <v>855</v>
      </c>
      <c r="B16" s="167"/>
      <c r="C16" s="170" t="str">
        <f>_xlfn.XLOOKUP(A15,Weapons!A2:A74,Weapons!B2:B74)</f>
        <v>Assault Rifle</v>
      </c>
      <c r="D16" s="170"/>
      <c r="F16" s="151" t="s">
        <v>779</v>
      </c>
      <c r="G16" s="151"/>
      <c r="H16" s="151"/>
      <c r="J16" s="167" t="s">
        <v>855</v>
      </c>
      <c r="K16" s="167"/>
      <c r="L16" s="170" t="str">
        <f>_xlfn.XLOOKUP(J15,Weapons!A2:A74,Weapons!B2:B74)</f>
        <v>Magnum</v>
      </c>
      <c r="M16" s="170"/>
      <c r="O16" s="151" t="s">
        <v>779</v>
      </c>
      <c r="P16" s="151"/>
      <c r="Q16" s="151"/>
      <c r="R16" s="78"/>
    </row>
    <row r="17" spans="1:52" ht="15.75" thickBot="1">
      <c r="A17" s="167" t="s">
        <v>0</v>
      </c>
      <c r="B17" s="167"/>
      <c r="C17" s="168" t="e">
        <f>INDEX(Weapons!A2:W74,
  MATCH(A15,Weapons!A2:A74,0),
  MATCH(D15,Weapons!A1:W1,0)
)</f>
        <v>#N/A</v>
      </c>
      <c r="D17" s="168"/>
      <c r="F17" s="162" t="s">
        <v>854</v>
      </c>
      <c r="G17" s="162"/>
      <c r="H17" s="74" t="s">
        <v>449</v>
      </c>
      <c r="J17" s="167" t="s">
        <v>0</v>
      </c>
      <c r="K17" s="167"/>
      <c r="L17" s="168" t="e">
        <f>INDEX(Weapons!A2:W74,
  MATCH(J15,Weapons!A2:A74,0),
  MATCH(M15,Weapons!A1:W1,0)
)</f>
        <v>#N/A</v>
      </c>
      <c r="M17" s="168"/>
      <c r="O17" s="162" t="s">
        <v>854</v>
      </c>
      <c r="P17" s="162"/>
      <c r="Q17" s="74" t="s">
        <v>449</v>
      </c>
    </row>
    <row r="18" spans="1:52" ht="15.75" thickBot="1">
      <c r="A18" s="167" t="s">
        <v>2</v>
      </c>
      <c r="B18" s="176"/>
      <c r="C18" s="97" t="str">
        <f>_xlfn.XLOOKUP(A15,TableWeapons[NAME],TableWeapons[RAW TYPE])</f>
        <v>Piercing</v>
      </c>
      <c r="D18" s="98">
        <f>_xlfn.XLOOKUP(A15,TableWeapons[NAME],TableWeapons[RAW %])</f>
        <v>100</v>
      </c>
      <c r="E18" s="52">
        <v>1</v>
      </c>
      <c r="F18" s="170" t="str" cm="1">
        <f t="array" ref="F18">INDEX('Weapon Moves'!$A$3:$O$75,
  MATCH(Calc!A15,'Weapon Moves'!$A$3:$A$75,0),
  MATCH(Calc!E18,'Weapon Moves'!$A$1:$O$1,0) + MATCH(Calc!$F$17,'Weapon Moves'!$B$2:$C$2,0) - 1
)</f>
        <v>normal</v>
      </c>
      <c r="G18" s="170"/>
      <c r="H18" s="96" cm="1">
        <f t="array" ref="H18">INDEX('Weapon Moves'!$A$3:$O$75,
  MATCH(Calc!A15,'Weapon Moves'!$A$3:$A$75,0),
  MATCH(Calc!E18,'Weapon Moves'!$A$1:$O$1,0) + MATCH(Calc!$F$17,'Weapon Moves'!$B$2:$C$2,0)
)</f>
        <v>3.9643010960087349E-2</v>
      </c>
      <c r="J18" s="167" t="s">
        <v>2</v>
      </c>
      <c r="K18" s="176"/>
      <c r="L18" s="97" t="str">
        <f>_xlfn.XLOOKUP(J15,TableWeapons[NAME],TableWeapons[RAW TYPE])</f>
        <v>Piercing</v>
      </c>
      <c r="M18" s="98">
        <f>_xlfn.XLOOKUP(J15,TableWeapons[NAME],TableWeapons[RAW %])</f>
        <v>100</v>
      </c>
      <c r="N18" s="52">
        <v>1</v>
      </c>
      <c r="O18" s="170" t="str" cm="1">
        <f t="array" ref="O18">INDEX('Weapon Moves'!$A$3:$O$75,
  MATCH($J$15,'Weapon Moves'!$A$3:$A$75,0),
  MATCH(Calc!N18,'Weapon Moves'!$A$1:$O$1,0) + MATCH($O$17,'Weapon Moves'!$B$2:$C$2,0) - 1
)</f>
        <v>normal</v>
      </c>
      <c r="P18" s="170"/>
      <c r="Q18" s="96" cm="1">
        <f t="array" ref="Q18">INDEX('Weapon Moves'!$A$3:$O$75,
  MATCH($J$15,'Weapon Moves'!$A$3:$A$75,0),
  MATCH(Calc!N18,'Weapon Moves'!$A$1:$O$1,0) + MATCH($O$17,'Weapon Moves'!$B$2:$C$2,0)
)</f>
        <v>0.12120555403473551</v>
      </c>
    </row>
    <row r="19" spans="1:52" ht="15.75" thickBot="1">
      <c r="A19" s="167" t="s">
        <v>850</v>
      </c>
      <c r="B19" s="176"/>
      <c r="C19" s="100">
        <f>_xlfn.XLOOKUP(A15,TableWeapons[NAME],TableWeapons[E TYPE])</f>
        <v>0</v>
      </c>
      <c r="D19" s="99">
        <f>_xlfn.XLOOKUP(A15,TableWeapons[NAME],TableWeapons[E %])</f>
        <v>0</v>
      </c>
      <c r="E19" s="52">
        <v>2</v>
      </c>
      <c r="F19" s="174" t="str" cm="1">
        <f t="array" ref="F19">INDEX('Weapon Moves'!$A$3:$O$75,
  MATCH(Calc!A15,'Weapon Moves'!$A$3:$A$75,0),
  MATCH(Calc!E19,'Weapon Moves'!$A$1:$O$1,0) + MATCH(Calc!$F$17,'Weapon Moves'!$B$2:$C$2,0) - 1
)</f>
        <v>Rage</v>
      </c>
      <c r="G19" s="175"/>
      <c r="H19" s="96" cm="1">
        <f t="array" ref="H19">INDEX('Weapon Moves'!$A$3:$O$75,
  MATCH(Calc!A15,'Weapon Moves'!$A$3:$A$75,0),
  MATCH(Calc!E19,'Weapon Moves'!$A$1:$O$1,0) + MATCH(Calc!$F$17,'Weapon Moves'!$B$2:$C$2,0)
)</f>
        <v>0.5642641803488887</v>
      </c>
      <c r="J19" s="167" t="s">
        <v>850</v>
      </c>
      <c r="K19" s="176"/>
      <c r="L19" s="100">
        <f>_xlfn.XLOOKUP(J15,TableWeapons[NAME],TableWeapons[E TYPE])</f>
        <v>0</v>
      </c>
      <c r="M19" s="99">
        <f>_xlfn.XLOOKUP(J15,TableWeapons[NAME],TableWeapons[E %])</f>
        <v>0</v>
      </c>
      <c r="N19" s="52">
        <v>2</v>
      </c>
      <c r="O19" s="170" t="str" cm="1">
        <f t="array" ref="O19">INDEX('Weapon Moves'!$A$3:$O$75,
  MATCH($J$15,'Weapon Moves'!$A$3:$A$75,0),
  MATCH(Calc!N19,'Weapon Moves'!$A$1:$O$1,0) + MATCH($O$17,'Weapon Moves'!$B$2:$C$2,0) - 1
)</f>
        <v>melee</v>
      </c>
      <c r="P19" s="170"/>
      <c r="Q19" s="96" cm="1">
        <f t="array" ref="Q19">INDEX('Weapon Moves'!$A$3:$O$75,
  MATCH($J$15,'Weapon Moves'!$A$3:$A$75,0),
  MATCH(Calc!N19,'Weapon Moves'!$A$1:$O$1,0) + MATCH($O$17,'Weapon Moves'!$B$2:$C$2,0)
)</f>
        <v>4.9785820759764378E-2</v>
      </c>
    </row>
    <row r="20" spans="1:52" ht="15.75" thickBot="1">
      <c r="A20" s="167" t="s">
        <v>851</v>
      </c>
      <c r="B20" s="167"/>
      <c r="C20" s="173">
        <f>_xlfn.XLOOKUP(A15,TableWeapons[NAME],TableWeapons[STR %])</f>
        <v>0</v>
      </c>
      <c r="D20" s="173"/>
      <c r="E20" s="52">
        <v>3</v>
      </c>
      <c r="F20" s="174" t="str" cm="1">
        <f t="array" ref="F20">INDEX('Weapon Moves'!$A$3:$O$75,
  MATCH(Calc!A15,'Weapon Moves'!$A$3:$A$75,0),
  MATCH(Calc!E20,'Weapon Moves'!$A$1:$O$1,0) + MATCH(Calc!$F$17,'Weapon Moves'!$B$2:$C$2,0) - 1
)</f>
        <v>melee</v>
      </c>
      <c r="G20" s="175"/>
      <c r="H20" s="96" cm="1">
        <f t="array" ref="H20">INDEX('Weapon Moves'!$A$3:$O$75,
  MATCH(Calc!A15,'Weapon Moves'!$A$3:$A$75,0),
  MATCH(Calc!E20,'Weapon Moves'!$A$1:$O$1,0) + MATCH(Calc!$F$17,'Weapon Moves'!$B$2:$C$2,0)
)</f>
        <v>9.1917938082192022E-2</v>
      </c>
      <c r="J20" s="167" t="s">
        <v>851</v>
      </c>
      <c r="K20" s="167"/>
      <c r="L20" s="173">
        <f>_xlfn.XLOOKUP(J15,TableWeapons[NAME],TableWeapons[STR %])</f>
        <v>30</v>
      </c>
      <c r="M20" s="173"/>
      <c r="N20" s="52">
        <v>3</v>
      </c>
      <c r="O20" s="170" t="str" cm="1">
        <f t="array" ref="O20">INDEX('Weapon Moves'!$A$3:$O$75,
  MATCH($J$15,'Weapon Moves'!$A$3:$A$75,0),
  MATCH(Calc!N20,'Weapon Moves'!$A$1:$O$1,0) + MATCH($O$17,'Weapon Moves'!$B$2:$C$2,0) - 1
)</f>
        <v>Rage</v>
      </c>
      <c r="P20" s="170"/>
      <c r="Q20" s="96" cm="1">
        <f t="array" ref="Q20">INDEX('Weapon Moves'!$A$3:$O$75,
  MATCH($J$15,'Weapon Moves'!$A$3:$A$75,0),
  MATCH(Calc!N20,'Weapon Moves'!$A$1:$O$1,0) + MATCH($O$17,'Weapon Moves'!$B$2:$C$2,0)
)</f>
        <v>0.36782046941013269</v>
      </c>
      <c r="R20" s="78"/>
    </row>
    <row r="21" spans="1:52" ht="15.75" thickBot="1">
      <c r="A21" s="167" t="s">
        <v>852</v>
      </c>
      <c r="B21" s="167"/>
      <c r="C21" s="170">
        <f>_xlfn.XLOOKUP(A15,TableWeapons[NAME],TableWeapons[DEX %])</f>
        <v>100</v>
      </c>
      <c r="D21" s="170"/>
      <c r="E21" s="52">
        <v>4</v>
      </c>
      <c r="F21" s="174" cm="1">
        <f t="array" ref="F21">INDEX('Weapon Moves'!$A$3:$O$75,
  MATCH(Calc!A15,'Weapon Moves'!$A$3:$A$75,0),
  MATCH(Calc!E21,'Weapon Moves'!$A$1:$O$1,0) + MATCH(Calc!$F$17,'Weapon Moves'!$B$2:$C$2,0) - 1
)</f>
        <v>0</v>
      </c>
      <c r="G21" s="175"/>
      <c r="H21" s="96" cm="1">
        <f t="array" ref="H21">INDEX('Weapon Moves'!$A$3:$O$75,
  MATCH(Calc!A15,'Weapon Moves'!$A$3:$A$75,0),
  MATCH(Calc!E21,'Weapon Moves'!$A$1:$O$1,0) + MATCH(Calc!$F$17,'Weapon Moves'!$B$2:$C$2,0)
)</f>
        <v>0</v>
      </c>
      <c r="J21" s="167" t="s">
        <v>852</v>
      </c>
      <c r="K21" s="167"/>
      <c r="L21" s="170">
        <f>_xlfn.XLOOKUP(J15,TableWeapons[NAME],TableWeapons[DEX %])</f>
        <v>70</v>
      </c>
      <c r="M21" s="170"/>
      <c r="N21" s="52">
        <v>4</v>
      </c>
      <c r="O21" s="170" cm="1">
        <f t="array" ref="O21">INDEX('Weapon Moves'!$A$3:$O$75,
  MATCH($J$15,'Weapon Moves'!$A$3:$A$75,0),
  MATCH(Calc!N21,'Weapon Moves'!$A$1:$O$1,0) + MATCH($O$17,'Weapon Moves'!$B$2:$C$2,0) - 1
)</f>
        <v>0</v>
      </c>
      <c r="P21" s="170"/>
      <c r="Q21" s="96" cm="1">
        <f t="array" ref="Q21">INDEX('Weapon Moves'!$A$3:$O$75,
  MATCH($J$15,'Weapon Moves'!$A$3:$A$75,0),
  MATCH(Calc!N21,'Weapon Moves'!$A$1:$O$1,0) + MATCH($O$17,'Weapon Moves'!$B$2:$C$2,0)
)</f>
        <v>0</v>
      </c>
    </row>
    <row r="22" spans="1:52" ht="15.75" thickBot="1">
      <c r="A22" s="167" t="s">
        <v>853</v>
      </c>
      <c r="B22" s="167"/>
      <c r="C22" s="170">
        <f>_xlfn.XLOOKUP(A15,TableWeapons[NAME],TableWeapons[HEADSHOT])</f>
        <v>1.5</v>
      </c>
      <c r="D22" s="170"/>
      <c r="E22" s="52">
        <v>5</v>
      </c>
      <c r="F22" s="174" cm="1">
        <f t="array" ref="F22">INDEX('Weapon Moves'!$A$3:$O$75,
  MATCH(Calc!A15,'Weapon Moves'!$A$3:$A$75,0),
  MATCH(Calc!E22,'Weapon Moves'!$A$1:$O$1,0) + MATCH(Calc!$F$17,'Weapon Moves'!$B$2:$C$2,0) - 1
)</f>
        <v>0</v>
      </c>
      <c r="G22" s="175"/>
      <c r="H22" s="96" cm="1">
        <f t="array" ref="H22">INDEX('Weapon Moves'!$A$3:$O$75,
  MATCH(Calc!A15,'Weapon Moves'!$A$3:$A$75,0),
  MATCH(Calc!E22,'Weapon Moves'!$A$1:$O$1,0) + MATCH(Calc!$F$17,'Weapon Moves'!$B$2:$C$2,0)
)</f>
        <v>0</v>
      </c>
      <c r="J22" s="167" t="s">
        <v>853</v>
      </c>
      <c r="K22" s="167"/>
      <c r="L22" s="170">
        <f>_xlfn.XLOOKUP(J15,TableWeapons[NAME],TableWeapons[HEADSHOT])</f>
        <v>2.38</v>
      </c>
      <c r="M22" s="170"/>
      <c r="N22" s="52">
        <v>5</v>
      </c>
      <c r="O22" s="170" cm="1">
        <f t="array" ref="O22">INDEX('Weapon Moves'!$A$3:$O$75,
  MATCH($J$15,'Weapon Moves'!$A$3:$A$75,0),
  MATCH(Calc!N22,'Weapon Moves'!$A$1:$O$1,0) + MATCH($O$17,'Weapon Moves'!$B$2:$C$2,0) - 1
)</f>
        <v>0</v>
      </c>
      <c r="P22" s="170"/>
      <c r="Q22" s="96" cm="1">
        <f t="array" ref="Q22">INDEX('Weapon Moves'!$A$3:$O$75,
  MATCH($J$15,'Weapon Moves'!$A$3:$A$75,0),
  MATCH(Calc!N22,'Weapon Moves'!$A$1:$O$1,0) + MATCH($O$17,'Weapon Moves'!$B$2:$C$2,0)
)</f>
        <v>0</v>
      </c>
    </row>
    <row r="23" spans="1:52" ht="15.75" thickBot="1">
      <c r="A23" s="167" t="s">
        <v>339</v>
      </c>
      <c r="B23" s="167"/>
      <c r="C23" s="170">
        <f>_xlfn.XLOOKUP(A15,TableWeapons[NAME],TableWeapons[Hands])</f>
        <v>2</v>
      </c>
      <c r="D23" s="170"/>
      <c r="E23" s="52">
        <v>6</v>
      </c>
      <c r="F23" s="174" cm="1">
        <f t="array" ref="F23">INDEX('Weapon Moves'!$A$3:$O$75,
  MATCH(Calc!A15,'Weapon Moves'!$A$3:$A$75,0),
  MATCH(Calc!E23,'Weapon Moves'!$A$1:$O$1,0) + MATCH(Calc!$F$17,'Weapon Moves'!$B$2:$C$2,0) - 1
)</f>
        <v>0</v>
      </c>
      <c r="G23" s="175"/>
      <c r="H23" s="96" cm="1">
        <f t="array" ref="H23">INDEX('Weapon Moves'!$A$3:$O$75,
  MATCH(Calc!A15,'Weapon Moves'!$A$3:$A$75,0),
  MATCH(Calc!E23,'Weapon Moves'!$A$1:$O$1,0) + MATCH(Calc!$F$17,'Weapon Moves'!$B$2:$C$2,0)
)</f>
        <v>0</v>
      </c>
      <c r="J23" s="167" t="s">
        <v>339</v>
      </c>
      <c r="K23" s="167"/>
      <c r="L23" s="170">
        <f>_xlfn.XLOOKUP(J15,TableWeapons[NAME],TableWeapons[Hands])</f>
        <v>2</v>
      </c>
      <c r="M23" s="170"/>
      <c r="N23" s="52">
        <v>6</v>
      </c>
      <c r="O23" s="170" cm="1">
        <f t="array" ref="O23">INDEX('Weapon Moves'!$A$3:$O$75,
  MATCH($J$15,'Weapon Moves'!$A$3:$A$75,0),
  MATCH(Calc!N23,'Weapon Moves'!$A$1:$O$1,0) + MATCH($O$17,'Weapon Moves'!$B$2:$C$2,0) - 1
)</f>
        <v>0</v>
      </c>
      <c r="P23" s="170"/>
      <c r="Q23" s="96" cm="1">
        <f t="array" ref="Q23">INDEX('Weapon Moves'!$A$3:$O$75,
  MATCH($J$15,'Weapon Moves'!$A$3:$A$75,0),
  MATCH(Calc!N23,'Weapon Moves'!$A$1:$O$1,0) + MATCH($O$17,'Weapon Moves'!$B$2:$C$2,0)
)</f>
        <v>0</v>
      </c>
    </row>
    <row r="24" spans="1:52" ht="15.75" thickBot="1">
      <c r="A24" s="167" t="s">
        <v>340</v>
      </c>
      <c r="B24" s="167"/>
      <c r="C24" s="170" t="str">
        <f>_xlfn.XLOOKUP(A15,TableWeapons[NAME],TableWeapons[FACTION])</f>
        <v>WE</v>
      </c>
      <c r="D24" s="170"/>
      <c r="E24" s="52">
        <v>7</v>
      </c>
      <c r="F24" s="174" cm="1">
        <f t="array" ref="F24">INDEX('Weapon Moves'!$A$3:$O$75,
  MATCH(Calc!A15,'Weapon Moves'!$A$3:$A$75,0),
  MATCH(Calc!E24,'Weapon Moves'!$A$1:$O$1,0) + MATCH(Calc!$F$17,'Weapon Moves'!$B$2:$C$2,0) - 1
)</f>
        <v>0</v>
      </c>
      <c r="G24" s="175"/>
      <c r="H24" s="96" cm="1">
        <f t="array" ref="H24">INDEX('Weapon Moves'!$A$3:$O$75,
  MATCH(Calc!A15,'Weapon Moves'!$A$3:$A$75,0),
  MATCH(Calc!E24,'Weapon Moves'!$A$1:$O$1,0) + MATCH(Calc!$F$17,'Weapon Moves'!$B$2:$C$2,0)
)</f>
        <v>0</v>
      </c>
      <c r="J24" s="167" t="s">
        <v>340</v>
      </c>
      <c r="K24" s="167"/>
      <c r="L24" s="170" t="str">
        <f>_xlfn.XLOOKUP(J15,TableWeapons[NAME],TableWeapons[FACTION])</f>
        <v>WE</v>
      </c>
      <c r="M24" s="170"/>
      <c r="N24" s="52">
        <v>7</v>
      </c>
      <c r="O24" s="170" cm="1">
        <f t="array" ref="O24">INDEX('Weapon Moves'!$A$3:$O$75,
  MATCH($J$15,'Weapon Moves'!$A$3:$A$75,0),
  MATCH(Calc!N24,'Weapon Moves'!$A$1:$O$1,0) + MATCH($O$17,'Weapon Moves'!$B$2:$C$2,0) - 1
)</f>
        <v>0</v>
      </c>
      <c r="P24" s="170"/>
      <c r="Q24" s="96" cm="1">
        <f t="array" ref="Q24">INDEX('Weapon Moves'!$A$3:$O$75,
  MATCH($J$15,'Weapon Moves'!$A$3:$A$75,0),
  MATCH(Calc!N24,'Weapon Moves'!$A$1:$O$1,0) + MATCH($O$17,'Weapon Moves'!$B$2:$C$2,0)
)</f>
        <v>0</v>
      </c>
      <c r="AA24" s="78"/>
      <c r="AB24" s="78"/>
      <c r="AC24" s="78"/>
    </row>
    <row r="25" spans="1:52" ht="15.75" thickBot="1">
      <c r="A25" s="78"/>
      <c r="L25" s="78"/>
    </row>
    <row r="26" spans="1:52" ht="15.75" thickBot="1">
      <c r="A26" s="78"/>
      <c r="B26" s="151" t="s">
        <v>710</v>
      </c>
      <c r="C26" s="151"/>
      <c r="D26" s="151"/>
      <c r="E26" s="151"/>
      <c r="F26" s="151"/>
      <c r="G26" s="151"/>
      <c r="H26" s="151"/>
      <c r="I26" s="151"/>
      <c r="J26" s="151"/>
      <c r="K26" s="151"/>
      <c r="L26" s="151"/>
      <c r="M26" s="151"/>
      <c r="N26" s="151"/>
      <c r="O26" s="151"/>
      <c r="P26" s="151"/>
      <c r="Q26" s="151"/>
      <c r="R26" s="151"/>
      <c r="S26" s="151"/>
      <c r="T26" s="151"/>
      <c r="U26" s="151"/>
      <c r="V26" s="151"/>
      <c r="W26" s="151"/>
      <c r="X26" s="151"/>
    </row>
    <row r="27" spans="1:52" ht="15.75" thickBot="1">
      <c r="A27" s="78"/>
      <c r="B27" s="158" t="s">
        <v>22</v>
      </c>
      <c r="C27" s="158"/>
      <c r="D27" s="158"/>
      <c r="E27" s="106" t="s">
        <v>7</v>
      </c>
      <c r="F27" s="106" t="s">
        <v>8</v>
      </c>
      <c r="G27" s="107" t="s">
        <v>711</v>
      </c>
      <c r="H27" s="107" t="s">
        <v>786</v>
      </c>
      <c r="I27" s="107" t="s">
        <v>787</v>
      </c>
      <c r="J27" s="107" t="s">
        <v>820</v>
      </c>
      <c r="K27" s="107" t="s">
        <v>788</v>
      </c>
      <c r="L27" s="107" t="s">
        <v>866</v>
      </c>
      <c r="M27" s="107" t="s">
        <v>337</v>
      </c>
      <c r="N27" s="107" t="s">
        <v>338</v>
      </c>
      <c r="O27" s="107" t="s">
        <v>789</v>
      </c>
      <c r="P27" s="107" t="s">
        <v>339</v>
      </c>
      <c r="Q27" s="106" t="s">
        <v>9</v>
      </c>
      <c r="R27" s="106" t="s">
        <v>10</v>
      </c>
      <c r="S27" s="106" t="s">
        <v>330</v>
      </c>
      <c r="T27" s="106" t="s">
        <v>331</v>
      </c>
      <c r="U27" s="106" t="s">
        <v>332</v>
      </c>
      <c r="V27" s="106" t="s">
        <v>333</v>
      </c>
      <c r="W27" s="106" t="s">
        <v>334</v>
      </c>
      <c r="X27" s="106" t="s">
        <v>335</v>
      </c>
      <c r="Y27" s="106" t="s">
        <v>11</v>
      </c>
      <c r="Z27" s="106" t="s">
        <v>12</v>
      </c>
      <c r="AA27" s="106" t="s">
        <v>13</v>
      </c>
      <c r="AB27" s="106" t="s">
        <v>828</v>
      </c>
      <c r="AC27" s="106" t="s">
        <v>23</v>
      </c>
      <c r="AD27" s="106" t="s">
        <v>24</v>
      </c>
      <c r="AE27" s="106" t="s">
        <v>25</v>
      </c>
      <c r="AF27" s="106" t="s">
        <v>26</v>
      </c>
      <c r="AG27" s="106" t="s">
        <v>792</v>
      </c>
      <c r="AH27" s="106" t="s">
        <v>822</v>
      </c>
      <c r="AI27" s="106" t="s">
        <v>823</v>
      </c>
      <c r="AJ27" s="106" t="s">
        <v>824</v>
      </c>
      <c r="AK27" s="106" t="s">
        <v>825</v>
      </c>
      <c r="AL27" s="106" t="s">
        <v>826</v>
      </c>
      <c r="AM27" s="106" t="s">
        <v>827</v>
      </c>
      <c r="AN27" s="106" t="s">
        <v>839</v>
      </c>
      <c r="AO27" s="106" t="s">
        <v>697</v>
      </c>
      <c r="AP27" s="106" t="s">
        <v>698</v>
      </c>
      <c r="AQ27" s="106" t="s">
        <v>699</v>
      </c>
      <c r="AR27" s="106" t="s">
        <v>700</v>
      </c>
      <c r="AS27" s="106" t="s">
        <v>701</v>
      </c>
      <c r="AT27" s="106" t="s">
        <v>702</v>
      </c>
      <c r="AU27" s="106" t="s">
        <v>798</v>
      </c>
      <c r="AV27" s="106" t="s">
        <v>799</v>
      </c>
      <c r="AW27" s="106" t="s">
        <v>797</v>
      </c>
      <c r="AX27" s="106" t="s">
        <v>800</v>
      </c>
      <c r="AY27" s="106" t="s">
        <v>801</v>
      </c>
      <c r="AZ27" s="106" t="s">
        <v>802</v>
      </c>
    </row>
    <row r="28" spans="1:52" ht="15.75" thickBot="1">
      <c r="A28" s="92">
        <v>1</v>
      </c>
      <c r="B28" s="178">
        <f>Build!J8</f>
        <v>0</v>
      </c>
      <c r="C28" s="178"/>
      <c r="D28" s="178"/>
      <c r="E28" s="50">
        <f>_xlfn.XLOOKUP($B28,Decals!$A$3:$A$202,Decals!B$3:B$202,0)</f>
        <v>0</v>
      </c>
      <c r="F28" s="50">
        <f>_xlfn.XLOOKUP($B28,Decals!$A$3:$A$202,Decals!C$3:C$202,0)</f>
        <v>0</v>
      </c>
      <c r="G28" s="50">
        <f>_xlfn.XLOOKUP($B28,Decals!$A$3:$A$202,Decals!D$3:D$202,0)</f>
        <v>0</v>
      </c>
      <c r="H28" s="50">
        <f>_xlfn.XLOOKUP($B28,Decals!$A$3:$A$202,Decals!E$3:E$202,0)</f>
        <v>0</v>
      </c>
      <c r="I28" s="50">
        <f>_xlfn.XLOOKUP($B28,Decals!$A$3:$A$202,Decals!F$3:F$202,0)</f>
        <v>0</v>
      </c>
      <c r="J28" s="50">
        <f>_xlfn.XLOOKUP($B28,Decals!$A$3:$A$202,Decals!G$3:G$202,0)</f>
        <v>0</v>
      </c>
      <c r="K28" s="50">
        <f>_xlfn.XLOOKUP($B28,Decals!$A$3:$A$202,Decals!H$3:H$202,0)</f>
        <v>0</v>
      </c>
      <c r="L28" s="50">
        <f>_xlfn.XLOOKUP($B28,Decals!$A$3:$A$202,Decals!I$3:I$202,0)</f>
        <v>0</v>
      </c>
      <c r="M28" s="50">
        <f>_xlfn.XLOOKUP($B28,Decals!$A$3:$A$202,Decals!J$3:J$202,0)</f>
        <v>0</v>
      </c>
      <c r="N28" s="50">
        <f>_xlfn.XLOOKUP($B28,Decals!$A$3:$A$202,Decals!K$3:K$202,0)</f>
        <v>0</v>
      </c>
      <c r="O28" s="50">
        <f>_xlfn.XLOOKUP($B28,Decals!$A$3:$A$202,Decals!L$3:L$202,0)</f>
        <v>0</v>
      </c>
      <c r="P28" s="50">
        <f>_xlfn.XLOOKUP($B28,Decals!$A$3:$A$202,Decals!M$3:M$202,0)</f>
        <v>0</v>
      </c>
      <c r="Q28" s="50">
        <f>_xlfn.XLOOKUP($B28,Decals!$A$3:$A$202,Decals!N$3:N$202,0)</f>
        <v>0</v>
      </c>
      <c r="R28" s="50">
        <f>_xlfn.XLOOKUP($B28,Decals!$A$3:$A$202,Decals!O$3:O$202,0)</f>
        <v>0</v>
      </c>
      <c r="S28" s="50">
        <f>_xlfn.XLOOKUP($B28,Decals!$A$3:$A$202,Decals!P$3:P$202,0)</f>
        <v>0</v>
      </c>
      <c r="T28" s="50">
        <f>_xlfn.XLOOKUP($B28,Decals!$A$3:$A$202,Decals!Q$3:Q$202,0)</f>
        <v>0</v>
      </c>
      <c r="U28" s="50">
        <f>_xlfn.XLOOKUP($B28,Decals!$A$3:$A$202,Decals!R$3:R$202,0)</f>
        <v>0</v>
      </c>
      <c r="V28" s="50">
        <f>_xlfn.XLOOKUP($B28,Decals!$A$3:$A$202,Decals!S$3:S$202,0)</f>
        <v>0</v>
      </c>
      <c r="W28" s="50">
        <f>_xlfn.XLOOKUP($B28,Decals!$A$3:$A$202,Decals!T$3:T$202,0)</f>
        <v>0</v>
      </c>
      <c r="X28" s="50">
        <f>_xlfn.XLOOKUP($B28,Decals!$A$3:$A$202,Decals!U$3:U$202,0)</f>
        <v>0</v>
      </c>
      <c r="Y28" s="50">
        <f>_xlfn.XLOOKUP($B28,Decals!$A$3:$A$202,Decals!V$3:V$202,0)</f>
        <v>0</v>
      </c>
      <c r="Z28" s="50">
        <f>_xlfn.XLOOKUP($B28,Decals!$A$3:$A$202,Decals!W$3:W$202,0)</f>
        <v>0</v>
      </c>
      <c r="AA28" s="50">
        <f>_xlfn.XLOOKUP($B28,Decals!$A$3:$A$202,Decals!X$3:X$202,0)</f>
        <v>0</v>
      </c>
      <c r="AB28" s="50">
        <f>_xlfn.XLOOKUP($B28,Decals!$A$3:$A$202,Decals!Y$3:Y$202,0)</f>
        <v>0</v>
      </c>
      <c r="AC28" s="50">
        <f>_xlfn.XLOOKUP($B28,Decals!$A$3:$A$202,Decals!Z$3:Z$202,0)</f>
        <v>0</v>
      </c>
      <c r="AD28" s="50">
        <f>_xlfn.XLOOKUP($B28,Decals!$A$3:$A$202,Decals!AA$3:AA$202,0)</f>
        <v>0</v>
      </c>
      <c r="AE28" s="50">
        <f>_xlfn.XLOOKUP($B28,Decals!$A$3:$A$202,Decals!AB$3:AB$202,0)</f>
        <v>0</v>
      </c>
      <c r="AF28" s="50">
        <f>_xlfn.XLOOKUP($B28,Decals!$A$3:$A$202,Decals!AC$3:AC$202,0)</f>
        <v>0</v>
      </c>
      <c r="AG28" s="50">
        <f>_xlfn.XLOOKUP($B28,Decals!$A$3:$A$202,Decals!AD$3:AD$202,0)</f>
        <v>0</v>
      </c>
      <c r="AH28" s="50">
        <f>_xlfn.XLOOKUP($B28,Decals!$A$3:$A$202,Decals!AE$3:AE$202,0)</f>
        <v>0</v>
      </c>
      <c r="AI28" s="50">
        <f>_xlfn.XLOOKUP($B28,Decals!$A$3:$A$202,Decals!AF$3:AF$202,0)</f>
        <v>0</v>
      </c>
      <c r="AJ28" s="50">
        <f>_xlfn.XLOOKUP($B28,Decals!$A$3:$A$202,Decals!AG$3:AG$202,0)</f>
        <v>0</v>
      </c>
      <c r="AK28" s="50">
        <f>_xlfn.XLOOKUP($B28,Decals!$A$3:$A$202,Decals!AH$3:AH$202,0)</f>
        <v>0</v>
      </c>
      <c r="AL28" s="50">
        <f>_xlfn.XLOOKUP($B28,Decals!$A$3:$A$202,Decals!AI$3:AI$202,0)</f>
        <v>0</v>
      </c>
      <c r="AM28" s="50">
        <f>_xlfn.XLOOKUP($B28,Decals!$A$3:$A$202,Decals!AJ$3:AJ$202,0)</f>
        <v>0</v>
      </c>
      <c r="AN28" s="50">
        <f>_xlfn.XLOOKUP($B28,Decals!$A$3:$A$202,Decals!AK$3:AK$202,0)</f>
        <v>0</v>
      </c>
      <c r="AO28" s="50">
        <f>_xlfn.XLOOKUP($B28,Decals!$A$3:$A$202,Decals!AL$3:AL$202,0)</f>
        <v>0</v>
      </c>
      <c r="AP28" s="50">
        <f>_xlfn.XLOOKUP($B28,Decals!$A$3:$A$202,Decals!AM$3:AM$202,0)</f>
        <v>0</v>
      </c>
      <c r="AQ28" s="50">
        <f>_xlfn.XLOOKUP($B28,Decals!$A$3:$A$202,Decals!AN$3:AN$202,0)</f>
        <v>0</v>
      </c>
      <c r="AR28" s="50">
        <f>_xlfn.XLOOKUP($B28,Decals!$A$3:$A$202,Decals!AO$3:AO$202,0)</f>
        <v>0</v>
      </c>
      <c r="AS28" s="50">
        <f>_xlfn.XLOOKUP($B28,Decals!$A$3:$A$202,Decals!AP$3:AP$202,0)</f>
        <v>0</v>
      </c>
      <c r="AT28" s="50">
        <f>_xlfn.XLOOKUP($B28,Decals!$A$3:$A$202,Decals!AQ$3:AQ$202,0)</f>
        <v>0</v>
      </c>
      <c r="AU28" s="50">
        <f>_xlfn.XLOOKUP($B28,Decals!$A$3:$A$202,Decals!AR$3:AR$202,0)</f>
        <v>0</v>
      </c>
      <c r="AV28" s="50">
        <f>_xlfn.XLOOKUP($B28,Decals!$A$3:$A$202,Decals!AS$3:AS$202,0)</f>
        <v>0</v>
      </c>
      <c r="AW28" s="50">
        <f>_xlfn.XLOOKUP($B28,Decals!$A$3:$A$202,Decals!AT$3:AT$202,0)</f>
        <v>0</v>
      </c>
      <c r="AX28" s="50">
        <f>_xlfn.XLOOKUP($B28,Decals!$A$3:$A$202,Decals!AU$3:AU$202,0)</f>
        <v>0</v>
      </c>
      <c r="AY28" s="50">
        <f>_xlfn.XLOOKUP($B28,Decals!$A$3:$A$202,Decals!AV$3:AV$202,0)</f>
        <v>0</v>
      </c>
      <c r="AZ28" s="50">
        <f>_xlfn.XLOOKUP($B28,Decals!$A$3:$A$202,Decals!AW$3:AW$202,0)</f>
        <v>0</v>
      </c>
    </row>
    <row r="29" spans="1:52" ht="15.75" thickBot="1">
      <c r="A29" s="92">
        <v>2</v>
      </c>
      <c r="B29" s="178">
        <f>Build!J9</f>
        <v>0</v>
      </c>
      <c r="C29" s="178"/>
      <c r="D29" s="178"/>
      <c r="E29" s="50">
        <f>_xlfn.XLOOKUP($B29,Decals!$A$3:$A$202,Decals!B$3:B$202,0)</f>
        <v>0</v>
      </c>
      <c r="F29" s="50">
        <f>_xlfn.XLOOKUP($B29,Decals!$A$3:$A$202,Decals!C$3:C$202,0)</f>
        <v>0</v>
      </c>
      <c r="G29" s="50">
        <f>_xlfn.XLOOKUP($B29,Decals!$A$3:$A$202,Decals!D$3:D$202,0)</f>
        <v>0</v>
      </c>
      <c r="H29" s="50">
        <f>_xlfn.XLOOKUP($B29,Decals!$A$3:$A$202,Decals!E$3:E$202,0)</f>
        <v>0</v>
      </c>
      <c r="I29" s="50">
        <f>_xlfn.XLOOKUP($B29,Decals!$A$3:$A$202,Decals!F$3:F$202,0)</f>
        <v>0</v>
      </c>
      <c r="J29" s="50">
        <f>_xlfn.XLOOKUP($B29,Decals!$A$3:$A$202,Decals!G$3:G$202,0)</f>
        <v>0</v>
      </c>
      <c r="K29" s="50">
        <f>_xlfn.XLOOKUP($B29,Decals!$A$3:$A$202,Decals!H$3:H$202,0)</f>
        <v>0</v>
      </c>
      <c r="L29" s="50">
        <f>_xlfn.XLOOKUP($B29,Decals!$A$3:$A$202,Decals!I$3:I$202,0)</f>
        <v>0</v>
      </c>
      <c r="M29" s="50">
        <f>_xlfn.XLOOKUP($B29,Decals!$A$3:$A$202,Decals!J$3:J$202,0)</f>
        <v>0</v>
      </c>
      <c r="N29" s="50">
        <f>_xlfn.XLOOKUP($B29,Decals!$A$3:$A$202,Decals!K$3:K$202,0)</f>
        <v>0</v>
      </c>
      <c r="O29" s="50">
        <f>_xlfn.XLOOKUP($B29,Decals!$A$3:$A$202,Decals!L$3:L$202,0)</f>
        <v>0</v>
      </c>
      <c r="P29" s="50">
        <f>_xlfn.XLOOKUP($B29,Decals!$A$3:$A$202,Decals!M$3:M$202,0)</f>
        <v>0</v>
      </c>
      <c r="Q29" s="50">
        <f>_xlfn.XLOOKUP($B29,Decals!$A$3:$A$202,Decals!N$3:N$202,0)</f>
        <v>0</v>
      </c>
      <c r="R29" s="50">
        <f>_xlfn.XLOOKUP($B29,Decals!$A$3:$A$202,Decals!O$3:O$202,0)</f>
        <v>0</v>
      </c>
      <c r="S29" s="50">
        <f>_xlfn.XLOOKUP($B29,Decals!$A$3:$A$202,Decals!P$3:P$202,0)</f>
        <v>0</v>
      </c>
      <c r="T29" s="50">
        <f>_xlfn.XLOOKUP($B29,Decals!$A$3:$A$202,Decals!Q$3:Q$202,0)</f>
        <v>0</v>
      </c>
      <c r="U29" s="50">
        <f>_xlfn.XLOOKUP($B29,Decals!$A$3:$A$202,Decals!R$3:R$202,0)</f>
        <v>0</v>
      </c>
      <c r="V29" s="50">
        <f>_xlfn.XLOOKUP($B29,Decals!$A$3:$A$202,Decals!S$3:S$202,0)</f>
        <v>0</v>
      </c>
      <c r="W29" s="50">
        <f>_xlfn.XLOOKUP($B29,Decals!$A$3:$A$202,Decals!T$3:T$202,0)</f>
        <v>0</v>
      </c>
      <c r="X29" s="50">
        <f>_xlfn.XLOOKUP($B29,Decals!$A$3:$A$202,Decals!U$3:U$202,0)</f>
        <v>0</v>
      </c>
      <c r="Y29" s="50">
        <f>_xlfn.XLOOKUP($B29,Decals!$A$3:$A$202,Decals!V$3:V$202,0)</f>
        <v>0</v>
      </c>
      <c r="Z29" s="50">
        <f>_xlfn.XLOOKUP($B29,Decals!$A$3:$A$202,Decals!W$3:W$202,0)</f>
        <v>0</v>
      </c>
      <c r="AA29" s="50">
        <f>_xlfn.XLOOKUP($B29,Decals!$A$3:$A$202,Decals!X$3:X$202,0)</f>
        <v>0</v>
      </c>
      <c r="AB29" s="50">
        <f>_xlfn.XLOOKUP($B29,Decals!$A$3:$A$202,Decals!Y$3:Y$202,0)</f>
        <v>0</v>
      </c>
      <c r="AC29" s="50">
        <f>_xlfn.XLOOKUP($B29,Decals!$A$3:$A$202,Decals!Z$3:Z$202,0)</f>
        <v>0</v>
      </c>
      <c r="AD29" s="50">
        <f>_xlfn.XLOOKUP($B29,Decals!$A$3:$A$202,Decals!AA$3:AA$202,0)</f>
        <v>0</v>
      </c>
      <c r="AE29" s="50">
        <f>_xlfn.XLOOKUP($B29,Decals!$A$3:$A$202,Decals!AB$3:AB$202,0)</f>
        <v>0</v>
      </c>
      <c r="AF29" s="50">
        <f>_xlfn.XLOOKUP($B29,Decals!$A$3:$A$202,Decals!AC$3:AC$202,0)</f>
        <v>0</v>
      </c>
      <c r="AG29" s="50">
        <f>_xlfn.XLOOKUP($B29,Decals!$A$3:$A$202,Decals!AD$3:AD$202,0)</f>
        <v>0</v>
      </c>
      <c r="AH29" s="50">
        <f>_xlfn.XLOOKUP($B29,Decals!$A$3:$A$202,Decals!AE$3:AE$202,0)</f>
        <v>0</v>
      </c>
      <c r="AI29" s="50">
        <f>_xlfn.XLOOKUP($B29,Decals!$A$3:$A$202,Decals!AF$3:AF$202,0)</f>
        <v>0</v>
      </c>
      <c r="AJ29" s="50">
        <f>_xlfn.XLOOKUP($B29,Decals!$A$3:$A$202,Decals!AG$3:AG$202,0)</f>
        <v>0</v>
      </c>
      <c r="AK29" s="50">
        <f>_xlfn.XLOOKUP($B29,Decals!$A$3:$A$202,Decals!AH$3:AH$202,0)</f>
        <v>0</v>
      </c>
      <c r="AL29" s="50">
        <f>_xlfn.XLOOKUP($B29,Decals!$A$3:$A$202,Decals!AI$3:AI$202,0)</f>
        <v>0</v>
      </c>
      <c r="AM29" s="50">
        <f>_xlfn.XLOOKUP($B29,Decals!$A$3:$A$202,Decals!AJ$3:AJ$202,0)</f>
        <v>0</v>
      </c>
      <c r="AN29" s="50">
        <f>_xlfn.XLOOKUP($B29,Decals!$A$3:$A$202,Decals!AK$3:AK$202,0)</f>
        <v>0</v>
      </c>
      <c r="AO29" s="50">
        <f>_xlfn.XLOOKUP($B29,Decals!$A$3:$A$202,Decals!AL$3:AL$202,0)</f>
        <v>0</v>
      </c>
      <c r="AP29" s="50">
        <f>_xlfn.XLOOKUP($B29,Decals!$A$3:$A$202,Decals!AM$3:AM$202,0)</f>
        <v>0</v>
      </c>
      <c r="AQ29" s="50">
        <f>_xlfn.XLOOKUP($B29,Decals!$A$3:$A$202,Decals!AN$3:AN$202,0)</f>
        <v>0</v>
      </c>
      <c r="AR29" s="50">
        <f>_xlfn.XLOOKUP($B29,Decals!$A$3:$A$202,Decals!AO$3:AO$202,0)</f>
        <v>0</v>
      </c>
      <c r="AS29" s="50">
        <f>_xlfn.XLOOKUP($B29,Decals!$A$3:$A$202,Decals!AP$3:AP$202,0)</f>
        <v>0</v>
      </c>
      <c r="AT29" s="50">
        <f>_xlfn.XLOOKUP($B29,Decals!$A$3:$A$202,Decals!AQ$3:AQ$202,0)</f>
        <v>0</v>
      </c>
      <c r="AU29" s="50">
        <f>_xlfn.XLOOKUP($B29,Decals!$A$3:$A$202,Decals!AR$3:AR$202,0)</f>
        <v>0</v>
      </c>
      <c r="AV29" s="50">
        <f>_xlfn.XLOOKUP($B29,Decals!$A$3:$A$202,Decals!AS$3:AS$202,0)</f>
        <v>0</v>
      </c>
      <c r="AW29" s="50">
        <f>_xlfn.XLOOKUP($B29,Decals!$A$3:$A$202,Decals!AT$3:AT$202,0)</f>
        <v>0</v>
      </c>
      <c r="AX29" s="50">
        <f>_xlfn.XLOOKUP($B29,Decals!$A$3:$A$202,Decals!AU$3:AU$202,0)</f>
        <v>0</v>
      </c>
      <c r="AY29" s="50">
        <f>_xlfn.XLOOKUP($B29,Decals!$A$3:$A$202,Decals!AV$3:AV$202,0)</f>
        <v>0</v>
      </c>
      <c r="AZ29" s="50">
        <f>_xlfn.XLOOKUP($B29,Decals!$A$3:$A$202,Decals!AW$3:AW$202,0)</f>
        <v>0</v>
      </c>
    </row>
    <row r="30" spans="1:52" ht="15.75" thickBot="1">
      <c r="A30" s="92">
        <v>3</v>
      </c>
      <c r="B30" s="178">
        <f>Build!J10</f>
        <v>0</v>
      </c>
      <c r="C30" s="178"/>
      <c r="D30" s="178"/>
      <c r="E30" s="50">
        <f>_xlfn.XLOOKUP($B30,Decals!$A$3:$A$202,Decals!B$3:B$202,0)</f>
        <v>0</v>
      </c>
      <c r="F30" s="50">
        <f>_xlfn.XLOOKUP($B30,Decals!$A$3:$A$202,Decals!C$3:C$202,0)</f>
        <v>0</v>
      </c>
      <c r="G30" s="50">
        <f>_xlfn.XLOOKUP($B30,Decals!$A$3:$A$202,Decals!D$3:D$202,0)</f>
        <v>0</v>
      </c>
      <c r="H30" s="50">
        <f>_xlfn.XLOOKUP($B30,Decals!$A$3:$A$202,Decals!E$3:E$202,0)</f>
        <v>0</v>
      </c>
      <c r="I30" s="50">
        <f>_xlfn.XLOOKUP($B30,Decals!$A$3:$A$202,Decals!F$3:F$202,0)</f>
        <v>0</v>
      </c>
      <c r="J30" s="50">
        <f>_xlfn.XLOOKUP($B30,Decals!$A$3:$A$202,Decals!G$3:G$202,0)</f>
        <v>0</v>
      </c>
      <c r="K30" s="50">
        <f>_xlfn.XLOOKUP($B30,Decals!$A$3:$A$202,Decals!H$3:H$202,0)</f>
        <v>0</v>
      </c>
      <c r="L30" s="50">
        <f>_xlfn.XLOOKUP($B30,Decals!$A$3:$A$202,Decals!I$3:I$202,0)</f>
        <v>0</v>
      </c>
      <c r="M30" s="50">
        <f>_xlfn.XLOOKUP($B30,Decals!$A$3:$A$202,Decals!J$3:J$202,0)</f>
        <v>0</v>
      </c>
      <c r="N30" s="50">
        <f>_xlfn.XLOOKUP($B30,Decals!$A$3:$A$202,Decals!K$3:K$202,0)</f>
        <v>0</v>
      </c>
      <c r="O30" s="50">
        <f>_xlfn.XLOOKUP($B30,Decals!$A$3:$A$202,Decals!L$3:L$202,0)</f>
        <v>0</v>
      </c>
      <c r="P30" s="50">
        <f>_xlfn.XLOOKUP($B30,Decals!$A$3:$A$202,Decals!M$3:M$202,0)</f>
        <v>0</v>
      </c>
      <c r="Q30" s="50">
        <f>_xlfn.XLOOKUP($B30,Decals!$A$3:$A$202,Decals!N$3:N$202,0)</f>
        <v>0</v>
      </c>
      <c r="R30" s="50">
        <f>_xlfn.XLOOKUP($B30,Decals!$A$3:$A$202,Decals!O$3:O$202,0)</f>
        <v>0</v>
      </c>
      <c r="S30" s="50">
        <f>_xlfn.XLOOKUP($B30,Decals!$A$3:$A$202,Decals!P$3:P$202,0)</f>
        <v>0</v>
      </c>
      <c r="T30" s="50">
        <f>_xlfn.XLOOKUP($B30,Decals!$A$3:$A$202,Decals!Q$3:Q$202,0)</f>
        <v>0</v>
      </c>
      <c r="U30" s="50">
        <f>_xlfn.XLOOKUP($B30,Decals!$A$3:$A$202,Decals!R$3:R$202,0)</f>
        <v>0</v>
      </c>
      <c r="V30" s="50">
        <f>_xlfn.XLOOKUP($B30,Decals!$A$3:$A$202,Decals!S$3:S$202,0)</f>
        <v>0</v>
      </c>
      <c r="W30" s="50">
        <f>_xlfn.XLOOKUP($B30,Decals!$A$3:$A$202,Decals!T$3:T$202,0)</f>
        <v>0</v>
      </c>
      <c r="X30" s="50">
        <f>_xlfn.XLOOKUP($B30,Decals!$A$3:$A$202,Decals!U$3:U$202,0)</f>
        <v>0</v>
      </c>
      <c r="Y30" s="50">
        <f>_xlfn.XLOOKUP($B30,Decals!$A$3:$A$202,Decals!V$3:V$202,0)</f>
        <v>0</v>
      </c>
      <c r="Z30" s="50">
        <f>_xlfn.XLOOKUP($B30,Decals!$A$3:$A$202,Decals!W$3:W$202,0)</f>
        <v>0</v>
      </c>
      <c r="AA30" s="50">
        <f>_xlfn.XLOOKUP($B30,Decals!$A$3:$A$202,Decals!X$3:X$202,0)</f>
        <v>0</v>
      </c>
      <c r="AB30" s="50">
        <f>_xlfn.XLOOKUP($B30,Decals!$A$3:$A$202,Decals!Y$3:Y$202,0)</f>
        <v>0</v>
      </c>
      <c r="AC30" s="50">
        <f>_xlfn.XLOOKUP($B30,Decals!$A$3:$A$202,Decals!Z$3:Z$202,0)</f>
        <v>0</v>
      </c>
      <c r="AD30" s="50">
        <f>_xlfn.XLOOKUP($B30,Decals!$A$3:$A$202,Decals!AA$3:AA$202,0)</f>
        <v>0</v>
      </c>
      <c r="AE30" s="50">
        <f>_xlfn.XLOOKUP($B30,Decals!$A$3:$A$202,Decals!AB$3:AB$202,0)</f>
        <v>0</v>
      </c>
      <c r="AF30" s="50">
        <f>_xlfn.XLOOKUP($B30,Decals!$A$3:$A$202,Decals!AC$3:AC$202,0)</f>
        <v>0</v>
      </c>
      <c r="AG30" s="50">
        <f>_xlfn.XLOOKUP($B30,Decals!$A$3:$A$202,Decals!AD$3:AD$202,0)</f>
        <v>0</v>
      </c>
      <c r="AH30" s="50">
        <f>_xlfn.XLOOKUP($B30,Decals!$A$3:$A$202,Decals!AE$3:AE$202,0)</f>
        <v>0</v>
      </c>
      <c r="AI30" s="50">
        <f>_xlfn.XLOOKUP($B30,Decals!$A$3:$A$202,Decals!AF$3:AF$202,0)</f>
        <v>0</v>
      </c>
      <c r="AJ30" s="50">
        <f>_xlfn.XLOOKUP($B30,Decals!$A$3:$A$202,Decals!AG$3:AG$202,0)</f>
        <v>0</v>
      </c>
      <c r="AK30" s="50">
        <f>_xlfn.XLOOKUP($B30,Decals!$A$3:$A$202,Decals!AH$3:AH$202,0)</f>
        <v>0</v>
      </c>
      <c r="AL30" s="50">
        <f>_xlfn.XLOOKUP($B30,Decals!$A$3:$A$202,Decals!AI$3:AI$202,0)</f>
        <v>0</v>
      </c>
      <c r="AM30" s="50">
        <f>_xlfn.XLOOKUP($B30,Decals!$A$3:$A$202,Decals!AJ$3:AJ$202,0)</f>
        <v>0</v>
      </c>
      <c r="AN30" s="50">
        <f>_xlfn.XLOOKUP($B30,Decals!$A$3:$A$202,Decals!AK$3:AK$202,0)</f>
        <v>0</v>
      </c>
      <c r="AO30" s="50">
        <f>_xlfn.XLOOKUP($B30,Decals!$A$3:$A$202,Decals!AL$3:AL$202,0)</f>
        <v>0</v>
      </c>
      <c r="AP30" s="50">
        <f>_xlfn.XLOOKUP($B30,Decals!$A$3:$A$202,Decals!AM$3:AM$202,0)</f>
        <v>0</v>
      </c>
      <c r="AQ30" s="50">
        <f>_xlfn.XLOOKUP($B30,Decals!$A$3:$A$202,Decals!AN$3:AN$202,0)</f>
        <v>0</v>
      </c>
      <c r="AR30" s="50">
        <f>_xlfn.XLOOKUP($B30,Decals!$A$3:$A$202,Decals!AO$3:AO$202,0)</f>
        <v>0</v>
      </c>
      <c r="AS30" s="50">
        <f>_xlfn.XLOOKUP($B30,Decals!$A$3:$A$202,Decals!AP$3:AP$202,0)</f>
        <v>0</v>
      </c>
      <c r="AT30" s="50">
        <f>_xlfn.XLOOKUP($B30,Decals!$A$3:$A$202,Decals!AQ$3:AQ$202,0)</f>
        <v>0</v>
      </c>
      <c r="AU30" s="50">
        <f>_xlfn.XLOOKUP($B30,Decals!$A$3:$A$202,Decals!AR$3:AR$202,0)</f>
        <v>0</v>
      </c>
      <c r="AV30" s="50">
        <f>_xlfn.XLOOKUP($B30,Decals!$A$3:$A$202,Decals!AS$3:AS$202,0)</f>
        <v>0</v>
      </c>
      <c r="AW30" s="50">
        <f>_xlfn.XLOOKUP($B30,Decals!$A$3:$A$202,Decals!AT$3:AT$202,0)</f>
        <v>0</v>
      </c>
      <c r="AX30" s="50">
        <f>_xlfn.XLOOKUP($B30,Decals!$A$3:$A$202,Decals!AU$3:AU$202,0)</f>
        <v>0</v>
      </c>
      <c r="AY30" s="50">
        <f>_xlfn.XLOOKUP($B30,Decals!$A$3:$A$202,Decals!AV$3:AV$202,0)</f>
        <v>0</v>
      </c>
      <c r="AZ30" s="50">
        <f>_xlfn.XLOOKUP($B30,Decals!$A$3:$A$202,Decals!AW$3:AW$202,0)</f>
        <v>0</v>
      </c>
    </row>
    <row r="31" spans="1:52" ht="15.75" thickBot="1">
      <c r="A31" s="92">
        <v>4</v>
      </c>
      <c r="B31" s="178">
        <f>Build!J11</f>
        <v>0</v>
      </c>
      <c r="C31" s="178"/>
      <c r="D31" s="178"/>
      <c r="E31" s="50">
        <f>_xlfn.XLOOKUP($B31,Decals!$A$3:$A$202,Decals!B$3:B$202,0)</f>
        <v>0</v>
      </c>
      <c r="F31" s="50">
        <f>_xlfn.XLOOKUP($B31,Decals!$A$3:$A$202,Decals!C$3:C$202,0)</f>
        <v>0</v>
      </c>
      <c r="G31" s="50">
        <f>_xlfn.XLOOKUP($B31,Decals!$A$3:$A$202,Decals!D$3:D$202,0)</f>
        <v>0</v>
      </c>
      <c r="H31" s="50">
        <f>_xlfn.XLOOKUP($B31,Decals!$A$3:$A$202,Decals!E$3:E$202,0)</f>
        <v>0</v>
      </c>
      <c r="I31" s="50">
        <f>_xlfn.XLOOKUP($B31,Decals!$A$3:$A$202,Decals!F$3:F$202,0)</f>
        <v>0</v>
      </c>
      <c r="J31" s="50">
        <f>_xlfn.XLOOKUP($B31,Decals!$A$3:$A$202,Decals!G$3:G$202,0)</f>
        <v>0</v>
      </c>
      <c r="K31" s="50">
        <f>_xlfn.XLOOKUP($B31,Decals!$A$3:$A$202,Decals!H$3:H$202,0)</f>
        <v>0</v>
      </c>
      <c r="L31" s="50">
        <f>_xlfn.XLOOKUP($B31,Decals!$A$3:$A$202,Decals!I$3:I$202,0)</f>
        <v>0</v>
      </c>
      <c r="M31" s="50">
        <f>_xlfn.XLOOKUP($B31,Decals!$A$3:$A$202,Decals!J$3:J$202,0)</f>
        <v>0</v>
      </c>
      <c r="N31" s="50">
        <f>_xlfn.XLOOKUP($B31,Decals!$A$3:$A$202,Decals!K$3:K$202,0)</f>
        <v>0</v>
      </c>
      <c r="O31" s="50">
        <f>_xlfn.XLOOKUP($B31,Decals!$A$3:$A$202,Decals!L$3:L$202,0)</f>
        <v>0</v>
      </c>
      <c r="P31" s="50">
        <f>_xlfn.XLOOKUP($B31,Decals!$A$3:$A$202,Decals!M$3:M$202,0)</f>
        <v>0</v>
      </c>
      <c r="Q31" s="50">
        <f>_xlfn.XLOOKUP($B31,Decals!$A$3:$A$202,Decals!N$3:N$202,0)</f>
        <v>0</v>
      </c>
      <c r="R31" s="50">
        <f>_xlfn.XLOOKUP($B31,Decals!$A$3:$A$202,Decals!O$3:O$202,0)</f>
        <v>0</v>
      </c>
      <c r="S31" s="50">
        <f>_xlfn.XLOOKUP($B31,Decals!$A$3:$A$202,Decals!P$3:P$202,0)</f>
        <v>0</v>
      </c>
      <c r="T31" s="50">
        <f>_xlfn.XLOOKUP($B31,Decals!$A$3:$A$202,Decals!Q$3:Q$202,0)</f>
        <v>0</v>
      </c>
      <c r="U31" s="50">
        <f>_xlfn.XLOOKUP($B31,Decals!$A$3:$A$202,Decals!R$3:R$202,0)</f>
        <v>0</v>
      </c>
      <c r="V31" s="50">
        <f>_xlfn.XLOOKUP($B31,Decals!$A$3:$A$202,Decals!S$3:S$202,0)</f>
        <v>0</v>
      </c>
      <c r="W31" s="50">
        <f>_xlfn.XLOOKUP($B31,Decals!$A$3:$A$202,Decals!T$3:T$202,0)</f>
        <v>0</v>
      </c>
      <c r="X31" s="50">
        <f>_xlfn.XLOOKUP($B31,Decals!$A$3:$A$202,Decals!U$3:U$202,0)</f>
        <v>0</v>
      </c>
      <c r="Y31" s="50">
        <f>_xlfn.XLOOKUP($B31,Decals!$A$3:$A$202,Decals!V$3:V$202,0)</f>
        <v>0</v>
      </c>
      <c r="Z31" s="50">
        <f>_xlfn.XLOOKUP($B31,Decals!$A$3:$A$202,Decals!W$3:W$202,0)</f>
        <v>0</v>
      </c>
      <c r="AA31" s="50">
        <f>_xlfn.XLOOKUP($B31,Decals!$A$3:$A$202,Decals!X$3:X$202,0)</f>
        <v>0</v>
      </c>
      <c r="AB31" s="50">
        <f>_xlfn.XLOOKUP($B31,Decals!$A$3:$A$202,Decals!Y$3:Y$202,0)</f>
        <v>0</v>
      </c>
      <c r="AC31" s="50">
        <f>_xlfn.XLOOKUP($B31,Decals!$A$3:$A$202,Decals!Z$3:Z$202,0)</f>
        <v>0</v>
      </c>
      <c r="AD31" s="50">
        <f>_xlfn.XLOOKUP($B31,Decals!$A$3:$A$202,Decals!AA$3:AA$202,0)</f>
        <v>0</v>
      </c>
      <c r="AE31" s="50">
        <f>_xlfn.XLOOKUP($B31,Decals!$A$3:$A$202,Decals!AB$3:AB$202,0)</f>
        <v>0</v>
      </c>
      <c r="AF31" s="50">
        <f>_xlfn.XLOOKUP($B31,Decals!$A$3:$A$202,Decals!AC$3:AC$202,0)</f>
        <v>0</v>
      </c>
      <c r="AG31" s="50">
        <f>_xlfn.XLOOKUP($B31,Decals!$A$3:$A$202,Decals!AD$3:AD$202,0)</f>
        <v>0</v>
      </c>
      <c r="AH31" s="50">
        <f>_xlfn.XLOOKUP($B31,Decals!$A$3:$A$202,Decals!AE$3:AE$202,0)</f>
        <v>0</v>
      </c>
      <c r="AI31" s="50">
        <f>_xlfn.XLOOKUP($B31,Decals!$A$3:$A$202,Decals!AF$3:AF$202,0)</f>
        <v>0</v>
      </c>
      <c r="AJ31" s="50">
        <f>_xlfn.XLOOKUP($B31,Decals!$A$3:$A$202,Decals!AG$3:AG$202,0)</f>
        <v>0</v>
      </c>
      <c r="AK31" s="50">
        <f>_xlfn.XLOOKUP($B31,Decals!$A$3:$A$202,Decals!AH$3:AH$202,0)</f>
        <v>0</v>
      </c>
      <c r="AL31" s="50">
        <f>_xlfn.XLOOKUP($B31,Decals!$A$3:$A$202,Decals!AI$3:AI$202,0)</f>
        <v>0</v>
      </c>
      <c r="AM31" s="50">
        <f>_xlfn.XLOOKUP($B31,Decals!$A$3:$A$202,Decals!AJ$3:AJ$202,0)</f>
        <v>0</v>
      </c>
      <c r="AN31" s="50">
        <f>_xlfn.XLOOKUP($B31,Decals!$A$3:$A$202,Decals!AK$3:AK$202,0)</f>
        <v>0</v>
      </c>
      <c r="AO31" s="50">
        <f>_xlfn.XLOOKUP($B31,Decals!$A$3:$A$202,Decals!AL$3:AL$202,0)</f>
        <v>0</v>
      </c>
      <c r="AP31" s="50">
        <f>_xlfn.XLOOKUP($B31,Decals!$A$3:$A$202,Decals!AM$3:AM$202,0)</f>
        <v>0</v>
      </c>
      <c r="AQ31" s="50">
        <f>_xlfn.XLOOKUP($B31,Decals!$A$3:$A$202,Decals!AN$3:AN$202,0)</f>
        <v>0</v>
      </c>
      <c r="AR31" s="50">
        <f>_xlfn.XLOOKUP($B31,Decals!$A$3:$A$202,Decals!AO$3:AO$202,0)</f>
        <v>0</v>
      </c>
      <c r="AS31" s="50">
        <f>_xlfn.XLOOKUP($B31,Decals!$A$3:$A$202,Decals!AP$3:AP$202,0)</f>
        <v>0</v>
      </c>
      <c r="AT31" s="50">
        <f>_xlfn.XLOOKUP($B31,Decals!$A$3:$A$202,Decals!AQ$3:AQ$202,0)</f>
        <v>0</v>
      </c>
      <c r="AU31" s="50">
        <f>_xlfn.XLOOKUP($B31,Decals!$A$3:$A$202,Decals!AR$3:AR$202,0)</f>
        <v>0</v>
      </c>
      <c r="AV31" s="50">
        <f>_xlfn.XLOOKUP($B31,Decals!$A$3:$A$202,Decals!AS$3:AS$202,0)</f>
        <v>0</v>
      </c>
      <c r="AW31" s="50">
        <f>_xlfn.XLOOKUP($B31,Decals!$A$3:$A$202,Decals!AT$3:AT$202,0)</f>
        <v>0</v>
      </c>
      <c r="AX31" s="50">
        <f>_xlfn.XLOOKUP($B31,Decals!$A$3:$A$202,Decals!AU$3:AU$202,0)</f>
        <v>0</v>
      </c>
      <c r="AY31" s="50">
        <f>_xlfn.XLOOKUP($B31,Decals!$A$3:$A$202,Decals!AV$3:AV$202,0)</f>
        <v>0</v>
      </c>
      <c r="AZ31" s="50">
        <f>_xlfn.XLOOKUP($B31,Decals!$A$3:$A$202,Decals!AW$3:AW$202,0)</f>
        <v>0</v>
      </c>
    </row>
    <row r="32" spans="1:52" ht="15.75" thickBot="1">
      <c r="A32" s="92">
        <v>5</v>
      </c>
      <c r="B32" s="178">
        <f>Build!J12</f>
        <v>0</v>
      </c>
      <c r="C32" s="178"/>
      <c r="D32" s="178"/>
      <c r="E32" s="50">
        <f>_xlfn.XLOOKUP($B32,Decals!$A$3:$A$202,Decals!B$3:B$202,0)</f>
        <v>0</v>
      </c>
      <c r="F32" s="50">
        <f>_xlfn.XLOOKUP($B32,Decals!$A$3:$A$202,Decals!C$3:C$202,0)</f>
        <v>0</v>
      </c>
      <c r="G32" s="50">
        <f>_xlfn.XLOOKUP($B32,Decals!$A$3:$A$202,Decals!D$3:D$202,0)</f>
        <v>0</v>
      </c>
      <c r="H32" s="50">
        <f>_xlfn.XLOOKUP($B32,Decals!$A$3:$A$202,Decals!E$3:E$202,0)</f>
        <v>0</v>
      </c>
      <c r="I32" s="50">
        <f>_xlfn.XLOOKUP($B32,Decals!$A$3:$A$202,Decals!F$3:F$202,0)</f>
        <v>0</v>
      </c>
      <c r="J32" s="50">
        <f>_xlfn.XLOOKUP($B32,Decals!$A$3:$A$202,Decals!G$3:G$202,0)</f>
        <v>0</v>
      </c>
      <c r="K32" s="50">
        <f>_xlfn.XLOOKUP($B32,Decals!$A$3:$A$202,Decals!H$3:H$202,0)</f>
        <v>0</v>
      </c>
      <c r="L32" s="50">
        <f>_xlfn.XLOOKUP($B32,Decals!$A$3:$A$202,Decals!I$3:I$202,0)</f>
        <v>0</v>
      </c>
      <c r="M32" s="50">
        <f>_xlfn.XLOOKUP($B32,Decals!$A$3:$A$202,Decals!J$3:J$202,0)</f>
        <v>0</v>
      </c>
      <c r="N32" s="50">
        <f>_xlfn.XLOOKUP($B32,Decals!$A$3:$A$202,Decals!K$3:K$202,0)</f>
        <v>0</v>
      </c>
      <c r="O32" s="50">
        <f>_xlfn.XLOOKUP($B32,Decals!$A$3:$A$202,Decals!L$3:L$202,0)</f>
        <v>0</v>
      </c>
      <c r="P32" s="50">
        <f>_xlfn.XLOOKUP($B32,Decals!$A$3:$A$202,Decals!M$3:M$202,0)</f>
        <v>0</v>
      </c>
      <c r="Q32" s="50">
        <f>_xlfn.XLOOKUP($B32,Decals!$A$3:$A$202,Decals!N$3:N$202,0)</f>
        <v>0</v>
      </c>
      <c r="R32" s="50">
        <f>_xlfn.XLOOKUP($B32,Decals!$A$3:$A$202,Decals!O$3:O$202,0)</f>
        <v>0</v>
      </c>
      <c r="S32" s="50">
        <f>_xlfn.XLOOKUP($B32,Decals!$A$3:$A$202,Decals!P$3:P$202,0)</f>
        <v>0</v>
      </c>
      <c r="T32" s="50">
        <f>_xlfn.XLOOKUP($B32,Decals!$A$3:$A$202,Decals!Q$3:Q$202,0)</f>
        <v>0</v>
      </c>
      <c r="U32" s="50">
        <f>_xlfn.XLOOKUP($B32,Decals!$A$3:$A$202,Decals!R$3:R$202,0)</f>
        <v>0</v>
      </c>
      <c r="V32" s="50">
        <f>_xlfn.XLOOKUP($B32,Decals!$A$3:$A$202,Decals!S$3:S$202,0)</f>
        <v>0</v>
      </c>
      <c r="W32" s="50">
        <f>_xlfn.XLOOKUP($B32,Decals!$A$3:$A$202,Decals!T$3:T$202,0)</f>
        <v>0</v>
      </c>
      <c r="X32" s="50">
        <f>_xlfn.XLOOKUP($B32,Decals!$A$3:$A$202,Decals!U$3:U$202,0)</f>
        <v>0</v>
      </c>
      <c r="Y32" s="50">
        <f>_xlfn.XLOOKUP($B32,Decals!$A$3:$A$202,Decals!V$3:V$202,0)</f>
        <v>0</v>
      </c>
      <c r="Z32" s="50">
        <f>_xlfn.XLOOKUP($B32,Decals!$A$3:$A$202,Decals!W$3:W$202,0)</f>
        <v>0</v>
      </c>
      <c r="AA32" s="50">
        <f>_xlfn.XLOOKUP($B32,Decals!$A$3:$A$202,Decals!X$3:X$202,0)</f>
        <v>0</v>
      </c>
      <c r="AB32" s="50">
        <f>_xlfn.XLOOKUP($B32,Decals!$A$3:$A$202,Decals!Y$3:Y$202,0)</f>
        <v>0</v>
      </c>
      <c r="AC32" s="50">
        <f>_xlfn.XLOOKUP($B32,Decals!$A$3:$A$202,Decals!Z$3:Z$202,0)</f>
        <v>0</v>
      </c>
      <c r="AD32" s="50">
        <f>_xlfn.XLOOKUP($B32,Decals!$A$3:$A$202,Decals!AA$3:AA$202,0)</f>
        <v>0</v>
      </c>
      <c r="AE32" s="50">
        <f>_xlfn.XLOOKUP($B32,Decals!$A$3:$A$202,Decals!AB$3:AB$202,0)</f>
        <v>0</v>
      </c>
      <c r="AF32" s="50">
        <f>_xlfn.XLOOKUP($B32,Decals!$A$3:$A$202,Decals!AC$3:AC$202,0)</f>
        <v>0</v>
      </c>
      <c r="AG32" s="50">
        <f>_xlfn.XLOOKUP($B32,Decals!$A$3:$A$202,Decals!AD$3:AD$202,0)</f>
        <v>0</v>
      </c>
      <c r="AH32" s="50">
        <f>_xlfn.XLOOKUP($B32,Decals!$A$3:$A$202,Decals!AE$3:AE$202,0)</f>
        <v>0</v>
      </c>
      <c r="AI32" s="50">
        <f>_xlfn.XLOOKUP($B32,Decals!$A$3:$A$202,Decals!AF$3:AF$202,0)</f>
        <v>0</v>
      </c>
      <c r="AJ32" s="50">
        <f>_xlfn.XLOOKUP($B32,Decals!$A$3:$A$202,Decals!AG$3:AG$202,0)</f>
        <v>0</v>
      </c>
      <c r="AK32" s="50">
        <f>_xlfn.XLOOKUP($B32,Decals!$A$3:$A$202,Decals!AH$3:AH$202,0)</f>
        <v>0</v>
      </c>
      <c r="AL32" s="50">
        <f>_xlfn.XLOOKUP($B32,Decals!$A$3:$A$202,Decals!AI$3:AI$202,0)</f>
        <v>0</v>
      </c>
      <c r="AM32" s="50">
        <f>_xlfn.XLOOKUP($B32,Decals!$A$3:$A$202,Decals!AJ$3:AJ$202,0)</f>
        <v>0</v>
      </c>
      <c r="AN32" s="50">
        <f>_xlfn.XLOOKUP($B32,Decals!$A$3:$A$202,Decals!AK$3:AK$202,0)</f>
        <v>0</v>
      </c>
      <c r="AO32" s="50">
        <f>_xlfn.XLOOKUP($B32,Decals!$A$3:$A$202,Decals!AL$3:AL$202,0)</f>
        <v>0</v>
      </c>
      <c r="AP32" s="50">
        <f>_xlfn.XLOOKUP($B32,Decals!$A$3:$A$202,Decals!AM$3:AM$202,0)</f>
        <v>0</v>
      </c>
      <c r="AQ32" s="50">
        <f>_xlfn.XLOOKUP($B32,Decals!$A$3:$A$202,Decals!AN$3:AN$202,0)</f>
        <v>0</v>
      </c>
      <c r="AR32" s="50">
        <f>_xlfn.XLOOKUP($B32,Decals!$A$3:$A$202,Decals!AO$3:AO$202,0)</f>
        <v>0</v>
      </c>
      <c r="AS32" s="50">
        <f>_xlfn.XLOOKUP($B32,Decals!$A$3:$A$202,Decals!AP$3:AP$202,0)</f>
        <v>0</v>
      </c>
      <c r="AT32" s="50">
        <f>_xlfn.XLOOKUP($B32,Decals!$A$3:$A$202,Decals!AQ$3:AQ$202,0)</f>
        <v>0</v>
      </c>
      <c r="AU32" s="50">
        <f>_xlfn.XLOOKUP($B32,Decals!$A$3:$A$202,Decals!AR$3:AR$202,0)</f>
        <v>0</v>
      </c>
      <c r="AV32" s="50">
        <f>_xlfn.XLOOKUP($B32,Decals!$A$3:$A$202,Decals!AS$3:AS$202,0)</f>
        <v>0</v>
      </c>
      <c r="AW32" s="50">
        <f>_xlfn.XLOOKUP($B32,Decals!$A$3:$A$202,Decals!AT$3:AT$202,0)</f>
        <v>0</v>
      </c>
      <c r="AX32" s="50">
        <f>_xlfn.XLOOKUP($B32,Decals!$A$3:$A$202,Decals!AU$3:AU$202,0)</f>
        <v>0</v>
      </c>
      <c r="AY32" s="50">
        <f>_xlfn.XLOOKUP($B32,Decals!$A$3:$A$202,Decals!AV$3:AV$202,0)</f>
        <v>0</v>
      </c>
      <c r="AZ32" s="50">
        <f>_xlfn.XLOOKUP($B32,Decals!$A$3:$A$202,Decals!AW$3:AW$202,0)</f>
        <v>0</v>
      </c>
    </row>
    <row r="33" spans="1:52" ht="15.75" thickBot="1">
      <c r="A33" s="92">
        <v>6</v>
      </c>
      <c r="B33" s="178">
        <f>Build!J13</f>
        <v>0</v>
      </c>
      <c r="C33" s="178"/>
      <c r="D33" s="178"/>
      <c r="E33" s="50">
        <f>_xlfn.XLOOKUP($B33,Decals!$A$3:$A$202,Decals!B$3:B$202,0)</f>
        <v>0</v>
      </c>
      <c r="F33" s="50">
        <f>_xlfn.XLOOKUP($B33,Decals!$A$3:$A$202,Decals!C$3:C$202,0)</f>
        <v>0</v>
      </c>
      <c r="G33" s="50">
        <f>_xlfn.XLOOKUP($B33,Decals!$A$3:$A$202,Decals!D$3:D$202,0)</f>
        <v>0</v>
      </c>
      <c r="H33" s="50">
        <f>_xlfn.XLOOKUP($B33,Decals!$A$3:$A$202,Decals!E$3:E$202,0)</f>
        <v>0</v>
      </c>
      <c r="I33" s="50">
        <f>_xlfn.XLOOKUP($B33,Decals!$A$3:$A$202,Decals!F$3:F$202,0)</f>
        <v>0</v>
      </c>
      <c r="J33" s="50">
        <f>_xlfn.XLOOKUP($B33,Decals!$A$3:$A$202,Decals!G$3:G$202,0)</f>
        <v>0</v>
      </c>
      <c r="K33" s="50">
        <f>_xlfn.XLOOKUP($B33,Decals!$A$3:$A$202,Decals!H$3:H$202,0)</f>
        <v>0</v>
      </c>
      <c r="L33" s="50">
        <f>_xlfn.XLOOKUP($B33,Decals!$A$3:$A$202,Decals!I$3:I$202,0)</f>
        <v>0</v>
      </c>
      <c r="M33" s="50">
        <f>_xlfn.XLOOKUP($B33,Decals!$A$3:$A$202,Decals!J$3:J$202,0)</f>
        <v>0</v>
      </c>
      <c r="N33" s="50">
        <f>_xlfn.XLOOKUP($B33,Decals!$A$3:$A$202,Decals!K$3:K$202,0)</f>
        <v>0</v>
      </c>
      <c r="O33" s="50">
        <f>_xlfn.XLOOKUP($B33,Decals!$A$3:$A$202,Decals!L$3:L$202,0)</f>
        <v>0</v>
      </c>
      <c r="P33" s="50">
        <f>_xlfn.XLOOKUP($B33,Decals!$A$3:$A$202,Decals!M$3:M$202,0)</f>
        <v>0</v>
      </c>
      <c r="Q33" s="50">
        <f>_xlfn.XLOOKUP($B33,Decals!$A$3:$A$202,Decals!N$3:N$202,0)</f>
        <v>0</v>
      </c>
      <c r="R33" s="50">
        <f>_xlfn.XLOOKUP($B33,Decals!$A$3:$A$202,Decals!O$3:O$202,0)</f>
        <v>0</v>
      </c>
      <c r="S33" s="50">
        <f>_xlfn.XLOOKUP($B33,Decals!$A$3:$A$202,Decals!P$3:P$202,0)</f>
        <v>0</v>
      </c>
      <c r="T33" s="50">
        <f>_xlfn.XLOOKUP($B33,Decals!$A$3:$A$202,Decals!Q$3:Q$202,0)</f>
        <v>0</v>
      </c>
      <c r="U33" s="50">
        <f>_xlfn.XLOOKUP($B33,Decals!$A$3:$A$202,Decals!R$3:R$202,0)</f>
        <v>0</v>
      </c>
      <c r="V33" s="50">
        <f>_xlfn.XLOOKUP($B33,Decals!$A$3:$A$202,Decals!S$3:S$202,0)</f>
        <v>0</v>
      </c>
      <c r="W33" s="50">
        <f>_xlfn.XLOOKUP($B33,Decals!$A$3:$A$202,Decals!T$3:T$202,0)</f>
        <v>0</v>
      </c>
      <c r="X33" s="50">
        <f>_xlfn.XLOOKUP($B33,Decals!$A$3:$A$202,Decals!U$3:U$202,0)</f>
        <v>0</v>
      </c>
      <c r="Y33" s="50">
        <f>_xlfn.XLOOKUP($B33,Decals!$A$3:$A$202,Decals!V$3:V$202,0)</f>
        <v>0</v>
      </c>
      <c r="Z33" s="50">
        <f>_xlfn.XLOOKUP($B33,Decals!$A$3:$A$202,Decals!W$3:W$202,0)</f>
        <v>0</v>
      </c>
      <c r="AA33" s="50">
        <f>_xlfn.XLOOKUP($B33,Decals!$A$3:$A$202,Decals!X$3:X$202,0)</f>
        <v>0</v>
      </c>
      <c r="AB33" s="50">
        <f>_xlfn.XLOOKUP($B33,Decals!$A$3:$A$202,Decals!Y$3:Y$202,0)</f>
        <v>0</v>
      </c>
      <c r="AC33" s="50">
        <f>_xlfn.XLOOKUP($B33,Decals!$A$3:$A$202,Decals!Z$3:Z$202,0)</f>
        <v>0</v>
      </c>
      <c r="AD33" s="50">
        <f>_xlfn.XLOOKUP($B33,Decals!$A$3:$A$202,Decals!AA$3:AA$202,0)</f>
        <v>0</v>
      </c>
      <c r="AE33" s="50">
        <f>_xlfn.XLOOKUP($B33,Decals!$A$3:$A$202,Decals!AB$3:AB$202,0)</f>
        <v>0</v>
      </c>
      <c r="AF33" s="50">
        <f>_xlfn.XLOOKUP($B33,Decals!$A$3:$A$202,Decals!AC$3:AC$202,0)</f>
        <v>0</v>
      </c>
      <c r="AG33" s="50">
        <f>_xlfn.XLOOKUP($B33,Decals!$A$3:$A$202,Decals!AD$3:AD$202,0)</f>
        <v>0</v>
      </c>
      <c r="AH33" s="50">
        <f>_xlfn.XLOOKUP($B33,Decals!$A$3:$A$202,Decals!AE$3:AE$202,0)</f>
        <v>0</v>
      </c>
      <c r="AI33" s="50">
        <f>_xlfn.XLOOKUP($B33,Decals!$A$3:$A$202,Decals!AF$3:AF$202,0)</f>
        <v>0</v>
      </c>
      <c r="AJ33" s="50">
        <f>_xlfn.XLOOKUP($B33,Decals!$A$3:$A$202,Decals!AG$3:AG$202,0)</f>
        <v>0</v>
      </c>
      <c r="AK33" s="50">
        <f>_xlfn.XLOOKUP($B33,Decals!$A$3:$A$202,Decals!AH$3:AH$202,0)</f>
        <v>0</v>
      </c>
      <c r="AL33" s="50">
        <f>_xlfn.XLOOKUP($B33,Decals!$A$3:$A$202,Decals!AI$3:AI$202,0)</f>
        <v>0</v>
      </c>
      <c r="AM33" s="50">
        <f>_xlfn.XLOOKUP($B33,Decals!$A$3:$A$202,Decals!AJ$3:AJ$202,0)</f>
        <v>0</v>
      </c>
      <c r="AN33" s="50">
        <f>_xlfn.XLOOKUP($B33,Decals!$A$3:$A$202,Decals!AK$3:AK$202,0)</f>
        <v>0</v>
      </c>
      <c r="AO33" s="50">
        <f>_xlfn.XLOOKUP($B33,Decals!$A$3:$A$202,Decals!AL$3:AL$202,0)</f>
        <v>0</v>
      </c>
      <c r="AP33" s="50">
        <f>_xlfn.XLOOKUP($B33,Decals!$A$3:$A$202,Decals!AM$3:AM$202,0)</f>
        <v>0</v>
      </c>
      <c r="AQ33" s="50">
        <f>_xlfn.XLOOKUP($B33,Decals!$A$3:$A$202,Decals!AN$3:AN$202,0)</f>
        <v>0</v>
      </c>
      <c r="AR33" s="50">
        <f>_xlfn.XLOOKUP($B33,Decals!$A$3:$A$202,Decals!AO$3:AO$202,0)</f>
        <v>0</v>
      </c>
      <c r="AS33" s="50">
        <f>_xlfn.XLOOKUP($B33,Decals!$A$3:$A$202,Decals!AP$3:AP$202,0)</f>
        <v>0</v>
      </c>
      <c r="AT33" s="50">
        <f>_xlfn.XLOOKUP($B33,Decals!$A$3:$A$202,Decals!AQ$3:AQ$202,0)</f>
        <v>0</v>
      </c>
      <c r="AU33" s="50">
        <f>_xlfn.XLOOKUP($B33,Decals!$A$3:$A$202,Decals!AR$3:AR$202,0)</f>
        <v>0</v>
      </c>
      <c r="AV33" s="50">
        <f>_xlfn.XLOOKUP($B33,Decals!$A$3:$A$202,Decals!AS$3:AS$202,0)</f>
        <v>0</v>
      </c>
      <c r="AW33" s="50">
        <f>_xlfn.XLOOKUP($B33,Decals!$A$3:$A$202,Decals!AT$3:AT$202,0)</f>
        <v>0</v>
      </c>
      <c r="AX33" s="50">
        <f>_xlfn.XLOOKUP($B33,Decals!$A$3:$A$202,Decals!AU$3:AU$202,0)</f>
        <v>0</v>
      </c>
      <c r="AY33" s="50">
        <f>_xlfn.XLOOKUP($B33,Decals!$A$3:$A$202,Decals!AV$3:AV$202,0)</f>
        <v>0</v>
      </c>
      <c r="AZ33" s="50">
        <f>_xlfn.XLOOKUP($B33,Decals!$A$3:$A$202,Decals!AW$3:AW$202,0)</f>
        <v>0</v>
      </c>
    </row>
    <row r="34" spans="1:52" ht="15.75" thickBot="1">
      <c r="A34" s="92">
        <v>7</v>
      </c>
      <c r="B34" s="178">
        <f>Build!J14</f>
        <v>0</v>
      </c>
      <c r="C34" s="178"/>
      <c r="D34" s="178"/>
      <c r="E34" s="50">
        <f>_xlfn.XLOOKUP($B34,Decals!$A$3:$A$202,Decals!B$3:B$202,0)</f>
        <v>0</v>
      </c>
      <c r="F34" s="50">
        <f>_xlfn.XLOOKUP($B34,Decals!$A$3:$A$202,Decals!C$3:C$202,0)</f>
        <v>0</v>
      </c>
      <c r="G34" s="50">
        <f>_xlfn.XLOOKUP($B34,Decals!$A$3:$A$202,Decals!D$3:D$202,0)</f>
        <v>0</v>
      </c>
      <c r="H34" s="50">
        <f>_xlfn.XLOOKUP($B34,Decals!$A$3:$A$202,Decals!E$3:E$202,0)</f>
        <v>0</v>
      </c>
      <c r="I34" s="50">
        <f>_xlfn.XLOOKUP($B34,Decals!$A$3:$A$202,Decals!F$3:F$202,0)</f>
        <v>0</v>
      </c>
      <c r="J34" s="50">
        <f>_xlfn.XLOOKUP($B34,Decals!$A$3:$A$202,Decals!G$3:G$202,0)</f>
        <v>0</v>
      </c>
      <c r="K34" s="50">
        <f>_xlfn.XLOOKUP($B34,Decals!$A$3:$A$202,Decals!H$3:H$202,0)</f>
        <v>0</v>
      </c>
      <c r="L34" s="50">
        <f>_xlfn.XLOOKUP($B34,Decals!$A$3:$A$202,Decals!I$3:I$202,0)</f>
        <v>0</v>
      </c>
      <c r="M34" s="50">
        <f>_xlfn.XLOOKUP($B34,Decals!$A$3:$A$202,Decals!J$3:J$202,0)</f>
        <v>0</v>
      </c>
      <c r="N34" s="50">
        <f>_xlfn.XLOOKUP($B34,Decals!$A$3:$A$202,Decals!K$3:K$202,0)</f>
        <v>0</v>
      </c>
      <c r="O34" s="50">
        <f>_xlfn.XLOOKUP($B34,Decals!$A$3:$A$202,Decals!L$3:L$202,0)</f>
        <v>0</v>
      </c>
      <c r="P34" s="50">
        <f>_xlfn.XLOOKUP($B34,Decals!$A$3:$A$202,Decals!M$3:M$202,0)</f>
        <v>0</v>
      </c>
      <c r="Q34" s="50">
        <f>_xlfn.XLOOKUP($B34,Decals!$A$3:$A$202,Decals!N$3:N$202,0)</f>
        <v>0</v>
      </c>
      <c r="R34" s="50">
        <f>_xlfn.XLOOKUP($B34,Decals!$A$3:$A$202,Decals!O$3:O$202,0)</f>
        <v>0</v>
      </c>
      <c r="S34" s="50">
        <f>_xlfn.XLOOKUP($B34,Decals!$A$3:$A$202,Decals!P$3:P$202,0)</f>
        <v>0</v>
      </c>
      <c r="T34" s="50">
        <f>_xlfn.XLOOKUP($B34,Decals!$A$3:$A$202,Decals!Q$3:Q$202,0)</f>
        <v>0</v>
      </c>
      <c r="U34" s="50">
        <f>_xlfn.XLOOKUP($B34,Decals!$A$3:$A$202,Decals!R$3:R$202,0)</f>
        <v>0</v>
      </c>
      <c r="V34" s="50">
        <f>_xlfn.XLOOKUP($B34,Decals!$A$3:$A$202,Decals!S$3:S$202,0)</f>
        <v>0</v>
      </c>
      <c r="W34" s="50">
        <f>_xlfn.XLOOKUP($B34,Decals!$A$3:$A$202,Decals!T$3:T$202,0)</f>
        <v>0</v>
      </c>
      <c r="X34" s="50">
        <f>_xlfn.XLOOKUP($B34,Decals!$A$3:$A$202,Decals!U$3:U$202,0)</f>
        <v>0</v>
      </c>
      <c r="Y34" s="50">
        <f>_xlfn.XLOOKUP($B34,Decals!$A$3:$A$202,Decals!V$3:V$202,0)</f>
        <v>0</v>
      </c>
      <c r="Z34" s="50">
        <f>_xlfn.XLOOKUP($B34,Decals!$A$3:$A$202,Decals!W$3:W$202,0)</f>
        <v>0</v>
      </c>
      <c r="AA34" s="50">
        <f>_xlfn.XLOOKUP($B34,Decals!$A$3:$A$202,Decals!X$3:X$202,0)</f>
        <v>0</v>
      </c>
      <c r="AB34" s="50">
        <f>_xlfn.XLOOKUP($B34,Decals!$A$3:$A$202,Decals!Y$3:Y$202,0)</f>
        <v>0</v>
      </c>
      <c r="AC34" s="50">
        <f>_xlfn.XLOOKUP($B34,Decals!$A$3:$A$202,Decals!Z$3:Z$202,0)</f>
        <v>0</v>
      </c>
      <c r="AD34" s="50">
        <f>_xlfn.XLOOKUP($B34,Decals!$A$3:$A$202,Decals!AA$3:AA$202,0)</f>
        <v>0</v>
      </c>
      <c r="AE34" s="50">
        <f>_xlfn.XLOOKUP($B34,Decals!$A$3:$A$202,Decals!AB$3:AB$202,0)</f>
        <v>0</v>
      </c>
      <c r="AF34" s="50">
        <f>_xlfn.XLOOKUP($B34,Decals!$A$3:$A$202,Decals!AC$3:AC$202,0)</f>
        <v>0</v>
      </c>
      <c r="AG34" s="50">
        <f>_xlfn.XLOOKUP($B34,Decals!$A$3:$A$202,Decals!AD$3:AD$202,0)</f>
        <v>0</v>
      </c>
      <c r="AH34" s="50">
        <f>_xlfn.XLOOKUP($B34,Decals!$A$3:$A$202,Decals!AE$3:AE$202,0)</f>
        <v>0</v>
      </c>
      <c r="AI34" s="50">
        <f>_xlfn.XLOOKUP($B34,Decals!$A$3:$A$202,Decals!AF$3:AF$202,0)</f>
        <v>0</v>
      </c>
      <c r="AJ34" s="50">
        <f>_xlfn.XLOOKUP($B34,Decals!$A$3:$A$202,Decals!AG$3:AG$202,0)</f>
        <v>0</v>
      </c>
      <c r="AK34" s="50">
        <f>_xlfn.XLOOKUP($B34,Decals!$A$3:$A$202,Decals!AH$3:AH$202,0)</f>
        <v>0</v>
      </c>
      <c r="AL34" s="50">
        <f>_xlfn.XLOOKUP($B34,Decals!$A$3:$A$202,Decals!AI$3:AI$202,0)</f>
        <v>0</v>
      </c>
      <c r="AM34" s="50">
        <f>_xlfn.XLOOKUP($B34,Decals!$A$3:$A$202,Decals!AJ$3:AJ$202,0)</f>
        <v>0</v>
      </c>
      <c r="AN34" s="50">
        <f>_xlfn.XLOOKUP($B34,Decals!$A$3:$A$202,Decals!AK$3:AK$202,0)</f>
        <v>0</v>
      </c>
      <c r="AO34" s="50">
        <f>_xlfn.XLOOKUP($B34,Decals!$A$3:$A$202,Decals!AL$3:AL$202,0)</f>
        <v>0</v>
      </c>
      <c r="AP34" s="50">
        <f>_xlfn.XLOOKUP($B34,Decals!$A$3:$A$202,Decals!AM$3:AM$202,0)</f>
        <v>0</v>
      </c>
      <c r="AQ34" s="50">
        <f>_xlfn.XLOOKUP($B34,Decals!$A$3:$A$202,Decals!AN$3:AN$202,0)</f>
        <v>0</v>
      </c>
      <c r="AR34" s="50">
        <f>_xlfn.XLOOKUP($B34,Decals!$A$3:$A$202,Decals!AO$3:AO$202,0)</f>
        <v>0</v>
      </c>
      <c r="AS34" s="50">
        <f>_xlfn.XLOOKUP($B34,Decals!$A$3:$A$202,Decals!AP$3:AP$202,0)</f>
        <v>0</v>
      </c>
      <c r="AT34" s="50">
        <f>_xlfn.XLOOKUP($B34,Decals!$A$3:$A$202,Decals!AQ$3:AQ$202,0)</f>
        <v>0</v>
      </c>
      <c r="AU34" s="50">
        <f>_xlfn.XLOOKUP($B34,Decals!$A$3:$A$202,Decals!AR$3:AR$202,0)</f>
        <v>0</v>
      </c>
      <c r="AV34" s="50">
        <f>_xlfn.XLOOKUP($B34,Decals!$A$3:$A$202,Decals!AS$3:AS$202,0)</f>
        <v>0</v>
      </c>
      <c r="AW34" s="50">
        <f>_xlfn.XLOOKUP($B34,Decals!$A$3:$A$202,Decals!AT$3:AT$202,0)</f>
        <v>0</v>
      </c>
      <c r="AX34" s="50">
        <f>_xlfn.XLOOKUP($B34,Decals!$A$3:$A$202,Decals!AU$3:AU$202,0)</f>
        <v>0</v>
      </c>
      <c r="AY34" s="50">
        <f>_xlfn.XLOOKUP($B34,Decals!$A$3:$A$202,Decals!AV$3:AV$202,0)</f>
        <v>0</v>
      </c>
      <c r="AZ34" s="50">
        <f>_xlfn.XLOOKUP($B34,Decals!$A$3:$A$202,Decals!AW$3:AW$202,0)</f>
        <v>0</v>
      </c>
    </row>
    <row r="35" spans="1:52" ht="15.75" thickBot="1">
      <c r="A35" s="92">
        <v>8</v>
      </c>
      <c r="B35" s="178">
        <f>Build!J15</f>
        <v>0</v>
      </c>
      <c r="C35" s="178"/>
      <c r="D35" s="178"/>
      <c r="E35" s="50">
        <f>_xlfn.XLOOKUP($B35,Decals!$A$3:$A$202,Decals!B$3:B$202,0)</f>
        <v>0</v>
      </c>
      <c r="F35" s="50">
        <f>_xlfn.XLOOKUP($B35,Decals!$A$3:$A$202,Decals!C$3:C$202,0)</f>
        <v>0</v>
      </c>
      <c r="G35" s="50">
        <f>_xlfn.XLOOKUP($B35,Decals!$A$3:$A$202,Decals!D$3:D$202,0)</f>
        <v>0</v>
      </c>
      <c r="H35" s="50">
        <f>_xlfn.XLOOKUP($B35,Decals!$A$3:$A$202,Decals!E$3:E$202,0)</f>
        <v>0</v>
      </c>
      <c r="I35" s="50">
        <f>_xlfn.XLOOKUP($B35,Decals!$A$3:$A$202,Decals!F$3:F$202,0)</f>
        <v>0</v>
      </c>
      <c r="J35" s="50">
        <f>_xlfn.XLOOKUP($B35,Decals!$A$3:$A$202,Decals!G$3:G$202,0)</f>
        <v>0</v>
      </c>
      <c r="K35" s="50">
        <f>_xlfn.XLOOKUP($B35,Decals!$A$3:$A$202,Decals!H$3:H$202,0)</f>
        <v>0</v>
      </c>
      <c r="L35" s="50">
        <f>_xlfn.XLOOKUP($B35,Decals!$A$3:$A$202,Decals!I$3:I$202,0)</f>
        <v>0</v>
      </c>
      <c r="M35" s="50">
        <f>_xlfn.XLOOKUP($B35,Decals!$A$3:$A$202,Decals!J$3:J$202,0)</f>
        <v>0</v>
      </c>
      <c r="N35" s="50">
        <f>_xlfn.XLOOKUP($B35,Decals!$A$3:$A$202,Decals!K$3:K$202,0)</f>
        <v>0</v>
      </c>
      <c r="O35" s="50">
        <f>_xlfn.XLOOKUP($B35,Decals!$A$3:$A$202,Decals!L$3:L$202,0)</f>
        <v>0</v>
      </c>
      <c r="P35" s="50">
        <f>_xlfn.XLOOKUP($B35,Decals!$A$3:$A$202,Decals!M$3:M$202,0)</f>
        <v>0</v>
      </c>
      <c r="Q35" s="50">
        <f>_xlfn.XLOOKUP($B35,Decals!$A$3:$A$202,Decals!N$3:N$202,0)</f>
        <v>0</v>
      </c>
      <c r="R35" s="50">
        <f>_xlfn.XLOOKUP($B35,Decals!$A$3:$A$202,Decals!O$3:O$202,0)</f>
        <v>0</v>
      </c>
      <c r="S35" s="50">
        <f>_xlfn.XLOOKUP($B35,Decals!$A$3:$A$202,Decals!P$3:P$202,0)</f>
        <v>0</v>
      </c>
      <c r="T35" s="50">
        <f>_xlfn.XLOOKUP($B35,Decals!$A$3:$A$202,Decals!Q$3:Q$202,0)</f>
        <v>0</v>
      </c>
      <c r="U35" s="50">
        <f>_xlfn.XLOOKUP($B35,Decals!$A$3:$A$202,Decals!R$3:R$202,0)</f>
        <v>0</v>
      </c>
      <c r="V35" s="50">
        <f>_xlfn.XLOOKUP($B35,Decals!$A$3:$A$202,Decals!S$3:S$202,0)</f>
        <v>0</v>
      </c>
      <c r="W35" s="50">
        <f>_xlfn.XLOOKUP($B35,Decals!$A$3:$A$202,Decals!T$3:T$202,0)</f>
        <v>0</v>
      </c>
      <c r="X35" s="50">
        <f>_xlfn.XLOOKUP($B35,Decals!$A$3:$A$202,Decals!U$3:U$202,0)</f>
        <v>0</v>
      </c>
      <c r="Y35" s="50">
        <f>_xlfn.XLOOKUP($B35,Decals!$A$3:$A$202,Decals!V$3:V$202,0)</f>
        <v>0</v>
      </c>
      <c r="Z35" s="50">
        <f>_xlfn.XLOOKUP($B35,Decals!$A$3:$A$202,Decals!W$3:W$202,0)</f>
        <v>0</v>
      </c>
      <c r="AA35" s="50">
        <f>_xlfn.XLOOKUP($B35,Decals!$A$3:$A$202,Decals!X$3:X$202,0)</f>
        <v>0</v>
      </c>
      <c r="AB35" s="50">
        <f>_xlfn.XLOOKUP($B35,Decals!$A$3:$A$202,Decals!Y$3:Y$202,0)</f>
        <v>0</v>
      </c>
      <c r="AC35" s="50">
        <f>_xlfn.XLOOKUP($B35,Decals!$A$3:$A$202,Decals!Z$3:Z$202,0)</f>
        <v>0</v>
      </c>
      <c r="AD35" s="50">
        <f>_xlfn.XLOOKUP($B35,Decals!$A$3:$A$202,Decals!AA$3:AA$202,0)</f>
        <v>0</v>
      </c>
      <c r="AE35" s="50">
        <f>_xlfn.XLOOKUP($B35,Decals!$A$3:$A$202,Decals!AB$3:AB$202,0)</f>
        <v>0</v>
      </c>
      <c r="AF35" s="50">
        <f>_xlfn.XLOOKUP($B35,Decals!$A$3:$A$202,Decals!AC$3:AC$202,0)</f>
        <v>0</v>
      </c>
      <c r="AG35" s="50">
        <f>_xlfn.XLOOKUP($B35,Decals!$A$3:$A$202,Decals!AD$3:AD$202,0)</f>
        <v>0</v>
      </c>
      <c r="AH35" s="50">
        <f>_xlfn.XLOOKUP($B35,Decals!$A$3:$A$202,Decals!AE$3:AE$202,0)</f>
        <v>0</v>
      </c>
      <c r="AI35" s="50">
        <f>_xlfn.XLOOKUP($B35,Decals!$A$3:$A$202,Decals!AF$3:AF$202,0)</f>
        <v>0</v>
      </c>
      <c r="AJ35" s="50">
        <f>_xlfn.XLOOKUP($B35,Decals!$A$3:$A$202,Decals!AG$3:AG$202,0)</f>
        <v>0</v>
      </c>
      <c r="AK35" s="50">
        <f>_xlfn.XLOOKUP($B35,Decals!$A$3:$A$202,Decals!AH$3:AH$202,0)</f>
        <v>0</v>
      </c>
      <c r="AL35" s="50">
        <f>_xlfn.XLOOKUP($B35,Decals!$A$3:$A$202,Decals!AI$3:AI$202,0)</f>
        <v>0</v>
      </c>
      <c r="AM35" s="50">
        <f>_xlfn.XLOOKUP($B35,Decals!$A$3:$A$202,Decals!AJ$3:AJ$202,0)</f>
        <v>0</v>
      </c>
      <c r="AN35" s="50">
        <f>_xlfn.XLOOKUP($B35,Decals!$A$3:$A$202,Decals!AK$3:AK$202,0)</f>
        <v>0</v>
      </c>
      <c r="AO35" s="50">
        <f>_xlfn.XLOOKUP($B35,Decals!$A$3:$A$202,Decals!AL$3:AL$202,0)</f>
        <v>0</v>
      </c>
      <c r="AP35" s="50">
        <f>_xlfn.XLOOKUP($B35,Decals!$A$3:$A$202,Decals!AM$3:AM$202,0)</f>
        <v>0</v>
      </c>
      <c r="AQ35" s="50">
        <f>_xlfn.XLOOKUP($B35,Decals!$A$3:$A$202,Decals!AN$3:AN$202,0)</f>
        <v>0</v>
      </c>
      <c r="AR35" s="50">
        <f>_xlfn.XLOOKUP($B35,Decals!$A$3:$A$202,Decals!AO$3:AO$202,0)</f>
        <v>0</v>
      </c>
      <c r="AS35" s="50">
        <f>_xlfn.XLOOKUP($B35,Decals!$A$3:$A$202,Decals!AP$3:AP$202,0)</f>
        <v>0</v>
      </c>
      <c r="AT35" s="50">
        <f>_xlfn.XLOOKUP($B35,Decals!$A$3:$A$202,Decals!AQ$3:AQ$202,0)</f>
        <v>0</v>
      </c>
      <c r="AU35" s="50">
        <f>_xlfn.XLOOKUP($B35,Decals!$A$3:$A$202,Decals!AR$3:AR$202,0)</f>
        <v>0</v>
      </c>
      <c r="AV35" s="50">
        <f>_xlfn.XLOOKUP($B35,Decals!$A$3:$A$202,Decals!AS$3:AS$202,0)</f>
        <v>0</v>
      </c>
      <c r="AW35" s="50">
        <f>_xlfn.XLOOKUP($B35,Decals!$A$3:$A$202,Decals!AT$3:AT$202,0)</f>
        <v>0</v>
      </c>
      <c r="AX35" s="50">
        <f>_xlfn.XLOOKUP($B35,Decals!$A$3:$A$202,Decals!AU$3:AU$202,0)</f>
        <v>0</v>
      </c>
      <c r="AY35" s="50">
        <f>_xlfn.XLOOKUP($B35,Decals!$A$3:$A$202,Decals!AV$3:AV$202,0)</f>
        <v>0</v>
      </c>
      <c r="AZ35" s="50">
        <f>_xlfn.XLOOKUP($B35,Decals!$A$3:$A$202,Decals!AW$3:AW$202,0)</f>
        <v>0</v>
      </c>
    </row>
    <row r="36" spans="1:52" ht="15.75" thickBot="1">
      <c r="A36" s="92">
        <v>9</v>
      </c>
      <c r="B36" s="178">
        <f>Build!J16</f>
        <v>0</v>
      </c>
      <c r="C36" s="178"/>
      <c r="D36" s="178"/>
      <c r="E36" s="50">
        <f>_xlfn.XLOOKUP($B36,Decals!$A$3:$A$202,Decals!B$3:B$202,0)</f>
        <v>0</v>
      </c>
      <c r="F36" s="50">
        <f>_xlfn.XLOOKUP($B36,Decals!$A$3:$A$202,Decals!C$3:C$202,0)</f>
        <v>0</v>
      </c>
      <c r="G36" s="50">
        <f>_xlfn.XLOOKUP($B36,Decals!$A$3:$A$202,Decals!D$3:D$202,0)</f>
        <v>0</v>
      </c>
      <c r="H36" s="50">
        <f>_xlfn.XLOOKUP($B36,Decals!$A$3:$A$202,Decals!E$3:E$202,0)</f>
        <v>0</v>
      </c>
      <c r="I36" s="50">
        <f>_xlfn.XLOOKUP($B36,Decals!$A$3:$A$202,Decals!F$3:F$202,0)</f>
        <v>0</v>
      </c>
      <c r="J36" s="50">
        <f>_xlfn.XLOOKUP($B36,Decals!$A$3:$A$202,Decals!G$3:G$202,0)</f>
        <v>0</v>
      </c>
      <c r="K36" s="50">
        <f>_xlfn.XLOOKUP($B36,Decals!$A$3:$A$202,Decals!H$3:H$202,0)</f>
        <v>0</v>
      </c>
      <c r="L36" s="50">
        <f>_xlfn.XLOOKUP($B36,Decals!$A$3:$A$202,Decals!I$3:I$202,0)</f>
        <v>0</v>
      </c>
      <c r="M36" s="50">
        <f>_xlfn.XLOOKUP($B36,Decals!$A$3:$A$202,Decals!J$3:J$202,0)</f>
        <v>0</v>
      </c>
      <c r="N36" s="50">
        <f>_xlfn.XLOOKUP($B36,Decals!$A$3:$A$202,Decals!K$3:K$202,0)</f>
        <v>0</v>
      </c>
      <c r="O36" s="50">
        <f>_xlfn.XLOOKUP($B36,Decals!$A$3:$A$202,Decals!L$3:L$202,0)</f>
        <v>0</v>
      </c>
      <c r="P36" s="50">
        <f>_xlfn.XLOOKUP($B36,Decals!$A$3:$A$202,Decals!M$3:M$202,0)</f>
        <v>0</v>
      </c>
      <c r="Q36" s="50">
        <f>_xlfn.XLOOKUP($B36,Decals!$A$3:$A$202,Decals!N$3:N$202,0)</f>
        <v>0</v>
      </c>
      <c r="R36" s="50">
        <f>_xlfn.XLOOKUP($B36,Decals!$A$3:$A$202,Decals!O$3:O$202,0)</f>
        <v>0</v>
      </c>
      <c r="S36" s="50">
        <f>_xlfn.XLOOKUP($B36,Decals!$A$3:$A$202,Decals!P$3:P$202,0)</f>
        <v>0</v>
      </c>
      <c r="T36" s="50">
        <f>_xlfn.XLOOKUP($B36,Decals!$A$3:$A$202,Decals!Q$3:Q$202,0)</f>
        <v>0</v>
      </c>
      <c r="U36" s="50">
        <f>_xlfn.XLOOKUP($B36,Decals!$A$3:$A$202,Decals!R$3:R$202,0)</f>
        <v>0</v>
      </c>
      <c r="V36" s="50">
        <f>_xlfn.XLOOKUP($B36,Decals!$A$3:$A$202,Decals!S$3:S$202,0)</f>
        <v>0</v>
      </c>
      <c r="W36" s="50">
        <f>_xlfn.XLOOKUP($B36,Decals!$A$3:$A$202,Decals!T$3:T$202,0)</f>
        <v>0</v>
      </c>
      <c r="X36" s="50">
        <f>_xlfn.XLOOKUP($B36,Decals!$A$3:$A$202,Decals!U$3:U$202,0)</f>
        <v>0</v>
      </c>
      <c r="Y36" s="50">
        <f>_xlfn.XLOOKUP($B36,Decals!$A$3:$A$202,Decals!V$3:V$202,0)</f>
        <v>0</v>
      </c>
      <c r="Z36" s="50">
        <f>_xlfn.XLOOKUP($B36,Decals!$A$3:$A$202,Decals!W$3:W$202,0)</f>
        <v>0</v>
      </c>
      <c r="AA36" s="50">
        <f>_xlfn.XLOOKUP($B36,Decals!$A$3:$A$202,Decals!X$3:X$202,0)</f>
        <v>0</v>
      </c>
      <c r="AB36" s="50">
        <f>_xlfn.XLOOKUP($B36,Decals!$A$3:$A$202,Decals!Y$3:Y$202,0)</f>
        <v>0</v>
      </c>
      <c r="AC36" s="50">
        <f>_xlfn.XLOOKUP($B36,Decals!$A$3:$A$202,Decals!Z$3:Z$202,0)</f>
        <v>0</v>
      </c>
      <c r="AD36" s="50">
        <f>_xlfn.XLOOKUP($B36,Decals!$A$3:$A$202,Decals!AA$3:AA$202,0)</f>
        <v>0</v>
      </c>
      <c r="AE36" s="50">
        <f>_xlfn.XLOOKUP($B36,Decals!$A$3:$A$202,Decals!AB$3:AB$202,0)</f>
        <v>0</v>
      </c>
      <c r="AF36" s="50">
        <f>_xlfn.XLOOKUP($B36,Decals!$A$3:$A$202,Decals!AC$3:AC$202,0)</f>
        <v>0</v>
      </c>
      <c r="AG36" s="50">
        <f>_xlfn.XLOOKUP($B36,Decals!$A$3:$A$202,Decals!AD$3:AD$202,0)</f>
        <v>0</v>
      </c>
      <c r="AH36" s="50">
        <f>_xlfn.XLOOKUP($B36,Decals!$A$3:$A$202,Decals!AE$3:AE$202,0)</f>
        <v>0</v>
      </c>
      <c r="AI36" s="50">
        <f>_xlfn.XLOOKUP($B36,Decals!$A$3:$A$202,Decals!AF$3:AF$202,0)</f>
        <v>0</v>
      </c>
      <c r="AJ36" s="50">
        <f>_xlfn.XLOOKUP($B36,Decals!$A$3:$A$202,Decals!AG$3:AG$202,0)</f>
        <v>0</v>
      </c>
      <c r="AK36" s="50">
        <f>_xlfn.XLOOKUP($B36,Decals!$A$3:$A$202,Decals!AH$3:AH$202,0)</f>
        <v>0</v>
      </c>
      <c r="AL36" s="50">
        <f>_xlfn.XLOOKUP($B36,Decals!$A$3:$A$202,Decals!AI$3:AI$202,0)</f>
        <v>0</v>
      </c>
      <c r="AM36" s="50">
        <f>_xlfn.XLOOKUP($B36,Decals!$A$3:$A$202,Decals!AJ$3:AJ$202,0)</f>
        <v>0</v>
      </c>
      <c r="AN36" s="50">
        <f>_xlfn.XLOOKUP($B36,Decals!$A$3:$A$202,Decals!AK$3:AK$202,0)</f>
        <v>0</v>
      </c>
      <c r="AO36" s="50">
        <f>_xlfn.XLOOKUP($B36,Decals!$A$3:$A$202,Decals!AL$3:AL$202,0)</f>
        <v>0</v>
      </c>
      <c r="AP36" s="50">
        <f>_xlfn.XLOOKUP($B36,Decals!$A$3:$A$202,Decals!AM$3:AM$202,0)</f>
        <v>0</v>
      </c>
      <c r="AQ36" s="50">
        <f>_xlfn.XLOOKUP($B36,Decals!$A$3:$A$202,Decals!AN$3:AN$202,0)</f>
        <v>0</v>
      </c>
      <c r="AR36" s="50">
        <f>_xlfn.XLOOKUP($B36,Decals!$A$3:$A$202,Decals!AO$3:AO$202,0)</f>
        <v>0</v>
      </c>
      <c r="AS36" s="50">
        <f>_xlfn.XLOOKUP($B36,Decals!$A$3:$A$202,Decals!AP$3:AP$202,0)</f>
        <v>0</v>
      </c>
      <c r="AT36" s="50">
        <f>_xlfn.XLOOKUP($B36,Decals!$A$3:$A$202,Decals!AQ$3:AQ$202,0)</f>
        <v>0</v>
      </c>
      <c r="AU36" s="50">
        <f>_xlfn.XLOOKUP($B36,Decals!$A$3:$A$202,Decals!AR$3:AR$202,0)</f>
        <v>0</v>
      </c>
      <c r="AV36" s="50">
        <f>_xlfn.XLOOKUP($B36,Decals!$A$3:$A$202,Decals!AS$3:AS$202,0)</f>
        <v>0</v>
      </c>
      <c r="AW36" s="50">
        <f>_xlfn.XLOOKUP($B36,Decals!$A$3:$A$202,Decals!AT$3:AT$202,0)</f>
        <v>0</v>
      </c>
      <c r="AX36" s="50">
        <f>_xlfn.XLOOKUP($B36,Decals!$A$3:$A$202,Decals!AU$3:AU$202,0)</f>
        <v>0</v>
      </c>
      <c r="AY36" s="50">
        <f>_xlfn.XLOOKUP($B36,Decals!$A$3:$A$202,Decals!AV$3:AV$202,0)</f>
        <v>0</v>
      </c>
      <c r="AZ36" s="50">
        <f>_xlfn.XLOOKUP($B36,Decals!$A$3:$A$202,Decals!AW$3:AW$202,0)</f>
        <v>0</v>
      </c>
    </row>
    <row r="38" spans="1:52" ht="15.75" thickBot="1"/>
    <row r="39" spans="1:52" ht="15.75" thickBot="1">
      <c r="E39" s="151" t="s">
        <v>857</v>
      </c>
      <c r="F39" s="151"/>
      <c r="G39" s="151"/>
      <c r="H39" s="151"/>
      <c r="I39" s="151"/>
      <c r="J39" s="151"/>
      <c r="K39" s="151"/>
      <c r="L39" s="151"/>
      <c r="M39" s="151"/>
      <c r="N39" s="151"/>
      <c r="O39" s="151"/>
      <c r="P39" s="151"/>
      <c r="Q39" s="151"/>
      <c r="R39" s="151"/>
      <c r="S39" s="151"/>
      <c r="T39" s="151"/>
      <c r="U39" s="201" t="s">
        <v>859</v>
      </c>
      <c r="V39" s="201"/>
      <c r="W39" s="201" t="s">
        <v>860</v>
      </c>
      <c r="X39" s="201"/>
    </row>
    <row r="40" spans="1:52" ht="15.75" thickBot="1">
      <c r="E40" s="106" t="s">
        <v>9</v>
      </c>
      <c r="F40" s="106" t="s">
        <v>10</v>
      </c>
      <c r="G40" s="106" t="s">
        <v>330</v>
      </c>
      <c r="H40" s="106" t="s">
        <v>331</v>
      </c>
      <c r="I40" s="106" t="s">
        <v>332</v>
      </c>
      <c r="J40" s="106" t="s">
        <v>333</v>
      </c>
      <c r="K40" s="106" t="s">
        <v>334</v>
      </c>
      <c r="L40" s="106" t="s">
        <v>335</v>
      </c>
      <c r="M40" s="106" t="s">
        <v>11</v>
      </c>
      <c r="N40" s="106" t="s">
        <v>12</v>
      </c>
      <c r="O40" s="106" t="s">
        <v>13</v>
      </c>
      <c r="P40" s="106" t="s">
        <v>828</v>
      </c>
      <c r="Q40" s="106" t="s">
        <v>23</v>
      </c>
      <c r="R40" s="106" t="s">
        <v>24</v>
      </c>
      <c r="S40" s="106" t="s">
        <v>25</v>
      </c>
      <c r="T40" s="106" t="s">
        <v>26</v>
      </c>
      <c r="U40" s="201"/>
      <c r="V40" s="201"/>
      <c r="W40" s="201"/>
      <c r="X40" s="201"/>
    </row>
    <row r="41" spans="1:52" ht="15.75" thickBot="1">
      <c r="B41" s="203">
        <f>B28</f>
        <v>0</v>
      </c>
      <c r="C41" s="203"/>
      <c r="D41" s="203"/>
      <c r="E41" s="50">
        <f>_xlfn.XLOOKUP($B28,Decals!$A$3:$A$202,Decals!N$3:N$202,0)</f>
        <v>0</v>
      </c>
      <c r="F41" s="50">
        <f>_xlfn.XLOOKUP($B28,Decals!$A$3:$A$202,Decals!O$3:O$202,0)</f>
        <v>0</v>
      </c>
      <c r="G41" s="50">
        <f>_xlfn.XLOOKUP($B28,Decals!$A$3:$A$202,Decals!P$3:P$202,0)</f>
        <v>0</v>
      </c>
      <c r="H41" s="50">
        <f>_xlfn.XLOOKUP($B28,Decals!$A$3:$A$202,Decals!Q$3:Q$202,0)</f>
        <v>0</v>
      </c>
      <c r="I41" s="50">
        <f>_xlfn.XLOOKUP($B28,Decals!$A$3:$A$202,Decals!R$3:R$202,0)</f>
        <v>0</v>
      </c>
      <c r="J41" s="50">
        <f>_xlfn.XLOOKUP($B28,Decals!$A$3:$A$202,Decals!S$3:S$202,0)</f>
        <v>0</v>
      </c>
      <c r="K41" s="50">
        <f>_xlfn.XLOOKUP($B28,Decals!$A$3:$A$202,Decals!T$3:T$202,0)</f>
        <v>0</v>
      </c>
      <c r="L41" s="50">
        <f>_xlfn.XLOOKUP($B28,Decals!$A$3:$A$202,Decals!U$3:U$202,0)</f>
        <v>0</v>
      </c>
      <c r="M41" s="50">
        <f>_xlfn.XLOOKUP($B28,Decals!$A$3:$A$202,Decals!V$3:V$202,0)</f>
        <v>0</v>
      </c>
      <c r="N41" s="50">
        <f>_xlfn.XLOOKUP($B28,Decals!$A$3:$A$202,Decals!W$3:W$202,0)</f>
        <v>0</v>
      </c>
      <c r="O41" s="50">
        <f>_xlfn.XLOOKUP($B28,Decals!$A$3:$A$202,Decals!X$3:X$202,0)</f>
        <v>0</v>
      </c>
      <c r="P41" s="50">
        <f>_xlfn.XLOOKUP($B28,Decals!$A$3:$A$202,Decals!Y$3:Y$202,0)</f>
        <v>0</v>
      </c>
      <c r="Q41" s="50">
        <f>_xlfn.XLOOKUP($B28,Decals!$A$3:$A$202,Decals!Z$3:Z$202,0)</f>
        <v>0</v>
      </c>
      <c r="R41" s="50">
        <f>_xlfn.XLOOKUP($B28,Decals!$A$3:$A$202,Decals!AA$3:AA$202,0)</f>
        <v>0</v>
      </c>
      <c r="S41" s="50">
        <f>_xlfn.XLOOKUP($B28,Decals!$A$3:$A$202,Decals!AB$3:AB$202,0)</f>
        <v>0</v>
      </c>
      <c r="T41" s="50">
        <f>_xlfn.XLOOKUP($B28,Decals!$A$3:$A$202,Decals!AC$3:AC$202,0)</f>
        <v>0</v>
      </c>
      <c r="U41" s="181" t="str">
        <f t="shared" ref="U41:U49" si="0">_xlfn.LET(
  _xlpm.full_set, OR(H28=0, AND(H28=$C$9,H28=$K$9,H28=$S$9)),
  _xlpm.full_fac, OR(J28=0, AND(I28=$G$9,I28=$O$9,I28=$W$9)),
  _xlpm.wep, OR(K28=0, K28=$C$16),
  _xlpm.fac_wep, OR(L28=0, L28=$C$24),
  _xlpm.raw, OR(M28=0, ISNUMBER(SEARCH($C$18,M28))),
  _xlpm.ele, OR(N28=0, ISNUMBER(SEARCH($C$19,N28))),
  _xlpm.dual_wield, OR(O28=0, AND($C$16=$L$16,$C$23=1)),
  _xlpm.hands, OR(P28=0, P28=$C$23),
  IF( AND(_xlpm.full_set=TRUE, _xlpm.full_fac=TRUE, _xlpm.wep=TRUE, _xlpm.fac_wep=TRUE, _xlpm.raw=TRUE, _xlpm.ele=TRUE, _xlpm.dual_wield=TRUE, _xlpm.hands=TRUE), "YES", "NO")
)</f>
        <v>YES</v>
      </c>
      <c r="V41" s="181"/>
      <c r="W41" s="181" t="str">
        <f t="shared" ref="W41:W49" si="1">_xlfn.LET(
  _xlpm.full_set, OR(H28=0, AND(H28=$C$9,H28=$K$9,H28=$S$9)),
  _xlpm.full_fac, OR(J28=0, AND(I28=$G$9,I28=$O$9,I28=$W$9)),
  _xlpm.wep, OR(K28=0, K28=$L$16),
  _xlpm.fac_wep, OR(L28=0, L28=$L$24),
  _xlpm.raw, OR(M28=0, ISNUMBER(SEARCH($L$18,M28))),
  _xlpm.ele, OR(N28=0, ISNUMBER(SEARCH($L$19,N28))),
  _xlpm.dual_wield, OR(O28=0, AND($C$16=$L$16,$L$23=1)),
  _xlpm.hands, OR(P28=0, P28=$L$23),
  IF( AND(_xlpm.full_set=TRUE, _xlpm.full_fac=TRUE, _xlpm.wep=TRUE, _xlpm.fac_wep=TRUE, _xlpm.raw=TRUE, _xlpm.ele=TRUE, _xlpm.dual_wield=TRUE, _xlpm.hands=TRUE), "YES", "NO")
)</f>
        <v>YES</v>
      </c>
      <c r="X41" s="181"/>
    </row>
    <row r="42" spans="1:52" ht="15.75" thickBot="1">
      <c r="B42" s="203">
        <f t="shared" ref="B42:B49" si="2">B29</f>
        <v>0</v>
      </c>
      <c r="C42" s="203"/>
      <c r="D42" s="203"/>
      <c r="E42" s="50">
        <f>_xlfn.XLOOKUP($B29,Decals!$A$3:$A$202,Decals!N$3:N$202,0)</f>
        <v>0</v>
      </c>
      <c r="F42" s="50">
        <f>_xlfn.XLOOKUP($B29,Decals!$A$3:$A$202,Decals!O$3:O$202,0)</f>
        <v>0</v>
      </c>
      <c r="G42" s="50">
        <f>_xlfn.XLOOKUP($B29,Decals!$A$3:$A$202,Decals!P$3:P$202,0)</f>
        <v>0</v>
      </c>
      <c r="H42" s="50">
        <f>_xlfn.XLOOKUP($B29,Decals!$A$3:$A$202,Decals!Q$3:Q$202,0)</f>
        <v>0</v>
      </c>
      <c r="I42" s="50">
        <f>_xlfn.XLOOKUP($B29,Decals!$A$3:$A$202,Decals!R$3:R$202,0)</f>
        <v>0</v>
      </c>
      <c r="J42" s="50">
        <f>_xlfn.XLOOKUP($B29,Decals!$A$3:$A$202,Decals!S$3:S$202,0)</f>
        <v>0</v>
      </c>
      <c r="K42" s="50">
        <f>_xlfn.XLOOKUP($B29,Decals!$A$3:$A$202,Decals!T$3:T$202,0)</f>
        <v>0</v>
      </c>
      <c r="L42" s="50">
        <f>_xlfn.XLOOKUP($B29,Decals!$A$3:$A$202,Decals!U$3:U$202,0)</f>
        <v>0</v>
      </c>
      <c r="M42" s="50">
        <f>_xlfn.XLOOKUP($B29,Decals!$A$3:$A$202,Decals!V$3:V$202,0)</f>
        <v>0</v>
      </c>
      <c r="N42" s="50">
        <f>_xlfn.XLOOKUP($B29,Decals!$A$3:$A$202,Decals!W$3:W$202,0)</f>
        <v>0</v>
      </c>
      <c r="O42" s="50">
        <f>_xlfn.XLOOKUP($B29,Decals!$A$3:$A$202,Decals!X$3:X$202,0)</f>
        <v>0</v>
      </c>
      <c r="P42" s="50">
        <f>_xlfn.XLOOKUP($B29,Decals!$A$3:$A$202,Decals!Y$3:Y$202,0)</f>
        <v>0</v>
      </c>
      <c r="Q42" s="50">
        <f>_xlfn.XLOOKUP($B29,Decals!$A$3:$A$202,Decals!Z$3:Z$202,0)</f>
        <v>0</v>
      </c>
      <c r="R42" s="50">
        <f>_xlfn.XLOOKUP($B29,Decals!$A$3:$A$202,Decals!AA$3:AA$202,0)</f>
        <v>0</v>
      </c>
      <c r="S42" s="50">
        <f>_xlfn.XLOOKUP($B29,Decals!$A$3:$A$202,Decals!AB$3:AB$202,0)</f>
        <v>0</v>
      </c>
      <c r="T42" s="50">
        <f>_xlfn.XLOOKUP($B29,Decals!$A$3:$A$202,Decals!AC$3:AC$202,0)</f>
        <v>0</v>
      </c>
      <c r="U42" s="181" t="str">
        <f t="shared" si="0"/>
        <v>YES</v>
      </c>
      <c r="V42" s="181"/>
      <c r="W42" s="181" t="str">
        <f t="shared" si="1"/>
        <v>YES</v>
      </c>
      <c r="X42" s="181"/>
    </row>
    <row r="43" spans="1:52" ht="15.75" thickBot="1">
      <c r="B43" s="203">
        <f t="shared" si="2"/>
        <v>0</v>
      </c>
      <c r="C43" s="203"/>
      <c r="D43" s="203"/>
      <c r="E43" s="50">
        <f>_xlfn.XLOOKUP($B30,Decals!$A$3:$A$202,Decals!N$3:N$202,0)</f>
        <v>0</v>
      </c>
      <c r="F43" s="50">
        <f>_xlfn.XLOOKUP($B30,Decals!$A$3:$A$202,Decals!O$3:O$202,0)</f>
        <v>0</v>
      </c>
      <c r="G43" s="50">
        <f>_xlfn.XLOOKUP($B30,Decals!$A$3:$A$202,Decals!P$3:P$202,0)</f>
        <v>0</v>
      </c>
      <c r="H43" s="50">
        <f>_xlfn.XLOOKUP($B30,Decals!$A$3:$A$202,Decals!Q$3:Q$202,0)</f>
        <v>0</v>
      </c>
      <c r="I43" s="50">
        <f>_xlfn.XLOOKUP($B30,Decals!$A$3:$A$202,Decals!R$3:R$202,0)</f>
        <v>0</v>
      </c>
      <c r="J43" s="50">
        <f>_xlfn.XLOOKUP($B30,Decals!$A$3:$A$202,Decals!S$3:S$202,0)</f>
        <v>0</v>
      </c>
      <c r="K43" s="50">
        <f>_xlfn.XLOOKUP($B30,Decals!$A$3:$A$202,Decals!T$3:T$202,0)</f>
        <v>0</v>
      </c>
      <c r="L43" s="50">
        <f>_xlfn.XLOOKUP($B30,Decals!$A$3:$A$202,Decals!U$3:U$202,0)</f>
        <v>0</v>
      </c>
      <c r="M43" s="50">
        <f>_xlfn.XLOOKUP($B30,Decals!$A$3:$A$202,Decals!V$3:V$202,0)</f>
        <v>0</v>
      </c>
      <c r="N43" s="50">
        <f>_xlfn.XLOOKUP($B30,Decals!$A$3:$A$202,Decals!W$3:W$202,0)</f>
        <v>0</v>
      </c>
      <c r="O43" s="50">
        <f>_xlfn.XLOOKUP($B30,Decals!$A$3:$A$202,Decals!X$3:X$202,0)</f>
        <v>0</v>
      </c>
      <c r="P43" s="50">
        <f>_xlfn.XLOOKUP($B30,Decals!$A$3:$A$202,Decals!Y$3:Y$202,0)</f>
        <v>0</v>
      </c>
      <c r="Q43" s="50">
        <f>_xlfn.XLOOKUP($B30,Decals!$A$3:$A$202,Decals!Z$3:Z$202,0)</f>
        <v>0</v>
      </c>
      <c r="R43" s="50">
        <f>_xlfn.XLOOKUP($B30,Decals!$A$3:$A$202,Decals!AA$3:AA$202,0)</f>
        <v>0</v>
      </c>
      <c r="S43" s="50">
        <f>_xlfn.XLOOKUP($B30,Decals!$A$3:$A$202,Decals!AB$3:AB$202,0)</f>
        <v>0</v>
      </c>
      <c r="T43" s="50">
        <f>_xlfn.XLOOKUP($B30,Decals!$A$3:$A$202,Decals!AC$3:AC$202,0)</f>
        <v>0</v>
      </c>
      <c r="U43" s="181" t="str">
        <f t="shared" si="0"/>
        <v>YES</v>
      </c>
      <c r="V43" s="181"/>
      <c r="W43" s="181" t="str">
        <f t="shared" si="1"/>
        <v>YES</v>
      </c>
      <c r="X43" s="181"/>
    </row>
    <row r="44" spans="1:52" ht="15.75" thickBot="1">
      <c r="B44" s="203">
        <f t="shared" si="2"/>
        <v>0</v>
      </c>
      <c r="C44" s="203"/>
      <c r="D44" s="203"/>
      <c r="E44" s="50">
        <f>_xlfn.XLOOKUP($B31,Decals!$A$3:$A$202,Decals!N$3:N$202,0)</f>
        <v>0</v>
      </c>
      <c r="F44" s="50">
        <f>_xlfn.XLOOKUP($B31,Decals!$A$3:$A$202,Decals!O$3:O$202,0)</f>
        <v>0</v>
      </c>
      <c r="G44" s="50">
        <f>_xlfn.XLOOKUP($B31,Decals!$A$3:$A$202,Decals!P$3:P$202,0)</f>
        <v>0</v>
      </c>
      <c r="H44" s="50">
        <f>_xlfn.XLOOKUP($B31,Decals!$A$3:$A$202,Decals!Q$3:Q$202,0)</f>
        <v>0</v>
      </c>
      <c r="I44" s="50">
        <f>_xlfn.XLOOKUP($B31,Decals!$A$3:$A$202,Decals!R$3:R$202,0)</f>
        <v>0</v>
      </c>
      <c r="J44" s="50">
        <f>_xlfn.XLOOKUP($B31,Decals!$A$3:$A$202,Decals!S$3:S$202,0)</f>
        <v>0</v>
      </c>
      <c r="K44" s="50">
        <f>_xlfn.XLOOKUP($B31,Decals!$A$3:$A$202,Decals!T$3:T$202,0)</f>
        <v>0</v>
      </c>
      <c r="L44" s="50">
        <f>_xlfn.XLOOKUP($B31,Decals!$A$3:$A$202,Decals!U$3:U$202,0)</f>
        <v>0</v>
      </c>
      <c r="M44" s="50">
        <f>_xlfn.XLOOKUP($B31,Decals!$A$3:$A$202,Decals!V$3:V$202,0)</f>
        <v>0</v>
      </c>
      <c r="N44" s="50">
        <f>_xlfn.XLOOKUP($B31,Decals!$A$3:$A$202,Decals!W$3:W$202,0)</f>
        <v>0</v>
      </c>
      <c r="O44" s="50">
        <f>_xlfn.XLOOKUP($B31,Decals!$A$3:$A$202,Decals!X$3:X$202,0)</f>
        <v>0</v>
      </c>
      <c r="P44" s="50">
        <f>_xlfn.XLOOKUP($B31,Decals!$A$3:$A$202,Decals!Y$3:Y$202,0)</f>
        <v>0</v>
      </c>
      <c r="Q44" s="50">
        <f>_xlfn.XLOOKUP($B31,Decals!$A$3:$A$202,Decals!Z$3:Z$202,0)</f>
        <v>0</v>
      </c>
      <c r="R44" s="50">
        <f>_xlfn.XLOOKUP($B31,Decals!$A$3:$A$202,Decals!AA$3:AA$202,0)</f>
        <v>0</v>
      </c>
      <c r="S44" s="50">
        <f>_xlfn.XLOOKUP($B31,Decals!$A$3:$A$202,Decals!AB$3:AB$202,0)</f>
        <v>0</v>
      </c>
      <c r="T44" s="50">
        <f>_xlfn.XLOOKUP($B31,Decals!$A$3:$A$202,Decals!AC$3:AC$202,0)</f>
        <v>0</v>
      </c>
      <c r="U44" s="181" t="str">
        <f t="shared" si="0"/>
        <v>YES</v>
      </c>
      <c r="V44" s="181"/>
      <c r="W44" s="181" t="str">
        <f t="shared" si="1"/>
        <v>YES</v>
      </c>
      <c r="X44" s="181"/>
    </row>
    <row r="45" spans="1:52" ht="15.75" thickBot="1">
      <c r="B45" s="203">
        <f t="shared" si="2"/>
        <v>0</v>
      </c>
      <c r="C45" s="203"/>
      <c r="D45" s="203"/>
      <c r="E45" s="50">
        <f>_xlfn.XLOOKUP($B32,Decals!$A$3:$A$202,Decals!N$3:N$202,0)</f>
        <v>0</v>
      </c>
      <c r="F45" s="50">
        <f>_xlfn.XLOOKUP($B32,Decals!$A$3:$A$202,Decals!O$3:O$202,0)</f>
        <v>0</v>
      </c>
      <c r="G45" s="50">
        <f>_xlfn.XLOOKUP($B32,Decals!$A$3:$A$202,Decals!P$3:P$202,0)</f>
        <v>0</v>
      </c>
      <c r="H45" s="50">
        <f>_xlfn.XLOOKUP($B32,Decals!$A$3:$A$202,Decals!Q$3:Q$202,0)</f>
        <v>0</v>
      </c>
      <c r="I45" s="50">
        <f>_xlfn.XLOOKUP($B32,Decals!$A$3:$A$202,Decals!R$3:R$202,0)</f>
        <v>0</v>
      </c>
      <c r="J45" s="50">
        <f>_xlfn.XLOOKUP($B32,Decals!$A$3:$A$202,Decals!S$3:S$202,0)</f>
        <v>0</v>
      </c>
      <c r="K45" s="50">
        <f>_xlfn.XLOOKUP($B32,Decals!$A$3:$A$202,Decals!T$3:T$202,0)</f>
        <v>0</v>
      </c>
      <c r="L45" s="50">
        <f>_xlfn.XLOOKUP($B32,Decals!$A$3:$A$202,Decals!U$3:U$202,0)</f>
        <v>0</v>
      </c>
      <c r="M45" s="50">
        <f>_xlfn.XLOOKUP($B32,Decals!$A$3:$A$202,Decals!V$3:V$202,0)</f>
        <v>0</v>
      </c>
      <c r="N45" s="50">
        <f>_xlfn.XLOOKUP($B32,Decals!$A$3:$A$202,Decals!W$3:W$202,0)</f>
        <v>0</v>
      </c>
      <c r="O45" s="50">
        <f>_xlfn.XLOOKUP($B32,Decals!$A$3:$A$202,Decals!X$3:X$202,0)</f>
        <v>0</v>
      </c>
      <c r="P45" s="50">
        <f>_xlfn.XLOOKUP($B32,Decals!$A$3:$A$202,Decals!Y$3:Y$202,0)</f>
        <v>0</v>
      </c>
      <c r="Q45" s="50">
        <f>_xlfn.XLOOKUP($B32,Decals!$A$3:$A$202,Decals!Z$3:Z$202,0)</f>
        <v>0</v>
      </c>
      <c r="R45" s="50">
        <f>_xlfn.XLOOKUP($B32,Decals!$A$3:$A$202,Decals!AA$3:AA$202,0)</f>
        <v>0</v>
      </c>
      <c r="S45" s="50">
        <f>_xlfn.XLOOKUP($B32,Decals!$A$3:$A$202,Decals!AB$3:AB$202,0)</f>
        <v>0</v>
      </c>
      <c r="T45" s="50">
        <f>_xlfn.XLOOKUP($B32,Decals!$A$3:$A$202,Decals!AC$3:AC$202,0)</f>
        <v>0</v>
      </c>
      <c r="U45" s="181" t="str">
        <f t="shared" si="0"/>
        <v>YES</v>
      </c>
      <c r="V45" s="181"/>
      <c r="W45" s="181" t="str">
        <f t="shared" si="1"/>
        <v>YES</v>
      </c>
      <c r="X45" s="181"/>
    </row>
    <row r="46" spans="1:52" ht="15.75" thickBot="1">
      <c r="B46" s="203">
        <f t="shared" si="2"/>
        <v>0</v>
      </c>
      <c r="C46" s="203"/>
      <c r="D46" s="203"/>
      <c r="E46" s="50">
        <f>_xlfn.XLOOKUP($B33,Decals!$A$3:$A$202,Decals!N$3:N$202,0)</f>
        <v>0</v>
      </c>
      <c r="F46" s="50">
        <f>_xlfn.XLOOKUP($B33,Decals!$A$3:$A$202,Decals!O$3:O$202,0)</f>
        <v>0</v>
      </c>
      <c r="G46" s="50">
        <f>_xlfn.XLOOKUP($B33,Decals!$A$3:$A$202,Decals!P$3:P$202,0)</f>
        <v>0</v>
      </c>
      <c r="H46" s="50">
        <f>_xlfn.XLOOKUP($B33,Decals!$A$3:$A$202,Decals!Q$3:Q$202,0)</f>
        <v>0</v>
      </c>
      <c r="I46" s="50">
        <f>_xlfn.XLOOKUP($B33,Decals!$A$3:$A$202,Decals!R$3:R$202,0)</f>
        <v>0</v>
      </c>
      <c r="J46" s="50">
        <f>_xlfn.XLOOKUP($B33,Decals!$A$3:$A$202,Decals!S$3:S$202,0)</f>
        <v>0</v>
      </c>
      <c r="K46" s="50">
        <f>_xlfn.XLOOKUP($B33,Decals!$A$3:$A$202,Decals!T$3:T$202,0)</f>
        <v>0</v>
      </c>
      <c r="L46" s="50">
        <f>_xlfn.XLOOKUP($B33,Decals!$A$3:$A$202,Decals!U$3:U$202,0)</f>
        <v>0</v>
      </c>
      <c r="M46" s="50">
        <f>_xlfn.XLOOKUP($B33,Decals!$A$3:$A$202,Decals!V$3:V$202,0)</f>
        <v>0</v>
      </c>
      <c r="N46" s="50">
        <f>_xlfn.XLOOKUP($B33,Decals!$A$3:$A$202,Decals!W$3:W$202,0)</f>
        <v>0</v>
      </c>
      <c r="O46" s="50">
        <f>_xlfn.XLOOKUP($B33,Decals!$A$3:$A$202,Decals!X$3:X$202,0)</f>
        <v>0</v>
      </c>
      <c r="P46" s="50">
        <f>_xlfn.XLOOKUP($B33,Decals!$A$3:$A$202,Decals!Y$3:Y$202,0)</f>
        <v>0</v>
      </c>
      <c r="Q46" s="50">
        <f>_xlfn.XLOOKUP($B33,Decals!$A$3:$A$202,Decals!Z$3:Z$202,0)</f>
        <v>0</v>
      </c>
      <c r="R46" s="50">
        <f>_xlfn.XLOOKUP($B33,Decals!$A$3:$A$202,Decals!AA$3:AA$202,0)</f>
        <v>0</v>
      </c>
      <c r="S46" s="50">
        <f>_xlfn.XLOOKUP($B33,Decals!$A$3:$A$202,Decals!AB$3:AB$202,0)</f>
        <v>0</v>
      </c>
      <c r="T46" s="50">
        <f>_xlfn.XLOOKUP($B33,Decals!$A$3:$A$202,Decals!AC$3:AC$202,0)</f>
        <v>0</v>
      </c>
      <c r="U46" s="181" t="str">
        <f t="shared" si="0"/>
        <v>YES</v>
      </c>
      <c r="V46" s="181"/>
      <c r="W46" s="181" t="str">
        <f t="shared" si="1"/>
        <v>YES</v>
      </c>
      <c r="X46" s="181"/>
    </row>
    <row r="47" spans="1:52" ht="15.75" thickBot="1">
      <c r="B47" s="203">
        <f t="shared" si="2"/>
        <v>0</v>
      </c>
      <c r="C47" s="203"/>
      <c r="D47" s="203"/>
      <c r="E47" s="50">
        <f>_xlfn.XLOOKUP($B34,Decals!$A$3:$A$202,Decals!N$3:N$202,0)</f>
        <v>0</v>
      </c>
      <c r="F47" s="50">
        <f>_xlfn.XLOOKUP($B34,Decals!$A$3:$A$202,Decals!O$3:O$202,0)</f>
        <v>0</v>
      </c>
      <c r="G47" s="50">
        <f>_xlfn.XLOOKUP($B34,Decals!$A$3:$A$202,Decals!P$3:P$202,0)</f>
        <v>0</v>
      </c>
      <c r="H47" s="50">
        <f>_xlfn.XLOOKUP($B34,Decals!$A$3:$A$202,Decals!Q$3:Q$202,0)</f>
        <v>0</v>
      </c>
      <c r="I47" s="50">
        <f>_xlfn.XLOOKUP($B34,Decals!$A$3:$A$202,Decals!R$3:R$202,0)</f>
        <v>0</v>
      </c>
      <c r="J47" s="50">
        <f>_xlfn.XLOOKUP($B34,Decals!$A$3:$A$202,Decals!S$3:S$202,0)</f>
        <v>0</v>
      </c>
      <c r="K47" s="50">
        <f>_xlfn.XLOOKUP($B34,Decals!$A$3:$A$202,Decals!T$3:T$202,0)</f>
        <v>0</v>
      </c>
      <c r="L47" s="50">
        <f>_xlfn.XLOOKUP($B34,Decals!$A$3:$A$202,Decals!U$3:U$202,0)</f>
        <v>0</v>
      </c>
      <c r="M47" s="50">
        <f>_xlfn.XLOOKUP($B34,Decals!$A$3:$A$202,Decals!V$3:V$202,0)</f>
        <v>0</v>
      </c>
      <c r="N47" s="50">
        <f>_xlfn.XLOOKUP($B34,Decals!$A$3:$A$202,Decals!W$3:W$202,0)</f>
        <v>0</v>
      </c>
      <c r="O47" s="50">
        <f>_xlfn.XLOOKUP($B34,Decals!$A$3:$A$202,Decals!X$3:X$202,0)</f>
        <v>0</v>
      </c>
      <c r="P47" s="50">
        <f>_xlfn.XLOOKUP($B34,Decals!$A$3:$A$202,Decals!Y$3:Y$202,0)</f>
        <v>0</v>
      </c>
      <c r="Q47" s="50">
        <f>_xlfn.XLOOKUP($B34,Decals!$A$3:$A$202,Decals!Z$3:Z$202,0)</f>
        <v>0</v>
      </c>
      <c r="R47" s="50">
        <f>_xlfn.XLOOKUP($B34,Decals!$A$3:$A$202,Decals!AA$3:AA$202,0)</f>
        <v>0</v>
      </c>
      <c r="S47" s="50">
        <f>_xlfn.XLOOKUP($B34,Decals!$A$3:$A$202,Decals!AB$3:AB$202,0)</f>
        <v>0</v>
      </c>
      <c r="T47" s="50">
        <f>_xlfn.XLOOKUP($B34,Decals!$A$3:$A$202,Decals!AC$3:AC$202,0)</f>
        <v>0</v>
      </c>
      <c r="U47" s="181" t="str">
        <f t="shared" si="0"/>
        <v>YES</v>
      </c>
      <c r="V47" s="181"/>
      <c r="W47" s="181" t="str">
        <f t="shared" si="1"/>
        <v>YES</v>
      </c>
      <c r="X47" s="181"/>
    </row>
    <row r="48" spans="1:52" ht="15.75" thickBot="1">
      <c r="B48" s="203">
        <f t="shared" si="2"/>
        <v>0</v>
      </c>
      <c r="C48" s="203"/>
      <c r="D48" s="203"/>
      <c r="E48" s="50">
        <f>_xlfn.XLOOKUP($B35,Decals!$A$3:$A$202,Decals!N$3:N$202,0)</f>
        <v>0</v>
      </c>
      <c r="F48" s="50">
        <f>_xlfn.XLOOKUP($B35,Decals!$A$3:$A$202,Decals!O$3:O$202,0)</f>
        <v>0</v>
      </c>
      <c r="G48" s="50">
        <f>_xlfn.XLOOKUP($B35,Decals!$A$3:$A$202,Decals!P$3:P$202,0)</f>
        <v>0</v>
      </c>
      <c r="H48" s="50">
        <f>_xlfn.XLOOKUP($B35,Decals!$A$3:$A$202,Decals!Q$3:Q$202,0)</f>
        <v>0</v>
      </c>
      <c r="I48" s="50">
        <f>_xlfn.XLOOKUP($B35,Decals!$A$3:$A$202,Decals!R$3:R$202,0)</f>
        <v>0</v>
      </c>
      <c r="J48" s="50">
        <f>_xlfn.XLOOKUP($B35,Decals!$A$3:$A$202,Decals!S$3:S$202,0)</f>
        <v>0</v>
      </c>
      <c r="K48" s="50">
        <f>_xlfn.XLOOKUP($B35,Decals!$A$3:$A$202,Decals!T$3:T$202,0)</f>
        <v>0</v>
      </c>
      <c r="L48" s="50">
        <f>_xlfn.XLOOKUP($B35,Decals!$A$3:$A$202,Decals!U$3:U$202,0)</f>
        <v>0</v>
      </c>
      <c r="M48" s="50">
        <f>_xlfn.XLOOKUP($B35,Decals!$A$3:$A$202,Decals!V$3:V$202,0)</f>
        <v>0</v>
      </c>
      <c r="N48" s="50">
        <f>_xlfn.XLOOKUP($B35,Decals!$A$3:$A$202,Decals!W$3:W$202,0)</f>
        <v>0</v>
      </c>
      <c r="O48" s="50">
        <f>_xlfn.XLOOKUP($B35,Decals!$A$3:$A$202,Decals!X$3:X$202,0)</f>
        <v>0</v>
      </c>
      <c r="P48" s="50">
        <f>_xlfn.XLOOKUP($B35,Decals!$A$3:$A$202,Decals!Y$3:Y$202,0)</f>
        <v>0</v>
      </c>
      <c r="Q48" s="50">
        <f>_xlfn.XLOOKUP($B35,Decals!$A$3:$A$202,Decals!Z$3:Z$202,0)</f>
        <v>0</v>
      </c>
      <c r="R48" s="50">
        <f>_xlfn.XLOOKUP($B35,Decals!$A$3:$A$202,Decals!AA$3:AA$202,0)</f>
        <v>0</v>
      </c>
      <c r="S48" s="50">
        <f>_xlfn.XLOOKUP($B35,Decals!$A$3:$A$202,Decals!AB$3:AB$202,0)</f>
        <v>0</v>
      </c>
      <c r="T48" s="50">
        <f>_xlfn.XLOOKUP($B35,Decals!$A$3:$A$202,Decals!AC$3:AC$202,0)</f>
        <v>0</v>
      </c>
      <c r="U48" s="181" t="str">
        <f t="shared" si="0"/>
        <v>YES</v>
      </c>
      <c r="V48" s="181"/>
      <c r="W48" s="181" t="str">
        <f t="shared" si="1"/>
        <v>YES</v>
      </c>
      <c r="X48" s="181"/>
    </row>
    <row r="49" spans="2:24" ht="15.75" thickBot="1">
      <c r="B49" s="203">
        <f t="shared" si="2"/>
        <v>0</v>
      </c>
      <c r="C49" s="203"/>
      <c r="D49" s="203"/>
      <c r="E49" s="50">
        <f>_xlfn.XLOOKUP($B36,Decals!$A$3:$A$202,Decals!N$3:N$202,0)</f>
        <v>0</v>
      </c>
      <c r="F49" s="50">
        <f>_xlfn.XLOOKUP($B36,Decals!$A$3:$A$202,Decals!O$3:O$202,0)</f>
        <v>0</v>
      </c>
      <c r="G49" s="50">
        <f>_xlfn.XLOOKUP($B36,Decals!$A$3:$A$202,Decals!P$3:P$202,0)</f>
        <v>0</v>
      </c>
      <c r="H49" s="50">
        <f>_xlfn.XLOOKUP($B36,Decals!$A$3:$A$202,Decals!Q$3:Q$202,0)</f>
        <v>0</v>
      </c>
      <c r="I49" s="50">
        <f>_xlfn.XLOOKUP($B36,Decals!$A$3:$A$202,Decals!R$3:R$202,0)</f>
        <v>0</v>
      </c>
      <c r="J49" s="50">
        <f>_xlfn.XLOOKUP($B36,Decals!$A$3:$A$202,Decals!S$3:S$202,0)</f>
        <v>0</v>
      </c>
      <c r="K49" s="50">
        <f>_xlfn.XLOOKUP($B36,Decals!$A$3:$A$202,Decals!T$3:T$202,0)</f>
        <v>0</v>
      </c>
      <c r="L49" s="50">
        <f>_xlfn.XLOOKUP($B36,Decals!$A$3:$A$202,Decals!U$3:U$202,0)</f>
        <v>0</v>
      </c>
      <c r="M49" s="50">
        <f>_xlfn.XLOOKUP($B36,Decals!$A$3:$A$202,Decals!V$3:V$202,0)</f>
        <v>0</v>
      </c>
      <c r="N49" s="50">
        <f>_xlfn.XLOOKUP($B36,Decals!$A$3:$A$202,Decals!W$3:W$202,0)</f>
        <v>0</v>
      </c>
      <c r="O49" s="50">
        <f>_xlfn.XLOOKUP($B36,Decals!$A$3:$A$202,Decals!X$3:X$202,0)</f>
        <v>0</v>
      </c>
      <c r="P49" s="50">
        <f>_xlfn.XLOOKUP($B36,Decals!$A$3:$A$202,Decals!Y$3:Y$202,0)</f>
        <v>0</v>
      </c>
      <c r="Q49" s="50">
        <f>_xlfn.XLOOKUP($B36,Decals!$A$3:$A$202,Decals!Z$3:Z$202,0)</f>
        <v>0</v>
      </c>
      <c r="R49" s="50">
        <f>_xlfn.XLOOKUP($B36,Decals!$A$3:$A$202,Decals!AA$3:AA$202,0)</f>
        <v>0</v>
      </c>
      <c r="S49" s="50">
        <f>_xlfn.XLOOKUP($B36,Decals!$A$3:$A$202,Decals!AB$3:AB$202,0)</f>
        <v>0</v>
      </c>
      <c r="T49" s="50">
        <f>_xlfn.XLOOKUP($B36,Decals!$A$3:$A$202,Decals!AC$3:AC$202,0)</f>
        <v>0</v>
      </c>
      <c r="U49" s="181" t="str">
        <f t="shared" si="0"/>
        <v>YES</v>
      </c>
      <c r="V49" s="181"/>
      <c r="W49" s="181" t="str">
        <f t="shared" si="1"/>
        <v>YES</v>
      </c>
      <c r="X49" s="181"/>
    </row>
    <row r="50" spans="2:24" ht="15.75" thickBot="1">
      <c r="C50" s="200" t="s">
        <v>861</v>
      </c>
      <c r="D50" s="200"/>
      <c r="E50" s="114"/>
      <c r="F50" s="108"/>
      <c r="G50" s="109">
        <f>IF($C$18="Slash", SUMIF($U$41:$V$49,"YES",G41:G49), 0)</f>
        <v>0</v>
      </c>
      <c r="H50" s="109">
        <f>IF($C$18="Blunt", SUMIF($U$41:$V$49,"YES",H41:H49), 0)</f>
        <v>0</v>
      </c>
      <c r="I50" s="109">
        <f ca="1">IF($C$18="Piercing", SUMIF($U$41:$V$49,"YES",I41:I49), 0)</f>
        <v>0</v>
      </c>
      <c r="J50" s="109">
        <f>IF($C$19="Fire", SUMIF($U$41:$V$49,"YES",J41:J49), 0)</f>
        <v>0</v>
      </c>
      <c r="K50" s="109">
        <f>IF($C$19="Electric", SUMIF($U$41:$V$49,"YES",K41:K49), 0)</f>
        <v>0</v>
      </c>
      <c r="L50" s="109">
        <f>IF($C$19="Poison", SUMIF($U$41:$V$49,"YES",L41:L49), 0)</f>
        <v>0</v>
      </c>
      <c r="M50" s="109">
        <f t="shared" ref="M50:T50" ca="1" si="3">SUMIF($U$41:$V$49,"YES",M41:M49)</f>
        <v>0</v>
      </c>
      <c r="N50" s="114"/>
      <c r="O50" s="114"/>
      <c r="P50" s="109">
        <f t="shared" ca="1" si="3"/>
        <v>0</v>
      </c>
      <c r="Q50" s="109">
        <f t="shared" ca="1" si="3"/>
        <v>0</v>
      </c>
      <c r="R50" s="109">
        <f t="shared" ca="1" si="3"/>
        <v>0</v>
      </c>
      <c r="S50" s="109">
        <f t="shared" ca="1" si="3"/>
        <v>0</v>
      </c>
      <c r="T50" s="109">
        <f t="shared" ca="1" si="3"/>
        <v>0</v>
      </c>
      <c r="U50" s="78"/>
      <c r="V50" s="78"/>
      <c r="W50" s="78"/>
      <c r="X50" s="78"/>
    </row>
    <row r="51" spans="2:24" ht="15.75" thickBot="1">
      <c r="C51" s="202" t="s">
        <v>862</v>
      </c>
      <c r="D51" s="202"/>
      <c r="E51" s="114"/>
      <c r="F51" s="108"/>
      <c r="G51" s="110">
        <f>IF($L$18="Slash", SUMIF($W$41:$X$49,"YES",G41:G49), 0)</f>
        <v>0</v>
      </c>
      <c r="H51" s="110">
        <f>IF($L$18="Blunt", SUMIF($W$41:$X$49,"YES",H41:H49), 0)</f>
        <v>0</v>
      </c>
      <c r="I51" s="110">
        <f ca="1">IF($L$18="Piercing", SUMIF($W$41:$X$49,"YES",I41:I49), 0)</f>
        <v>0</v>
      </c>
      <c r="J51" s="110">
        <f>IF($L$19="Fire", SUMIF($W$41:$X$49,"YES",J41:J49), 0)</f>
        <v>0</v>
      </c>
      <c r="K51" s="110">
        <f>IF($L$19="Electric", SUMIF($W$41:$X$49,"YES",K41:K49), 0)</f>
        <v>0</v>
      </c>
      <c r="L51" s="110">
        <f>IF($L$19="Poison", SUMIF($W$41:$X$49,"YES",L41:L49), 0)</f>
        <v>0</v>
      </c>
      <c r="M51" s="110">
        <f t="shared" ref="M51:T51" ca="1" si="4">SUMIF($W$41:$X$49,"YES",M41:M49)</f>
        <v>0</v>
      </c>
      <c r="N51" s="114"/>
      <c r="O51" s="114"/>
      <c r="P51" s="110">
        <f t="shared" ca="1" si="4"/>
        <v>0</v>
      </c>
      <c r="Q51" s="110">
        <f t="shared" ca="1" si="4"/>
        <v>0</v>
      </c>
      <c r="R51" s="110">
        <f t="shared" ca="1" si="4"/>
        <v>0</v>
      </c>
      <c r="S51" s="110">
        <f t="shared" ca="1" si="4"/>
        <v>0</v>
      </c>
      <c r="T51" s="110">
        <f t="shared" ca="1" si="4"/>
        <v>0</v>
      </c>
    </row>
    <row r="52" spans="2:24" ht="15.75" thickBot="1">
      <c r="C52" s="115"/>
      <c r="D52" s="115"/>
      <c r="E52" s="93"/>
      <c r="F52" s="113"/>
      <c r="G52" s="116"/>
      <c r="H52" s="116"/>
      <c r="I52" s="116"/>
      <c r="J52" s="116"/>
      <c r="K52" s="116"/>
      <c r="L52" s="116"/>
      <c r="M52" s="116"/>
      <c r="N52" s="109">
        <f>SUM(N41:N49)</f>
        <v>0</v>
      </c>
      <c r="O52" s="109">
        <f>SUM(O41:O49)</f>
        <v>0</v>
      </c>
      <c r="P52" s="116"/>
      <c r="Q52" s="116"/>
      <c r="R52" s="116"/>
      <c r="S52" s="116"/>
      <c r="T52" s="116"/>
    </row>
    <row r="53" spans="2:24">
      <c r="C53" s="115"/>
      <c r="D53" s="115"/>
      <c r="F53" s="125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</row>
    <row r="54" spans="2:24" ht="15.75" thickBot="1"/>
    <row r="55" spans="2:24" ht="15.75" thickBot="1">
      <c r="E55" s="151" t="s">
        <v>856</v>
      </c>
      <c r="F55" s="151"/>
      <c r="G55" s="151"/>
      <c r="H55" s="151"/>
      <c r="I55" s="151"/>
      <c r="J55" s="151"/>
      <c r="K55" s="151"/>
      <c r="L55" s="151"/>
      <c r="M55" s="201" t="s">
        <v>868</v>
      </c>
      <c r="N55" s="201"/>
      <c r="O55" s="201" t="s">
        <v>869</v>
      </c>
      <c r="P55" s="201"/>
      <c r="Q55" s="201" t="s">
        <v>870</v>
      </c>
      <c r="R55" s="201"/>
    </row>
    <row r="56" spans="2:24" ht="15.75" thickBot="1">
      <c r="E56" s="106" t="s">
        <v>792</v>
      </c>
      <c r="F56" s="106" t="s">
        <v>822</v>
      </c>
      <c r="G56" s="106" t="s">
        <v>823</v>
      </c>
      <c r="H56" s="106" t="s">
        <v>824</v>
      </c>
      <c r="I56" s="106" t="s">
        <v>825</v>
      </c>
      <c r="J56" s="106" t="s">
        <v>826</v>
      </c>
      <c r="K56" s="106" t="s">
        <v>827</v>
      </c>
      <c r="L56" s="106" t="s">
        <v>839</v>
      </c>
      <c r="M56" s="201"/>
      <c r="N56" s="201"/>
      <c r="O56" s="201"/>
      <c r="P56" s="201"/>
      <c r="Q56" s="201"/>
      <c r="R56" s="201"/>
    </row>
    <row r="57" spans="2:24" ht="15.75" thickBot="1">
      <c r="B57" s="203">
        <f t="shared" ref="B57:B65" si="5">B41</f>
        <v>0</v>
      </c>
      <c r="C57" s="203"/>
      <c r="D57" s="203"/>
      <c r="E57" s="50">
        <f>_xlfn.XLOOKUP($B28,Decals!$A$3:$A$202,Decals!AD$3:AD$202,0)</f>
        <v>0</v>
      </c>
      <c r="F57" s="50">
        <f>_xlfn.XLOOKUP($B28,Decals!$A$3:$A$202,Decals!AE$3:AE$202,0)</f>
        <v>0</v>
      </c>
      <c r="G57" s="50">
        <f>_xlfn.XLOOKUP($B28,Decals!$A$3:$A$202,Decals!AF$3:AF$202,0)</f>
        <v>0</v>
      </c>
      <c r="H57" s="50">
        <f>_xlfn.XLOOKUP($B28,Decals!$A$3:$A$202,Decals!AG$3:AG$202,0)</f>
        <v>0</v>
      </c>
      <c r="I57" s="50">
        <f>_xlfn.XLOOKUP($B28,Decals!$A$3:$A$202,Decals!AH$3:AH$202,0)</f>
        <v>0</v>
      </c>
      <c r="J57" s="50">
        <f>_xlfn.XLOOKUP($B28,Decals!$A$3:$A$202,Decals!AI$3:AI$202,0)</f>
        <v>0</v>
      </c>
      <c r="K57" s="50">
        <f>_xlfn.XLOOKUP($B28,Decals!$A$3:$A$202,Decals!AJ$3:AJ$202,0)</f>
        <v>0</v>
      </c>
      <c r="L57" s="50">
        <f>_xlfn.XLOOKUP($B28,Decals!$A$3:$A$202,Decals!AK$3:AK$202,0)</f>
        <v>0</v>
      </c>
      <c r="M57" s="181" t="str">
        <f t="shared" ref="M57:M65" si="6">_xlfn.LET(
  _xlpm.full_set, OR(H28=0, AND(H28=$C$9,H28=$K$9,H28=$S$9)),
  _xlpm.full_fac, OR(J28=0, AND(I28=$G$9,I28=$O$9,I28=$W$9)),
  _xlpm.fac, OR(L28=0, L28=$G$9),
  IF( AND(_xlpm.full_set=TRUE, _xlpm.full_fac=TRUE, _xlpm.fac=TRUE), "YES", "NO")
)</f>
        <v>YES</v>
      </c>
      <c r="N57" s="181"/>
      <c r="O57" s="181" t="str">
        <f t="shared" ref="O57:O65" si="7">_xlfn.LET(
  _xlpm.full_set, OR(H28=0, AND(H28=$C$9,H28=$K$9,H28=$S$9)),
  _xlpm.full_fac, OR(J28=0, AND(I28=$G$9,I28=$O$9,I28=$W$9)),
  _xlpm.fac, OR(L28=0, L28=$O$9),
  IF( AND(_xlpm.full_set=TRUE, _xlpm.full_fac=TRUE, _xlpm.fac=TRUE), "YES", "NO")
)</f>
        <v>YES</v>
      </c>
      <c r="P57" s="181"/>
      <c r="Q57" s="181" t="str">
        <f t="shared" ref="Q57:Q65" si="8">_xlfn.LET(
  _xlpm.full_set, OR(H28=0, AND(H28=$C$9,H28=$K$9,H28=$S$9)),
  _xlpm.full_fac, OR(J28=0, AND(I28=$G$9,I28=$O$9,I28=$W$9)),
  _xlpm.fac, OR(L28=0, L28=$W$9),
  IF( AND(_xlpm.full_set=TRUE, _xlpm.full_fac=TRUE, _xlpm.fac=TRUE), "YES", "NO")
)</f>
        <v>YES</v>
      </c>
      <c r="R57" s="181"/>
    </row>
    <row r="58" spans="2:24" ht="15.75" thickBot="1">
      <c r="B58" s="203">
        <f t="shared" si="5"/>
        <v>0</v>
      </c>
      <c r="C58" s="203"/>
      <c r="D58" s="203"/>
      <c r="E58" s="50">
        <f>_xlfn.XLOOKUP($B29,Decals!$A$3:$A$202,Decals!AD$3:AD$202,0)</f>
        <v>0</v>
      </c>
      <c r="F58" s="50">
        <f>_xlfn.XLOOKUP($B29,Decals!$A$3:$A$202,Decals!AE$3:AE$202,0)</f>
        <v>0</v>
      </c>
      <c r="G58" s="50">
        <f>_xlfn.XLOOKUP($B29,Decals!$A$3:$A$202,Decals!AF$3:AF$202,0)</f>
        <v>0</v>
      </c>
      <c r="H58" s="50">
        <f>_xlfn.XLOOKUP($B29,Decals!$A$3:$A$202,Decals!AG$3:AG$202,0)</f>
        <v>0</v>
      </c>
      <c r="I58" s="50">
        <f>_xlfn.XLOOKUP($B29,Decals!$A$3:$A$202,Decals!AH$3:AH$202,0)</f>
        <v>0</v>
      </c>
      <c r="J58" s="50">
        <f>_xlfn.XLOOKUP($B29,Decals!$A$3:$A$202,Decals!AI$3:AI$202,0)</f>
        <v>0</v>
      </c>
      <c r="K58" s="50">
        <f>_xlfn.XLOOKUP($B29,Decals!$A$3:$A$202,Decals!AJ$3:AJ$202,0)</f>
        <v>0</v>
      </c>
      <c r="L58" s="50">
        <f>_xlfn.XLOOKUP($B29,Decals!$A$3:$A$202,Decals!AK$3:AK$202,0)</f>
        <v>0</v>
      </c>
      <c r="M58" s="181" t="str">
        <f t="shared" si="6"/>
        <v>YES</v>
      </c>
      <c r="N58" s="181"/>
      <c r="O58" s="181" t="str">
        <f t="shared" si="7"/>
        <v>YES</v>
      </c>
      <c r="P58" s="181"/>
      <c r="Q58" s="181" t="str">
        <f t="shared" si="8"/>
        <v>YES</v>
      </c>
      <c r="R58" s="181"/>
    </row>
    <row r="59" spans="2:24" ht="15.75" thickBot="1">
      <c r="B59" s="203">
        <f t="shared" si="5"/>
        <v>0</v>
      </c>
      <c r="C59" s="203"/>
      <c r="D59" s="203"/>
      <c r="E59" s="50">
        <f>_xlfn.XLOOKUP($B30,Decals!$A$3:$A$202,Decals!AD$3:AD$202,0)</f>
        <v>0</v>
      </c>
      <c r="F59" s="50">
        <f>_xlfn.XLOOKUP($B30,Decals!$A$3:$A$202,Decals!AE$3:AE$202,0)</f>
        <v>0</v>
      </c>
      <c r="G59" s="50">
        <f>_xlfn.XLOOKUP($B30,Decals!$A$3:$A$202,Decals!AF$3:AF$202,0)</f>
        <v>0</v>
      </c>
      <c r="H59" s="50">
        <f>_xlfn.XLOOKUP($B30,Decals!$A$3:$A$202,Decals!AG$3:AG$202,0)</f>
        <v>0</v>
      </c>
      <c r="I59" s="50">
        <f>_xlfn.XLOOKUP($B30,Decals!$A$3:$A$202,Decals!AH$3:AH$202,0)</f>
        <v>0</v>
      </c>
      <c r="J59" s="50">
        <f>_xlfn.XLOOKUP($B30,Decals!$A$3:$A$202,Decals!AI$3:AI$202,0)</f>
        <v>0</v>
      </c>
      <c r="K59" s="50">
        <f>_xlfn.XLOOKUP($B30,Decals!$A$3:$A$202,Decals!AJ$3:AJ$202,0)</f>
        <v>0</v>
      </c>
      <c r="L59" s="50">
        <f>_xlfn.XLOOKUP($B30,Decals!$A$3:$A$202,Decals!AK$3:AK$202,0)</f>
        <v>0</v>
      </c>
      <c r="M59" s="181" t="str">
        <f t="shared" si="6"/>
        <v>YES</v>
      </c>
      <c r="N59" s="181"/>
      <c r="O59" s="181" t="str">
        <f t="shared" si="7"/>
        <v>YES</v>
      </c>
      <c r="P59" s="181"/>
      <c r="Q59" s="181" t="str">
        <f t="shared" si="8"/>
        <v>YES</v>
      </c>
      <c r="R59" s="181"/>
    </row>
    <row r="60" spans="2:24" ht="15.75" thickBot="1">
      <c r="B60" s="203">
        <f t="shared" si="5"/>
        <v>0</v>
      </c>
      <c r="C60" s="203"/>
      <c r="D60" s="203"/>
      <c r="E60" s="50">
        <f>_xlfn.XLOOKUP($B31,Decals!$A$3:$A$202,Decals!AD$3:AD$202,0)</f>
        <v>0</v>
      </c>
      <c r="F60" s="50">
        <f>_xlfn.XLOOKUP($B31,Decals!$A$3:$A$202,Decals!AE$3:AE$202,0)</f>
        <v>0</v>
      </c>
      <c r="G60" s="50">
        <f>_xlfn.XLOOKUP($B31,Decals!$A$3:$A$202,Decals!AF$3:AF$202,0)</f>
        <v>0</v>
      </c>
      <c r="H60" s="50">
        <f>_xlfn.XLOOKUP($B31,Decals!$A$3:$A$202,Decals!AG$3:AG$202,0)</f>
        <v>0</v>
      </c>
      <c r="I60" s="50">
        <f>_xlfn.XLOOKUP($B31,Decals!$A$3:$A$202,Decals!AH$3:AH$202,0)</f>
        <v>0</v>
      </c>
      <c r="J60" s="50">
        <f>_xlfn.XLOOKUP($B31,Decals!$A$3:$A$202,Decals!AI$3:AI$202,0)</f>
        <v>0</v>
      </c>
      <c r="K60" s="50">
        <f>_xlfn.XLOOKUP($B31,Decals!$A$3:$A$202,Decals!AJ$3:AJ$202,0)</f>
        <v>0</v>
      </c>
      <c r="L60" s="50">
        <f>_xlfn.XLOOKUP($B31,Decals!$A$3:$A$202,Decals!AK$3:AK$202,0)</f>
        <v>0</v>
      </c>
      <c r="M60" s="181" t="str">
        <f t="shared" si="6"/>
        <v>YES</v>
      </c>
      <c r="N60" s="181"/>
      <c r="O60" s="181" t="str">
        <f t="shared" si="7"/>
        <v>YES</v>
      </c>
      <c r="P60" s="181"/>
      <c r="Q60" s="181" t="str">
        <f t="shared" si="8"/>
        <v>YES</v>
      </c>
      <c r="R60" s="181"/>
    </row>
    <row r="61" spans="2:24" ht="15.75" thickBot="1">
      <c r="B61" s="203">
        <f t="shared" si="5"/>
        <v>0</v>
      </c>
      <c r="C61" s="203"/>
      <c r="D61" s="203"/>
      <c r="E61" s="50">
        <f>_xlfn.XLOOKUP($B32,Decals!$A$3:$A$202,Decals!AD$3:AD$202,0)</f>
        <v>0</v>
      </c>
      <c r="F61" s="50">
        <f>_xlfn.XLOOKUP($B32,Decals!$A$3:$A$202,Decals!AE$3:AE$202,0)</f>
        <v>0</v>
      </c>
      <c r="G61" s="50">
        <f>_xlfn.XLOOKUP($B32,Decals!$A$3:$A$202,Decals!AF$3:AF$202,0)</f>
        <v>0</v>
      </c>
      <c r="H61" s="50">
        <f>_xlfn.XLOOKUP($B32,Decals!$A$3:$A$202,Decals!AG$3:AG$202,0)</f>
        <v>0</v>
      </c>
      <c r="I61" s="50">
        <f>_xlfn.XLOOKUP($B32,Decals!$A$3:$A$202,Decals!AH$3:AH$202,0)</f>
        <v>0</v>
      </c>
      <c r="J61" s="50">
        <f>_xlfn.XLOOKUP($B32,Decals!$A$3:$A$202,Decals!AI$3:AI$202,0)</f>
        <v>0</v>
      </c>
      <c r="K61" s="50">
        <f>_xlfn.XLOOKUP($B32,Decals!$A$3:$A$202,Decals!AJ$3:AJ$202,0)</f>
        <v>0</v>
      </c>
      <c r="L61" s="50">
        <f>_xlfn.XLOOKUP($B32,Decals!$A$3:$A$202,Decals!AK$3:AK$202,0)</f>
        <v>0</v>
      </c>
      <c r="M61" s="181" t="str">
        <f t="shared" si="6"/>
        <v>YES</v>
      </c>
      <c r="N61" s="181"/>
      <c r="O61" s="181" t="str">
        <f t="shared" si="7"/>
        <v>YES</v>
      </c>
      <c r="P61" s="181"/>
      <c r="Q61" s="181" t="str">
        <f t="shared" si="8"/>
        <v>YES</v>
      </c>
      <c r="R61" s="181"/>
    </row>
    <row r="62" spans="2:24" ht="15.75" thickBot="1">
      <c r="B62" s="203">
        <f t="shared" si="5"/>
        <v>0</v>
      </c>
      <c r="C62" s="203"/>
      <c r="D62" s="203"/>
      <c r="E62" s="50">
        <f>_xlfn.XLOOKUP($B33,Decals!$A$3:$A$202,Decals!AD$3:AD$202,0)</f>
        <v>0</v>
      </c>
      <c r="F62" s="50">
        <f>_xlfn.XLOOKUP($B33,Decals!$A$3:$A$202,Decals!AE$3:AE$202,0)</f>
        <v>0</v>
      </c>
      <c r="G62" s="50">
        <f>_xlfn.XLOOKUP($B33,Decals!$A$3:$A$202,Decals!AF$3:AF$202,0)</f>
        <v>0</v>
      </c>
      <c r="H62" s="50">
        <f>_xlfn.XLOOKUP($B33,Decals!$A$3:$A$202,Decals!AG$3:AG$202,0)</f>
        <v>0</v>
      </c>
      <c r="I62" s="50">
        <f>_xlfn.XLOOKUP($B33,Decals!$A$3:$A$202,Decals!AH$3:AH$202,0)</f>
        <v>0</v>
      </c>
      <c r="J62" s="50">
        <f>_xlfn.XLOOKUP($B33,Decals!$A$3:$A$202,Decals!AI$3:AI$202,0)</f>
        <v>0</v>
      </c>
      <c r="K62" s="50">
        <f>_xlfn.XLOOKUP($B33,Decals!$A$3:$A$202,Decals!AJ$3:AJ$202,0)</f>
        <v>0</v>
      </c>
      <c r="L62" s="50">
        <f>_xlfn.XLOOKUP($B33,Decals!$A$3:$A$202,Decals!AK$3:AK$202,0)</f>
        <v>0</v>
      </c>
      <c r="M62" s="181" t="str">
        <f t="shared" si="6"/>
        <v>YES</v>
      </c>
      <c r="N62" s="181"/>
      <c r="O62" s="181" t="str">
        <f t="shared" si="7"/>
        <v>YES</v>
      </c>
      <c r="P62" s="181"/>
      <c r="Q62" s="181" t="str">
        <f t="shared" si="8"/>
        <v>YES</v>
      </c>
      <c r="R62" s="181"/>
    </row>
    <row r="63" spans="2:24" ht="15.75" thickBot="1">
      <c r="B63" s="203">
        <f t="shared" si="5"/>
        <v>0</v>
      </c>
      <c r="C63" s="203"/>
      <c r="D63" s="203"/>
      <c r="E63" s="50">
        <f>_xlfn.XLOOKUP($B34,Decals!$A$3:$A$202,Decals!AD$3:AD$202,0)</f>
        <v>0</v>
      </c>
      <c r="F63" s="50">
        <f>_xlfn.XLOOKUP($B34,Decals!$A$3:$A$202,Decals!AE$3:AE$202,0)</f>
        <v>0</v>
      </c>
      <c r="G63" s="50">
        <f>_xlfn.XLOOKUP($B34,Decals!$A$3:$A$202,Decals!AF$3:AF$202,0)</f>
        <v>0</v>
      </c>
      <c r="H63" s="50">
        <f>_xlfn.XLOOKUP($B34,Decals!$A$3:$A$202,Decals!AG$3:AG$202,0)</f>
        <v>0</v>
      </c>
      <c r="I63" s="50">
        <f>_xlfn.XLOOKUP($B34,Decals!$A$3:$A$202,Decals!AH$3:AH$202,0)</f>
        <v>0</v>
      </c>
      <c r="J63" s="50">
        <f>_xlfn.XLOOKUP($B34,Decals!$A$3:$A$202,Decals!AI$3:AI$202,0)</f>
        <v>0</v>
      </c>
      <c r="K63" s="50">
        <f>_xlfn.XLOOKUP($B34,Decals!$A$3:$A$202,Decals!AJ$3:AJ$202,0)</f>
        <v>0</v>
      </c>
      <c r="L63" s="50">
        <f>_xlfn.XLOOKUP($B34,Decals!$A$3:$A$202,Decals!AK$3:AK$202,0)</f>
        <v>0</v>
      </c>
      <c r="M63" s="181" t="str">
        <f t="shared" si="6"/>
        <v>YES</v>
      </c>
      <c r="N63" s="181"/>
      <c r="O63" s="181" t="str">
        <f t="shared" si="7"/>
        <v>YES</v>
      </c>
      <c r="P63" s="181"/>
      <c r="Q63" s="181" t="str">
        <f t="shared" si="8"/>
        <v>YES</v>
      </c>
      <c r="R63" s="181"/>
    </row>
    <row r="64" spans="2:24" ht="15.75" thickBot="1">
      <c r="B64" s="203">
        <f t="shared" si="5"/>
        <v>0</v>
      </c>
      <c r="C64" s="203"/>
      <c r="D64" s="203"/>
      <c r="E64" s="50">
        <f>_xlfn.XLOOKUP($B35,Decals!$A$3:$A$202,Decals!AD$3:AD$202,0)</f>
        <v>0</v>
      </c>
      <c r="F64" s="50">
        <f>_xlfn.XLOOKUP($B35,Decals!$A$3:$A$202,Decals!AE$3:AE$202,0)</f>
        <v>0</v>
      </c>
      <c r="G64" s="50">
        <f>_xlfn.XLOOKUP($B35,Decals!$A$3:$A$202,Decals!AF$3:AF$202,0)</f>
        <v>0</v>
      </c>
      <c r="H64" s="50">
        <f>_xlfn.XLOOKUP($B35,Decals!$A$3:$A$202,Decals!AG$3:AG$202,0)</f>
        <v>0</v>
      </c>
      <c r="I64" s="50">
        <f>_xlfn.XLOOKUP($B35,Decals!$A$3:$A$202,Decals!AH$3:AH$202,0)</f>
        <v>0</v>
      </c>
      <c r="J64" s="50">
        <f>_xlfn.XLOOKUP($B35,Decals!$A$3:$A$202,Decals!AI$3:AI$202,0)</f>
        <v>0</v>
      </c>
      <c r="K64" s="50">
        <f>_xlfn.XLOOKUP($B35,Decals!$A$3:$A$202,Decals!AJ$3:AJ$202,0)</f>
        <v>0</v>
      </c>
      <c r="L64" s="50">
        <f>_xlfn.XLOOKUP($B35,Decals!$A$3:$A$202,Decals!AK$3:AK$202,0)</f>
        <v>0</v>
      </c>
      <c r="M64" s="181" t="str">
        <f t="shared" si="6"/>
        <v>YES</v>
      </c>
      <c r="N64" s="181"/>
      <c r="O64" s="181" t="str">
        <f t="shared" si="7"/>
        <v>YES</v>
      </c>
      <c r="P64" s="181"/>
      <c r="Q64" s="181" t="str">
        <f t="shared" si="8"/>
        <v>YES</v>
      </c>
      <c r="R64" s="181"/>
    </row>
    <row r="65" spans="2:18" ht="15.75" thickBot="1">
      <c r="B65" s="203">
        <f t="shared" si="5"/>
        <v>0</v>
      </c>
      <c r="C65" s="203"/>
      <c r="D65" s="203"/>
      <c r="E65" s="50">
        <f>_xlfn.XLOOKUP($B36,Decals!$A$3:$A$202,Decals!AD$3:AD$202,0)</f>
        <v>0</v>
      </c>
      <c r="F65" s="50">
        <f>_xlfn.XLOOKUP($B36,Decals!$A$3:$A$202,Decals!AE$3:AE$202,0)</f>
        <v>0</v>
      </c>
      <c r="G65" s="50">
        <f>_xlfn.XLOOKUP($B36,Decals!$A$3:$A$202,Decals!AF$3:AF$202,0)</f>
        <v>0</v>
      </c>
      <c r="H65" s="50">
        <f>_xlfn.XLOOKUP($B36,Decals!$A$3:$A$202,Decals!AG$3:AG$202,0)</f>
        <v>0</v>
      </c>
      <c r="I65" s="50">
        <f>_xlfn.XLOOKUP($B36,Decals!$A$3:$A$202,Decals!AH$3:AH$202,0)</f>
        <v>0</v>
      </c>
      <c r="J65" s="50">
        <f>_xlfn.XLOOKUP($B36,Decals!$A$3:$A$202,Decals!AI$3:AI$202,0)</f>
        <v>0</v>
      </c>
      <c r="K65" s="50">
        <f>_xlfn.XLOOKUP($B36,Decals!$A$3:$A$202,Decals!AJ$3:AJ$202,0)</f>
        <v>0</v>
      </c>
      <c r="L65" s="50">
        <f>_xlfn.XLOOKUP($B36,Decals!$A$3:$A$202,Decals!AK$3:AK$202,0)</f>
        <v>0</v>
      </c>
      <c r="M65" s="181" t="str">
        <f t="shared" si="6"/>
        <v>YES</v>
      </c>
      <c r="N65" s="181"/>
      <c r="O65" s="181" t="str">
        <f t="shared" si="7"/>
        <v>YES</v>
      </c>
      <c r="P65" s="181"/>
      <c r="Q65" s="181" t="str">
        <f t="shared" si="8"/>
        <v>YES</v>
      </c>
      <c r="R65" s="181"/>
    </row>
    <row r="66" spans="2:18" ht="15.75" thickBot="1">
      <c r="C66" s="200" t="s">
        <v>863</v>
      </c>
      <c r="D66" s="200"/>
      <c r="E66" s="118">
        <f ca="1">SUMIF($M$57:$N$65,"YES",E57:E65)</f>
        <v>0</v>
      </c>
      <c r="F66" s="118">
        <f t="shared" ref="F66:L66" ca="1" si="9">SUMIF($M$57:$N$65,"YES",F57:F65)</f>
        <v>0</v>
      </c>
      <c r="G66" s="118">
        <f t="shared" ca="1" si="9"/>
        <v>0</v>
      </c>
      <c r="H66" s="118">
        <f t="shared" ca="1" si="9"/>
        <v>0</v>
      </c>
      <c r="I66" s="118">
        <f t="shared" ca="1" si="9"/>
        <v>0</v>
      </c>
      <c r="J66" s="118">
        <f t="shared" ca="1" si="9"/>
        <v>0</v>
      </c>
      <c r="K66" s="118">
        <f t="shared" ca="1" si="9"/>
        <v>0</v>
      </c>
      <c r="L66" s="118">
        <f t="shared" ca="1" si="9"/>
        <v>0</v>
      </c>
      <c r="M66" s="117"/>
      <c r="N66" s="117"/>
    </row>
    <row r="67" spans="2:18" ht="15.75" thickBot="1">
      <c r="C67" s="198" t="s">
        <v>864</v>
      </c>
      <c r="D67" s="198"/>
      <c r="E67" s="119">
        <f ca="1">SUMIF($O$57:$P$65,"YES",E57:E65)</f>
        <v>0</v>
      </c>
      <c r="F67" s="119">
        <f t="shared" ref="F67:L67" ca="1" si="10">SUMIF($O$57:$P$65,"YES",F57:F65)</f>
        <v>0</v>
      </c>
      <c r="G67" s="119">
        <f t="shared" ca="1" si="10"/>
        <v>0</v>
      </c>
      <c r="H67" s="119">
        <f t="shared" ca="1" si="10"/>
        <v>0</v>
      </c>
      <c r="I67" s="119">
        <f t="shared" ca="1" si="10"/>
        <v>0</v>
      </c>
      <c r="J67" s="119">
        <f t="shared" ca="1" si="10"/>
        <v>0</v>
      </c>
      <c r="K67" s="119">
        <f t="shared" ca="1" si="10"/>
        <v>0</v>
      </c>
      <c r="L67" s="119">
        <f t="shared" ca="1" si="10"/>
        <v>0</v>
      </c>
      <c r="M67" s="117"/>
      <c r="N67" s="117"/>
    </row>
    <row r="68" spans="2:18" ht="15.75" thickBot="1">
      <c r="C68" s="204" t="s">
        <v>865</v>
      </c>
      <c r="D68" s="204"/>
      <c r="E68" s="120">
        <f ca="1">SUMIF($Q$57:$R$65,"YES",E57:E65)</f>
        <v>0</v>
      </c>
      <c r="F68" s="120">
        <f t="shared" ref="F68:L68" ca="1" si="11">SUMIF($Q$57:$R$65,"YES",F57:F65)</f>
        <v>0</v>
      </c>
      <c r="G68" s="120">
        <f t="shared" ca="1" si="11"/>
        <v>0</v>
      </c>
      <c r="H68" s="120">
        <f t="shared" ca="1" si="11"/>
        <v>0</v>
      </c>
      <c r="I68" s="120">
        <f t="shared" ca="1" si="11"/>
        <v>0</v>
      </c>
      <c r="J68" s="120">
        <f t="shared" ca="1" si="11"/>
        <v>0</v>
      </c>
      <c r="K68" s="120">
        <f t="shared" ca="1" si="11"/>
        <v>0</v>
      </c>
      <c r="L68" s="120">
        <f t="shared" ca="1" si="11"/>
        <v>0</v>
      </c>
      <c r="M68" s="117"/>
      <c r="N68" s="117"/>
    </row>
    <row r="70" spans="2:18" ht="15.75" thickBot="1"/>
    <row r="71" spans="2:18" ht="15.75" thickBot="1">
      <c r="E71" s="151" t="s">
        <v>858</v>
      </c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206" t="s">
        <v>867</v>
      </c>
      <c r="R71" s="206"/>
    </row>
    <row r="72" spans="2:18" ht="15.75" thickBot="1">
      <c r="E72" s="106" t="s">
        <v>697</v>
      </c>
      <c r="F72" s="106" t="s">
        <v>698</v>
      </c>
      <c r="G72" s="106" t="s">
        <v>699</v>
      </c>
      <c r="H72" s="106" t="s">
        <v>700</v>
      </c>
      <c r="I72" s="106" t="s">
        <v>701</v>
      </c>
      <c r="J72" s="106" t="s">
        <v>702</v>
      </c>
      <c r="K72" s="106" t="s">
        <v>798</v>
      </c>
      <c r="L72" s="106" t="s">
        <v>799</v>
      </c>
      <c r="M72" s="106" t="s">
        <v>797</v>
      </c>
      <c r="N72" s="106" t="s">
        <v>800</v>
      </c>
      <c r="O72" s="106" t="s">
        <v>801</v>
      </c>
      <c r="P72" s="106" t="s">
        <v>802</v>
      </c>
      <c r="Q72" s="206"/>
      <c r="R72" s="206"/>
    </row>
    <row r="73" spans="2:18" ht="15.75" thickBot="1">
      <c r="B73" s="203">
        <f t="shared" ref="B73:B81" si="12">B57</f>
        <v>0</v>
      </c>
      <c r="C73" s="203"/>
      <c r="D73" s="203"/>
      <c r="E73" s="50">
        <f>_xlfn.XLOOKUP($B28,Decals!$A$3:$A$202,Decals!AL$3:AL$202,0)</f>
        <v>0</v>
      </c>
      <c r="F73" s="50">
        <f>_xlfn.XLOOKUP($B28,Decals!$A$3:$A$202,Decals!AM$3:AM$202,0)</f>
        <v>0</v>
      </c>
      <c r="G73" s="50">
        <f>_xlfn.XLOOKUP($B28,Decals!$A$3:$A$202,Decals!AN$3:AN$202,0)</f>
        <v>0</v>
      </c>
      <c r="H73" s="50">
        <f>_xlfn.XLOOKUP($B28,Decals!$A$3:$A$202,Decals!AO$3:AO$202,0)</f>
        <v>0</v>
      </c>
      <c r="I73" s="50">
        <f>_xlfn.XLOOKUP($B28,Decals!$A$3:$A$202,Decals!AP$3:AP$202,0)</f>
        <v>0</v>
      </c>
      <c r="J73" s="50">
        <f>_xlfn.XLOOKUP($B28,Decals!$A$3:$A$202,Decals!AQ$3:AQ$202,0)</f>
        <v>0</v>
      </c>
      <c r="K73" s="50">
        <f>_xlfn.XLOOKUP($B28,Decals!$A$3:$A$202,Decals!AR$3:AR$202,0)</f>
        <v>0</v>
      </c>
      <c r="L73" s="50">
        <f>_xlfn.XLOOKUP($B28,Decals!$A$3:$A$202,Decals!AS$3:AS$202,0)</f>
        <v>0</v>
      </c>
      <c r="M73" s="50">
        <f>_xlfn.XLOOKUP($B28,Decals!$A$3:$A$202,Decals!AT$3:AT$202,0)</f>
        <v>0</v>
      </c>
      <c r="N73" s="50">
        <f>_xlfn.XLOOKUP($B28,Decals!$A$3:$A$202,Decals!AU$3:AU$202,0)</f>
        <v>0</v>
      </c>
      <c r="O73" s="50">
        <f>_xlfn.XLOOKUP($B28,Decals!$A$3:$A$202,Decals!AV$3:AV$202,0)</f>
        <v>0</v>
      </c>
      <c r="P73" s="50">
        <f>_xlfn.XLOOKUP($B28,Decals!$A$3:$A$202,Decals!AW$3:AW$202,0)</f>
        <v>0</v>
      </c>
      <c r="Q73" s="181" t="str">
        <f t="shared" ref="Q73:Q81" si="13">_xlfn.LET(
  _xlpm.full_set, OR(H28=0, AND(H28=$C$9,H28=$K$9,H28=$S$9)),
  _xlpm.full_fac, OR(J28=0, AND(I28=$G$9,I28=$O$9,I28=$W$9)),
  _xlpm.fac, OR(L28=0, L28=$G$9),
  IF( AND(_xlpm.full_set=TRUE, _xlpm.full_fac=TRUE, _xlpm.fac=TRUE), "YES", "NO")
)</f>
        <v>YES</v>
      </c>
      <c r="R73" s="181"/>
    </row>
    <row r="74" spans="2:18" ht="15.75" thickBot="1">
      <c r="B74" s="203">
        <f t="shared" si="12"/>
        <v>0</v>
      </c>
      <c r="C74" s="203"/>
      <c r="D74" s="203"/>
      <c r="E74" s="50">
        <f>_xlfn.XLOOKUP($B29,Decals!$A$3:$A$202,Decals!AL$3:AL$202,0)</f>
        <v>0</v>
      </c>
      <c r="F74" s="50">
        <f>_xlfn.XLOOKUP($B29,Decals!$A$3:$A$202,Decals!AM$3:AM$202,0)</f>
        <v>0</v>
      </c>
      <c r="G74" s="50">
        <f>_xlfn.XLOOKUP($B29,Decals!$A$3:$A$202,Decals!AN$3:AN$202,0)</f>
        <v>0</v>
      </c>
      <c r="H74" s="50">
        <f>_xlfn.XLOOKUP($B29,Decals!$A$3:$A$202,Decals!AO$3:AO$202,0)</f>
        <v>0</v>
      </c>
      <c r="I74" s="50">
        <f>_xlfn.XLOOKUP($B29,Decals!$A$3:$A$202,Decals!AP$3:AP$202,0)</f>
        <v>0</v>
      </c>
      <c r="J74" s="50">
        <f>_xlfn.XLOOKUP($B29,Decals!$A$3:$A$202,Decals!AQ$3:AQ$202,0)</f>
        <v>0</v>
      </c>
      <c r="K74" s="50">
        <f>_xlfn.XLOOKUP($B29,Decals!$A$3:$A$202,Decals!AR$3:AR$202,0)</f>
        <v>0</v>
      </c>
      <c r="L74" s="50">
        <f>_xlfn.XLOOKUP($B29,Decals!$A$3:$A$202,Decals!AS$3:AS$202,0)</f>
        <v>0</v>
      </c>
      <c r="M74" s="50">
        <f>_xlfn.XLOOKUP($B29,Decals!$A$3:$A$202,Decals!AT$3:AT$202,0)</f>
        <v>0</v>
      </c>
      <c r="N74" s="50">
        <f>_xlfn.XLOOKUP($B29,Decals!$A$3:$A$202,Decals!AU$3:AU$202,0)</f>
        <v>0</v>
      </c>
      <c r="O74" s="50">
        <f>_xlfn.XLOOKUP($B29,Decals!$A$3:$A$202,Decals!AV$3:AV$202,0)</f>
        <v>0</v>
      </c>
      <c r="P74" s="50">
        <f>_xlfn.XLOOKUP($B29,Decals!$A$3:$A$202,Decals!AW$3:AW$202,0)</f>
        <v>0</v>
      </c>
      <c r="Q74" s="181" t="str">
        <f t="shared" si="13"/>
        <v>YES</v>
      </c>
      <c r="R74" s="181"/>
    </row>
    <row r="75" spans="2:18" ht="15.75" thickBot="1">
      <c r="B75" s="203">
        <f t="shared" si="12"/>
        <v>0</v>
      </c>
      <c r="C75" s="203"/>
      <c r="D75" s="203"/>
      <c r="E75" s="50">
        <f>_xlfn.XLOOKUP($B30,Decals!$A$3:$A$202,Decals!AL$3:AL$202,0)</f>
        <v>0</v>
      </c>
      <c r="F75" s="50">
        <f>_xlfn.XLOOKUP($B30,Decals!$A$3:$A$202,Decals!AM$3:AM$202,0)</f>
        <v>0</v>
      </c>
      <c r="G75" s="50">
        <f>_xlfn.XLOOKUP($B30,Decals!$A$3:$A$202,Decals!AN$3:AN$202,0)</f>
        <v>0</v>
      </c>
      <c r="H75" s="50">
        <f>_xlfn.XLOOKUP($B30,Decals!$A$3:$A$202,Decals!AO$3:AO$202,0)</f>
        <v>0</v>
      </c>
      <c r="I75" s="50">
        <f>_xlfn.XLOOKUP($B30,Decals!$A$3:$A$202,Decals!AP$3:AP$202,0)</f>
        <v>0</v>
      </c>
      <c r="J75" s="50">
        <f>_xlfn.XLOOKUP($B30,Decals!$A$3:$A$202,Decals!AQ$3:AQ$202,0)</f>
        <v>0</v>
      </c>
      <c r="K75" s="50">
        <f>_xlfn.XLOOKUP($B30,Decals!$A$3:$A$202,Decals!AR$3:AR$202,0)</f>
        <v>0</v>
      </c>
      <c r="L75" s="50">
        <f>_xlfn.XLOOKUP($B30,Decals!$A$3:$A$202,Decals!AS$3:AS$202,0)</f>
        <v>0</v>
      </c>
      <c r="M75" s="50">
        <f>_xlfn.XLOOKUP($B30,Decals!$A$3:$A$202,Decals!AT$3:AT$202,0)</f>
        <v>0</v>
      </c>
      <c r="N75" s="50">
        <f>_xlfn.XLOOKUP($B30,Decals!$A$3:$A$202,Decals!AU$3:AU$202,0)</f>
        <v>0</v>
      </c>
      <c r="O75" s="50">
        <f>_xlfn.XLOOKUP($B30,Decals!$A$3:$A$202,Decals!AV$3:AV$202,0)</f>
        <v>0</v>
      </c>
      <c r="P75" s="50">
        <f>_xlfn.XLOOKUP($B30,Decals!$A$3:$A$202,Decals!AW$3:AW$202,0)</f>
        <v>0</v>
      </c>
      <c r="Q75" s="181" t="str">
        <f t="shared" si="13"/>
        <v>YES</v>
      </c>
      <c r="R75" s="181"/>
    </row>
    <row r="76" spans="2:18" ht="15.75" thickBot="1">
      <c r="B76" s="203">
        <f t="shared" si="12"/>
        <v>0</v>
      </c>
      <c r="C76" s="203"/>
      <c r="D76" s="203"/>
      <c r="E76" s="50">
        <f>_xlfn.XLOOKUP($B31,Decals!$A$3:$A$202,Decals!AL$3:AL$202,0)</f>
        <v>0</v>
      </c>
      <c r="F76" s="50">
        <f>_xlfn.XLOOKUP($B31,Decals!$A$3:$A$202,Decals!AM$3:AM$202,0)</f>
        <v>0</v>
      </c>
      <c r="G76" s="50">
        <f>_xlfn.XLOOKUP($B31,Decals!$A$3:$A$202,Decals!AN$3:AN$202,0)</f>
        <v>0</v>
      </c>
      <c r="H76" s="50">
        <f>_xlfn.XLOOKUP($B31,Decals!$A$3:$A$202,Decals!AO$3:AO$202,0)</f>
        <v>0</v>
      </c>
      <c r="I76" s="50">
        <f>_xlfn.XLOOKUP($B31,Decals!$A$3:$A$202,Decals!AP$3:AP$202,0)</f>
        <v>0</v>
      </c>
      <c r="J76" s="50">
        <f>_xlfn.XLOOKUP($B31,Decals!$A$3:$A$202,Decals!AQ$3:AQ$202,0)</f>
        <v>0</v>
      </c>
      <c r="K76" s="50">
        <f>_xlfn.XLOOKUP($B31,Decals!$A$3:$A$202,Decals!AR$3:AR$202,0)</f>
        <v>0</v>
      </c>
      <c r="L76" s="50">
        <f>_xlfn.XLOOKUP($B31,Decals!$A$3:$A$202,Decals!AS$3:AS$202,0)</f>
        <v>0</v>
      </c>
      <c r="M76" s="50">
        <f>_xlfn.XLOOKUP($B31,Decals!$A$3:$A$202,Decals!AT$3:AT$202,0)</f>
        <v>0</v>
      </c>
      <c r="N76" s="50">
        <f>_xlfn.XLOOKUP($B31,Decals!$A$3:$A$202,Decals!AU$3:AU$202,0)</f>
        <v>0</v>
      </c>
      <c r="O76" s="50">
        <f>_xlfn.XLOOKUP($B31,Decals!$A$3:$A$202,Decals!AV$3:AV$202,0)</f>
        <v>0</v>
      </c>
      <c r="P76" s="50">
        <f>_xlfn.XLOOKUP($B31,Decals!$A$3:$A$202,Decals!AW$3:AW$202,0)</f>
        <v>0</v>
      </c>
      <c r="Q76" s="181" t="str">
        <f t="shared" si="13"/>
        <v>YES</v>
      </c>
      <c r="R76" s="181"/>
    </row>
    <row r="77" spans="2:18" ht="15.75" thickBot="1">
      <c r="B77" s="203">
        <f t="shared" si="12"/>
        <v>0</v>
      </c>
      <c r="C77" s="203"/>
      <c r="D77" s="203"/>
      <c r="E77" s="50">
        <f>_xlfn.XLOOKUP($B32,Decals!$A$3:$A$202,Decals!AL$3:AL$202,0)</f>
        <v>0</v>
      </c>
      <c r="F77" s="50">
        <f>_xlfn.XLOOKUP($B32,Decals!$A$3:$A$202,Decals!AM$3:AM$202,0)</f>
        <v>0</v>
      </c>
      <c r="G77" s="50">
        <f>_xlfn.XLOOKUP($B32,Decals!$A$3:$A$202,Decals!AN$3:AN$202,0)</f>
        <v>0</v>
      </c>
      <c r="H77" s="50">
        <f>_xlfn.XLOOKUP($B32,Decals!$A$3:$A$202,Decals!AO$3:AO$202,0)</f>
        <v>0</v>
      </c>
      <c r="I77" s="50">
        <f>_xlfn.XLOOKUP($B32,Decals!$A$3:$A$202,Decals!AP$3:AP$202,0)</f>
        <v>0</v>
      </c>
      <c r="J77" s="50">
        <f>_xlfn.XLOOKUP($B32,Decals!$A$3:$A$202,Decals!AQ$3:AQ$202,0)</f>
        <v>0</v>
      </c>
      <c r="K77" s="50">
        <f>_xlfn.XLOOKUP($B32,Decals!$A$3:$A$202,Decals!AR$3:AR$202,0)</f>
        <v>0</v>
      </c>
      <c r="L77" s="50">
        <f>_xlfn.XLOOKUP($B32,Decals!$A$3:$A$202,Decals!AS$3:AS$202,0)</f>
        <v>0</v>
      </c>
      <c r="M77" s="50">
        <f>_xlfn.XLOOKUP($B32,Decals!$A$3:$A$202,Decals!AT$3:AT$202,0)</f>
        <v>0</v>
      </c>
      <c r="N77" s="50">
        <f>_xlfn.XLOOKUP($B32,Decals!$A$3:$A$202,Decals!AU$3:AU$202,0)</f>
        <v>0</v>
      </c>
      <c r="O77" s="50">
        <f>_xlfn.XLOOKUP($B32,Decals!$A$3:$A$202,Decals!AV$3:AV$202,0)</f>
        <v>0</v>
      </c>
      <c r="P77" s="50">
        <f>_xlfn.XLOOKUP($B32,Decals!$A$3:$A$202,Decals!AW$3:AW$202,0)</f>
        <v>0</v>
      </c>
      <c r="Q77" s="181" t="str">
        <f t="shared" si="13"/>
        <v>YES</v>
      </c>
      <c r="R77" s="181"/>
    </row>
    <row r="78" spans="2:18" ht="15.75" thickBot="1">
      <c r="B78" s="203">
        <f t="shared" si="12"/>
        <v>0</v>
      </c>
      <c r="C78" s="203"/>
      <c r="D78" s="203"/>
      <c r="E78" s="50">
        <f>_xlfn.XLOOKUP($B33,Decals!$A$3:$A$202,Decals!AL$3:AL$202,0)</f>
        <v>0</v>
      </c>
      <c r="F78" s="50">
        <f>_xlfn.XLOOKUP($B33,Decals!$A$3:$A$202,Decals!AM$3:AM$202,0)</f>
        <v>0</v>
      </c>
      <c r="G78" s="50">
        <f>_xlfn.XLOOKUP($B33,Decals!$A$3:$A$202,Decals!AN$3:AN$202,0)</f>
        <v>0</v>
      </c>
      <c r="H78" s="50">
        <f>_xlfn.XLOOKUP($B33,Decals!$A$3:$A$202,Decals!AO$3:AO$202,0)</f>
        <v>0</v>
      </c>
      <c r="I78" s="50">
        <f>_xlfn.XLOOKUP($B33,Decals!$A$3:$A$202,Decals!AP$3:AP$202,0)</f>
        <v>0</v>
      </c>
      <c r="J78" s="50">
        <f>_xlfn.XLOOKUP($B33,Decals!$A$3:$A$202,Decals!AQ$3:AQ$202,0)</f>
        <v>0</v>
      </c>
      <c r="K78" s="50">
        <f>_xlfn.XLOOKUP($B33,Decals!$A$3:$A$202,Decals!AR$3:AR$202,0)</f>
        <v>0</v>
      </c>
      <c r="L78" s="50">
        <f>_xlfn.XLOOKUP($B33,Decals!$A$3:$A$202,Decals!AS$3:AS$202,0)</f>
        <v>0</v>
      </c>
      <c r="M78" s="50">
        <f>_xlfn.XLOOKUP($B33,Decals!$A$3:$A$202,Decals!AT$3:AT$202,0)</f>
        <v>0</v>
      </c>
      <c r="N78" s="50">
        <f>_xlfn.XLOOKUP($B33,Decals!$A$3:$A$202,Decals!AU$3:AU$202,0)</f>
        <v>0</v>
      </c>
      <c r="O78" s="50">
        <f>_xlfn.XLOOKUP($B33,Decals!$A$3:$A$202,Decals!AV$3:AV$202,0)</f>
        <v>0</v>
      </c>
      <c r="P78" s="50">
        <f>_xlfn.XLOOKUP($B33,Decals!$A$3:$A$202,Decals!AW$3:AW$202,0)</f>
        <v>0</v>
      </c>
      <c r="Q78" s="181" t="str">
        <f t="shared" si="13"/>
        <v>YES</v>
      </c>
      <c r="R78" s="181"/>
    </row>
    <row r="79" spans="2:18" ht="15.75" thickBot="1">
      <c r="B79" s="203">
        <f t="shared" si="12"/>
        <v>0</v>
      </c>
      <c r="C79" s="203"/>
      <c r="D79" s="203"/>
      <c r="E79" s="50">
        <f>_xlfn.XLOOKUP($B34,Decals!$A$3:$A$202,Decals!AL$3:AL$202,0)</f>
        <v>0</v>
      </c>
      <c r="F79" s="50">
        <f>_xlfn.XLOOKUP($B34,Decals!$A$3:$A$202,Decals!AM$3:AM$202,0)</f>
        <v>0</v>
      </c>
      <c r="G79" s="50">
        <f>_xlfn.XLOOKUP($B34,Decals!$A$3:$A$202,Decals!AN$3:AN$202,0)</f>
        <v>0</v>
      </c>
      <c r="H79" s="50">
        <f>_xlfn.XLOOKUP($B34,Decals!$A$3:$A$202,Decals!AO$3:AO$202,0)</f>
        <v>0</v>
      </c>
      <c r="I79" s="50">
        <f>_xlfn.XLOOKUP($B34,Decals!$A$3:$A$202,Decals!AP$3:AP$202,0)</f>
        <v>0</v>
      </c>
      <c r="J79" s="50">
        <f>_xlfn.XLOOKUP($B34,Decals!$A$3:$A$202,Decals!AQ$3:AQ$202,0)</f>
        <v>0</v>
      </c>
      <c r="K79" s="50">
        <f>_xlfn.XLOOKUP($B34,Decals!$A$3:$A$202,Decals!AR$3:AR$202,0)</f>
        <v>0</v>
      </c>
      <c r="L79" s="50">
        <f>_xlfn.XLOOKUP($B34,Decals!$A$3:$A$202,Decals!AS$3:AS$202,0)</f>
        <v>0</v>
      </c>
      <c r="M79" s="50">
        <f>_xlfn.XLOOKUP($B34,Decals!$A$3:$A$202,Decals!AT$3:AT$202,0)</f>
        <v>0</v>
      </c>
      <c r="N79" s="50">
        <f>_xlfn.XLOOKUP($B34,Decals!$A$3:$A$202,Decals!AU$3:AU$202,0)</f>
        <v>0</v>
      </c>
      <c r="O79" s="50">
        <f>_xlfn.XLOOKUP($B34,Decals!$A$3:$A$202,Decals!AV$3:AV$202,0)</f>
        <v>0</v>
      </c>
      <c r="P79" s="50">
        <f>_xlfn.XLOOKUP($B34,Decals!$A$3:$A$202,Decals!AW$3:AW$202,0)</f>
        <v>0</v>
      </c>
      <c r="Q79" s="181" t="str">
        <f t="shared" si="13"/>
        <v>YES</v>
      </c>
      <c r="R79" s="181"/>
    </row>
    <row r="80" spans="2:18" ht="15.75" thickBot="1">
      <c r="B80" s="203">
        <f t="shared" si="12"/>
        <v>0</v>
      </c>
      <c r="C80" s="203"/>
      <c r="D80" s="203"/>
      <c r="E80" s="50">
        <f>_xlfn.XLOOKUP($B35,Decals!$A$3:$A$202,Decals!AL$3:AL$202,0)</f>
        <v>0</v>
      </c>
      <c r="F80" s="50">
        <f>_xlfn.XLOOKUP($B35,Decals!$A$3:$A$202,Decals!AM$3:AM$202,0)</f>
        <v>0</v>
      </c>
      <c r="G80" s="50">
        <f>_xlfn.XLOOKUP($B35,Decals!$A$3:$A$202,Decals!AN$3:AN$202,0)</f>
        <v>0</v>
      </c>
      <c r="H80" s="50">
        <f>_xlfn.XLOOKUP($B35,Decals!$A$3:$A$202,Decals!AO$3:AO$202,0)</f>
        <v>0</v>
      </c>
      <c r="I80" s="50">
        <f>_xlfn.XLOOKUP($B35,Decals!$A$3:$A$202,Decals!AP$3:AP$202,0)</f>
        <v>0</v>
      </c>
      <c r="J80" s="50">
        <f>_xlfn.XLOOKUP($B35,Decals!$A$3:$A$202,Decals!AQ$3:AQ$202,0)</f>
        <v>0</v>
      </c>
      <c r="K80" s="50">
        <f>_xlfn.XLOOKUP($B35,Decals!$A$3:$A$202,Decals!AR$3:AR$202,0)</f>
        <v>0</v>
      </c>
      <c r="L80" s="50">
        <f>_xlfn.XLOOKUP($B35,Decals!$A$3:$A$202,Decals!AS$3:AS$202,0)</f>
        <v>0</v>
      </c>
      <c r="M80" s="50">
        <f>_xlfn.XLOOKUP($B35,Decals!$A$3:$A$202,Decals!AT$3:AT$202,0)</f>
        <v>0</v>
      </c>
      <c r="N80" s="50">
        <f>_xlfn.XLOOKUP($B35,Decals!$A$3:$A$202,Decals!AU$3:AU$202,0)</f>
        <v>0</v>
      </c>
      <c r="O80" s="50">
        <f>_xlfn.XLOOKUP($B35,Decals!$A$3:$A$202,Decals!AV$3:AV$202,0)</f>
        <v>0</v>
      </c>
      <c r="P80" s="50">
        <f>_xlfn.XLOOKUP($B35,Decals!$A$3:$A$202,Decals!AW$3:AW$202,0)</f>
        <v>0</v>
      </c>
      <c r="Q80" s="181" t="str">
        <f t="shared" si="13"/>
        <v>YES</v>
      </c>
      <c r="R80" s="181"/>
    </row>
    <row r="81" spans="2:18" ht="15.75" thickBot="1">
      <c r="B81" s="203">
        <f t="shared" si="12"/>
        <v>0</v>
      </c>
      <c r="C81" s="203"/>
      <c r="D81" s="203"/>
      <c r="E81" s="50">
        <f>_xlfn.XLOOKUP($B36,Decals!$A$3:$A$202,Decals!AL$3:AL$202,0)</f>
        <v>0</v>
      </c>
      <c r="F81" s="50">
        <f>_xlfn.XLOOKUP($B36,Decals!$A$3:$A$202,Decals!AM$3:AM$202,0)</f>
        <v>0</v>
      </c>
      <c r="G81" s="50">
        <f>_xlfn.XLOOKUP($B36,Decals!$A$3:$A$202,Decals!AN$3:AN$202,0)</f>
        <v>0</v>
      </c>
      <c r="H81" s="50">
        <f>_xlfn.XLOOKUP($B36,Decals!$A$3:$A$202,Decals!AO$3:AO$202,0)</f>
        <v>0</v>
      </c>
      <c r="I81" s="50">
        <f>_xlfn.XLOOKUP($B36,Decals!$A$3:$A$202,Decals!AP$3:AP$202,0)</f>
        <v>0</v>
      </c>
      <c r="J81" s="50">
        <f>_xlfn.XLOOKUP($B36,Decals!$A$3:$A$202,Decals!AQ$3:AQ$202,0)</f>
        <v>0</v>
      </c>
      <c r="K81" s="50">
        <f>_xlfn.XLOOKUP($B36,Decals!$A$3:$A$202,Decals!AR$3:AR$202,0)</f>
        <v>0</v>
      </c>
      <c r="L81" s="50">
        <f>_xlfn.XLOOKUP($B36,Decals!$A$3:$A$202,Decals!AS$3:AS$202,0)</f>
        <v>0</v>
      </c>
      <c r="M81" s="50">
        <f>_xlfn.XLOOKUP($B36,Decals!$A$3:$A$202,Decals!AT$3:AT$202,0)</f>
        <v>0</v>
      </c>
      <c r="N81" s="50">
        <f>_xlfn.XLOOKUP($B36,Decals!$A$3:$A$202,Decals!AU$3:AU$202,0)</f>
        <v>0</v>
      </c>
      <c r="O81" s="50">
        <f>_xlfn.XLOOKUP($B36,Decals!$A$3:$A$202,Decals!AV$3:AV$202,0)</f>
        <v>0</v>
      </c>
      <c r="P81" s="50">
        <f>_xlfn.XLOOKUP($B36,Decals!$A$3:$A$202,Decals!AW$3:AW$202,0)</f>
        <v>0</v>
      </c>
      <c r="Q81" s="181" t="str">
        <f t="shared" si="13"/>
        <v>YES</v>
      </c>
      <c r="R81" s="181"/>
    </row>
    <row r="82" spans="2:18" ht="15.75" thickBot="1">
      <c r="C82" s="200" t="s">
        <v>871</v>
      </c>
      <c r="D82" s="200"/>
      <c r="E82" s="118">
        <f ca="1">SUMIF($Q$73:$R$81,"YES",E73:E81)</f>
        <v>0</v>
      </c>
      <c r="F82" s="118">
        <f ca="1">SUMIF($Q$73:$R$81,"YES",F73:F81)</f>
        <v>0</v>
      </c>
      <c r="G82" s="118">
        <f ca="1">SUMIF($Q$73:$R$81,"YES",G73:G81)</f>
        <v>0</v>
      </c>
      <c r="H82" s="118">
        <f t="shared" ref="H82:L82" ca="1" si="14">SUMIF($Q$73:$R$81,"YES",H73:H81)</f>
        <v>0</v>
      </c>
      <c r="I82" s="118">
        <f t="shared" ca="1" si="14"/>
        <v>0</v>
      </c>
      <c r="J82" s="118">
        <f t="shared" ca="1" si="14"/>
        <v>0</v>
      </c>
      <c r="K82" s="118">
        <f t="shared" ca="1" si="14"/>
        <v>0</v>
      </c>
      <c r="L82" s="118">
        <f t="shared" ca="1" si="14"/>
        <v>0</v>
      </c>
    </row>
    <row r="84" spans="2:18" ht="15.75" thickBot="1"/>
    <row r="85" spans="2:18" ht="15.75" thickBot="1">
      <c r="B85" s="151" t="s">
        <v>872</v>
      </c>
      <c r="C85" s="151"/>
      <c r="D85" s="151"/>
      <c r="E85" s="151"/>
      <c r="F85" s="151"/>
      <c r="G85" s="151"/>
      <c r="H85" s="151"/>
      <c r="I85" s="151"/>
      <c r="K85" s="151" t="s">
        <v>873</v>
      </c>
      <c r="L85" s="151"/>
      <c r="M85" s="151"/>
      <c r="N85" s="151"/>
      <c r="O85" s="151"/>
      <c r="P85" s="151"/>
      <c r="Q85" s="151"/>
    </row>
    <row r="86" spans="2:18" ht="15.75" thickBot="1">
      <c r="B86" s="41" t="s">
        <v>241</v>
      </c>
      <c r="C86" s="42" t="s">
        <v>242</v>
      </c>
      <c r="D86" s="43" t="s">
        <v>243</v>
      </c>
      <c r="E86" s="44" t="s">
        <v>244</v>
      </c>
      <c r="F86" s="45" t="s">
        <v>245</v>
      </c>
      <c r="G86" s="46" t="s">
        <v>231</v>
      </c>
      <c r="H86" s="121" t="s">
        <v>12</v>
      </c>
      <c r="I86" s="121" t="s">
        <v>13</v>
      </c>
      <c r="K86" s="122" t="s">
        <v>707</v>
      </c>
      <c r="L86" s="105" t="s">
        <v>320</v>
      </c>
      <c r="M86" s="105" t="s">
        <v>321</v>
      </c>
      <c r="N86" s="105" t="s">
        <v>322</v>
      </c>
      <c r="O86" s="123" t="s">
        <v>341</v>
      </c>
      <c r="P86" s="111" t="s">
        <v>342</v>
      </c>
      <c r="Q86" s="112" t="s">
        <v>343</v>
      </c>
    </row>
    <row r="87" spans="2:18" ht="15.75" thickBot="1">
      <c r="B87" s="50">
        <f ca="1">A5 * ((B11 + E82) / 100 + 1)</f>
        <v>22121.550000000003</v>
      </c>
      <c r="C87" s="50">
        <f ca="1">B5 * ((C11 + F82) / 100 + 1)</f>
        <v>282</v>
      </c>
      <c r="D87" s="50">
        <f ca="1">C5 * ((D11 + G82) / 100 + 1)</f>
        <v>206</v>
      </c>
      <c r="E87" s="50">
        <f ca="1">D5 * ((E11 + H82) / 100 + 1)</f>
        <v>626.4</v>
      </c>
      <c r="F87" s="50">
        <f ca="1">E5 * ((F11 + I82) / 100 + 1)</f>
        <v>174</v>
      </c>
      <c r="G87" s="50">
        <f ca="1">TRUNC(F5 * ((G11 + J82) / 100 + 1))</f>
        <v>53</v>
      </c>
      <c r="H87" s="50">
        <f ca="1">_xlfn.XLOOKUP(G87,Lists!I2:I192,Lists!J2:J192) + N52</f>
        <v>35.5</v>
      </c>
      <c r="I87" s="50">
        <f>1.5 * (O52 / 100 + 1)</f>
        <v>1.5</v>
      </c>
      <c r="K87" s="50">
        <f ca="1">SUM(A12 * (E66/100+1),I12 * (E67/100+1),Q12 * (E68/100+1))</f>
        <v>10916.928</v>
      </c>
      <c r="L87" s="50">
        <f t="shared" ref="L87:Q87" ca="1" si="15">SUM(J11,R11,F66)</f>
        <v>0</v>
      </c>
      <c r="M87" s="50">
        <f t="shared" ca="1" si="15"/>
        <v>0</v>
      </c>
      <c r="N87" s="50">
        <f t="shared" ca="1" si="15"/>
        <v>18</v>
      </c>
      <c r="O87" s="50">
        <f t="shared" ca="1" si="15"/>
        <v>10</v>
      </c>
      <c r="P87" s="50">
        <f t="shared" ca="1" si="15"/>
        <v>0</v>
      </c>
      <c r="Q87" s="50">
        <f t="shared" ca="1" si="15"/>
        <v>18</v>
      </c>
    </row>
    <row r="89" spans="2:18" ht="15.75" thickBot="1"/>
    <row r="90" spans="2:18" ht="15.75" thickBot="1">
      <c r="B90" s="162" t="s">
        <v>879</v>
      </c>
      <c r="C90" s="162"/>
      <c r="D90" s="43">
        <v>1</v>
      </c>
      <c r="E90" s="126">
        <v>2</v>
      </c>
      <c r="F90" s="43">
        <v>3</v>
      </c>
      <c r="G90" s="126">
        <v>4</v>
      </c>
      <c r="H90" s="126">
        <v>6</v>
      </c>
      <c r="I90" s="43">
        <v>7</v>
      </c>
      <c r="J90" s="126">
        <v>8</v>
      </c>
      <c r="K90" s="43">
        <v>9</v>
      </c>
      <c r="L90" s="126">
        <v>10</v>
      </c>
      <c r="M90" s="43">
        <v>11</v>
      </c>
      <c r="N90" s="126">
        <v>12</v>
      </c>
      <c r="O90" s="43">
        <v>13</v>
      </c>
      <c r="P90" s="126">
        <v>14</v>
      </c>
      <c r="Q90" s="43">
        <v>15</v>
      </c>
      <c r="R90" s="94" t="s">
        <v>882</v>
      </c>
    </row>
    <row r="91" spans="2:18" ht="15.75" thickBot="1">
      <c r="B91" s="207" t="s">
        <v>880</v>
      </c>
      <c r="C91" s="207"/>
      <c r="D91" s="50">
        <f>SUMIFS($E$41:$E$49,$U$41:$U$49,"YES",$E$28:$E$36,D90) / 100 + 1</f>
        <v>1</v>
      </c>
      <c r="E91" s="50">
        <f t="shared" ref="E91:Q91" si="16">SUMIFS($E$41:$E$49,$U$41:$U$49,"YES",$E$28:$E$36,E90) / 100 + 1</f>
        <v>1</v>
      </c>
      <c r="F91" s="50">
        <f t="shared" si="16"/>
        <v>1</v>
      </c>
      <c r="G91" s="50">
        <f t="shared" si="16"/>
        <v>1</v>
      </c>
      <c r="H91" s="50">
        <f t="shared" si="16"/>
        <v>1</v>
      </c>
      <c r="I91" s="50">
        <f t="shared" si="16"/>
        <v>1</v>
      </c>
      <c r="J91" s="50">
        <f t="shared" si="16"/>
        <v>1</v>
      </c>
      <c r="K91" s="50">
        <f t="shared" si="16"/>
        <v>1</v>
      </c>
      <c r="L91" s="50">
        <f t="shared" si="16"/>
        <v>1</v>
      </c>
      <c r="M91" s="50">
        <f t="shared" si="16"/>
        <v>1</v>
      </c>
      <c r="N91" s="50">
        <f t="shared" si="16"/>
        <v>1</v>
      </c>
      <c r="O91" s="50">
        <f t="shared" si="16"/>
        <v>1</v>
      </c>
      <c r="P91" s="50">
        <f t="shared" si="16"/>
        <v>1</v>
      </c>
      <c r="Q91" s="50">
        <f t="shared" si="16"/>
        <v>1</v>
      </c>
      <c r="R91" s="127">
        <f>PRODUCT(D91:Q91)</f>
        <v>1</v>
      </c>
    </row>
    <row r="92" spans="2:18" ht="15.75" thickBot="1">
      <c r="B92" s="207" t="s">
        <v>881</v>
      </c>
      <c r="C92" s="207"/>
      <c r="D92" s="50">
        <f>SUMIFS($E$41:$E$49,$W$41:$W$49,"YES",$E$28:$E$36,D90) / 100 + 1</f>
        <v>1</v>
      </c>
      <c r="E92" s="50">
        <f t="shared" ref="E92:Q92" si="17">SUMIFS($E$41:$E$49,$W$41:$W$49,"YES",$E$28:$E$36,E90) / 100 + 1</f>
        <v>1</v>
      </c>
      <c r="F92" s="50">
        <f t="shared" si="17"/>
        <v>1</v>
      </c>
      <c r="G92" s="50">
        <f t="shared" si="17"/>
        <v>1</v>
      </c>
      <c r="H92" s="50">
        <f t="shared" si="17"/>
        <v>1</v>
      </c>
      <c r="I92" s="50">
        <f t="shared" si="17"/>
        <v>1</v>
      </c>
      <c r="J92" s="50">
        <f t="shared" si="17"/>
        <v>1</v>
      </c>
      <c r="K92" s="50">
        <f t="shared" si="17"/>
        <v>1</v>
      </c>
      <c r="L92" s="50">
        <f t="shared" si="17"/>
        <v>1</v>
      </c>
      <c r="M92" s="50">
        <f t="shared" si="17"/>
        <v>1</v>
      </c>
      <c r="N92" s="50">
        <f t="shared" si="17"/>
        <v>1</v>
      </c>
      <c r="O92" s="50">
        <f t="shared" si="17"/>
        <v>1</v>
      </c>
      <c r="P92" s="50">
        <f t="shared" si="17"/>
        <v>1</v>
      </c>
      <c r="Q92" s="50">
        <f t="shared" si="17"/>
        <v>1</v>
      </c>
      <c r="R92" s="127">
        <f>PRODUCT(D92:Q92)</f>
        <v>1</v>
      </c>
    </row>
    <row r="93" spans="2:18" ht="15.75" thickBot="1"/>
    <row r="94" spans="2:18" ht="15.75" thickBot="1">
      <c r="B94" s="162" t="s">
        <v>885</v>
      </c>
      <c r="C94" s="162"/>
      <c r="D94" s="43" t="s">
        <v>320</v>
      </c>
      <c r="E94" s="43" t="s">
        <v>321</v>
      </c>
      <c r="F94" s="43" t="s">
        <v>883</v>
      </c>
      <c r="G94" s="43" t="s">
        <v>338</v>
      </c>
      <c r="H94" s="43" t="s">
        <v>884</v>
      </c>
      <c r="L94" s="213" t="s">
        <v>886</v>
      </c>
      <c r="M94" s="213"/>
      <c r="N94" s="213" t="s">
        <v>960</v>
      </c>
      <c r="O94" s="213"/>
    </row>
    <row r="95" spans="2:18" ht="15.75" thickBot="1">
      <c r="B95" s="207" t="s">
        <v>880</v>
      </c>
      <c r="C95" s="207"/>
      <c r="D95" s="50">
        <f>(G3/100+1)*(G50/100+1)</f>
        <v>1.1400000000000001</v>
      </c>
      <c r="E95" s="50">
        <f>(H3/100+1)*(H50/100+1)</f>
        <v>1.1819999999999999</v>
      </c>
      <c r="F95" s="50">
        <f ca="1">(I3/100+1)*(I50/100+1)</f>
        <v>1.125</v>
      </c>
      <c r="G95" s="50">
        <f>SUM(J50:L50)/100+1</f>
        <v>1</v>
      </c>
      <c r="H95" s="50">
        <f ca="1">M50/100+1*C22</f>
        <v>1.5</v>
      </c>
      <c r="J95" s="207" t="s">
        <v>880</v>
      </c>
      <c r="K95" s="207"/>
      <c r="L95" s="166">
        <f ca="1">( (D87 * (C20/100)) + (E87 * (C21/100)))</f>
        <v>626.4</v>
      </c>
      <c r="M95" s="166"/>
      <c r="N95" s="181">
        <f>INDEX('Weapon Mastery'!A1:AO75,
  MATCH(Calc!A15,'Weapon Mastery'!A1:A75,0),
  MATCH(Calc!E15,'Weapon Mastery'!A1:AO1))</f>
        <v>61</v>
      </c>
      <c r="O95" s="181"/>
    </row>
    <row r="96" spans="2:18" ht="15.75" thickBot="1">
      <c r="B96" s="207" t="s">
        <v>881</v>
      </c>
      <c r="C96" s="207"/>
      <c r="D96" s="50">
        <f>(G3/100+1)*(G51/100+1)</f>
        <v>1.1400000000000001</v>
      </c>
      <c r="E96" s="50">
        <f t="shared" ref="E96:F96" si="18">(H3/100+1)*(H51/100+1)</f>
        <v>1.1819999999999999</v>
      </c>
      <c r="F96" s="50">
        <f t="shared" ca="1" si="18"/>
        <v>1.125</v>
      </c>
      <c r="G96" s="50">
        <f>SUM(J51:L51)/100+1</f>
        <v>1</v>
      </c>
      <c r="H96" s="50">
        <f ca="1">M51/100+1*L22</f>
        <v>2.38</v>
      </c>
      <c r="J96" s="207" t="s">
        <v>881</v>
      </c>
      <c r="K96" s="207"/>
      <c r="L96" s="166">
        <f ca="1">( (D87 * (L20/100)) + (E87 * (L21/100)))</f>
        <v>500.28</v>
      </c>
      <c r="M96" s="166"/>
      <c r="N96" s="214">
        <f>INDEX('Weapon Mastery'!A1:AO75,
  MATCH(J15,'Weapon Mastery'!A1:A75,0),
  MATCH(N15,'Weapon Mastery'!A1:AO1))</f>
        <v>61</v>
      </c>
      <c r="O96" s="215"/>
    </row>
    <row r="97" spans="2:26" ht="15.75" thickBot="1"/>
    <row r="98" spans="2:26" ht="15.75" thickBot="1">
      <c r="W98" s="151" t="s">
        <v>894</v>
      </c>
      <c r="X98" s="151"/>
      <c r="Y98" s="151"/>
      <c r="Z98" s="151"/>
    </row>
    <row r="99" spans="2:26" ht="15.75" thickBot="1">
      <c r="B99" s="151" t="s">
        <v>892</v>
      </c>
      <c r="C99" s="151"/>
      <c r="D99" s="198" t="s">
        <v>888</v>
      </c>
      <c r="E99" s="198"/>
      <c r="F99" s="198" t="s">
        <v>889</v>
      </c>
      <c r="G99" s="198"/>
      <c r="H99" s="198" t="s">
        <v>890</v>
      </c>
      <c r="I99" s="198"/>
      <c r="J99" s="198" t="s">
        <v>891</v>
      </c>
      <c r="K99" s="198"/>
      <c r="L99" s="198" t="s">
        <v>959</v>
      </c>
      <c r="M99" s="198"/>
      <c r="T99" s="162" t="s">
        <v>854</v>
      </c>
      <c r="U99" s="162"/>
      <c r="V99" s="74" t="s">
        <v>449</v>
      </c>
      <c r="W99" s="211" t="s">
        <v>337</v>
      </c>
      <c r="X99" s="211"/>
      <c r="Y99" s="212" t="s">
        <v>887</v>
      </c>
      <c r="Z99" s="212"/>
    </row>
    <row r="100" spans="2:26" ht="15.75" thickBot="1">
      <c r="B100" s="208" t="s">
        <v>337</v>
      </c>
      <c r="C100" s="208"/>
      <c r="D100" s="210" t="e">
        <f>C17</f>
        <v>#N/A</v>
      </c>
      <c r="E100" s="210"/>
      <c r="F100" s="210" t="e">
        <f ca="1">D100 * R91 * PRODUCT(D95:F95)</f>
        <v>#N/A</v>
      </c>
      <c r="G100" s="210"/>
      <c r="H100" s="210" t="e">
        <f ca="1">F100 * L95</f>
        <v>#N/A</v>
      </c>
      <c r="I100" s="210"/>
      <c r="J100" s="210" t="e">
        <f ca="1">H100 * (D18/100)</f>
        <v>#N/A</v>
      </c>
      <c r="K100" s="210"/>
      <c r="L100" s="210" t="e">
        <f ca="1">J100 * (N95/100+1)</f>
        <v>#N/A</v>
      </c>
      <c r="M100" s="210"/>
      <c r="T100" s="170" t="str">
        <f t="shared" ref="T100:T106" si="19">F18</f>
        <v>normal</v>
      </c>
      <c r="U100" s="170"/>
      <c r="V100" s="97">
        <f t="shared" ref="V100:V106" si="20">H18</f>
        <v>3.9643010960087349E-2</v>
      </c>
      <c r="W100" s="181" t="e">
        <f ca="1">$L$100*V100</f>
        <v>#N/A</v>
      </c>
      <c r="X100" s="181"/>
      <c r="Y100" s="181" t="e">
        <f ca="1">$L$101*V100</f>
        <v>#N/A</v>
      </c>
      <c r="Z100" s="181"/>
    </row>
    <row r="101" spans="2:26" ht="15.75" thickBot="1">
      <c r="B101" s="209" t="s">
        <v>887</v>
      </c>
      <c r="C101" s="209"/>
      <c r="D101" s="210" t="e">
        <f>C17</f>
        <v>#N/A</v>
      </c>
      <c r="E101" s="210"/>
      <c r="F101" s="210" t="e">
        <f>D101 * R92 * SUM(G96)</f>
        <v>#N/A</v>
      </c>
      <c r="G101" s="210"/>
      <c r="H101" s="210" t="e">
        <f ca="1">F101 * L96</f>
        <v>#N/A</v>
      </c>
      <c r="I101" s="210"/>
      <c r="J101" s="210" t="e">
        <f ca="1">H101 * (D19/100)</f>
        <v>#N/A</v>
      </c>
      <c r="K101" s="210"/>
      <c r="L101" s="210" t="e">
        <f ca="1">J101 * (N95/100+1)</f>
        <v>#N/A</v>
      </c>
      <c r="M101" s="210"/>
      <c r="T101" s="170" t="str">
        <f t="shared" si="19"/>
        <v>Rage</v>
      </c>
      <c r="U101" s="170"/>
      <c r="V101" s="97">
        <f t="shared" si="20"/>
        <v>0.5642641803488887</v>
      </c>
      <c r="W101" s="181" t="e">
        <f t="shared" ref="W100:W106" ca="1" si="21">$L$100*V101</f>
        <v>#N/A</v>
      </c>
      <c r="X101" s="181"/>
      <c r="Y101" s="181" t="e">
        <f ca="1">$L$101*V101</f>
        <v>#N/A</v>
      </c>
      <c r="Z101" s="181"/>
    </row>
    <row r="102" spans="2:26" ht="15.75" thickBot="1">
      <c r="T102" s="170" t="str">
        <f t="shared" si="19"/>
        <v>melee</v>
      </c>
      <c r="U102" s="170"/>
      <c r="V102" s="97">
        <f t="shared" si="20"/>
        <v>9.1917938082192022E-2</v>
      </c>
      <c r="W102" s="181" t="e">
        <f t="shared" ca="1" si="21"/>
        <v>#N/A</v>
      </c>
      <c r="X102" s="181"/>
      <c r="Y102" s="181" t="e">
        <f ca="1">$L$101*V102</f>
        <v>#N/A</v>
      </c>
      <c r="Z102" s="181"/>
    </row>
    <row r="103" spans="2:26" ht="15.75" thickBot="1">
      <c r="T103" s="170">
        <f t="shared" si="19"/>
        <v>0</v>
      </c>
      <c r="U103" s="170"/>
      <c r="V103" s="97">
        <f t="shared" si="20"/>
        <v>0</v>
      </c>
      <c r="W103" s="181" t="e">
        <f t="shared" ca="1" si="21"/>
        <v>#N/A</v>
      </c>
      <c r="X103" s="181"/>
      <c r="Y103" s="181" t="e">
        <f ca="1">$L$101*V103</f>
        <v>#N/A</v>
      </c>
      <c r="Z103" s="181"/>
    </row>
    <row r="104" spans="2:26" ht="15.75" thickBot="1">
      <c r="T104" s="170">
        <f t="shared" si="19"/>
        <v>0</v>
      </c>
      <c r="U104" s="170"/>
      <c r="V104" s="97">
        <f t="shared" si="20"/>
        <v>0</v>
      </c>
      <c r="W104" s="181" t="e">
        <f t="shared" ca="1" si="21"/>
        <v>#N/A</v>
      </c>
      <c r="X104" s="181"/>
      <c r="Y104" s="181" t="e">
        <f t="shared" ref="Y104" ca="1" si="22">$J$101*V104</f>
        <v>#N/A</v>
      </c>
      <c r="Z104" s="181"/>
    </row>
    <row r="105" spans="2:26" ht="15.75" thickBot="1">
      <c r="T105" s="170">
        <f t="shared" si="19"/>
        <v>0</v>
      </c>
      <c r="U105" s="170"/>
      <c r="V105" s="97">
        <f t="shared" si="20"/>
        <v>0</v>
      </c>
      <c r="W105" s="181" t="e">
        <f t="shared" ca="1" si="21"/>
        <v>#N/A</v>
      </c>
      <c r="X105" s="181"/>
      <c r="Y105" s="181" t="e">
        <f ca="1">$L$101*V105</f>
        <v>#N/A</v>
      </c>
      <c r="Z105" s="181"/>
    </row>
    <row r="106" spans="2:26" ht="15.75" thickBot="1">
      <c r="T106" s="170">
        <f t="shared" si="19"/>
        <v>0</v>
      </c>
      <c r="U106" s="170"/>
      <c r="V106" s="97">
        <f t="shared" si="20"/>
        <v>0</v>
      </c>
      <c r="W106" s="181" t="e">
        <f t="shared" ca="1" si="21"/>
        <v>#N/A</v>
      </c>
      <c r="X106" s="181"/>
      <c r="Y106" s="181" t="e">
        <f ca="1">$L$101*V106</f>
        <v>#N/A</v>
      </c>
      <c r="Z106" s="181"/>
    </row>
    <row r="107" spans="2:26" ht="15.75" thickBot="1"/>
    <row r="108" spans="2:26" ht="15.75" thickBot="1">
      <c r="W108" s="151" t="s">
        <v>894</v>
      </c>
      <c r="X108" s="151"/>
      <c r="Y108" s="151"/>
      <c r="Z108" s="151"/>
    </row>
    <row r="109" spans="2:26" ht="15.75" thickBot="1">
      <c r="B109" s="151" t="s">
        <v>893</v>
      </c>
      <c r="C109" s="151"/>
      <c r="D109" s="198" t="s">
        <v>888</v>
      </c>
      <c r="E109" s="198"/>
      <c r="F109" s="198" t="s">
        <v>889</v>
      </c>
      <c r="G109" s="198"/>
      <c r="H109" s="198" t="s">
        <v>890</v>
      </c>
      <c r="I109" s="198"/>
      <c r="J109" s="198" t="s">
        <v>891</v>
      </c>
      <c r="K109" s="198"/>
      <c r="L109" s="198" t="s">
        <v>959</v>
      </c>
      <c r="M109" s="198"/>
      <c r="T109" s="162" t="s">
        <v>854</v>
      </c>
      <c r="U109" s="162"/>
      <c r="V109" s="74" t="s">
        <v>449</v>
      </c>
      <c r="W109" s="211" t="s">
        <v>337</v>
      </c>
      <c r="X109" s="211"/>
      <c r="Y109" s="212" t="s">
        <v>887</v>
      </c>
      <c r="Z109" s="212"/>
    </row>
    <row r="110" spans="2:26" ht="15.75" thickBot="1">
      <c r="B110" s="208" t="s">
        <v>337</v>
      </c>
      <c r="C110" s="208"/>
      <c r="D110" s="210" t="e">
        <f>L17</f>
        <v>#N/A</v>
      </c>
      <c r="E110" s="210"/>
      <c r="F110" s="210" t="e">
        <f ca="1">D110 * R92 * SUM(D96:F96)</f>
        <v>#N/A</v>
      </c>
      <c r="G110" s="210"/>
      <c r="H110" s="210" t="e">
        <f ca="1">F110 * L96</f>
        <v>#N/A</v>
      </c>
      <c r="I110" s="210"/>
      <c r="J110" s="210" t="e">
        <f ca="1">H110 * (M18/100)</f>
        <v>#N/A</v>
      </c>
      <c r="K110" s="210"/>
      <c r="L110" s="210" t="e">
        <f ca="1">J110 * (N96/100+1)</f>
        <v>#N/A</v>
      </c>
      <c r="M110" s="210"/>
      <c r="T110" s="170" t="str">
        <f t="shared" ref="T110:T116" si="23">O18</f>
        <v>normal</v>
      </c>
      <c r="U110" s="170"/>
      <c r="V110" s="97">
        <f t="shared" ref="V110:V116" si="24">Q18</f>
        <v>0.12120555403473551</v>
      </c>
      <c r="W110" s="181" t="e">
        <f t="shared" ref="W110:W116" ca="1" si="25">$L$110*V110</f>
        <v>#N/A</v>
      </c>
      <c r="X110" s="181"/>
      <c r="Y110" s="181" t="e">
        <f t="shared" ref="Y110:Y116" ca="1" si="26">$L$111*V110</f>
        <v>#N/A</v>
      </c>
      <c r="Z110" s="181"/>
    </row>
    <row r="111" spans="2:26" ht="15.75" thickBot="1">
      <c r="B111" s="209" t="s">
        <v>887</v>
      </c>
      <c r="C111" s="209"/>
      <c r="D111" s="210" t="e">
        <f>L17</f>
        <v>#N/A</v>
      </c>
      <c r="E111" s="210"/>
      <c r="F111" s="210" t="e">
        <f>D111 * R92 * SUM(G96)</f>
        <v>#N/A</v>
      </c>
      <c r="G111" s="210"/>
      <c r="H111" s="210" t="e">
        <f ca="1">F111 * L96</f>
        <v>#N/A</v>
      </c>
      <c r="I111" s="210"/>
      <c r="J111" s="210" t="e">
        <f ca="1">H111 * (M19/100)</f>
        <v>#N/A</v>
      </c>
      <c r="K111" s="210"/>
      <c r="L111" s="210" t="e">
        <f ca="1">J111 * (N96/100+1)</f>
        <v>#N/A</v>
      </c>
      <c r="M111" s="210"/>
      <c r="T111" s="170" t="str">
        <f t="shared" si="23"/>
        <v>melee</v>
      </c>
      <c r="U111" s="170"/>
      <c r="V111" s="97">
        <f t="shared" si="24"/>
        <v>4.9785820759764378E-2</v>
      </c>
      <c r="W111" s="181" t="e">
        <f t="shared" ca="1" si="25"/>
        <v>#N/A</v>
      </c>
      <c r="X111" s="181"/>
      <c r="Y111" s="181" t="e">
        <f t="shared" ca="1" si="26"/>
        <v>#N/A</v>
      </c>
      <c r="Z111" s="181"/>
    </row>
    <row r="112" spans="2:26" ht="15.75" thickBot="1">
      <c r="T112" s="170" t="str">
        <f t="shared" si="23"/>
        <v>Rage</v>
      </c>
      <c r="U112" s="170"/>
      <c r="V112" s="97">
        <f t="shared" si="24"/>
        <v>0.36782046941013269</v>
      </c>
      <c r="W112" s="181" t="e">
        <f t="shared" ca="1" si="25"/>
        <v>#N/A</v>
      </c>
      <c r="X112" s="181"/>
      <c r="Y112" s="181" t="e">
        <f t="shared" ca="1" si="26"/>
        <v>#N/A</v>
      </c>
      <c r="Z112" s="181"/>
    </row>
    <row r="113" spans="20:26" ht="15.75" thickBot="1">
      <c r="T113" s="170">
        <f t="shared" si="23"/>
        <v>0</v>
      </c>
      <c r="U113" s="170"/>
      <c r="V113" s="97">
        <f t="shared" si="24"/>
        <v>0</v>
      </c>
      <c r="W113" s="181" t="e">
        <f t="shared" ca="1" si="25"/>
        <v>#N/A</v>
      </c>
      <c r="X113" s="181"/>
      <c r="Y113" s="181" t="e">
        <f t="shared" ca="1" si="26"/>
        <v>#N/A</v>
      </c>
      <c r="Z113" s="181"/>
    </row>
    <row r="114" spans="20:26" ht="15.75" thickBot="1">
      <c r="T114" s="170">
        <f t="shared" si="23"/>
        <v>0</v>
      </c>
      <c r="U114" s="170"/>
      <c r="V114" s="97">
        <f t="shared" si="24"/>
        <v>0</v>
      </c>
      <c r="W114" s="181" t="e">
        <f t="shared" ca="1" si="25"/>
        <v>#N/A</v>
      </c>
      <c r="X114" s="181"/>
      <c r="Y114" s="181" t="e">
        <f t="shared" ca="1" si="26"/>
        <v>#N/A</v>
      </c>
      <c r="Z114" s="181"/>
    </row>
    <row r="115" spans="20:26" ht="15.75" thickBot="1">
      <c r="T115" s="170">
        <f t="shared" si="23"/>
        <v>0</v>
      </c>
      <c r="U115" s="170"/>
      <c r="V115" s="97">
        <f t="shared" si="24"/>
        <v>0</v>
      </c>
      <c r="W115" s="181" t="e">
        <f t="shared" ca="1" si="25"/>
        <v>#N/A</v>
      </c>
      <c r="X115" s="181"/>
      <c r="Y115" s="181" t="e">
        <f t="shared" ca="1" si="26"/>
        <v>#N/A</v>
      </c>
      <c r="Z115" s="181"/>
    </row>
    <row r="116" spans="20:26" ht="15.75" thickBot="1">
      <c r="T116" s="170">
        <f t="shared" si="23"/>
        <v>0</v>
      </c>
      <c r="U116" s="170"/>
      <c r="V116" s="97">
        <f t="shared" si="24"/>
        <v>0</v>
      </c>
      <c r="W116" s="181" t="e">
        <f t="shared" ca="1" si="25"/>
        <v>#N/A</v>
      </c>
      <c r="X116" s="181"/>
      <c r="Y116" s="181" t="e">
        <f t="shared" ca="1" si="26"/>
        <v>#N/A</v>
      </c>
      <c r="Z116" s="181"/>
    </row>
  </sheetData>
  <mergeCells count="297">
    <mergeCell ref="E14:F14"/>
    <mergeCell ref="E15:F15"/>
    <mergeCell ref="L99:M99"/>
    <mergeCell ref="L100:M100"/>
    <mergeCell ref="L101:M101"/>
    <mergeCell ref="N94:O94"/>
    <mergeCell ref="N96:O96"/>
    <mergeCell ref="N95:O95"/>
    <mergeCell ref="N14:O14"/>
    <mergeCell ref="N15:O15"/>
    <mergeCell ref="J95:K95"/>
    <mergeCell ref="J96:K96"/>
    <mergeCell ref="L94:M94"/>
    <mergeCell ref="L96:M96"/>
    <mergeCell ref="L95:M95"/>
    <mergeCell ref="L16:M16"/>
    <mergeCell ref="B26:X26"/>
    <mergeCell ref="A16:B16"/>
    <mergeCell ref="J24:K24"/>
    <mergeCell ref="L24:M24"/>
    <mergeCell ref="F17:G17"/>
    <mergeCell ref="F16:H16"/>
    <mergeCell ref="F24:G24"/>
    <mergeCell ref="F23:G23"/>
    <mergeCell ref="L109:M109"/>
    <mergeCell ref="L110:M110"/>
    <mergeCell ref="L111:M111"/>
    <mergeCell ref="T116:U116"/>
    <mergeCell ref="W116:X116"/>
    <mergeCell ref="Y116:Z116"/>
    <mergeCell ref="W98:Z98"/>
    <mergeCell ref="W108:Z108"/>
    <mergeCell ref="T113:U113"/>
    <mergeCell ref="W113:X113"/>
    <mergeCell ref="Y113:Z113"/>
    <mergeCell ref="T114:U114"/>
    <mergeCell ref="W114:X114"/>
    <mergeCell ref="Y114:Z114"/>
    <mergeCell ref="T115:U115"/>
    <mergeCell ref="W115:X115"/>
    <mergeCell ref="Y115:Z115"/>
    <mergeCell ref="W109:X109"/>
    <mergeCell ref="Y109:Z109"/>
    <mergeCell ref="T110:U110"/>
    <mergeCell ref="W110:X110"/>
    <mergeCell ref="Y110:Z110"/>
    <mergeCell ref="T111:U111"/>
    <mergeCell ref="W111:X111"/>
    <mergeCell ref="Y111:Z111"/>
    <mergeCell ref="T112:U112"/>
    <mergeCell ref="W112:X112"/>
    <mergeCell ref="Y112:Z112"/>
    <mergeCell ref="W99:X99"/>
    <mergeCell ref="Y99:Z99"/>
    <mergeCell ref="Y106:Z106"/>
    <mergeCell ref="Y105:Z105"/>
    <mergeCell ref="Y104:Z104"/>
    <mergeCell ref="Y103:Z103"/>
    <mergeCell ref="Y102:Z102"/>
    <mergeCell ref="Y101:Z101"/>
    <mergeCell ref="Y100:Z100"/>
    <mergeCell ref="W106:X106"/>
    <mergeCell ref="W105:X105"/>
    <mergeCell ref="W104:X104"/>
    <mergeCell ref="W103:X103"/>
    <mergeCell ref="W102:X102"/>
    <mergeCell ref="W101:X101"/>
    <mergeCell ref="W100:X100"/>
    <mergeCell ref="B111:C111"/>
    <mergeCell ref="D111:E111"/>
    <mergeCell ref="F111:G111"/>
    <mergeCell ref="H111:I111"/>
    <mergeCell ref="J111:K111"/>
    <mergeCell ref="T99:U99"/>
    <mergeCell ref="T100:U100"/>
    <mergeCell ref="T101:U101"/>
    <mergeCell ref="T102:U102"/>
    <mergeCell ref="T103:U103"/>
    <mergeCell ref="T104:U104"/>
    <mergeCell ref="T105:U105"/>
    <mergeCell ref="T106:U106"/>
    <mergeCell ref="T109:U109"/>
    <mergeCell ref="B109:C109"/>
    <mergeCell ref="D109:E109"/>
    <mergeCell ref="F109:G109"/>
    <mergeCell ref="H109:I109"/>
    <mergeCell ref="J109:K109"/>
    <mergeCell ref="B110:C110"/>
    <mergeCell ref="D110:E110"/>
    <mergeCell ref="F110:G110"/>
    <mergeCell ref="H110:I110"/>
    <mergeCell ref="J110:K110"/>
    <mergeCell ref="B100:C100"/>
    <mergeCell ref="B101:C101"/>
    <mergeCell ref="B99:C99"/>
    <mergeCell ref="J101:K101"/>
    <mergeCell ref="J100:K100"/>
    <mergeCell ref="J99:K99"/>
    <mergeCell ref="H101:I101"/>
    <mergeCell ref="H100:I100"/>
    <mergeCell ref="H99:I99"/>
    <mergeCell ref="F101:G101"/>
    <mergeCell ref="F100:G100"/>
    <mergeCell ref="F99:G99"/>
    <mergeCell ref="D101:E101"/>
    <mergeCell ref="D100:E100"/>
    <mergeCell ref="D99:E99"/>
    <mergeCell ref="B92:C92"/>
    <mergeCell ref="B91:C91"/>
    <mergeCell ref="B90:C90"/>
    <mergeCell ref="B94:C94"/>
    <mergeCell ref="B95:C95"/>
    <mergeCell ref="B96:C96"/>
    <mergeCell ref="Q80:R80"/>
    <mergeCell ref="Q81:R81"/>
    <mergeCell ref="C82:D82"/>
    <mergeCell ref="B85:I85"/>
    <mergeCell ref="K85:Q85"/>
    <mergeCell ref="Q65:R65"/>
    <mergeCell ref="Q71:R72"/>
    <mergeCell ref="Q73:R73"/>
    <mergeCell ref="Q74:R74"/>
    <mergeCell ref="Q75:R75"/>
    <mergeCell ref="Q76:R76"/>
    <mergeCell ref="Q77:R77"/>
    <mergeCell ref="Q78:R78"/>
    <mergeCell ref="Q79:R79"/>
    <mergeCell ref="B78:D78"/>
    <mergeCell ref="B79:D79"/>
    <mergeCell ref="B80:D80"/>
    <mergeCell ref="B81:D81"/>
    <mergeCell ref="B73:D73"/>
    <mergeCell ref="B74:D74"/>
    <mergeCell ref="B75:D75"/>
    <mergeCell ref="B76:D76"/>
    <mergeCell ref="B77:D77"/>
    <mergeCell ref="Q55:R56"/>
    <mergeCell ref="Q57:R57"/>
    <mergeCell ref="Q58:R58"/>
    <mergeCell ref="Q59:R59"/>
    <mergeCell ref="Q60:R60"/>
    <mergeCell ref="Q61:R61"/>
    <mergeCell ref="Q62:R62"/>
    <mergeCell ref="Q63:R63"/>
    <mergeCell ref="Q64:R64"/>
    <mergeCell ref="A15:C15"/>
    <mergeCell ref="Q7:U7"/>
    <mergeCell ref="Q8:U8"/>
    <mergeCell ref="C16:D16"/>
    <mergeCell ref="V7:W7"/>
    <mergeCell ref="V8:W8"/>
    <mergeCell ref="W39:X40"/>
    <mergeCell ref="W41:X41"/>
    <mergeCell ref="S9:T9"/>
    <mergeCell ref="M9:N9"/>
    <mergeCell ref="E39:T39"/>
    <mergeCell ref="U39:V40"/>
    <mergeCell ref="J18:K18"/>
    <mergeCell ref="J19:K19"/>
    <mergeCell ref="J20:K20"/>
    <mergeCell ref="L20:M20"/>
    <mergeCell ref="J21:K21"/>
    <mergeCell ref="L21:M21"/>
    <mergeCell ref="J22:K22"/>
    <mergeCell ref="L22:M22"/>
    <mergeCell ref="J23:K23"/>
    <mergeCell ref="L23:M23"/>
    <mergeCell ref="C9:D9"/>
    <mergeCell ref="B27:D27"/>
    <mergeCell ref="G1:L1"/>
    <mergeCell ref="A2:B2"/>
    <mergeCell ref="A3:B3"/>
    <mergeCell ref="B12:D12"/>
    <mergeCell ref="J12:L12"/>
    <mergeCell ref="A1:F1"/>
    <mergeCell ref="C2:F2"/>
    <mergeCell ref="C3:F3"/>
    <mergeCell ref="A7:E7"/>
    <mergeCell ref="A8:E8"/>
    <mergeCell ref="F7:G7"/>
    <mergeCell ref="F8:G8"/>
    <mergeCell ref="I7:M7"/>
    <mergeCell ref="I8:M8"/>
    <mergeCell ref="A9:B9"/>
    <mergeCell ref="N7:O7"/>
    <mergeCell ref="N8:O8"/>
    <mergeCell ref="C21:D21"/>
    <mergeCell ref="C20:D20"/>
    <mergeCell ref="A23:B23"/>
    <mergeCell ref="A22:B22"/>
    <mergeCell ref="A21:B21"/>
    <mergeCell ref="A20:B20"/>
    <mergeCell ref="A24:B24"/>
    <mergeCell ref="C17:D17"/>
    <mergeCell ref="A17:B17"/>
    <mergeCell ref="A19:B19"/>
    <mergeCell ref="A18:B18"/>
    <mergeCell ref="J14:L14"/>
    <mergeCell ref="J15:L15"/>
    <mergeCell ref="F22:G22"/>
    <mergeCell ref="F21:G21"/>
    <mergeCell ref="F20:G20"/>
    <mergeCell ref="F19:G19"/>
    <mergeCell ref="F18:G18"/>
    <mergeCell ref="C24:D24"/>
    <mergeCell ref="C23:D23"/>
    <mergeCell ref="C22:D22"/>
    <mergeCell ref="A14:C14"/>
    <mergeCell ref="B36:D36"/>
    <mergeCell ref="B35:D35"/>
    <mergeCell ref="B34:D34"/>
    <mergeCell ref="B33:D33"/>
    <mergeCell ref="B32:D32"/>
    <mergeCell ref="B31:D31"/>
    <mergeCell ref="B30:D30"/>
    <mergeCell ref="B29:D29"/>
    <mergeCell ref="B28:D28"/>
    <mergeCell ref="B41:D41"/>
    <mergeCell ref="E55:L55"/>
    <mergeCell ref="E71:P71"/>
    <mergeCell ref="B49:D49"/>
    <mergeCell ref="B48:D48"/>
    <mergeCell ref="B47:D47"/>
    <mergeCell ref="B57:D57"/>
    <mergeCell ref="B58:D58"/>
    <mergeCell ref="B59:D59"/>
    <mergeCell ref="B60:D60"/>
    <mergeCell ref="B61:D61"/>
    <mergeCell ref="B62:D62"/>
    <mergeCell ref="B63:D63"/>
    <mergeCell ref="B64:D64"/>
    <mergeCell ref="B65:D65"/>
    <mergeCell ref="M57:N57"/>
    <mergeCell ref="O57:P57"/>
    <mergeCell ref="B46:D46"/>
    <mergeCell ref="C50:D50"/>
    <mergeCell ref="C67:D67"/>
    <mergeCell ref="C68:D68"/>
    <mergeCell ref="M58:N58"/>
    <mergeCell ref="O58:P58"/>
    <mergeCell ref="M59:N59"/>
    <mergeCell ref="W47:X47"/>
    <mergeCell ref="W48:X48"/>
    <mergeCell ref="W49:X49"/>
    <mergeCell ref="C51:D51"/>
    <mergeCell ref="W42:X42"/>
    <mergeCell ref="W43:X43"/>
    <mergeCell ref="W44:X44"/>
    <mergeCell ref="W45:X45"/>
    <mergeCell ref="W46:X46"/>
    <mergeCell ref="U45:V45"/>
    <mergeCell ref="U44:V44"/>
    <mergeCell ref="U43:V43"/>
    <mergeCell ref="U42:V42"/>
    <mergeCell ref="U49:V49"/>
    <mergeCell ref="U48:V48"/>
    <mergeCell ref="U47:V47"/>
    <mergeCell ref="U46:V46"/>
    <mergeCell ref="B45:D45"/>
    <mergeCell ref="B44:D44"/>
    <mergeCell ref="B43:D43"/>
    <mergeCell ref="B42:D42"/>
    <mergeCell ref="O59:P59"/>
    <mergeCell ref="M60:N60"/>
    <mergeCell ref="O60:P60"/>
    <mergeCell ref="Q9:R9"/>
    <mergeCell ref="E9:F9"/>
    <mergeCell ref="U9:V9"/>
    <mergeCell ref="M55:N56"/>
    <mergeCell ref="O55:P56"/>
    <mergeCell ref="U41:V41"/>
    <mergeCell ref="O21:P21"/>
    <mergeCell ref="O22:P22"/>
    <mergeCell ref="O23:P23"/>
    <mergeCell ref="O24:P24"/>
    <mergeCell ref="O16:Q16"/>
    <mergeCell ref="O17:P17"/>
    <mergeCell ref="O18:P18"/>
    <mergeCell ref="O19:P19"/>
    <mergeCell ref="O20:P20"/>
    <mergeCell ref="K9:L9"/>
    <mergeCell ref="I9:J9"/>
    <mergeCell ref="R12:T12"/>
    <mergeCell ref="J17:K17"/>
    <mergeCell ref="L17:M17"/>
    <mergeCell ref="J16:K16"/>
    <mergeCell ref="M64:N64"/>
    <mergeCell ref="O64:P64"/>
    <mergeCell ref="M65:N65"/>
    <mergeCell ref="O65:P65"/>
    <mergeCell ref="C66:D66"/>
    <mergeCell ref="M61:N61"/>
    <mergeCell ref="O61:P61"/>
    <mergeCell ref="M62:N62"/>
    <mergeCell ref="O62:P62"/>
    <mergeCell ref="M63:N63"/>
    <mergeCell ref="O63:P63"/>
  </mergeCells>
  <conditionalFormatting sqref="D95:H96">
    <cfRule type="cellIs" dxfId="57" priority="1" operator="notEqual">
      <formula>0</formula>
    </cfRule>
  </conditionalFormatting>
  <conditionalFormatting sqref="E50:E51 D91:Q92">
    <cfRule type="cellIs" dxfId="56" priority="4" operator="notEqual">
      <formula>0</formula>
    </cfRule>
  </conditionalFormatting>
  <conditionalFormatting sqref="E57:L65">
    <cfRule type="cellIs" dxfId="55" priority="6" operator="notEqual">
      <formula>0</formula>
    </cfRule>
  </conditionalFormatting>
  <conditionalFormatting sqref="E73:P81">
    <cfRule type="cellIs" dxfId="54" priority="5" operator="notEqual">
      <formula>0</formula>
    </cfRule>
  </conditionalFormatting>
  <conditionalFormatting sqref="E41:T49 G50:M51 P50:T51">
    <cfRule type="cellIs" dxfId="53" priority="7" operator="notEqual">
      <formula>0</formula>
    </cfRule>
  </conditionalFormatting>
  <conditionalFormatting sqref="E28:AZ36">
    <cfRule type="cellIs" dxfId="52" priority="9" operator="notEqual">
      <formula>0</formula>
    </cfRule>
  </conditionalFormatting>
  <dataValidations count="1">
    <dataValidation type="list" allowBlank="1" showInputMessage="1" showErrorMessage="1" sqref="E15:F15 N15:O15" xr:uid="{8B5B2B82-523E-43C7-BC70-AA5844FEAEC2}">
      <formula1>"1,2,3,4,5,6,7,8,9,10,11,12,13,14,15,16,17,18,19,20"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W1041"/>
  <sheetViews>
    <sheetView workbookViewId="0">
      <selection activeCell="A195" sqref="A195:XFD195"/>
    </sheetView>
  </sheetViews>
  <sheetFormatPr defaultColWidth="12.5703125" defaultRowHeight="15" customHeight="1"/>
  <cols>
    <col min="1" max="1" width="27.28515625" style="84" customWidth="1"/>
    <col min="2" max="2" width="8.7109375" style="84" customWidth="1"/>
    <col min="3" max="3" width="9" style="84" customWidth="1"/>
    <col min="4" max="4" width="18.28515625" style="84" bestFit="1" customWidth="1"/>
    <col min="5" max="5" width="11.28515625" style="84" bestFit="1" customWidth="1"/>
    <col min="6" max="6" width="10.5703125" style="84" bestFit="1" customWidth="1"/>
    <col min="7" max="7" width="15.42578125" style="84" bestFit="1" customWidth="1"/>
    <col min="8" max="8" width="18.42578125" style="84" bestFit="1" customWidth="1"/>
    <col min="9" max="9" width="11.42578125" style="84" bestFit="1" customWidth="1"/>
    <col min="10" max="10" width="12.5703125" style="84" bestFit="1" customWidth="1"/>
    <col min="11" max="11" width="21" style="84" bestFit="1" customWidth="1"/>
    <col min="12" max="12" width="14.5703125" style="84" bestFit="1" customWidth="1"/>
    <col min="13" max="13" width="9.85546875" style="91" bestFit="1" customWidth="1"/>
    <col min="14" max="14" width="8" style="84" bestFit="1" customWidth="1"/>
    <col min="15" max="15" width="9.42578125" style="84" bestFit="1" customWidth="1"/>
    <col min="16" max="17" width="10.5703125" style="84" bestFit="1" customWidth="1"/>
    <col min="18" max="18" width="13.7109375" style="84" bestFit="1" customWidth="1"/>
    <col min="19" max="19" width="8.7109375" style="84" bestFit="1" customWidth="1"/>
    <col min="20" max="20" width="13.7109375" style="84" bestFit="1" customWidth="1"/>
    <col min="21" max="21" width="11.85546875" style="84" bestFit="1" customWidth="1"/>
    <col min="22" max="22" width="7.28515625" style="84" bestFit="1" customWidth="1"/>
    <col min="23" max="23" width="9.5703125" style="84" bestFit="1" customWidth="1"/>
    <col min="24" max="24" width="9" style="84" bestFit="1" customWidth="1"/>
    <col min="25" max="25" width="8.140625" style="84" bestFit="1" customWidth="1"/>
    <col min="26" max="26" width="14.5703125" style="84" bestFit="1" customWidth="1"/>
    <col min="27" max="27" width="12.28515625" style="84" bestFit="1" customWidth="1"/>
    <col min="28" max="28" width="10.85546875" style="84" bestFit="1" customWidth="1"/>
    <col min="29" max="29" width="14.5703125" style="84" bestFit="1" customWidth="1"/>
    <col min="30" max="30" width="8.42578125" style="84" bestFit="1" customWidth="1"/>
    <col min="31" max="32" width="13.140625" style="84" bestFit="1" customWidth="1"/>
    <col min="33" max="33" width="16.42578125" style="84" bestFit="1" customWidth="1"/>
    <col min="34" max="34" width="11.28515625" style="84" bestFit="1" customWidth="1"/>
    <col min="35" max="35" width="16.42578125" style="84" bestFit="1" customWidth="1"/>
    <col min="36" max="36" width="14.42578125" style="84" bestFit="1" customWidth="1"/>
    <col min="37" max="37" width="7.42578125" style="84" bestFit="1" customWidth="1"/>
    <col min="38" max="38" width="8.5703125" style="84" bestFit="1" customWidth="1"/>
    <col min="39" max="39" width="8.28515625" style="84" bestFit="1" customWidth="1"/>
    <col min="40" max="40" width="8.5703125" style="84" bestFit="1" customWidth="1"/>
    <col min="41" max="41" width="7.5703125" style="84" bestFit="1" customWidth="1"/>
    <col min="42" max="42" width="8.28515625" style="84" bestFit="1" customWidth="1"/>
    <col min="43" max="43" width="10.140625" bestFit="1" customWidth="1"/>
    <col min="44" max="44" width="11.28515625" style="84" bestFit="1" customWidth="1"/>
    <col min="45" max="45" width="11" style="84" bestFit="1" customWidth="1"/>
    <col min="46" max="46" width="11.28515625" style="84" bestFit="1" customWidth="1"/>
    <col min="47" max="47" width="10.28515625" style="84" bestFit="1" customWidth="1"/>
    <col min="48" max="48" width="11" style="84" bestFit="1" customWidth="1"/>
    <col min="49" max="16384" width="12.5703125" style="84"/>
  </cols>
  <sheetData>
    <row r="1" spans="1:49">
      <c r="A1" s="81" t="s">
        <v>22</v>
      </c>
      <c r="B1" s="82" t="s">
        <v>7</v>
      </c>
      <c r="C1" s="82" t="s">
        <v>8</v>
      </c>
      <c r="D1" s="83" t="s">
        <v>711</v>
      </c>
      <c r="E1" s="83" t="s">
        <v>786</v>
      </c>
      <c r="F1" s="83" t="s">
        <v>787</v>
      </c>
      <c r="G1" s="83" t="s">
        <v>820</v>
      </c>
      <c r="H1" s="83" t="s">
        <v>788</v>
      </c>
      <c r="I1" s="83" t="s">
        <v>866</v>
      </c>
      <c r="J1" s="83" t="s">
        <v>337</v>
      </c>
      <c r="K1" s="83" t="s">
        <v>338</v>
      </c>
      <c r="L1" s="83" t="s">
        <v>789</v>
      </c>
      <c r="M1" s="83" t="s">
        <v>339</v>
      </c>
      <c r="N1" s="82" t="s">
        <v>9</v>
      </c>
      <c r="O1" s="82" t="s">
        <v>10</v>
      </c>
      <c r="P1" s="82" t="s">
        <v>330</v>
      </c>
      <c r="Q1" s="82" t="s">
        <v>331</v>
      </c>
      <c r="R1" s="82" t="s">
        <v>332</v>
      </c>
      <c r="S1" s="82" t="s">
        <v>333</v>
      </c>
      <c r="T1" s="82" t="s">
        <v>334</v>
      </c>
      <c r="U1" s="82" t="s">
        <v>335</v>
      </c>
      <c r="V1" s="82" t="s">
        <v>11</v>
      </c>
      <c r="W1" s="82" t="s">
        <v>12</v>
      </c>
      <c r="X1" s="82" t="s">
        <v>13</v>
      </c>
      <c r="Y1" s="82" t="s">
        <v>828</v>
      </c>
      <c r="Z1" s="82" t="s">
        <v>23</v>
      </c>
      <c r="AA1" s="82" t="s">
        <v>24</v>
      </c>
      <c r="AB1" s="82" t="s">
        <v>25</v>
      </c>
      <c r="AC1" s="82" t="s">
        <v>26</v>
      </c>
      <c r="AD1" s="82" t="s">
        <v>792</v>
      </c>
      <c r="AE1" s="82" t="s">
        <v>822</v>
      </c>
      <c r="AF1" s="82" t="s">
        <v>823</v>
      </c>
      <c r="AG1" s="82" t="s">
        <v>824</v>
      </c>
      <c r="AH1" s="82" t="s">
        <v>825</v>
      </c>
      <c r="AI1" s="82" t="s">
        <v>826</v>
      </c>
      <c r="AJ1" s="82" t="s">
        <v>827</v>
      </c>
      <c r="AK1" s="82" t="s">
        <v>839</v>
      </c>
      <c r="AL1" s="82" t="s">
        <v>697</v>
      </c>
      <c r="AM1" s="82" t="s">
        <v>698</v>
      </c>
      <c r="AN1" s="82" t="s">
        <v>699</v>
      </c>
      <c r="AO1" s="82" t="s">
        <v>700</v>
      </c>
      <c r="AP1" s="82" t="s">
        <v>701</v>
      </c>
      <c r="AQ1" s="82" t="s">
        <v>702</v>
      </c>
      <c r="AR1" s="82" t="s">
        <v>798</v>
      </c>
      <c r="AS1" s="82" t="s">
        <v>799</v>
      </c>
      <c r="AT1" s="82" t="s">
        <v>797</v>
      </c>
      <c r="AU1" s="82" t="s">
        <v>800</v>
      </c>
      <c r="AV1" s="82" t="s">
        <v>801</v>
      </c>
      <c r="AW1" s="82" t="s">
        <v>802</v>
      </c>
    </row>
    <row r="2" spans="1:49">
      <c r="A2" s="85"/>
      <c r="B2" s="86"/>
      <c r="C2" s="86"/>
      <c r="D2" s="85"/>
      <c r="E2" s="85"/>
      <c r="F2" s="85"/>
      <c r="G2" s="85"/>
      <c r="H2" s="85"/>
      <c r="I2" s="85"/>
      <c r="J2" s="85"/>
      <c r="K2" s="85"/>
      <c r="L2" s="85"/>
      <c r="M2" s="87"/>
      <c r="N2" s="86"/>
      <c r="O2" s="86"/>
      <c r="P2" s="86"/>
      <c r="Q2" s="86"/>
      <c r="R2" s="86"/>
      <c r="S2" s="86"/>
      <c r="T2" s="86"/>
      <c r="U2" s="86"/>
      <c r="V2" s="88"/>
      <c r="W2" s="88"/>
      <c r="X2" s="88"/>
      <c r="Y2" s="89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</row>
    <row r="3" spans="1:49">
      <c r="A3" s="85" t="s">
        <v>27</v>
      </c>
      <c r="B3" s="88">
        <v>1</v>
      </c>
      <c r="C3" s="88"/>
      <c r="D3" s="90"/>
      <c r="E3" s="90"/>
      <c r="F3" s="90"/>
      <c r="G3" s="90"/>
      <c r="H3" s="90"/>
      <c r="I3" s="90"/>
      <c r="J3" s="90"/>
      <c r="K3" s="90"/>
      <c r="L3" s="90"/>
      <c r="M3" s="89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9"/>
      <c r="Z3" s="88"/>
      <c r="AA3" s="88"/>
      <c r="AB3" s="88">
        <v>15</v>
      </c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</row>
    <row r="4" spans="1:49">
      <c r="A4" s="85" t="s">
        <v>28</v>
      </c>
      <c r="B4" s="88">
        <v>1</v>
      </c>
      <c r="C4" s="88"/>
      <c r="D4" s="90"/>
      <c r="E4" s="90"/>
      <c r="F4" s="90"/>
      <c r="G4" s="90"/>
      <c r="H4" s="90"/>
      <c r="I4" s="90"/>
      <c r="J4" s="90"/>
      <c r="K4" s="90"/>
      <c r="L4" s="90"/>
      <c r="M4" s="89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9"/>
      <c r="Z4" s="88"/>
      <c r="AA4" s="88"/>
      <c r="AB4" s="88">
        <v>30</v>
      </c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</row>
    <row r="5" spans="1:49">
      <c r="A5" s="85" t="s">
        <v>29</v>
      </c>
      <c r="B5" s="88">
        <v>1</v>
      </c>
      <c r="C5" s="88"/>
      <c r="D5" s="90"/>
      <c r="E5" s="90"/>
      <c r="F5" s="90"/>
      <c r="G5" s="90"/>
      <c r="H5" s="90"/>
      <c r="I5" s="90"/>
      <c r="J5" s="90"/>
      <c r="K5" s="90"/>
      <c r="L5" s="90"/>
      <c r="M5" s="89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9"/>
      <c r="Z5" s="88"/>
      <c r="AA5" s="88">
        <v>30</v>
      </c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</row>
    <row r="6" spans="1:49">
      <c r="A6" s="85" t="s">
        <v>30</v>
      </c>
      <c r="B6" s="88">
        <v>1</v>
      </c>
      <c r="C6" s="88"/>
      <c r="D6" s="90"/>
      <c r="E6" s="90"/>
      <c r="F6" s="90"/>
      <c r="G6" s="90"/>
      <c r="H6" s="90"/>
      <c r="I6" s="90"/>
      <c r="J6" s="90"/>
      <c r="K6" s="90"/>
      <c r="L6" s="90"/>
      <c r="M6" s="89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9"/>
      <c r="Z6" s="88"/>
      <c r="AA6" s="88">
        <v>60</v>
      </c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</row>
    <row r="7" spans="1:49">
      <c r="A7" s="85" t="s">
        <v>21</v>
      </c>
      <c r="B7" s="88">
        <v>1</v>
      </c>
      <c r="C7" s="88"/>
      <c r="D7" s="90"/>
      <c r="E7" s="90"/>
      <c r="F7" s="90"/>
      <c r="G7" s="90"/>
      <c r="H7" s="90"/>
      <c r="I7" s="90"/>
      <c r="J7" s="90"/>
      <c r="K7" s="90"/>
      <c r="L7" s="90"/>
      <c r="M7" s="89"/>
      <c r="N7" s="88">
        <v>100</v>
      </c>
      <c r="O7" s="88"/>
      <c r="P7" s="88"/>
      <c r="Q7" s="88"/>
      <c r="R7" s="88"/>
      <c r="S7" s="88"/>
      <c r="T7" s="88"/>
      <c r="U7" s="88"/>
      <c r="V7" s="88"/>
      <c r="W7" s="88"/>
      <c r="X7" s="88"/>
      <c r="Y7" s="89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</row>
    <row r="8" spans="1:49">
      <c r="A8" s="85" t="s">
        <v>790</v>
      </c>
      <c r="B8" s="88"/>
      <c r="C8" s="88"/>
      <c r="D8" s="90"/>
      <c r="E8" s="90"/>
      <c r="F8" s="90"/>
      <c r="G8" s="90"/>
      <c r="H8" s="90"/>
      <c r="I8" s="90"/>
      <c r="J8" s="90"/>
      <c r="K8" s="90"/>
      <c r="L8" s="90"/>
      <c r="M8" s="89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9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>
        <v>20</v>
      </c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</row>
    <row r="9" spans="1:49">
      <c r="A9" s="85" t="s">
        <v>791</v>
      </c>
      <c r="B9" s="88"/>
      <c r="C9" s="88"/>
      <c r="D9" s="90"/>
      <c r="E9" s="90"/>
      <c r="F9" s="90"/>
      <c r="G9" s="90"/>
      <c r="H9" s="90"/>
      <c r="I9" s="90"/>
      <c r="J9" s="90"/>
      <c r="K9" s="90"/>
      <c r="L9" s="90"/>
      <c r="M9" s="89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9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>
        <v>40</v>
      </c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</row>
    <row r="10" spans="1:49">
      <c r="A10" s="85" t="s">
        <v>31</v>
      </c>
      <c r="B10" s="88">
        <v>1</v>
      </c>
      <c r="C10" s="88"/>
      <c r="D10" s="90"/>
      <c r="E10" s="90"/>
      <c r="F10" s="90"/>
      <c r="G10" s="90"/>
      <c r="H10" s="90"/>
      <c r="I10" s="90"/>
      <c r="J10" s="90"/>
      <c r="K10" s="90"/>
      <c r="L10" s="90"/>
      <c r="M10" s="89"/>
      <c r="N10" s="88">
        <v>7</v>
      </c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9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</row>
    <row r="11" spans="1:49">
      <c r="A11" s="85" t="s">
        <v>32</v>
      </c>
      <c r="B11" s="88">
        <v>1</v>
      </c>
      <c r="C11" s="88"/>
      <c r="D11" s="90"/>
      <c r="E11" s="90"/>
      <c r="F11" s="90"/>
      <c r="G11" s="90"/>
      <c r="H11" s="90"/>
      <c r="I11" s="90"/>
      <c r="J11" s="90"/>
      <c r="K11" s="90"/>
      <c r="L11" s="90"/>
      <c r="M11" s="89"/>
      <c r="N11" s="88">
        <v>15</v>
      </c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9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8"/>
      <c r="AV11" s="88"/>
      <c r="AW11" s="88"/>
    </row>
    <row r="12" spans="1:49">
      <c r="A12" s="85" t="s">
        <v>793</v>
      </c>
      <c r="B12" s="88"/>
      <c r="C12" s="88"/>
      <c r="D12" s="90"/>
      <c r="E12" s="90"/>
      <c r="F12" s="90"/>
      <c r="G12" s="90"/>
      <c r="H12" s="90"/>
      <c r="I12" s="90"/>
      <c r="J12" s="90"/>
      <c r="K12" s="90"/>
      <c r="L12" s="90"/>
      <c r="M12" s="89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9"/>
      <c r="Z12" s="88"/>
      <c r="AA12" s="88"/>
      <c r="AB12" s="88"/>
      <c r="AC12" s="88"/>
      <c r="AD12" s="88">
        <v>10</v>
      </c>
      <c r="AE12" s="88"/>
      <c r="AF12" s="88"/>
      <c r="AG12" s="88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</row>
    <row r="13" spans="1:49">
      <c r="A13" s="85" t="s">
        <v>794</v>
      </c>
      <c r="B13" s="88"/>
      <c r="C13" s="88"/>
      <c r="D13" s="90"/>
      <c r="E13" s="90"/>
      <c r="F13" s="90"/>
      <c r="G13" s="90"/>
      <c r="H13" s="90"/>
      <c r="I13" s="90"/>
      <c r="J13" s="90"/>
      <c r="K13" s="90"/>
      <c r="L13" s="90"/>
      <c r="M13" s="89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9"/>
      <c r="Z13" s="88"/>
      <c r="AA13" s="88"/>
      <c r="AB13" s="88"/>
      <c r="AC13" s="88"/>
      <c r="AD13" s="88">
        <v>20</v>
      </c>
      <c r="AE13" s="88"/>
      <c r="AF13" s="88"/>
      <c r="AG13" s="88"/>
      <c r="AH13" s="88"/>
      <c r="AI13" s="88"/>
      <c r="AJ13" s="88"/>
      <c r="AK13" s="88"/>
      <c r="AL13" s="88"/>
      <c r="AM13" s="88"/>
      <c r="AN13" s="88"/>
      <c r="AO13" s="88"/>
      <c r="AP13" s="88"/>
      <c r="AQ13" s="88"/>
      <c r="AR13" s="88"/>
      <c r="AS13" s="88"/>
      <c r="AT13" s="88"/>
      <c r="AU13" s="88"/>
      <c r="AV13" s="88"/>
      <c r="AW13" s="88"/>
    </row>
    <row r="14" spans="1:49">
      <c r="A14" s="85" t="s">
        <v>795</v>
      </c>
      <c r="B14" s="88"/>
      <c r="C14" s="88"/>
      <c r="D14" s="90"/>
      <c r="E14" s="90"/>
      <c r="F14" s="90"/>
      <c r="G14" s="90"/>
      <c r="H14" s="90"/>
      <c r="I14" s="90"/>
      <c r="J14" s="90"/>
      <c r="K14" s="90"/>
      <c r="L14" s="90"/>
      <c r="M14" s="89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9"/>
      <c r="Z14" s="88"/>
      <c r="AA14" s="88"/>
      <c r="AB14" s="88"/>
      <c r="AC14" s="88"/>
      <c r="AD14" s="88"/>
      <c r="AE14" s="88"/>
      <c r="AF14" s="88"/>
      <c r="AG14" s="88"/>
      <c r="AH14" s="88"/>
      <c r="AI14" s="88"/>
      <c r="AJ14" s="88"/>
      <c r="AK14" s="88"/>
      <c r="AL14" s="88"/>
      <c r="AM14" s="88">
        <v>50</v>
      </c>
      <c r="AN14" s="88"/>
      <c r="AO14" s="88"/>
      <c r="AP14" s="88"/>
      <c r="AQ14" s="88"/>
      <c r="AR14" s="88"/>
      <c r="AS14" s="88"/>
      <c r="AT14" s="88"/>
      <c r="AU14" s="88"/>
      <c r="AV14" s="88"/>
      <c r="AW14" s="88"/>
    </row>
    <row r="15" spans="1:49">
      <c r="A15" s="85" t="s">
        <v>796</v>
      </c>
      <c r="B15" s="88"/>
      <c r="C15" s="88"/>
      <c r="D15" s="90"/>
      <c r="E15" s="90"/>
      <c r="F15" s="90"/>
      <c r="G15" s="90"/>
      <c r="H15" s="90"/>
      <c r="I15" s="90"/>
      <c r="J15" s="90"/>
      <c r="K15" s="90"/>
      <c r="L15" s="90"/>
      <c r="M15" s="89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9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>
        <v>80</v>
      </c>
      <c r="AN15" s="88"/>
      <c r="AO15" s="88"/>
      <c r="AP15" s="88"/>
      <c r="AQ15" s="88"/>
      <c r="AR15" s="88"/>
      <c r="AS15" s="88"/>
      <c r="AT15" s="88"/>
      <c r="AU15" s="88"/>
      <c r="AV15" s="88"/>
      <c r="AW15" s="88"/>
    </row>
    <row r="16" spans="1:49">
      <c r="A16" s="85" t="s">
        <v>33</v>
      </c>
      <c r="B16" s="88"/>
      <c r="C16" s="88"/>
      <c r="D16" s="90"/>
      <c r="E16" s="90"/>
      <c r="F16" s="90"/>
      <c r="G16" s="90"/>
      <c r="H16" s="90"/>
      <c r="I16" s="90"/>
      <c r="J16" s="90"/>
      <c r="K16" s="90"/>
      <c r="L16" s="90"/>
      <c r="M16" s="89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9"/>
      <c r="Z16" s="88"/>
      <c r="AA16" s="88"/>
      <c r="AB16" s="88"/>
      <c r="AC16" s="88">
        <v>100</v>
      </c>
      <c r="AD16" s="88"/>
      <c r="AE16" s="88"/>
      <c r="AF16" s="88"/>
      <c r="AG16" s="88"/>
      <c r="AH16" s="88"/>
      <c r="AI16" s="88"/>
      <c r="AJ16" s="88"/>
      <c r="AK16" s="88"/>
      <c r="AL16" s="88"/>
      <c r="AM16" s="88"/>
      <c r="AN16" s="88"/>
      <c r="AO16" s="88"/>
      <c r="AP16" s="88"/>
      <c r="AQ16" s="88"/>
      <c r="AR16" s="88"/>
      <c r="AS16" s="88"/>
      <c r="AT16" s="88"/>
      <c r="AU16" s="88"/>
      <c r="AV16" s="88"/>
      <c r="AW16" s="88"/>
    </row>
    <row r="17" spans="1:49">
      <c r="A17" s="85" t="s">
        <v>34</v>
      </c>
      <c r="B17" s="88">
        <v>11</v>
      </c>
      <c r="C17" s="88"/>
      <c r="D17" s="90"/>
      <c r="E17" s="90"/>
      <c r="F17" s="90"/>
      <c r="G17" s="90"/>
      <c r="H17" s="90"/>
      <c r="I17" s="90"/>
      <c r="J17" s="90"/>
      <c r="K17" s="90"/>
      <c r="L17" s="90"/>
      <c r="M17" s="89"/>
      <c r="N17" s="88"/>
      <c r="O17" s="88"/>
      <c r="P17" s="88"/>
      <c r="Q17" s="88"/>
      <c r="R17" s="88"/>
      <c r="S17" s="88"/>
      <c r="T17" s="88"/>
      <c r="U17" s="88"/>
      <c r="V17" s="88">
        <v>70</v>
      </c>
      <c r="W17" s="88"/>
      <c r="X17" s="88"/>
      <c r="Y17" s="89"/>
      <c r="Z17" s="88"/>
      <c r="AA17" s="88"/>
      <c r="AB17" s="88"/>
      <c r="AC17" s="88"/>
      <c r="AD17" s="88"/>
      <c r="AE17" s="88"/>
      <c r="AF17" s="88"/>
      <c r="AG17" s="88"/>
      <c r="AH17" s="88"/>
      <c r="AI17" s="88"/>
      <c r="AJ17" s="88"/>
      <c r="AK17" s="88"/>
      <c r="AL17" s="88"/>
      <c r="AM17" s="88"/>
      <c r="AN17" s="88"/>
      <c r="AO17" s="88"/>
      <c r="AP17" s="88"/>
      <c r="AQ17" s="88"/>
      <c r="AR17" s="88"/>
      <c r="AS17" s="88"/>
      <c r="AT17" s="88"/>
      <c r="AU17" s="88"/>
      <c r="AV17" s="88"/>
      <c r="AW17" s="88"/>
    </row>
    <row r="18" spans="1:49">
      <c r="A18" s="85" t="s">
        <v>16</v>
      </c>
      <c r="B18" s="88">
        <v>7</v>
      </c>
      <c r="C18" s="88"/>
      <c r="D18" s="90"/>
      <c r="E18" s="90"/>
      <c r="F18" s="90"/>
      <c r="G18" s="90"/>
      <c r="H18" s="90"/>
      <c r="I18" s="90"/>
      <c r="J18" s="90"/>
      <c r="K18" s="90"/>
      <c r="L18" s="90"/>
      <c r="M18" s="89">
        <v>2</v>
      </c>
      <c r="N18" s="88">
        <v>20</v>
      </c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9"/>
      <c r="Z18" s="88"/>
      <c r="AA18" s="88"/>
      <c r="AB18" s="88"/>
      <c r="AC18" s="88"/>
      <c r="AD18" s="88"/>
      <c r="AE18" s="88"/>
      <c r="AF18" s="88"/>
      <c r="AG18" s="88"/>
      <c r="AH18" s="88"/>
      <c r="AI18" s="88"/>
      <c r="AJ18" s="88"/>
      <c r="AK18" s="88"/>
      <c r="AL18" s="88"/>
      <c r="AM18" s="88"/>
      <c r="AN18" s="88"/>
      <c r="AO18" s="88"/>
      <c r="AP18" s="88"/>
      <c r="AQ18" s="88"/>
      <c r="AR18" s="88"/>
      <c r="AS18" s="88"/>
      <c r="AT18" s="88"/>
      <c r="AU18" s="88"/>
      <c r="AV18" s="88"/>
      <c r="AW18" s="88"/>
    </row>
    <row r="19" spans="1:49">
      <c r="A19" s="85" t="s">
        <v>35</v>
      </c>
      <c r="B19" s="88">
        <v>6</v>
      </c>
      <c r="C19" s="88"/>
      <c r="D19" s="90"/>
      <c r="E19" s="90"/>
      <c r="F19" s="90"/>
      <c r="G19" s="90"/>
      <c r="H19" s="90"/>
      <c r="I19" s="90"/>
      <c r="J19" s="90"/>
      <c r="K19" s="90"/>
      <c r="L19" s="90" t="s">
        <v>783</v>
      </c>
      <c r="M19" s="89">
        <v>1</v>
      </c>
      <c r="N19" s="88">
        <v>10</v>
      </c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9"/>
      <c r="Z19" s="88"/>
      <c r="AA19" s="88"/>
      <c r="AB19" s="88"/>
      <c r="AC19" s="88"/>
      <c r="AD19" s="88"/>
      <c r="AE19" s="88"/>
      <c r="AF19" s="88"/>
      <c r="AG19" s="88"/>
      <c r="AH19" s="88"/>
      <c r="AI19" s="88"/>
      <c r="AJ19" s="88"/>
      <c r="AK19" s="88"/>
      <c r="AL19" s="88"/>
      <c r="AM19" s="88"/>
      <c r="AN19" s="88"/>
      <c r="AO19" s="88"/>
      <c r="AP19" s="88"/>
      <c r="AQ19" s="88"/>
      <c r="AR19" s="88"/>
      <c r="AS19" s="88"/>
      <c r="AT19" s="88"/>
      <c r="AU19" s="88"/>
      <c r="AV19" s="88"/>
      <c r="AW19" s="88"/>
    </row>
    <row r="20" spans="1:49">
      <c r="A20" s="85" t="s">
        <v>36</v>
      </c>
      <c r="B20" s="88">
        <v>3</v>
      </c>
      <c r="C20" s="88"/>
      <c r="D20" s="90"/>
      <c r="E20" s="90"/>
      <c r="F20" s="90"/>
      <c r="G20" s="90"/>
      <c r="H20" s="90"/>
      <c r="I20" s="90" t="s">
        <v>37</v>
      </c>
      <c r="J20" s="90"/>
      <c r="K20" s="90"/>
      <c r="L20" s="90"/>
      <c r="M20" s="89"/>
      <c r="N20" s="88">
        <v>7</v>
      </c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89"/>
      <c r="Z20" s="88"/>
      <c r="AA20" s="88"/>
      <c r="AB20" s="88"/>
      <c r="AC20" s="88"/>
      <c r="AD20" s="88">
        <v>7</v>
      </c>
      <c r="AE20" s="88"/>
      <c r="AF20" s="88"/>
      <c r="AG20" s="88"/>
      <c r="AH20" s="88"/>
      <c r="AI20" s="88"/>
      <c r="AJ20" s="88"/>
      <c r="AK20" s="88"/>
      <c r="AL20" s="88"/>
      <c r="AM20" s="88"/>
      <c r="AN20" s="88"/>
      <c r="AO20" s="88"/>
      <c r="AP20" s="88"/>
      <c r="AQ20" s="88"/>
      <c r="AR20" s="88"/>
      <c r="AS20" s="88"/>
      <c r="AT20" s="88"/>
      <c r="AU20" s="88"/>
      <c r="AV20" s="88"/>
      <c r="AW20" s="88"/>
    </row>
    <row r="21" spans="1:49">
      <c r="A21" s="85" t="s">
        <v>38</v>
      </c>
      <c r="B21" s="88">
        <v>3</v>
      </c>
      <c r="C21" s="88"/>
      <c r="D21" s="90"/>
      <c r="E21" s="90"/>
      <c r="F21" s="90"/>
      <c r="G21" s="90"/>
      <c r="H21" s="90"/>
      <c r="I21" s="90" t="s">
        <v>39</v>
      </c>
      <c r="J21" s="90"/>
      <c r="K21" s="90"/>
      <c r="L21" s="90"/>
      <c r="M21" s="89"/>
      <c r="N21" s="88">
        <v>7</v>
      </c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9"/>
      <c r="Z21" s="88"/>
      <c r="AA21" s="88"/>
      <c r="AB21" s="88"/>
      <c r="AC21" s="88"/>
      <c r="AD21" s="88">
        <v>7</v>
      </c>
      <c r="AE21" s="88"/>
      <c r="AF21" s="88"/>
      <c r="AG21" s="88"/>
      <c r="AH21" s="88"/>
      <c r="AI21" s="88"/>
      <c r="AJ21" s="88"/>
      <c r="AK21" s="88"/>
      <c r="AL21" s="88"/>
      <c r="AM21" s="88"/>
      <c r="AN21" s="88"/>
      <c r="AO21" s="88"/>
      <c r="AP21" s="88"/>
      <c r="AQ21" s="88"/>
      <c r="AR21" s="88"/>
      <c r="AS21" s="88"/>
      <c r="AT21" s="88"/>
      <c r="AU21" s="88"/>
      <c r="AV21" s="88"/>
      <c r="AW21" s="88"/>
    </row>
    <row r="22" spans="1:49">
      <c r="A22" s="85" t="s">
        <v>40</v>
      </c>
      <c r="B22" s="88">
        <v>3</v>
      </c>
      <c r="C22" s="88"/>
      <c r="D22" s="90"/>
      <c r="E22" s="90"/>
      <c r="F22" s="90"/>
      <c r="G22" s="90"/>
      <c r="H22" s="90"/>
      <c r="I22" s="90" t="s">
        <v>41</v>
      </c>
      <c r="J22" s="90"/>
      <c r="K22" s="90"/>
      <c r="L22" s="90"/>
      <c r="M22" s="89"/>
      <c r="N22" s="88">
        <v>7</v>
      </c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9"/>
      <c r="Z22" s="88"/>
      <c r="AA22" s="88"/>
      <c r="AB22" s="88"/>
      <c r="AC22" s="88"/>
      <c r="AD22" s="88">
        <v>7</v>
      </c>
      <c r="AE22" s="88"/>
      <c r="AF22" s="88"/>
      <c r="AG22" s="88"/>
      <c r="AH22" s="88"/>
      <c r="AI22" s="88"/>
      <c r="AJ22" s="88"/>
      <c r="AK22" s="88"/>
      <c r="AL22" s="88"/>
      <c r="AM22" s="88"/>
      <c r="AN22" s="88"/>
      <c r="AO22" s="88"/>
      <c r="AP22" s="88"/>
      <c r="AQ22" s="88"/>
      <c r="AR22" s="88"/>
      <c r="AS22" s="88"/>
      <c r="AT22" s="88"/>
      <c r="AU22" s="88"/>
      <c r="AV22" s="88"/>
      <c r="AW22" s="88"/>
    </row>
    <row r="23" spans="1:49">
      <c r="A23" s="85" t="s">
        <v>42</v>
      </c>
      <c r="B23" s="88">
        <v>3</v>
      </c>
      <c r="C23" s="88"/>
      <c r="D23" s="90"/>
      <c r="E23" s="90"/>
      <c r="F23" s="90"/>
      <c r="G23" s="90"/>
      <c r="H23" s="90"/>
      <c r="I23" s="90" t="s">
        <v>43</v>
      </c>
      <c r="J23" s="90"/>
      <c r="K23" s="90"/>
      <c r="L23" s="90"/>
      <c r="M23" s="89"/>
      <c r="N23" s="88">
        <v>7</v>
      </c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9"/>
      <c r="Z23" s="88"/>
      <c r="AA23" s="88"/>
      <c r="AB23" s="88"/>
      <c r="AC23" s="88"/>
      <c r="AD23" s="88">
        <v>7</v>
      </c>
      <c r="AE23" s="88"/>
      <c r="AF23" s="88"/>
      <c r="AG23" s="88"/>
      <c r="AH23" s="88"/>
      <c r="AI23" s="88"/>
      <c r="AJ23" s="88"/>
      <c r="AK23" s="88"/>
      <c r="AL23" s="88"/>
      <c r="AM23" s="88"/>
      <c r="AN23" s="88"/>
      <c r="AO23" s="88"/>
      <c r="AP23" s="88"/>
      <c r="AQ23" s="88"/>
      <c r="AR23" s="88"/>
      <c r="AS23" s="88"/>
      <c r="AT23" s="88"/>
      <c r="AU23" s="88"/>
      <c r="AV23" s="88"/>
      <c r="AW23" s="88"/>
    </row>
    <row r="24" spans="1:49">
      <c r="A24" s="85" t="s">
        <v>44</v>
      </c>
      <c r="B24" s="88">
        <v>5</v>
      </c>
      <c r="C24" s="88"/>
      <c r="D24" s="90"/>
      <c r="E24" s="90"/>
      <c r="F24" s="90"/>
      <c r="G24" s="90"/>
      <c r="H24" s="90"/>
      <c r="I24" s="90"/>
      <c r="J24" s="90" t="s">
        <v>45</v>
      </c>
      <c r="K24" s="90"/>
      <c r="L24" s="90"/>
      <c r="M24" s="89"/>
      <c r="N24" s="88"/>
      <c r="O24" s="88"/>
      <c r="P24" s="88">
        <v>10</v>
      </c>
      <c r="Q24" s="88"/>
      <c r="R24" s="88"/>
      <c r="S24" s="88"/>
      <c r="T24" s="88"/>
      <c r="U24" s="88"/>
      <c r="V24" s="88"/>
      <c r="W24" s="88"/>
      <c r="X24" s="88"/>
      <c r="Y24" s="89"/>
      <c r="Z24" s="88"/>
      <c r="AA24" s="88"/>
      <c r="AB24" s="88"/>
      <c r="AC24" s="88"/>
      <c r="AD24" s="88"/>
      <c r="AE24" s="88"/>
      <c r="AF24" s="88"/>
      <c r="AG24" s="88"/>
      <c r="AH24" s="88"/>
      <c r="AI24" s="88"/>
      <c r="AJ24" s="88"/>
      <c r="AK24" s="88"/>
      <c r="AL24" s="88"/>
      <c r="AM24" s="88"/>
      <c r="AN24" s="88"/>
      <c r="AO24" s="88"/>
      <c r="AP24" s="88"/>
      <c r="AQ24" s="88"/>
      <c r="AR24" s="88"/>
      <c r="AS24" s="88"/>
      <c r="AT24" s="88"/>
      <c r="AU24" s="88"/>
      <c r="AV24" s="88"/>
      <c r="AW24" s="88"/>
    </row>
    <row r="25" spans="1:49">
      <c r="A25" s="85" t="s">
        <v>46</v>
      </c>
      <c r="B25" s="88">
        <v>5</v>
      </c>
      <c r="C25" s="88"/>
      <c r="D25" s="90"/>
      <c r="E25" s="90"/>
      <c r="F25" s="90"/>
      <c r="G25" s="90"/>
      <c r="H25" s="90"/>
      <c r="I25" s="90"/>
      <c r="J25" s="90" t="s">
        <v>47</v>
      </c>
      <c r="K25" s="90"/>
      <c r="L25" s="90"/>
      <c r="M25" s="89"/>
      <c r="N25" s="88"/>
      <c r="O25" s="88"/>
      <c r="P25" s="88"/>
      <c r="Q25" s="88">
        <v>10</v>
      </c>
      <c r="R25" s="88"/>
      <c r="S25" s="88"/>
      <c r="T25" s="88"/>
      <c r="U25" s="88"/>
      <c r="V25" s="88"/>
      <c r="W25" s="88"/>
      <c r="X25" s="88"/>
      <c r="Y25" s="89"/>
      <c r="Z25" s="88"/>
      <c r="AA25" s="88"/>
      <c r="AB25" s="88"/>
      <c r="AC25" s="88"/>
      <c r="AD25" s="88"/>
      <c r="AE25" s="88"/>
      <c r="AF25" s="88"/>
      <c r="AG25" s="88"/>
      <c r="AH25" s="88"/>
      <c r="AI25" s="88"/>
      <c r="AJ25" s="88"/>
      <c r="AK25" s="88"/>
      <c r="AL25" s="88"/>
      <c r="AM25" s="88"/>
      <c r="AN25" s="88"/>
      <c r="AO25" s="88"/>
      <c r="AP25" s="88"/>
      <c r="AQ25" s="88"/>
      <c r="AR25" s="88"/>
      <c r="AS25" s="88"/>
      <c r="AT25" s="88"/>
      <c r="AU25" s="88"/>
      <c r="AV25" s="88"/>
      <c r="AW25" s="88"/>
    </row>
    <row r="26" spans="1:49">
      <c r="A26" s="85" t="s">
        <v>48</v>
      </c>
      <c r="B26" s="88">
        <v>5</v>
      </c>
      <c r="C26" s="88"/>
      <c r="D26" s="90"/>
      <c r="E26" s="90"/>
      <c r="F26" s="90"/>
      <c r="G26" s="90"/>
      <c r="H26" s="90"/>
      <c r="I26" s="90"/>
      <c r="J26" s="90"/>
      <c r="K26" s="90" t="s">
        <v>49</v>
      </c>
      <c r="L26" s="90"/>
      <c r="M26" s="89"/>
      <c r="N26" s="88"/>
      <c r="O26" s="88"/>
      <c r="P26" s="88"/>
      <c r="Q26" s="88"/>
      <c r="R26" s="88"/>
      <c r="S26" s="88">
        <v>10</v>
      </c>
      <c r="T26" s="88"/>
      <c r="U26" s="88"/>
      <c r="V26" s="88"/>
      <c r="W26" s="88"/>
      <c r="X26" s="88"/>
      <c r="Y26" s="89"/>
      <c r="Z26" s="88"/>
      <c r="AA26" s="88"/>
      <c r="AB26" s="88"/>
      <c r="AC26" s="88"/>
      <c r="AD26" s="88"/>
      <c r="AE26" s="88"/>
      <c r="AF26" s="88"/>
      <c r="AG26" s="88"/>
      <c r="AH26" s="88"/>
      <c r="AI26" s="88"/>
      <c r="AJ26" s="88"/>
      <c r="AK26" s="88"/>
      <c r="AL26" s="88"/>
      <c r="AM26" s="88"/>
      <c r="AN26" s="88"/>
      <c r="AO26" s="88"/>
      <c r="AP26" s="88"/>
      <c r="AQ26" s="88"/>
      <c r="AR26" s="88"/>
      <c r="AS26" s="88"/>
      <c r="AT26" s="88"/>
      <c r="AU26" s="88"/>
      <c r="AV26" s="88"/>
      <c r="AW26" s="88"/>
    </row>
    <row r="27" spans="1:49" ht="15.75" customHeight="1">
      <c r="A27" s="85" t="s">
        <v>50</v>
      </c>
      <c r="B27" s="88">
        <v>5</v>
      </c>
      <c r="C27" s="88"/>
      <c r="D27" s="90"/>
      <c r="E27" s="90"/>
      <c r="F27" s="90"/>
      <c r="G27" s="90"/>
      <c r="H27" s="90"/>
      <c r="I27" s="90"/>
      <c r="J27" s="90"/>
      <c r="K27" s="90" t="s">
        <v>51</v>
      </c>
      <c r="L27" s="90"/>
      <c r="M27" s="89"/>
      <c r="N27" s="88"/>
      <c r="O27" s="88"/>
      <c r="P27" s="88"/>
      <c r="Q27" s="88"/>
      <c r="R27" s="88"/>
      <c r="S27" s="88"/>
      <c r="T27" s="88">
        <v>10</v>
      </c>
      <c r="U27" s="88"/>
      <c r="V27" s="88"/>
      <c r="W27" s="88"/>
      <c r="X27" s="88"/>
      <c r="Y27" s="89"/>
      <c r="Z27" s="88"/>
      <c r="AA27" s="88"/>
      <c r="AB27" s="88"/>
      <c r="AC27" s="88"/>
      <c r="AD27" s="88"/>
      <c r="AE27" s="88"/>
      <c r="AF27" s="88"/>
      <c r="AG27" s="88"/>
      <c r="AH27" s="88"/>
      <c r="AI27" s="88"/>
      <c r="AJ27" s="88"/>
      <c r="AK27" s="88"/>
      <c r="AL27" s="88"/>
      <c r="AM27" s="88"/>
      <c r="AN27" s="88"/>
      <c r="AO27" s="88"/>
      <c r="AP27" s="88"/>
      <c r="AQ27" s="88"/>
      <c r="AR27" s="88"/>
      <c r="AS27" s="88"/>
      <c r="AT27" s="88"/>
      <c r="AU27" s="88"/>
      <c r="AV27" s="88"/>
      <c r="AW27" s="88"/>
    </row>
    <row r="28" spans="1:49" ht="15.75" customHeight="1">
      <c r="A28" s="85" t="s">
        <v>52</v>
      </c>
      <c r="B28" s="88">
        <v>5</v>
      </c>
      <c r="C28" s="88"/>
      <c r="D28" s="90"/>
      <c r="E28" s="90"/>
      <c r="F28" s="90"/>
      <c r="G28" s="90"/>
      <c r="H28" s="90"/>
      <c r="I28" s="90"/>
      <c r="J28" s="90"/>
      <c r="K28" s="90" t="s">
        <v>53</v>
      </c>
      <c r="L28" s="90"/>
      <c r="M28" s="89"/>
      <c r="N28" s="88"/>
      <c r="O28" s="88"/>
      <c r="P28" s="88"/>
      <c r="Q28" s="88"/>
      <c r="R28" s="88"/>
      <c r="S28" s="88"/>
      <c r="T28" s="88"/>
      <c r="U28" s="88">
        <v>10</v>
      </c>
      <c r="V28" s="88"/>
      <c r="W28" s="88"/>
      <c r="X28" s="88"/>
      <c r="Y28" s="89"/>
      <c r="Z28" s="88"/>
      <c r="AA28" s="88"/>
      <c r="AB28" s="88"/>
      <c r="AC28" s="88"/>
      <c r="AD28" s="88"/>
      <c r="AE28" s="88"/>
      <c r="AF28" s="88"/>
      <c r="AG28" s="88"/>
      <c r="AH28" s="88"/>
      <c r="AI28" s="88"/>
      <c r="AJ28" s="88"/>
      <c r="AK28" s="88"/>
      <c r="AL28" s="88"/>
      <c r="AM28" s="88"/>
      <c r="AN28" s="88"/>
      <c r="AO28" s="88"/>
      <c r="AP28" s="88"/>
      <c r="AQ28" s="88"/>
      <c r="AR28" s="88"/>
      <c r="AS28" s="88"/>
      <c r="AT28" s="88"/>
      <c r="AU28" s="88"/>
      <c r="AV28" s="88"/>
      <c r="AW28" s="88"/>
    </row>
    <row r="29" spans="1:49" ht="15.75" customHeight="1">
      <c r="A29" s="85" t="s">
        <v>54</v>
      </c>
      <c r="B29" s="88">
        <v>8</v>
      </c>
      <c r="C29" s="88"/>
      <c r="D29" s="90"/>
      <c r="E29" s="90"/>
      <c r="F29" s="90"/>
      <c r="G29" s="90"/>
      <c r="H29" s="90"/>
      <c r="I29" s="90"/>
      <c r="J29" s="90"/>
      <c r="K29" s="90"/>
      <c r="L29" s="90"/>
      <c r="M29" s="89"/>
      <c r="N29" s="88">
        <v>30</v>
      </c>
      <c r="O29" s="88"/>
      <c r="P29" s="88"/>
      <c r="Q29" s="88"/>
      <c r="R29" s="88"/>
      <c r="S29" s="88"/>
      <c r="T29" s="88"/>
      <c r="U29" s="88"/>
      <c r="V29" s="88"/>
      <c r="W29" s="88"/>
      <c r="X29" s="88"/>
      <c r="Y29" s="89"/>
      <c r="Z29" s="88"/>
      <c r="AA29" s="88"/>
      <c r="AB29" s="88"/>
      <c r="AC29" s="88"/>
      <c r="AD29" s="88"/>
      <c r="AE29" s="88"/>
      <c r="AF29" s="88"/>
      <c r="AG29" s="88"/>
      <c r="AH29" s="88"/>
      <c r="AI29" s="88"/>
      <c r="AJ29" s="88"/>
      <c r="AK29" s="88"/>
      <c r="AL29" s="88"/>
      <c r="AM29" s="88"/>
      <c r="AN29" s="88"/>
      <c r="AO29" s="88"/>
      <c r="AP29" s="88"/>
      <c r="AQ29" s="88"/>
      <c r="AR29" s="88"/>
      <c r="AS29" s="88"/>
      <c r="AT29" s="88"/>
      <c r="AU29" s="88"/>
      <c r="AV29" s="88"/>
      <c r="AW29" s="88"/>
    </row>
    <row r="30" spans="1:49" ht="15.75" customHeight="1">
      <c r="A30" s="85" t="s">
        <v>55</v>
      </c>
      <c r="B30" s="88"/>
      <c r="C30" s="88"/>
      <c r="D30" s="90"/>
      <c r="E30" s="90"/>
      <c r="F30" s="90"/>
      <c r="G30" s="90"/>
      <c r="H30" s="90"/>
      <c r="I30" s="90"/>
      <c r="J30" s="90"/>
      <c r="K30" s="90"/>
      <c r="L30" s="90"/>
      <c r="M30" s="89"/>
      <c r="N30" s="88"/>
      <c r="O30" s="88"/>
      <c r="P30" s="88"/>
      <c r="Q30" s="88"/>
      <c r="R30" s="88"/>
      <c r="S30" s="88"/>
      <c r="T30" s="88"/>
      <c r="U30" s="88"/>
      <c r="V30" s="88"/>
      <c r="W30" s="88">
        <v>10</v>
      </c>
      <c r="X30" s="88"/>
      <c r="Y30" s="89"/>
      <c r="Z30" s="88"/>
      <c r="AA30" s="88"/>
      <c r="AB30" s="88"/>
      <c r="AC30" s="88"/>
      <c r="AD30" s="88"/>
      <c r="AE30" s="88"/>
      <c r="AF30" s="88"/>
      <c r="AG30" s="88"/>
      <c r="AH30" s="88"/>
      <c r="AI30" s="88"/>
      <c r="AJ30" s="88"/>
      <c r="AK30" s="88"/>
      <c r="AL30" s="88"/>
      <c r="AM30" s="88"/>
      <c r="AN30" s="88"/>
      <c r="AO30" s="88"/>
      <c r="AP30" s="88"/>
      <c r="AQ30" s="88"/>
      <c r="AR30" s="88"/>
      <c r="AS30" s="88"/>
      <c r="AT30" s="88"/>
      <c r="AU30" s="88"/>
      <c r="AV30" s="88"/>
      <c r="AW30" s="88"/>
    </row>
    <row r="31" spans="1:49" ht="15.75" customHeight="1">
      <c r="A31" s="85" t="s">
        <v>20</v>
      </c>
      <c r="B31" s="88"/>
      <c r="C31" s="88"/>
      <c r="D31" s="90"/>
      <c r="E31" s="90"/>
      <c r="F31" s="90"/>
      <c r="G31" s="90"/>
      <c r="H31" s="90"/>
      <c r="I31" s="90"/>
      <c r="J31" s="90"/>
      <c r="K31" s="90"/>
      <c r="L31" s="90"/>
      <c r="M31" s="89"/>
      <c r="N31" s="88"/>
      <c r="O31" s="88"/>
      <c r="P31" s="88"/>
      <c r="Q31" s="88"/>
      <c r="R31" s="88"/>
      <c r="S31" s="88"/>
      <c r="T31" s="88"/>
      <c r="U31" s="88"/>
      <c r="V31" s="88"/>
      <c r="W31" s="88">
        <v>20</v>
      </c>
      <c r="X31" s="88"/>
      <c r="Y31" s="89"/>
      <c r="Z31" s="88"/>
      <c r="AA31" s="88"/>
      <c r="AB31" s="88"/>
      <c r="AC31" s="88"/>
      <c r="AD31" s="88"/>
      <c r="AE31" s="88"/>
      <c r="AF31" s="88"/>
      <c r="AG31" s="88"/>
      <c r="AH31" s="88"/>
      <c r="AI31" s="88"/>
      <c r="AJ31" s="88"/>
      <c r="AK31" s="88"/>
      <c r="AL31" s="88"/>
      <c r="AM31" s="88"/>
      <c r="AN31" s="88"/>
      <c r="AO31" s="88"/>
      <c r="AP31" s="88"/>
      <c r="AQ31" s="88"/>
      <c r="AR31" s="88"/>
      <c r="AS31" s="88"/>
      <c r="AT31" s="88"/>
      <c r="AU31" s="88"/>
      <c r="AV31" s="88"/>
      <c r="AW31" s="88"/>
    </row>
    <row r="32" spans="1:49" ht="15.75" customHeight="1">
      <c r="A32" s="85" t="s">
        <v>803</v>
      </c>
      <c r="B32" s="88"/>
      <c r="C32" s="88"/>
      <c r="D32" s="90"/>
      <c r="E32" s="90"/>
      <c r="F32" s="90"/>
      <c r="G32" s="90"/>
      <c r="H32" s="90"/>
      <c r="I32" s="90"/>
      <c r="J32" s="90"/>
      <c r="K32" s="90"/>
      <c r="L32" s="90"/>
      <c r="M32" s="89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89"/>
      <c r="Z32" s="88"/>
      <c r="AA32" s="88"/>
      <c r="AB32" s="88"/>
      <c r="AC32" s="88"/>
      <c r="AD32" s="88"/>
      <c r="AE32" s="88"/>
      <c r="AF32" s="88"/>
      <c r="AG32" s="88"/>
      <c r="AH32" s="88"/>
      <c r="AI32" s="88"/>
      <c r="AJ32" s="88"/>
      <c r="AK32" s="88"/>
      <c r="AL32" s="88"/>
      <c r="AM32" s="88"/>
      <c r="AN32" s="88"/>
      <c r="AO32" s="88"/>
      <c r="AP32" s="88"/>
      <c r="AQ32" s="88"/>
      <c r="AR32" s="88"/>
      <c r="AS32" s="88"/>
      <c r="AT32" s="88">
        <v>-50</v>
      </c>
      <c r="AU32" s="88"/>
      <c r="AV32" s="88"/>
      <c r="AW32" s="88"/>
    </row>
    <row r="33" spans="1:49" ht="15.75" customHeight="1">
      <c r="A33" s="85" t="s">
        <v>804</v>
      </c>
      <c r="B33" s="88"/>
      <c r="C33" s="88"/>
      <c r="D33" s="90"/>
      <c r="E33" s="90"/>
      <c r="F33" s="90"/>
      <c r="G33" s="90"/>
      <c r="H33" s="90"/>
      <c r="I33" s="90"/>
      <c r="J33" s="90"/>
      <c r="K33" s="90"/>
      <c r="L33" s="90"/>
      <c r="M33" s="89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9"/>
      <c r="Z33" s="88"/>
      <c r="AA33" s="88"/>
      <c r="AB33" s="88"/>
      <c r="AC33" s="88"/>
      <c r="AD33" s="88"/>
      <c r="AE33" s="88"/>
      <c r="AF33" s="88"/>
      <c r="AG33" s="88"/>
      <c r="AH33" s="88"/>
      <c r="AI33" s="88"/>
      <c r="AJ33" s="88"/>
      <c r="AK33" s="88"/>
      <c r="AL33" s="88"/>
      <c r="AM33" s="88"/>
      <c r="AN33" s="88"/>
      <c r="AO33" s="88"/>
      <c r="AP33" s="88"/>
      <c r="AQ33" s="88"/>
      <c r="AR33" s="88"/>
      <c r="AS33" s="88"/>
      <c r="AT33" s="88"/>
      <c r="AU33" s="88">
        <v>-50</v>
      </c>
      <c r="AV33" s="88"/>
      <c r="AW33" s="88"/>
    </row>
    <row r="34" spans="1:49" ht="15.75" customHeight="1">
      <c r="A34" s="85" t="s">
        <v>805</v>
      </c>
      <c r="B34" s="88"/>
      <c r="C34" s="88"/>
      <c r="D34" s="90"/>
      <c r="E34" s="90"/>
      <c r="F34" s="90"/>
      <c r="G34" s="90"/>
      <c r="H34" s="90"/>
      <c r="I34" s="90"/>
      <c r="J34" s="90"/>
      <c r="K34" s="90"/>
      <c r="L34" s="90"/>
      <c r="M34" s="89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9"/>
      <c r="Z34" s="88"/>
      <c r="AA34" s="88"/>
      <c r="AB34" s="88"/>
      <c r="AC34" s="88"/>
      <c r="AD34" s="88"/>
      <c r="AE34" s="88"/>
      <c r="AF34" s="88"/>
      <c r="AG34" s="88"/>
      <c r="AH34" s="88"/>
      <c r="AI34" s="88"/>
      <c r="AJ34" s="88"/>
      <c r="AK34" s="88"/>
      <c r="AL34" s="88"/>
      <c r="AM34" s="88"/>
      <c r="AN34" s="88"/>
      <c r="AO34" s="88"/>
      <c r="AP34" s="88"/>
      <c r="AQ34" s="88"/>
      <c r="AR34" s="88"/>
      <c r="AS34" s="88"/>
      <c r="AT34" s="88"/>
      <c r="AU34" s="88"/>
      <c r="AV34" s="88">
        <v>-50</v>
      </c>
      <c r="AW34" s="88"/>
    </row>
    <row r="35" spans="1:49" ht="15.75" customHeight="1">
      <c r="A35" s="85" t="s">
        <v>806</v>
      </c>
      <c r="B35" s="88"/>
      <c r="C35" s="88"/>
      <c r="D35" s="90"/>
      <c r="E35" s="90"/>
      <c r="F35" s="90"/>
      <c r="G35" s="90"/>
      <c r="H35" s="90"/>
      <c r="I35" s="90"/>
      <c r="J35" s="90"/>
      <c r="K35" s="90"/>
      <c r="L35" s="90"/>
      <c r="M35" s="89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88"/>
      <c r="Y35" s="89"/>
      <c r="Z35" s="88"/>
      <c r="AA35" s="88"/>
      <c r="AB35" s="88"/>
      <c r="AC35" s="88"/>
      <c r="AD35" s="88"/>
      <c r="AE35" s="88"/>
      <c r="AF35" s="88"/>
      <c r="AG35" s="88"/>
      <c r="AH35" s="88"/>
      <c r="AI35" s="88"/>
      <c r="AJ35" s="88"/>
      <c r="AK35" s="88"/>
      <c r="AL35" s="88"/>
      <c r="AM35" s="88"/>
      <c r="AN35" s="88"/>
      <c r="AO35" s="88"/>
      <c r="AP35" s="88"/>
      <c r="AQ35" s="88"/>
      <c r="AR35" s="88">
        <v>-50</v>
      </c>
      <c r="AS35" s="88"/>
      <c r="AT35" s="88"/>
      <c r="AU35" s="88"/>
      <c r="AV35" s="88"/>
      <c r="AW35" s="88"/>
    </row>
    <row r="36" spans="1:49" ht="15.75" customHeight="1">
      <c r="A36" s="85" t="s">
        <v>807</v>
      </c>
      <c r="B36" s="88"/>
      <c r="C36" s="88"/>
      <c r="D36" s="90"/>
      <c r="E36" s="90"/>
      <c r="F36" s="90"/>
      <c r="G36" s="90"/>
      <c r="H36" s="90"/>
      <c r="I36" s="90"/>
      <c r="J36" s="90"/>
      <c r="K36" s="90"/>
      <c r="L36" s="90"/>
      <c r="M36" s="89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9"/>
      <c r="Z36" s="88"/>
      <c r="AA36" s="88"/>
      <c r="AB36" s="88"/>
      <c r="AC36" s="88"/>
      <c r="AD36" s="88"/>
      <c r="AE36" s="88"/>
      <c r="AF36" s="88"/>
      <c r="AG36" s="88"/>
      <c r="AH36" s="88"/>
      <c r="AI36" s="88"/>
      <c r="AJ36" s="88"/>
      <c r="AK36" s="88"/>
      <c r="AL36" s="88"/>
      <c r="AM36" s="88"/>
      <c r="AN36" s="88"/>
      <c r="AO36" s="88"/>
      <c r="AP36" s="88"/>
      <c r="AQ36" s="88"/>
      <c r="AR36" s="88"/>
      <c r="AS36" s="88">
        <v>-50</v>
      </c>
      <c r="AT36" s="88"/>
      <c r="AU36" s="88"/>
      <c r="AV36" s="88"/>
      <c r="AW36" s="88"/>
    </row>
    <row r="37" spans="1:49" ht="15.75" customHeight="1">
      <c r="A37" s="85" t="s">
        <v>808</v>
      </c>
      <c r="B37" s="88"/>
      <c r="C37" s="88"/>
      <c r="D37" s="90"/>
      <c r="E37" s="90"/>
      <c r="F37" s="90"/>
      <c r="G37" s="90"/>
      <c r="H37" s="90"/>
      <c r="I37" s="90"/>
      <c r="J37" s="90"/>
      <c r="K37" s="90"/>
      <c r="L37" s="90"/>
      <c r="M37" s="89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9"/>
      <c r="Z37" s="88"/>
      <c r="AA37" s="88"/>
      <c r="AB37" s="88"/>
      <c r="AC37" s="88"/>
      <c r="AD37" s="88"/>
      <c r="AE37" s="88"/>
      <c r="AF37" s="88"/>
      <c r="AG37" s="88"/>
      <c r="AH37" s="88"/>
      <c r="AI37" s="88"/>
      <c r="AJ37" s="88"/>
      <c r="AK37" s="88"/>
      <c r="AL37" s="88"/>
      <c r="AM37" s="88"/>
      <c r="AN37" s="88"/>
      <c r="AO37" s="88"/>
      <c r="AP37" s="88"/>
      <c r="AQ37" s="88"/>
      <c r="AR37" s="88"/>
      <c r="AS37" s="88"/>
      <c r="AT37" s="88"/>
      <c r="AU37" s="88"/>
      <c r="AV37" s="88"/>
      <c r="AW37" s="88">
        <v>-50</v>
      </c>
    </row>
    <row r="38" spans="1:49" ht="15.75" customHeight="1">
      <c r="A38" s="85" t="s">
        <v>56</v>
      </c>
      <c r="B38" s="88">
        <v>9</v>
      </c>
      <c r="C38" s="88"/>
      <c r="D38" s="90"/>
      <c r="E38" s="90"/>
      <c r="F38" s="90"/>
      <c r="G38" s="90"/>
      <c r="H38" s="90"/>
      <c r="I38" s="90"/>
      <c r="J38" s="90"/>
      <c r="K38" s="90"/>
      <c r="L38" s="90"/>
      <c r="M38" s="89"/>
      <c r="N38" s="88">
        <v>20</v>
      </c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9"/>
      <c r="Z38" s="88"/>
      <c r="AA38" s="88"/>
      <c r="AB38" s="88"/>
      <c r="AC38" s="88"/>
      <c r="AD38" s="88"/>
      <c r="AE38" s="88"/>
      <c r="AF38" s="88"/>
      <c r="AG38" s="88"/>
      <c r="AH38" s="88"/>
      <c r="AI38" s="88"/>
      <c r="AJ38" s="88"/>
      <c r="AK38" s="88"/>
      <c r="AL38" s="88"/>
      <c r="AM38" s="88"/>
      <c r="AN38" s="88"/>
      <c r="AO38" s="88"/>
      <c r="AP38" s="88"/>
      <c r="AQ38" s="88"/>
      <c r="AR38" s="88"/>
      <c r="AS38" s="88"/>
      <c r="AT38" s="88"/>
      <c r="AU38" s="88"/>
      <c r="AV38" s="88"/>
      <c r="AW38" s="88"/>
    </row>
    <row r="39" spans="1:49" ht="15.75" customHeight="1">
      <c r="A39" s="85" t="s">
        <v>809</v>
      </c>
      <c r="B39" s="88"/>
      <c r="C39" s="88"/>
      <c r="D39" s="90"/>
      <c r="E39" s="90"/>
      <c r="F39" s="90" t="s">
        <v>37</v>
      </c>
      <c r="G39" s="90" t="s">
        <v>783</v>
      </c>
      <c r="H39" s="90"/>
      <c r="I39" s="90"/>
      <c r="J39" s="90"/>
      <c r="K39" s="90"/>
      <c r="L39" s="90"/>
      <c r="M39" s="89"/>
      <c r="N39" s="88"/>
      <c r="O39" s="88"/>
      <c r="P39" s="88"/>
      <c r="Q39" s="88"/>
      <c r="R39" s="88"/>
      <c r="S39" s="88"/>
      <c r="T39" s="88"/>
      <c r="U39" s="88"/>
      <c r="V39" s="88"/>
      <c r="W39" s="88"/>
      <c r="X39" s="88"/>
      <c r="Y39" s="89"/>
      <c r="Z39" s="88"/>
      <c r="AA39" s="88"/>
      <c r="AB39" s="88"/>
      <c r="AC39" s="88"/>
      <c r="AD39" s="88">
        <v>20</v>
      </c>
      <c r="AE39" s="88"/>
      <c r="AF39" s="88"/>
      <c r="AG39" s="88"/>
      <c r="AH39" s="88"/>
      <c r="AI39" s="88"/>
      <c r="AJ39" s="88"/>
      <c r="AK39" s="88"/>
      <c r="AL39" s="88"/>
      <c r="AM39" s="88"/>
      <c r="AN39" s="88"/>
      <c r="AO39" s="88"/>
      <c r="AP39" s="88"/>
      <c r="AQ39" s="88"/>
      <c r="AR39" s="88"/>
      <c r="AS39" s="88"/>
      <c r="AT39" s="88"/>
      <c r="AU39" s="88"/>
      <c r="AV39" s="88"/>
      <c r="AW39" s="88"/>
    </row>
    <row r="40" spans="1:49" ht="15.75" customHeight="1">
      <c r="A40" s="85" t="s">
        <v>810</v>
      </c>
      <c r="B40" s="88"/>
      <c r="C40" s="88"/>
      <c r="D40" s="90"/>
      <c r="E40" s="90"/>
      <c r="F40" s="90" t="s">
        <v>39</v>
      </c>
      <c r="G40" s="90" t="s">
        <v>783</v>
      </c>
      <c r="H40" s="90"/>
      <c r="I40" s="90"/>
      <c r="J40" s="90"/>
      <c r="K40" s="90"/>
      <c r="L40" s="90"/>
      <c r="M40" s="89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9"/>
      <c r="Z40" s="88"/>
      <c r="AA40" s="88"/>
      <c r="AB40" s="88"/>
      <c r="AC40" s="88"/>
      <c r="AD40" s="88">
        <v>20</v>
      </c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88"/>
      <c r="AS40" s="88"/>
      <c r="AT40" s="88"/>
      <c r="AU40" s="88"/>
      <c r="AV40" s="88"/>
      <c r="AW40" s="88"/>
    </row>
    <row r="41" spans="1:49" ht="15.75" customHeight="1">
      <c r="A41" s="85" t="s">
        <v>811</v>
      </c>
      <c r="B41" s="88"/>
      <c r="C41" s="88"/>
      <c r="D41" s="90"/>
      <c r="E41" s="90"/>
      <c r="F41" s="90" t="s">
        <v>41</v>
      </c>
      <c r="G41" s="90" t="s">
        <v>783</v>
      </c>
      <c r="H41" s="90"/>
      <c r="I41" s="90"/>
      <c r="J41" s="90"/>
      <c r="K41" s="90"/>
      <c r="L41" s="90"/>
      <c r="M41" s="89"/>
      <c r="N41" s="88"/>
      <c r="O41" s="88"/>
      <c r="P41" s="88"/>
      <c r="Q41" s="88"/>
      <c r="R41" s="88"/>
      <c r="S41" s="88"/>
      <c r="T41" s="88"/>
      <c r="U41" s="88"/>
      <c r="V41" s="88"/>
      <c r="W41" s="88"/>
      <c r="X41" s="88"/>
      <c r="Y41" s="89"/>
      <c r="Z41" s="88"/>
      <c r="AA41" s="88"/>
      <c r="AB41" s="88"/>
      <c r="AC41" s="88"/>
      <c r="AD41" s="88">
        <v>20</v>
      </c>
      <c r="AE41" s="88"/>
      <c r="AF41" s="88"/>
      <c r="AG41" s="88"/>
      <c r="AH41" s="88"/>
      <c r="AI41" s="88"/>
      <c r="AJ41" s="88"/>
      <c r="AK41" s="88"/>
      <c r="AL41" s="88"/>
      <c r="AM41" s="88"/>
      <c r="AN41" s="88"/>
      <c r="AO41" s="88"/>
      <c r="AP41" s="88"/>
      <c r="AQ41" s="88"/>
      <c r="AR41" s="88"/>
      <c r="AS41" s="88"/>
      <c r="AT41" s="88"/>
      <c r="AU41" s="88"/>
      <c r="AV41" s="88"/>
      <c r="AW41" s="88"/>
    </row>
    <row r="42" spans="1:49" ht="15.75" customHeight="1">
      <c r="A42" s="85" t="s">
        <v>812</v>
      </c>
      <c r="B42" s="88"/>
      <c r="C42" s="88"/>
      <c r="D42" s="90"/>
      <c r="E42" s="90"/>
      <c r="F42" s="90" t="s">
        <v>43</v>
      </c>
      <c r="G42" s="90" t="s">
        <v>783</v>
      </c>
      <c r="H42" s="90"/>
      <c r="I42" s="90"/>
      <c r="J42" s="90"/>
      <c r="K42" s="90"/>
      <c r="L42" s="90"/>
      <c r="M42" s="89"/>
      <c r="N42" s="88"/>
      <c r="O42" s="88"/>
      <c r="P42" s="88"/>
      <c r="Q42" s="88"/>
      <c r="R42" s="88"/>
      <c r="S42" s="88"/>
      <c r="T42" s="88"/>
      <c r="U42" s="88"/>
      <c r="V42" s="88"/>
      <c r="W42" s="88"/>
      <c r="X42" s="88"/>
      <c r="Y42" s="89"/>
      <c r="Z42" s="88"/>
      <c r="AA42" s="88"/>
      <c r="AB42" s="88"/>
      <c r="AC42" s="88"/>
      <c r="AD42" s="88">
        <v>20</v>
      </c>
      <c r="AE42" s="88"/>
      <c r="AF42" s="88"/>
      <c r="AG42" s="88"/>
      <c r="AH42" s="88"/>
      <c r="AI42" s="88"/>
      <c r="AJ42" s="88"/>
      <c r="AK42" s="88"/>
      <c r="AL42" s="88"/>
      <c r="AM42" s="88"/>
      <c r="AN42" s="88"/>
      <c r="AO42" s="88"/>
      <c r="AP42" s="88"/>
      <c r="AQ42" s="88"/>
      <c r="AR42" s="88"/>
      <c r="AS42" s="88"/>
      <c r="AT42" s="88"/>
      <c r="AU42" s="88"/>
      <c r="AV42" s="88"/>
      <c r="AW42" s="88"/>
    </row>
    <row r="43" spans="1:49" ht="15.75" customHeight="1">
      <c r="A43" s="85" t="s">
        <v>57</v>
      </c>
      <c r="B43" s="88"/>
      <c r="C43" s="88"/>
      <c r="D43" s="90"/>
      <c r="E43" s="90"/>
      <c r="F43" s="90"/>
      <c r="G43" s="90"/>
      <c r="H43" s="90"/>
      <c r="I43" s="90"/>
      <c r="J43" s="90"/>
      <c r="K43" s="90"/>
      <c r="L43" s="90"/>
      <c r="M43" s="89"/>
      <c r="N43" s="88"/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9"/>
      <c r="Z43" s="88"/>
      <c r="AA43" s="88"/>
      <c r="AB43" s="88"/>
      <c r="AC43" s="88">
        <v>10</v>
      </c>
      <c r="AD43" s="88"/>
      <c r="AE43" s="88"/>
      <c r="AF43" s="88"/>
      <c r="AG43" s="88"/>
      <c r="AH43" s="88"/>
      <c r="AI43" s="88"/>
      <c r="AJ43" s="88"/>
      <c r="AK43" s="88"/>
      <c r="AL43" s="88"/>
      <c r="AM43" s="88"/>
      <c r="AN43" s="88"/>
      <c r="AO43" s="88"/>
      <c r="AP43" s="88"/>
      <c r="AQ43" s="88"/>
      <c r="AR43" s="88"/>
      <c r="AS43" s="88"/>
      <c r="AT43" s="88"/>
      <c r="AU43" s="88"/>
      <c r="AV43" s="88"/>
      <c r="AW43" s="88"/>
    </row>
    <row r="44" spans="1:49" ht="15.75" customHeight="1">
      <c r="A44" s="85" t="s">
        <v>813</v>
      </c>
      <c r="B44" s="88"/>
      <c r="C44" s="88"/>
      <c r="D44" s="90"/>
      <c r="E44" s="90"/>
      <c r="F44" s="90" t="s">
        <v>37</v>
      </c>
      <c r="G44" s="90" t="s">
        <v>783</v>
      </c>
      <c r="H44" s="90"/>
      <c r="I44" s="90"/>
      <c r="J44" s="90"/>
      <c r="K44" s="90"/>
      <c r="L44" s="90"/>
      <c r="M44" s="89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9"/>
      <c r="Z44" s="88"/>
      <c r="AA44" s="88"/>
      <c r="AB44" s="88"/>
      <c r="AC44" s="88"/>
      <c r="AD44" s="88">
        <v>8</v>
      </c>
      <c r="AE44" s="88"/>
      <c r="AF44" s="88"/>
      <c r="AG44" s="88"/>
      <c r="AH44" s="88"/>
      <c r="AI44" s="88"/>
      <c r="AJ44" s="88"/>
      <c r="AK44" s="88"/>
      <c r="AL44" s="88"/>
      <c r="AM44" s="88"/>
      <c r="AN44" s="88"/>
      <c r="AO44" s="88"/>
      <c r="AP44" s="88"/>
      <c r="AQ44" s="88"/>
      <c r="AR44" s="88"/>
      <c r="AS44" s="88"/>
      <c r="AT44" s="88"/>
      <c r="AU44" s="88"/>
      <c r="AV44" s="88"/>
      <c r="AW44" s="88"/>
    </row>
    <row r="45" spans="1:49" ht="15.75" customHeight="1">
      <c r="A45" s="85" t="s">
        <v>814</v>
      </c>
      <c r="B45" s="88"/>
      <c r="C45" s="88"/>
      <c r="D45" s="90"/>
      <c r="E45" s="90"/>
      <c r="F45" s="90"/>
      <c r="G45" s="90"/>
      <c r="H45" s="90"/>
      <c r="I45" s="90"/>
      <c r="J45" s="90"/>
      <c r="K45" s="90"/>
      <c r="L45" s="90"/>
      <c r="M45" s="89"/>
      <c r="N45" s="88"/>
      <c r="O45" s="88"/>
      <c r="P45" s="88"/>
      <c r="Q45" s="88"/>
      <c r="R45" s="88"/>
      <c r="S45" s="88"/>
      <c r="T45" s="88"/>
      <c r="U45" s="88"/>
      <c r="V45" s="88"/>
      <c r="W45" s="88"/>
      <c r="X45" s="88"/>
      <c r="Y45" s="89"/>
      <c r="Z45" s="88"/>
      <c r="AA45" s="88"/>
      <c r="AB45" s="88"/>
      <c r="AC45" s="88"/>
      <c r="AD45" s="88"/>
      <c r="AE45" s="88"/>
      <c r="AF45" s="88"/>
      <c r="AG45" s="88"/>
      <c r="AH45" s="88"/>
      <c r="AI45" s="88"/>
      <c r="AJ45" s="88"/>
      <c r="AK45" s="88"/>
      <c r="AL45" s="88">
        <v>10</v>
      </c>
      <c r="AM45" s="88">
        <v>10</v>
      </c>
      <c r="AN45" s="88">
        <v>10</v>
      </c>
      <c r="AO45" s="88">
        <v>10</v>
      </c>
      <c r="AP45" s="88">
        <v>10</v>
      </c>
      <c r="AQ45" s="88">
        <v>10</v>
      </c>
      <c r="AR45" s="88"/>
      <c r="AS45" s="88"/>
      <c r="AT45" s="88"/>
      <c r="AU45" s="88"/>
      <c r="AV45" s="88"/>
      <c r="AW45" s="88"/>
    </row>
    <row r="46" spans="1:49" ht="15.75" customHeight="1">
      <c r="A46" s="85" t="s">
        <v>58</v>
      </c>
      <c r="B46" s="88"/>
      <c r="C46" s="88"/>
      <c r="D46" s="90"/>
      <c r="E46" s="90"/>
      <c r="F46" s="90"/>
      <c r="G46" s="90"/>
      <c r="H46" s="90"/>
      <c r="I46" s="90"/>
      <c r="J46" s="90"/>
      <c r="K46" s="90"/>
      <c r="L46" s="90"/>
      <c r="M46" s="89"/>
      <c r="N46" s="88">
        <v>50</v>
      </c>
      <c r="O46" s="88"/>
      <c r="P46" s="88"/>
      <c r="Q46" s="88"/>
      <c r="R46" s="88"/>
      <c r="S46" s="88"/>
      <c r="T46" s="88"/>
      <c r="U46" s="88"/>
      <c r="V46" s="88"/>
      <c r="W46" s="88"/>
      <c r="X46" s="88"/>
      <c r="Y46" s="89"/>
      <c r="Z46" s="88"/>
      <c r="AA46" s="88"/>
      <c r="AB46" s="88"/>
      <c r="AC46" s="88"/>
      <c r="AD46" s="88"/>
      <c r="AE46" s="88"/>
      <c r="AF46" s="88"/>
      <c r="AG46" s="88"/>
      <c r="AH46" s="88"/>
      <c r="AI46" s="88"/>
      <c r="AJ46" s="88"/>
      <c r="AK46" s="88"/>
      <c r="AL46" s="88"/>
      <c r="AM46" s="88"/>
      <c r="AN46" s="88"/>
      <c r="AO46" s="88"/>
      <c r="AP46" s="88"/>
      <c r="AQ46" s="88"/>
      <c r="AR46" s="88"/>
      <c r="AS46" s="88"/>
      <c r="AT46" s="88"/>
      <c r="AU46" s="88"/>
      <c r="AV46" s="88"/>
      <c r="AW46" s="88"/>
    </row>
    <row r="47" spans="1:49" ht="15.75" customHeight="1">
      <c r="A47" s="85" t="s">
        <v>59</v>
      </c>
      <c r="B47" s="88">
        <v>4</v>
      </c>
      <c r="C47" s="88"/>
      <c r="D47" s="90"/>
      <c r="E47" s="90"/>
      <c r="F47" s="90"/>
      <c r="G47" s="90"/>
      <c r="H47" s="90" t="s">
        <v>60</v>
      </c>
      <c r="I47" s="90"/>
      <c r="J47" s="90"/>
      <c r="K47" s="90"/>
      <c r="L47" s="90"/>
      <c r="M47" s="89"/>
      <c r="N47" s="88">
        <v>30</v>
      </c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9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8"/>
      <c r="AO47" s="88"/>
      <c r="AP47" s="88"/>
      <c r="AQ47" s="88"/>
      <c r="AR47" s="88"/>
      <c r="AS47" s="88"/>
      <c r="AT47" s="88"/>
      <c r="AU47" s="88"/>
      <c r="AV47" s="88"/>
      <c r="AW47" s="88"/>
    </row>
    <row r="48" spans="1:49" ht="15.75" customHeight="1">
      <c r="A48" s="85" t="s">
        <v>61</v>
      </c>
      <c r="B48" s="88">
        <v>4</v>
      </c>
      <c r="C48" s="88"/>
      <c r="D48" s="90"/>
      <c r="E48" s="90"/>
      <c r="F48" s="90"/>
      <c r="G48" s="90"/>
      <c r="H48" s="90" t="s">
        <v>62</v>
      </c>
      <c r="I48" s="90"/>
      <c r="J48" s="90"/>
      <c r="K48" s="90"/>
      <c r="L48" s="90"/>
      <c r="M48" s="89"/>
      <c r="N48" s="88">
        <v>30</v>
      </c>
      <c r="O48" s="88"/>
      <c r="P48" s="88"/>
      <c r="Q48" s="88"/>
      <c r="R48" s="88"/>
      <c r="S48" s="88"/>
      <c r="T48" s="88"/>
      <c r="U48" s="88"/>
      <c r="V48" s="88"/>
      <c r="W48" s="88"/>
      <c r="X48" s="88"/>
      <c r="Y48" s="89"/>
      <c r="Z48" s="88"/>
      <c r="AA48" s="88"/>
      <c r="AB48" s="88"/>
      <c r="AC48" s="88"/>
      <c r="AD48" s="88"/>
      <c r="AE48" s="88"/>
      <c r="AF48" s="88"/>
      <c r="AG48" s="88"/>
      <c r="AH48" s="88"/>
      <c r="AI48" s="88"/>
      <c r="AJ48" s="88"/>
      <c r="AK48" s="88"/>
      <c r="AL48" s="88"/>
      <c r="AM48" s="88"/>
      <c r="AN48" s="88"/>
      <c r="AO48" s="88"/>
      <c r="AP48" s="88"/>
      <c r="AQ48" s="88"/>
      <c r="AR48" s="88"/>
      <c r="AS48" s="88"/>
      <c r="AT48" s="88"/>
      <c r="AU48" s="88"/>
      <c r="AV48" s="88"/>
      <c r="AW48" s="88"/>
    </row>
    <row r="49" spans="1:49" ht="15.75" customHeight="1">
      <c r="A49" s="85" t="s">
        <v>18</v>
      </c>
      <c r="B49" s="88">
        <v>4</v>
      </c>
      <c r="C49" s="88"/>
      <c r="D49" s="90"/>
      <c r="E49" s="90"/>
      <c r="F49" s="90"/>
      <c r="G49" s="90"/>
      <c r="H49" s="90" t="s">
        <v>1</v>
      </c>
      <c r="I49" s="90"/>
      <c r="J49" s="90"/>
      <c r="K49" s="90"/>
      <c r="L49" s="90"/>
      <c r="M49" s="89"/>
      <c r="N49" s="88">
        <v>30</v>
      </c>
      <c r="O49" s="88"/>
      <c r="P49" s="88"/>
      <c r="Q49" s="88"/>
      <c r="R49" s="88"/>
      <c r="S49" s="88"/>
      <c r="T49" s="88"/>
      <c r="U49" s="88"/>
      <c r="V49" s="88"/>
      <c r="W49" s="88"/>
      <c r="X49" s="88"/>
      <c r="Y49" s="89"/>
      <c r="Z49" s="88"/>
      <c r="AA49" s="88"/>
      <c r="AB49" s="88"/>
      <c r="AC49" s="88"/>
      <c r="AD49" s="88"/>
      <c r="AE49" s="88"/>
      <c r="AF49" s="88"/>
      <c r="AG49" s="88"/>
      <c r="AH49" s="88"/>
      <c r="AI49" s="88"/>
      <c r="AJ49" s="88"/>
      <c r="AK49" s="88"/>
      <c r="AL49" s="88"/>
      <c r="AM49" s="88"/>
      <c r="AN49" s="88"/>
      <c r="AO49" s="88"/>
      <c r="AP49" s="88"/>
      <c r="AQ49" s="88"/>
      <c r="AR49" s="88"/>
      <c r="AS49" s="88"/>
      <c r="AT49" s="88"/>
      <c r="AU49" s="88"/>
      <c r="AV49" s="88"/>
      <c r="AW49" s="88"/>
    </row>
    <row r="50" spans="1:49" ht="15.75" customHeight="1">
      <c r="A50" s="85" t="s">
        <v>63</v>
      </c>
      <c r="B50" s="88">
        <v>4</v>
      </c>
      <c r="C50" s="88"/>
      <c r="D50" s="90"/>
      <c r="E50" s="90"/>
      <c r="F50" s="90"/>
      <c r="G50" s="90"/>
      <c r="H50" s="90" t="s">
        <v>64</v>
      </c>
      <c r="I50" s="90"/>
      <c r="J50" s="90"/>
      <c r="K50" s="90"/>
      <c r="L50" s="90"/>
      <c r="M50" s="89"/>
      <c r="N50" s="88">
        <v>30</v>
      </c>
      <c r="O50" s="88"/>
      <c r="P50" s="88"/>
      <c r="Q50" s="88"/>
      <c r="R50" s="88"/>
      <c r="S50" s="88"/>
      <c r="T50" s="88"/>
      <c r="U50" s="88"/>
      <c r="V50" s="88"/>
      <c r="W50" s="88"/>
      <c r="X50" s="88"/>
      <c r="Y50" s="89"/>
      <c r="Z50" s="88"/>
      <c r="AA50" s="88"/>
      <c r="AB50" s="88"/>
      <c r="AC50" s="88"/>
      <c r="AD50" s="88"/>
      <c r="AE50" s="88"/>
      <c r="AF50" s="88"/>
      <c r="AG50" s="88"/>
      <c r="AH50" s="88"/>
      <c r="AI50" s="88"/>
      <c r="AJ50" s="88"/>
      <c r="AK50" s="88"/>
      <c r="AL50" s="88"/>
      <c r="AM50" s="88"/>
      <c r="AN50" s="88"/>
      <c r="AO50" s="88"/>
      <c r="AP50" s="88"/>
      <c r="AQ50" s="88"/>
      <c r="AR50" s="88"/>
      <c r="AS50" s="88"/>
      <c r="AT50" s="88"/>
      <c r="AU50" s="88"/>
      <c r="AV50" s="88"/>
      <c r="AW50" s="88"/>
    </row>
    <row r="51" spans="1:49" ht="15.75" customHeight="1">
      <c r="A51" s="85" t="s">
        <v>65</v>
      </c>
      <c r="B51" s="88">
        <v>4</v>
      </c>
      <c r="C51" s="88"/>
      <c r="D51" s="90"/>
      <c r="E51" s="90"/>
      <c r="F51" s="90"/>
      <c r="G51" s="90"/>
      <c r="H51" s="90" t="s">
        <v>66</v>
      </c>
      <c r="I51" s="90"/>
      <c r="J51" s="90"/>
      <c r="K51" s="90"/>
      <c r="L51" s="90"/>
      <c r="M51" s="89"/>
      <c r="N51" s="88">
        <v>30</v>
      </c>
      <c r="O51" s="88"/>
      <c r="P51" s="88"/>
      <c r="Q51" s="88"/>
      <c r="R51" s="88"/>
      <c r="S51" s="88"/>
      <c r="T51" s="88"/>
      <c r="U51" s="88"/>
      <c r="V51" s="88"/>
      <c r="W51" s="88"/>
      <c r="X51" s="88"/>
      <c r="Y51" s="89"/>
      <c r="Z51" s="88"/>
      <c r="AA51" s="88"/>
      <c r="AB51" s="88"/>
      <c r="AC51" s="88"/>
      <c r="AD51" s="88"/>
      <c r="AE51" s="88"/>
      <c r="AF51" s="88"/>
      <c r="AG51" s="88"/>
      <c r="AH51" s="88"/>
      <c r="AI51" s="88"/>
      <c r="AJ51" s="88"/>
      <c r="AK51" s="88"/>
      <c r="AL51" s="88"/>
      <c r="AM51" s="88"/>
      <c r="AN51" s="88"/>
      <c r="AO51" s="88"/>
      <c r="AP51" s="88"/>
      <c r="AQ51" s="88"/>
      <c r="AR51" s="88"/>
      <c r="AS51" s="88"/>
      <c r="AT51" s="88"/>
      <c r="AU51" s="88"/>
      <c r="AV51" s="88"/>
      <c r="AW51" s="88"/>
    </row>
    <row r="52" spans="1:49" ht="15.75" customHeight="1">
      <c r="A52" s="85" t="s">
        <v>67</v>
      </c>
      <c r="B52" s="88"/>
      <c r="C52" s="88"/>
      <c r="D52" s="90"/>
      <c r="E52" s="90"/>
      <c r="F52" s="90"/>
      <c r="G52" s="90"/>
      <c r="H52" s="90"/>
      <c r="I52" s="90"/>
      <c r="J52" s="90"/>
      <c r="K52" s="90"/>
      <c r="L52" s="90"/>
      <c r="M52" s="89"/>
      <c r="N52" s="88">
        <v>20</v>
      </c>
      <c r="O52" s="88"/>
      <c r="P52" s="88"/>
      <c r="Q52" s="88"/>
      <c r="R52" s="88"/>
      <c r="S52" s="88"/>
      <c r="T52" s="88"/>
      <c r="U52" s="88"/>
      <c r="V52" s="88"/>
      <c r="W52" s="88"/>
      <c r="X52" s="88"/>
      <c r="Y52" s="89"/>
      <c r="Z52" s="88"/>
      <c r="AA52" s="88"/>
      <c r="AB52" s="88"/>
      <c r="AC52" s="88"/>
      <c r="AD52" s="88"/>
      <c r="AE52" s="88"/>
      <c r="AF52" s="88"/>
      <c r="AG52" s="88"/>
      <c r="AH52" s="88"/>
      <c r="AI52" s="88"/>
      <c r="AJ52" s="88"/>
      <c r="AK52" s="88"/>
      <c r="AL52" s="88"/>
      <c r="AM52" s="88"/>
      <c r="AN52" s="88"/>
      <c r="AO52" s="88"/>
      <c r="AP52" s="88"/>
      <c r="AQ52" s="88"/>
      <c r="AR52" s="88"/>
      <c r="AS52" s="88"/>
      <c r="AT52" s="88"/>
      <c r="AU52" s="88"/>
      <c r="AV52" s="88"/>
      <c r="AW52" s="88"/>
    </row>
    <row r="53" spans="1:49" ht="15.75" customHeight="1">
      <c r="A53" s="85" t="s">
        <v>68</v>
      </c>
      <c r="B53" s="88">
        <v>4</v>
      </c>
      <c r="C53" s="88"/>
      <c r="D53" s="90"/>
      <c r="E53" s="90"/>
      <c r="F53" s="90"/>
      <c r="G53" s="90"/>
      <c r="H53" s="90" t="s">
        <v>69</v>
      </c>
      <c r="I53" s="90"/>
      <c r="J53" s="90"/>
      <c r="K53" s="90"/>
      <c r="L53" s="90"/>
      <c r="M53" s="89"/>
      <c r="N53" s="88">
        <v>30</v>
      </c>
      <c r="O53" s="88"/>
      <c r="P53" s="88"/>
      <c r="Q53" s="88"/>
      <c r="R53" s="88"/>
      <c r="S53" s="88"/>
      <c r="T53" s="88"/>
      <c r="U53" s="88"/>
      <c r="V53" s="88"/>
      <c r="W53" s="88"/>
      <c r="X53" s="88"/>
      <c r="Y53" s="89"/>
      <c r="Z53" s="88"/>
      <c r="AA53" s="88"/>
      <c r="AB53" s="88"/>
      <c r="AC53" s="88"/>
      <c r="AD53" s="88"/>
      <c r="AE53" s="88"/>
      <c r="AF53" s="88"/>
      <c r="AG53" s="88"/>
      <c r="AH53" s="88"/>
      <c r="AI53" s="88"/>
      <c r="AJ53" s="88"/>
      <c r="AK53" s="88"/>
      <c r="AL53" s="88"/>
      <c r="AM53" s="88"/>
      <c r="AN53" s="88"/>
      <c r="AO53" s="88"/>
      <c r="AP53" s="88"/>
      <c r="AQ53" s="88"/>
      <c r="AR53" s="88"/>
      <c r="AS53" s="88"/>
      <c r="AT53" s="88"/>
      <c r="AU53" s="88"/>
      <c r="AV53" s="88"/>
      <c r="AW53" s="88"/>
    </row>
    <row r="54" spans="1:49" ht="15.75" customHeight="1">
      <c r="A54" s="85" t="s">
        <v>70</v>
      </c>
      <c r="B54" s="88">
        <v>4</v>
      </c>
      <c r="C54" s="88"/>
      <c r="D54" s="90"/>
      <c r="E54" s="90"/>
      <c r="F54" s="90"/>
      <c r="G54" s="90"/>
      <c r="H54" s="90" t="s">
        <v>71</v>
      </c>
      <c r="I54" s="90"/>
      <c r="J54" s="90"/>
      <c r="K54" s="90"/>
      <c r="L54" s="90"/>
      <c r="M54" s="89"/>
      <c r="N54" s="88">
        <v>30</v>
      </c>
      <c r="O54" s="88"/>
      <c r="P54" s="88"/>
      <c r="Q54" s="88"/>
      <c r="R54" s="88"/>
      <c r="S54" s="88"/>
      <c r="T54" s="88"/>
      <c r="U54" s="88"/>
      <c r="V54" s="88"/>
      <c r="W54" s="88"/>
      <c r="X54" s="88"/>
      <c r="Y54" s="89"/>
      <c r="Z54" s="88"/>
      <c r="AA54" s="88"/>
      <c r="AB54" s="88"/>
      <c r="AC54" s="88"/>
      <c r="AD54" s="88"/>
      <c r="AE54" s="88"/>
      <c r="AF54" s="88"/>
      <c r="AG54" s="88"/>
      <c r="AH54" s="88"/>
      <c r="AI54" s="88"/>
      <c r="AJ54" s="88"/>
      <c r="AK54" s="88"/>
      <c r="AL54" s="88"/>
      <c r="AM54" s="88"/>
      <c r="AN54" s="88"/>
      <c r="AO54" s="88"/>
      <c r="AP54" s="88"/>
      <c r="AQ54" s="88"/>
      <c r="AR54" s="88"/>
      <c r="AS54" s="88"/>
      <c r="AT54" s="88"/>
      <c r="AU54" s="88"/>
      <c r="AV54" s="88"/>
      <c r="AW54" s="88"/>
    </row>
    <row r="55" spans="1:49" ht="15.75" customHeight="1">
      <c r="A55" s="85" t="s">
        <v>72</v>
      </c>
      <c r="B55" s="88">
        <v>4</v>
      </c>
      <c r="C55" s="88"/>
      <c r="D55" s="90"/>
      <c r="E55" s="90"/>
      <c r="F55" s="90"/>
      <c r="G55" s="90"/>
      <c r="H55" s="90" t="s">
        <v>73</v>
      </c>
      <c r="I55" s="90"/>
      <c r="J55" s="90"/>
      <c r="K55" s="90"/>
      <c r="L55" s="90"/>
      <c r="M55" s="89"/>
      <c r="N55" s="88">
        <v>30</v>
      </c>
      <c r="O55" s="88"/>
      <c r="P55" s="88"/>
      <c r="Q55" s="88"/>
      <c r="R55" s="88"/>
      <c r="S55" s="88"/>
      <c r="T55" s="88"/>
      <c r="U55" s="88"/>
      <c r="V55" s="88"/>
      <c r="W55" s="88"/>
      <c r="X55" s="88"/>
      <c r="Y55" s="89"/>
      <c r="Z55" s="88"/>
      <c r="AA55" s="88"/>
      <c r="AB55" s="88"/>
      <c r="AC55" s="88"/>
      <c r="AD55" s="88"/>
      <c r="AE55" s="88"/>
      <c r="AF55" s="88"/>
      <c r="AG55" s="88"/>
      <c r="AH55" s="88"/>
      <c r="AI55" s="88"/>
      <c r="AJ55" s="88"/>
      <c r="AK55" s="88"/>
      <c r="AL55" s="88"/>
      <c r="AM55" s="88"/>
      <c r="AN55" s="88"/>
      <c r="AO55" s="88"/>
      <c r="AP55" s="88"/>
      <c r="AQ55" s="88"/>
      <c r="AR55" s="88"/>
      <c r="AS55" s="88"/>
      <c r="AT55" s="88"/>
      <c r="AU55" s="88"/>
      <c r="AV55" s="88"/>
      <c r="AW55" s="88"/>
    </row>
    <row r="56" spans="1:49" ht="15.75" customHeight="1">
      <c r="A56" s="85" t="s">
        <v>74</v>
      </c>
      <c r="B56" s="88">
        <v>4</v>
      </c>
      <c r="C56" s="88"/>
      <c r="D56" s="90"/>
      <c r="E56" s="90"/>
      <c r="F56" s="90"/>
      <c r="G56" s="90"/>
      <c r="H56" s="90" t="s">
        <v>75</v>
      </c>
      <c r="I56" s="90"/>
      <c r="J56" s="90"/>
      <c r="K56" s="90"/>
      <c r="L56" s="90"/>
      <c r="M56" s="89"/>
      <c r="N56" s="88">
        <v>30</v>
      </c>
      <c r="O56" s="88"/>
      <c r="P56" s="88"/>
      <c r="Q56" s="88"/>
      <c r="R56" s="88"/>
      <c r="S56" s="88"/>
      <c r="T56" s="88"/>
      <c r="U56" s="88"/>
      <c r="V56" s="88"/>
      <c r="W56" s="88"/>
      <c r="X56" s="88"/>
      <c r="Y56" s="89"/>
      <c r="Z56" s="88"/>
      <c r="AA56" s="88"/>
      <c r="AB56" s="88"/>
      <c r="AC56" s="88"/>
      <c r="AD56" s="88"/>
      <c r="AE56" s="88"/>
      <c r="AF56" s="88"/>
      <c r="AG56" s="88"/>
      <c r="AH56" s="88"/>
      <c r="AI56" s="88"/>
      <c r="AJ56" s="88"/>
      <c r="AK56" s="88"/>
      <c r="AL56" s="88"/>
      <c r="AM56" s="88"/>
      <c r="AN56" s="88"/>
      <c r="AO56" s="88"/>
      <c r="AP56" s="88"/>
      <c r="AQ56" s="88"/>
      <c r="AR56" s="88"/>
      <c r="AS56" s="88"/>
      <c r="AT56" s="88"/>
      <c r="AU56" s="88"/>
      <c r="AV56" s="88"/>
      <c r="AW56" s="88"/>
    </row>
    <row r="57" spans="1:49" ht="15.75" customHeight="1">
      <c r="A57" s="85" t="s">
        <v>76</v>
      </c>
      <c r="B57" s="88"/>
      <c r="C57" s="88"/>
      <c r="D57" s="90"/>
      <c r="E57" s="90"/>
      <c r="F57" s="90"/>
      <c r="G57" s="90"/>
      <c r="H57" s="90"/>
      <c r="I57" s="90"/>
      <c r="J57" s="90"/>
      <c r="K57" s="90"/>
      <c r="L57" s="90"/>
      <c r="M57" s="89"/>
      <c r="N57" s="88">
        <v>5</v>
      </c>
      <c r="O57" s="88"/>
      <c r="P57" s="88"/>
      <c r="Q57" s="88"/>
      <c r="R57" s="88"/>
      <c r="S57" s="88"/>
      <c r="T57" s="88"/>
      <c r="U57" s="88"/>
      <c r="V57" s="88"/>
      <c r="W57" s="88"/>
      <c r="X57" s="88"/>
      <c r="Y57" s="89"/>
      <c r="Z57" s="88"/>
      <c r="AA57" s="88"/>
      <c r="AB57" s="88"/>
      <c r="AC57" s="88"/>
      <c r="AD57" s="88"/>
      <c r="AE57" s="88"/>
      <c r="AF57" s="88"/>
      <c r="AG57" s="88"/>
      <c r="AH57" s="88"/>
      <c r="AI57" s="88"/>
      <c r="AJ57" s="88"/>
      <c r="AK57" s="88"/>
      <c r="AL57" s="88">
        <v>20</v>
      </c>
      <c r="AM57" s="88"/>
      <c r="AN57" s="88"/>
      <c r="AO57" s="88"/>
      <c r="AP57" s="88"/>
      <c r="AQ57" s="88"/>
      <c r="AR57" s="88"/>
      <c r="AS57" s="88"/>
      <c r="AT57" s="88"/>
      <c r="AU57" s="88"/>
      <c r="AV57" s="88"/>
      <c r="AW57" s="88"/>
    </row>
    <row r="58" spans="1:49" ht="15.75" customHeight="1">
      <c r="A58" s="85" t="s">
        <v>77</v>
      </c>
      <c r="B58" s="88">
        <v>5</v>
      </c>
      <c r="C58" s="88"/>
      <c r="D58" s="90"/>
      <c r="E58" s="90"/>
      <c r="F58" s="90"/>
      <c r="G58" s="90"/>
      <c r="H58" s="90"/>
      <c r="I58" s="90"/>
      <c r="J58" s="90" t="s">
        <v>874</v>
      </c>
      <c r="K58" s="90"/>
      <c r="L58" s="90"/>
      <c r="M58" s="89"/>
      <c r="N58" s="88"/>
      <c r="O58" s="88"/>
      <c r="P58" s="88">
        <v>10</v>
      </c>
      <c r="Q58" s="88">
        <v>10</v>
      </c>
      <c r="R58" s="88"/>
      <c r="S58" s="88"/>
      <c r="T58" s="88"/>
      <c r="U58" s="88"/>
      <c r="V58" s="88"/>
      <c r="W58" s="88"/>
      <c r="X58" s="88"/>
      <c r="Y58" s="89"/>
      <c r="Z58" s="88"/>
      <c r="AA58" s="88"/>
      <c r="AB58" s="88"/>
      <c r="AC58" s="88"/>
      <c r="AD58" s="88"/>
      <c r="AE58" s="88"/>
      <c r="AF58" s="88"/>
      <c r="AG58" s="88"/>
      <c r="AH58" s="88"/>
      <c r="AI58" s="88"/>
      <c r="AJ58" s="88"/>
      <c r="AK58" s="88"/>
      <c r="AL58" s="88"/>
      <c r="AM58" s="88"/>
      <c r="AN58" s="88"/>
      <c r="AO58" s="88"/>
      <c r="AP58" s="88"/>
      <c r="AQ58" s="88"/>
      <c r="AR58" s="88"/>
      <c r="AS58" s="88"/>
      <c r="AT58" s="88"/>
      <c r="AU58" s="88"/>
      <c r="AV58" s="88"/>
      <c r="AW58" s="88"/>
    </row>
    <row r="59" spans="1:49" ht="15.75" customHeight="1">
      <c r="A59" s="85" t="s">
        <v>815</v>
      </c>
      <c r="B59" s="88"/>
      <c r="C59" s="88"/>
      <c r="D59" s="90"/>
      <c r="E59" s="90"/>
      <c r="F59" s="90"/>
      <c r="G59" s="90"/>
      <c r="H59" s="90"/>
      <c r="I59" s="90"/>
      <c r="J59" s="90"/>
      <c r="K59" s="90"/>
      <c r="L59" s="90"/>
      <c r="M59" s="89"/>
      <c r="N59" s="88"/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9"/>
      <c r="Z59" s="88"/>
      <c r="AA59" s="88"/>
      <c r="AB59" s="88"/>
      <c r="AC59" s="88"/>
      <c r="AD59" s="88">
        <v>15</v>
      </c>
      <c r="AE59" s="88"/>
      <c r="AF59" s="88"/>
      <c r="AG59" s="88"/>
      <c r="AH59" s="88"/>
      <c r="AI59" s="88"/>
      <c r="AJ59" s="88"/>
      <c r="AK59" s="88"/>
      <c r="AL59" s="88"/>
      <c r="AM59" s="88"/>
      <c r="AN59" s="88"/>
      <c r="AO59" s="88"/>
      <c r="AP59" s="88"/>
      <c r="AQ59" s="88"/>
      <c r="AR59" s="88"/>
      <c r="AS59" s="88"/>
      <c r="AT59" s="88"/>
      <c r="AU59" s="88"/>
      <c r="AV59" s="88"/>
      <c r="AW59" s="88"/>
    </row>
    <row r="60" spans="1:49" ht="15.75" customHeight="1">
      <c r="A60" s="85" t="s">
        <v>78</v>
      </c>
      <c r="B60" s="88"/>
      <c r="C60" s="88"/>
      <c r="D60" s="90"/>
      <c r="E60" s="90"/>
      <c r="F60" s="90"/>
      <c r="G60" s="90"/>
      <c r="H60" s="90"/>
      <c r="I60" s="90"/>
      <c r="J60" s="90"/>
      <c r="K60" s="90"/>
      <c r="L60" s="90"/>
      <c r="M60" s="89"/>
      <c r="N60" s="88"/>
      <c r="O60" s="88"/>
      <c r="P60" s="88"/>
      <c r="Q60" s="88"/>
      <c r="R60" s="88"/>
      <c r="S60" s="88"/>
      <c r="T60" s="88"/>
      <c r="U60" s="88"/>
      <c r="V60" s="88"/>
      <c r="W60" s="88">
        <v>15</v>
      </c>
      <c r="X60" s="88"/>
      <c r="Y60" s="89"/>
      <c r="Z60" s="88"/>
      <c r="AA60" s="88"/>
      <c r="AB60" s="88"/>
      <c r="AC60" s="88"/>
      <c r="AD60" s="88"/>
      <c r="AE60" s="88"/>
      <c r="AF60" s="88"/>
      <c r="AG60" s="88"/>
      <c r="AH60" s="88"/>
      <c r="AI60" s="88"/>
      <c r="AJ60" s="88"/>
      <c r="AK60" s="88"/>
      <c r="AL60" s="88"/>
      <c r="AM60" s="88"/>
      <c r="AN60" s="88"/>
      <c r="AO60" s="88"/>
      <c r="AP60" s="88"/>
      <c r="AQ60" s="88"/>
      <c r="AR60" s="88"/>
      <c r="AS60" s="88"/>
      <c r="AT60" s="88"/>
      <c r="AU60" s="88"/>
      <c r="AV60" s="88"/>
      <c r="AW60" s="88"/>
    </row>
    <row r="61" spans="1:49" ht="15.75" customHeight="1">
      <c r="A61" s="85" t="s">
        <v>79</v>
      </c>
      <c r="B61" s="88">
        <v>13</v>
      </c>
      <c r="C61" s="88"/>
      <c r="D61" s="90"/>
      <c r="E61" s="90"/>
      <c r="F61" s="90"/>
      <c r="G61" s="90"/>
      <c r="H61" s="90"/>
      <c r="I61" s="90"/>
      <c r="J61" s="90"/>
      <c r="K61" s="90"/>
      <c r="L61" s="90"/>
      <c r="M61" s="89"/>
      <c r="N61" s="88">
        <v>50</v>
      </c>
      <c r="O61" s="88"/>
      <c r="P61" s="88"/>
      <c r="Q61" s="88"/>
      <c r="R61" s="88"/>
      <c r="S61" s="88"/>
      <c r="T61" s="88"/>
      <c r="U61" s="88"/>
      <c r="V61" s="88"/>
      <c r="W61" s="88"/>
      <c r="X61" s="88"/>
      <c r="Y61" s="89"/>
      <c r="Z61" s="88"/>
      <c r="AA61" s="88"/>
      <c r="AB61" s="88"/>
      <c r="AC61" s="88"/>
      <c r="AD61" s="88"/>
      <c r="AE61" s="88"/>
      <c r="AF61" s="88"/>
      <c r="AG61" s="88"/>
      <c r="AH61" s="88"/>
      <c r="AI61" s="88"/>
      <c r="AJ61" s="88"/>
      <c r="AK61" s="88"/>
      <c r="AL61" s="88"/>
      <c r="AM61" s="88"/>
      <c r="AN61" s="88"/>
      <c r="AO61" s="88"/>
      <c r="AP61" s="88"/>
      <c r="AQ61" s="88"/>
      <c r="AR61" s="88"/>
      <c r="AS61" s="88"/>
      <c r="AT61" s="88"/>
      <c r="AU61" s="88"/>
      <c r="AV61" s="88"/>
      <c r="AW61" s="88"/>
    </row>
    <row r="62" spans="1:49" ht="15.75" customHeight="1">
      <c r="A62" s="85" t="s">
        <v>80</v>
      </c>
      <c r="B62" s="88"/>
      <c r="C62" s="88"/>
      <c r="D62" s="90"/>
      <c r="E62" s="90"/>
      <c r="F62" s="90"/>
      <c r="G62" s="90"/>
      <c r="H62" s="90"/>
      <c r="I62" s="90"/>
      <c r="J62" s="90"/>
      <c r="K62" s="90"/>
      <c r="L62" s="90"/>
      <c r="M62" s="89"/>
      <c r="N62" s="88">
        <v>30</v>
      </c>
      <c r="O62" s="88"/>
      <c r="P62" s="88"/>
      <c r="Q62" s="88"/>
      <c r="R62" s="88"/>
      <c r="S62" s="88"/>
      <c r="T62" s="88"/>
      <c r="U62" s="88"/>
      <c r="V62" s="88"/>
      <c r="W62" s="88"/>
      <c r="X62" s="88"/>
      <c r="Y62" s="89"/>
      <c r="Z62" s="88"/>
      <c r="AA62" s="88"/>
      <c r="AB62" s="88"/>
      <c r="AC62" s="88"/>
      <c r="AD62" s="88"/>
      <c r="AE62" s="88"/>
      <c r="AF62" s="88"/>
      <c r="AG62" s="88"/>
      <c r="AH62" s="88"/>
      <c r="AI62" s="88"/>
      <c r="AJ62" s="88"/>
      <c r="AK62" s="88"/>
      <c r="AL62" s="88"/>
      <c r="AM62" s="88"/>
      <c r="AN62" s="88"/>
      <c r="AO62" s="88"/>
      <c r="AP62" s="88"/>
      <c r="AQ62" s="88"/>
      <c r="AR62" s="88"/>
      <c r="AS62" s="88"/>
      <c r="AT62" s="88"/>
      <c r="AU62" s="88"/>
      <c r="AV62" s="88"/>
      <c r="AW62" s="88"/>
    </row>
    <row r="63" spans="1:49" ht="15.75" customHeight="1">
      <c r="A63" s="85" t="s">
        <v>816</v>
      </c>
      <c r="B63" s="88"/>
      <c r="C63" s="88"/>
      <c r="D63" s="90"/>
      <c r="E63" s="90"/>
      <c r="F63" s="90"/>
      <c r="G63" s="90"/>
      <c r="H63" s="90"/>
      <c r="I63" s="90"/>
      <c r="J63" s="90"/>
      <c r="K63" s="90"/>
      <c r="L63" s="90"/>
      <c r="M63" s="89"/>
      <c r="N63" s="88"/>
      <c r="O63" s="88"/>
      <c r="P63" s="88"/>
      <c r="Q63" s="88"/>
      <c r="R63" s="88"/>
      <c r="S63" s="88"/>
      <c r="T63" s="88"/>
      <c r="U63" s="88"/>
      <c r="V63" s="88"/>
      <c r="W63" s="88"/>
      <c r="X63" s="88"/>
      <c r="Y63" s="89"/>
      <c r="Z63" s="88"/>
      <c r="AA63" s="88"/>
      <c r="AB63" s="88"/>
      <c r="AC63" s="88"/>
      <c r="AD63" s="88"/>
      <c r="AE63" s="88"/>
      <c r="AF63" s="88"/>
      <c r="AG63" s="88"/>
      <c r="AH63" s="88"/>
      <c r="AI63" s="88"/>
      <c r="AJ63" s="88"/>
      <c r="AK63" s="88"/>
      <c r="AL63" s="88">
        <v>20</v>
      </c>
      <c r="AM63" s="88"/>
      <c r="AN63" s="88"/>
      <c r="AO63" s="88"/>
      <c r="AP63" s="88"/>
      <c r="AQ63" s="88"/>
      <c r="AR63" s="88"/>
      <c r="AS63" s="88"/>
      <c r="AT63" s="88"/>
      <c r="AU63" s="88"/>
      <c r="AV63" s="88"/>
      <c r="AW63" s="88"/>
    </row>
    <row r="64" spans="1:49" ht="15.75" customHeight="1">
      <c r="A64" s="85" t="s">
        <v>17</v>
      </c>
      <c r="B64" s="88"/>
      <c r="C64" s="88">
        <v>2</v>
      </c>
      <c r="D64" s="90"/>
      <c r="E64" s="90"/>
      <c r="F64" s="90"/>
      <c r="G64" s="90"/>
      <c r="H64" s="90"/>
      <c r="I64" s="90"/>
      <c r="J64" s="90"/>
      <c r="K64" s="90"/>
      <c r="L64" s="90"/>
      <c r="M64" s="89"/>
      <c r="N64" s="88"/>
      <c r="O64" s="88"/>
      <c r="P64" s="88"/>
      <c r="Q64" s="88"/>
      <c r="R64" s="88"/>
      <c r="S64" s="88"/>
      <c r="T64" s="88"/>
      <c r="U64" s="88"/>
      <c r="V64" s="88"/>
      <c r="W64" s="88"/>
      <c r="X64" s="88">
        <v>30</v>
      </c>
      <c r="Y64" s="89"/>
      <c r="Z64" s="88"/>
      <c r="AA64" s="88"/>
      <c r="AB64" s="88"/>
      <c r="AC64" s="88"/>
      <c r="AD64" s="88"/>
      <c r="AE64" s="88"/>
      <c r="AF64" s="88"/>
      <c r="AG64" s="88"/>
      <c r="AH64" s="88"/>
      <c r="AI64" s="88"/>
      <c r="AJ64" s="88"/>
      <c r="AK64" s="88"/>
      <c r="AL64" s="88"/>
      <c r="AM64" s="88"/>
      <c r="AN64" s="88"/>
      <c r="AO64" s="88"/>
      <c r="AP64" s="88"/>
      <c r="AQ64" s="88"/>
      <c r="AR64" s="88"/>
      <c r="AS64" s="88"/>
      <c r="AT64" s="88"/>
      <c r="AU64" s="88"/>
      <c r="AV64" s="88"/>
      <c r="AW64" s="88"/>
    </row>
    <row r="65" spans="1:49" ht="15.75" customHeight="1">
      <c r="A65" s="85" t="s">
        <v>81</v>
      </c>
      <c r="B65" s="88"/>
      <c r="C65" s="88"/>
      <c r="D65" s="90" t="s">
        <v>723</v>
      </c>
      <c r="E65" s="90"/>
      <c r="F65" s="90"/>
      <c r="G65" s="90"/>
      <c r="H65" s="90" t="s">
        <v>1</v>
      </c>
      <c r="I65" s="90"/>
      <c r="J65" s="90"/>
      <c r="K65" s="90"/>
      <c r="L65" s="90"/>
      <c r="M65" s="89"/>
      <c r="N65" s="88"/>
      <c r="O65" s="88"/>
      <c r="P65" s="88"/>
      <c r="Q65" s="88"/>
      <c r="R65" s="88"/>
      <c r="S65" s="88"/>
      <c r="T65" s="88"/>
      <c r="U65" s="88"/>
      <c r="V65" s="88"/>
      <c r="W65" s="88"/>
      <c r="X65" s="88"/>
      <c r="Y65" s="89"/>
      <c r="Z65" s="88"/>
      <c r="AA65" s="88"/>
      <c r="AB65" s="88">
        <v>15</v>
      </c>
      <c r="AC65" s="88"/>
      <c r="AD65" s="88"/>
      <c r="AE65" s="88"/>
      <c r="AF65" s="88"/>
      <c r="AG65" s="88"/>
      <c r="AH65" s="88"/>
      <c r="AI65" s="88"/>
      <c r="AJ65" s="88"/>
      <c r="AK65" s="88"/>
      <c r="AL65" s="88"/>
      <c r="AM65" s="88"/>
      <c r="AN65" s="88"/>
      <c r="AO65" s="88"/>
      <c r="AP65" s="88"/>
      <c r="AQ65" s="88"/>
      <c r="AR65" s="88"/>
      <c r="AS65" s="88"/>
      <c r="AT65" s="88"/>
      <c r="AU65" s="88"/>
      <c r="AV65" s="88"/>
      <c r="AW65" s="88"/>
    </row>
    <row r="66" spans="1:49" ht="15.75" customHeight="1">
      <c r="A66" s="85" t="s">
        <v>817</v>
      </c>
      <c r="B66" s="88"/>
      <c r="C66" s="88"/>
      <c r="D66" s="90"/>
      <c r="E66" s="90"/>
      <c r="F66" s="90"/>
      <c r="G66" s="90"/>
      <c r="H66" s="90"/>
      <c r="I66" s="90"/>
      <c r="J66" s="90"/>
      <c r="K66" s="90"/>
      <c r="L66" s="90"/>
      <c r="M66" s="89"/>
      <c r="N66" s="88"/>
      <c r="O66" s="88"/>
      <c r="P66" s="88"/>
      <c r="Q66" s="88"/>
      <c r="R66" s="88"/>
      <c r="S66" s="88"/>
      <c r="T66" s="88"/>
      <c r="U66" s="88"/>
      <c r="V66" s="88"/>
      <c r="W66" s="88"/>
      <c r="X66" s="88"/>
      <c r="Y66" s="89"/>
      <c r="Z66" s="88"/>
      <c r="AA66" s="88"/>
      <c r="AB66" s="88"/>
      <c r="AC66" s="88"/>
      <c r="AD66" s="88"/>
      <c r="AE66" s="88"/>
      <c r="AF66" s="88"/>
      <c r="AG66" s="88"/>
      <c r="AH66" s="88"/>
      <c r="AI66" s="88"/>
      <c r="AJ66" s="88"/>
      <c r="AK66" s="88"/>
      <c r="AL66" s="88">
        <v>45</v>
      </c>
      <c r="AM66" s="88"/>
      <c r="AN66" s="88"/>
      <c r="AO66" s="88"/>
      <c r="AP66" s="88"/>
      <c r="AQ66" s="88"/>
      <c r="AR66" s="88"/>
      <c r="AS66" s="88"/>
      <c r="AT66" s="88"/>
      <c r="AU66" s="88"/>
      <c r="AV66" s="88"/>
      <c r="AW66" s="88"/>
    </row>
    <row r="67" spans="1:49" ht="15.75" customHeight="1">
      <c r="A67" s="85" t="s">
        <v>82</v>
      </c>
      <c r="B67" s="88">
        <v>12</v>
      </c>
      <c r="C67" s="88"/>
      <c r="D67" s="90"/>
      <c r="E67" s="90"/>
      <c r="F67" s="90"/>
      <c r="G67" s="90"/>
      <c r="H67" s="90"/>
      <c r="I67" s="90" t="s">
        <v>39</v>
      </c>
      <c r="J67" s="90"/>
      <c r="K67" s="90"/>
      <c r="L67" s="90"/>
      <c r="M67" s="89"/>
      <c r="N67" s="88"/>
      <c r="O67" s="88"/>
      <c r="P67" s="88"/>
      <c r="Q67" s="88"/>
      <c r="R67" s="88"/>
      <c r="S67" s="88"/>
      <c r="T67" s="88"/>
      <c r="U67" s="88"/>
      <c r="V67" s="88"/>
      <c r="W67" s="88"/>
      <c r="X67" s="88"/>
      <c r="Y67" s="89">
        <v>20</v>
      </c>
      <c r="Z67" s="88"/>
      <c r="AA67" s="88"/>
      <c r="AB67" s="88"/>
      <c r="AC67" s="88"/>
      <c r="AD67" s="88"/>
      <c r="AE67" s="88"/>
      <c r="AF67" s="88"/>
      <c r="AG67" s="88"/>
      <c r="AH67" s="88"/>
      <c r="AI67" s="88"/>
      <c r="AJ67" s="88"/>
      <c r="AK67" s="88"/>
      <c r="AL67" s="88"/>
      <c r="AM67" s="88"/>
      <c r="AN67" s="88"/>
      <c r="AO67" s="88"/>
      <c r="AP67" s="88"/>
      <c r="AQ67" s="88"/>
      <c r="AR67" s="88"/>
      <c r="AS67" s="88"/>
      <c r="AT67" s="88"/>
      <c r="AU67" s="88"/>
      <c r="AV67" s="88"/>
      <c r="AW67" s="88"/>
    </row>
    <row r="68" spans="1:49" ht="15.75" customHeight="1">
      <c r="A68" s="85" t="s">
        <v>83</v>
      </c>
      <c r="B68" s="88"/>
      <c r="C68" s="88"/>
      <c r="D68" s="90"/>
      <c r="E68" s="90"/>
      <c r="F68" s="90"/>
      <c r="G68" s="90"/>
      <c r="H68" s="90"/>
      <c r="I68" s="90" t="s">
        <v>39</v>
      </c>
      <c r="J68" s="90"/>
      <c r="K68" s="90"/>
      <c r="L68" s="90"/>
      <c r="M68" s="89"/>
      <c r="N68" s="88">
        <v>30</v>
      </c>
      <c r="O68" s="88"/>
      <c r="P68" s="88"/>
      <c r="Q68" s="88"/>
      <c r="R68" s="88"/>
      <c r="S68" s="88"/>
      <c r="T68" s="88"/>
      <c r="U68" s="88"/>
      <c r="V68" s="88"/>
      <c r="W68" s="88"/>
      <c r="X68" s="88"/>
      <c r="Y68" s="89"/>
      <c r="Z68" s="88"/>
      <c r="AA68" s="88"/>
      <c r="AB68" s="88"/>
      <c r="AC68" s="88"/>
      <c r="AD68" s="88"/>
      <c r="AE68" s="88"/>
      <c r="AF68" s="88"/>
      <c r="AG68" s="88"/>
      <c r="AH68" s="88"/>
      <c r="AI68" s="88"/>
      <c r="AJ68" s="88"/>
      <c r="AK68" s="88"/>
      <c r="AL68" s="88"/>
      <c r="AM68" s="88"/>
      <c r="AN68" s="88"/>
      <c r="AO68" s="88"/>
      <c r="AP68" s="88"/>
      <c r="AQ68" s="88"/>
      <c r="AR68" s="88"/>
      <c r="AS68" s="88"/>
      <c r="AT68" s="88"/>
      <c r="AU68" s="88"/>
      <c r="AV68" s="88"/>
      <c r="AW68" s="88"/>
    </row>
    <row r="69" spans="1:49" ht="15.75" customHeight="1">
      <c r="A69" s="85" t="s">
        <v>84</v>
      </c>
      <c r="B69" s="88"/>
      <c r="C69" s="88"/>
      <c r="D69" s="90"/>
      <c r="E69" s="90"/>
      <c r="F69" s="90"/>
      <c r="G69" s="90"/>
      <c r="H69" s="90"/>
      <c r="I69" s="90"/>
      <c r="J69" s="90"/>
      <c r="K69" s="90"/>
      <c r="L69" s="90"/>
      <c r="M69" s="89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9"/>
      <c r="Z69" s="88"/>
      <c r="AA69" s="88"/>
      <c r="AB69" s="88"/>
      <c r="AC69" s="88"/>
      <c r="AD69" s="88"/>
      <c r="AE69" s="88"/>
      <c r="AF69" s="88"/>
      <c r="AG69" s="88"/>
      <c r="AH69" s="88"/>
      <c r="AI69" s="88"/>
      <c r="AJ69" s="88"/>
      <c r="AK69" s="88"/>
      <c r="AL69" s="88"/>
      <c r="AM69" s="88"/>
      <c r="AN69" s="88"/>
      <c r="AO69" s="88"/>
      <c r="AP69" s="88"/>
      <c r="AQ69" s="88"/>
      <c r="AR69" s="88"/>
      <c r="AS69" s="88"/>
      <c r="AT69" s="88"/>
      <c r="AU69" s="88"/>
      <c r="AV69" s="88"/>
      <c r="AW69" s="88"/>
    </row>
    <row r="70" spans="1:49" ht="15.75" customHeight="1">
      <c r="A70" s="85" t="s">
        <v>85</v>
      </c>
      <c r="B70" s="88">
        <v>1</v>
      </c>
      <c r="C70" s="88"/>
      <c r="D70" s="90"/>
      <c r="E70" s="90"/>
      <c r="F70" s="90"/>
      <c r="G70" s="90"/>
      <c r="H70" s="90"/>
      <c r="I70" s="90"/>
      <c r="J70" s="90"/>
      <c r="K70" s="90"/>
      <c r="L70" s="90"/>
      <c r="M70" s="89"/>
      <c r="N70" s="88">
        <v>20</v>
      </c>
      <c r="O70" s="88"/>
      <c r="P70" s="88"/>
      <c r="Q70" s="88"/>
      <c r="R70" s="88"/>
      <c r="S70" s="88"/>
      <c r="T70" s="88"/>
      <c r="U70" s="88"/>
      <c r="V70" s="88"/>
      <c r="W70" s="88"/>
      <c r="X70" s="88"/>
      <c r="Y70" s="89"/>
      <c r="Z70" s="88"/>
      <c r="AA70" s="88"/>
      <c r="AB70" s="88"/>
      <c r="AC70" s="88"/>
      <c r="AD70" s="88"/>
      <c r="AE70" s="88"/>
      <c r="AF70" s="88"/>
      <c r="AG70" s="88"/>
      <c r="AH70" s="88"/>
      <c r="AI70" s="88"/>
      <c r="AJ70" s="88"/>
      <c r="AK70" s="88"/>
      <c r="AL70" s="88"/>
      <c r="AM70" s="88"/>
      <c r="AN70" s="88"/>
      <c r="AO70" s="88"/>
      <c r="AP70" s="88"/>
      <c r="AQ70" s="88"/>
      <c r="AR70" s="88"/>
      <c r="AS70" s="88"/>
      <c r="AT70" s="88"/>
      <c r="AU70" s="88"/>
      <c r="AV70" s="88"/>
      <c r="AW70" s="88"/>
    </row>
    <row r="71" spans="1:49" ht="15.75" customHeight="1">
      <c r="A71" s="85" t="s">
        <v>86</v>
      </c>
      <c r="B71" s="88">
        <v>11</v>
      </c>
      <c r="C71" s="88"/>
      <c r="D71" s="90" t="s">
        <v>728</v>
      </c>
      <c r="E71" s="90"/>
      <c r="F71" s="90"/>
      <c r="G71" s="90"/>
      <c r="H71" s="90" t="s">
        <v>87</v>
      </c>
      <c r="I71" s="90"/>
      <c r="J71" s="90"/>
      <c r="K71" s="90"/>
      <c r="L71" s="90"/>
      <c r="M71" s="89"/>
      <c r="N71" s="88"/>
      <c r="O71" s="88">
        <v>50</v>
      </c>
      <c r="P71" s="88"/>
      <c r="Q71" s="88"/>
      <c r="R71" s="88"/>
      <c r="S71" s="88"/>
      <c r="T71" s="88"/>
      <c r="U71" s="88"/>
      <c r="V71" s="88">
        <v>70</v>
      </c>
      <c r="W71" s="88"/>
      <c r="X71" s="88"/>
      <c r="Y71" s="89"/>
      <c r="Z71" s="88"/>
      <c r="AA71" s="88"/>
      <c r="AB71" s="88"/>
      <c r="AC71" s="88"/>
      <c r="AD71" s="88"/>
      <c r="AE71" s="88"/>
      <c r="AF71" s="88"/>
      <c r="AG71" s="88"/>
      <c r="AH71" s="88"/>
      <c r="AI71" s="88"/>
      <c r="AJ71" s="88"/>
      <c r="AK71" s="88"/>
      <c r="AL71" s="88"/>
      <c r="AM71" s="88"/>
      <c r="AN71" s="88"/>
      <c r="AO71" s="88"/>
      <c r="AP71" s="88"/>
      <c r="AQ71" s="88"/>
      <c r="AR71" s="88"/>
      <c r="AS71" s="88"/>
      <c r="AT71" s="88"/>
      <c r="AU71" s="88"/>
      <c r="AV71" s="88"/>
      <c r="AW71" s="88"/>
    </row>
    <row r="72" spans="1:49" ht="15.75" customHeight="1">
      <c r="A72" s="85" t="s">
        <v>88</v>
      </c>
      <c r="B72" s="88"/>
      <c r="C72" s="88">
        <v>2</v>
      </c>
      <c r="D72" s="90" t="s">
        <v>746</v>
      </c>
      <c r="E72" s="90"/>
      <c r="F72" s="90"/>
      <c r="G72" s="90"/>
      <c r="H72" s="90" t="s">
        <v>73</v>
      </c>
      <c r="I72" s="90"/>
      <c r="J72" s="90"/>
      <c r="K72" s="90"/>
      <c r="L72" s="90"/>
      <c r="M72" s="89"/>
      <c r="N72" s="88"/>
      <c r="O72" s="88"/>
      <c r="P72" s="88"/>
      <c r="Q72" s="88"/>
      <c r="R72" s="88"/>
      <c r="S72" s="88"/>
      <c r="T72" s="88"/>
      <c r="U72" s="88"/>
      <c r="V72" s="88"/>
      <c r="W72" s="88">
        <v>60</v>
      </c>
      <c r="X72" s="88">
        <v>30</v>
      </c>
      <c r="Y72" s="89"/>
      <c r="Z72" s="88"/>
      <c r="AA72" s="88"/>
      <c r="AB72" s="88"/>
      <c r="AC72" s="88"/>
      <c r="AD72" s="88"/>
      <c r="AE72" s="88"/>
      <c r="AF72" s="88"/>
      <c r="AG72" s="88"/>
      <c r="AH72" s="88"/>
      <c r="AI72" s="88"/>
      <c r="AJ72" s="88"/>
      <c r="AK72" s="88"/>
      <c r="AL72" s="88"/>
      <c r="AM72" s="88"/>
      <c r="AN72" s="88"/>
      <c r="AO72" s="88"/>
      <c r="AP72" s="88"/>
      <c r="AQ72" s="88"/>
      <c r="AR72" s="88"/>
      <c r="AS72" s="88"/>
      <c r="AT72" s="88"/>
      <c r="AU72" s="88"/>
      <c r="AV72" s="88"/>
      <c r="AW72" s="88"/>
    </row>
    <row r="73" spans="1:49" ht="15.75" customHeight="1">
      <c r="A73" s="85" t="s">
        <v>89</v>
      </c>
      <c r="B73" s="88">
        <v>4</v>
      </c>
      <c r="C73" s="88"/>
      <c r="D73" s="90"/>
      <c r="E73" s="90"/>
      <c r="F73" s="90"/>
      <c r="G73" s="90"/>
      <c r="H73" s="90" t="s">
        <v>90</v>
      </c>
      <c r="I73" s="90"/>
      <c r="J73" s="90"/>
      <c r="K73" s="90"/>
      <c r="L73" s="90"/>
      <c r="M73" s="89"/>
      <c r="N73" s="88">
        <v>30</v>
      </c>
      <c r="O73" s="88"/>
      <c r="P73" s="88"/>
      <c r="Q73" s="88"/>
      <c r="R73" s="88"/>
      <c r="S73" s="88"/>
      <c r="T73" s="88"/>
      <c r="U73" s="88"/>
      <c r="V73" s="88"/>
      <c r="W73" s="88"/>
      <c r="X73" s="88"/>
      <c r="Y73" s="89"/>
      <c r="Z73" s="88"/>
      <c r="AA73" s="88"/>
      <c r="AB73" s="88"/>
      <c r="AC73" s="88"/>
      <c r="AD73" s="88"/>
      <c r="AE73" s="88"/>
      <c r="AF73" s="88"/>
      <c r="AG73" s="88"/>
      <c r="AH73" s="88"/>
      <c r="AI73" s="88"/>
      <c r="AJ73" s="88"/>
      <c r="AK73" s="88"/>
      <c r="AL73" s="88"/>
      <c r="AM73" s="88"/>
      <c r="AN73" s="88"/>
      <c r="AO73" s="88"/>
      <c r="AP73" s="88"/>
      <c r="AQ73" s="88"/>
      <c r="AR73" s="88"/>
      <c r="AS73" s="88"/>
      <c r="AT73" s="88"/>
      <c r="AU73" s="88"/>
      <c r="AV73" s="88"/>
      <c r="AW73" s="88"/>
    </row>
    <row r="74" spans="1:49" ht="15.75" customHeight="1">
      <c r="A74" s="85" t="s">
        <v>91</v>
      </c>
      <c r="B74" s="88">
        <v>4</v>
      </c>
      <c r="C74" s="88"/>
      <c r="D74" s="90"/>
      <c r="E74" s="90"/>
      <c r="F74" s="90"/>
      <c r="G74" s="90"/>
      <c r="H74" s="90" t="s">
        <v>92</v>
      </c>
      <c r="I74" s="90"/>
      <c r="J74" s="90"/>
      <c r="K74" s="90"/>
      <c r="L74" s="90"/>
      <c r="M74" s="89"/>
      <c r="N74" s="88">
        <v>30</v>
      </c>
      <c r="O74" s="88"/>
      <c r="P74" s="88"/>
      <c r="Q74" s="88"/>
      <c r="R74" s="88"/>
      <c r="S74" s="88"/>
      <c r="T74" s="88"/>
      <c r="U74" s="88"/>
      <c r="V74" s="88"/>
      <c r="W74" s="88"/>
      <c r="X74" s="88"/>
      <c r="Y74" s="89"/>
      <c r="Z74" s="88"/>
      <c r="AA74" s="88"/>
      <c r="AB74" s="88"/>
      <c r="AC74" s="88"/>
      <c r="AD74" s="88"/>
      <c r="AE74" s="88"/>
      <c r="AF74" s="88"/>
      <c r="AG74" s="88"/>
      <c r="AH74" s="88"/>
      <c r="AI74" s="88"/>
      <c r="AJ74" s="88"/>
      <c r="AK74" s="88"/>
      <c r="AL74" s="88"/>
      <c r="AM74" s="88"/>
      <c r="AN74" s="88"/>
      <c r="AO74" s="88"/>
      <c r="AP74" s="88"/>
      <c r="AQ74" s="88"/>
      <c r="AR74" s="88"/>
      <c r="AS74" s="88"/>
      <c r="AT74" s="88"/>
      <c r="AU74" s="88"/>
      <c r="AV74" s="88"/>
      <c r="AW74" s="88"/>
    </row>
    <row r="75" spans="1:49" ht="15.75" customHeight="1">
      <c r="A75" s="85" t="s">
        <v>93</v>
      </c>
      <c r="B75" s="88">
        <v>4</v>
      </c>
      <c r="C75" s="88"/>
      <c r="D75" s="90"/>
      <c r="E75" s="90"/>
      <c r="F75" s="90"/>
      <c r="G75" s="90"/>
      <c r="H75" s="90" t="s">
        <v>94</v>
      </c>
      <c r="I75" s="90"/>
      <c r="J75" s="90"/>
      <c r="K75" s="90"/>
      <c r="L75" s="90"/>
      <c r="M75" s="89"/>
      <c r="N75" s="88">
        <v>30</v>
      </c>
      <c r="O75" s="88"/>
      <c r="P75" s="88"/>
      <c r="Q75" s="88"/>
      <c r="R75" s="88"/>
      <c r="S75" s="88"/>
      <c r="T75" s="88"/>
      <c r="U75" s="88"/>
      <c r="V75" s="88"/>
      <c r="W75" s="88"/>
      <c r="X75" s="88"/>
      <c r="Y75" s="89"/>
      <c r="Z75" s="88"/>
      <c r="AA75" s="88"/>
      <c r="AB75" s="88"/>
      <c r="AC75" s="88"/>
      <c r="AD75" s="88"/>
      <c r="AE75" s="88"/>
      <c r="AF75" s="88"/>
      <c r="AG75" s="88"/>
      <c r="AH75" s="88"/>
      <c r="AI75" s="88"/>
      <c r="AJ75" s="88"/>
      <c r="AK75" s="88"/>
      <c r="AL75" s="88"/>
      <c r="AM75" s="88"/>
      <c r="AN75" s="88"/>
      <c r="AO75" s="88"/>
      <c r="AP75" s="88"/>
      <c r="AQ75" s="88"/>
      <c r="AR75" s="88"/>
      <c r="AS75" s="88"/>
      <c r="AT75" s="88"/>
      <c r="AU75" s="88"/>
      <c r="AV75" s="88"/>
      <c r="AW75" s="88"/>
    </row>
    <row r="76" spans="1:49" ht="15.75" customHeight="1">
      <c r="A76" s="85" t="s">
        <v>95</v>
      </c>
      <c r="B76" s="88">
        <v>5</v>
      </c>
      <c r="C76" s="88"/>
      <c r="D76" s="90"/>
      <c r="E76" s="90"/>
      <c r="F76" s="90"/>
      <c r="G76" s="90"/>
      <c r="H76" s="90"/>
      <c r="I76" s="90"/>
      <c r="J76" s="90"/>
      <c r="K76" s="90"/>
      <c r="L76" s="90"/>
      <c r="M76" s="89"/>
      <c r="N76" s="88"/>
      <c r="O76" s="88"/>
      <c r="P76" s="88"/>
      <c r="Q76" s="88"/>
      <c r="R76" s="88"/>
      <c r="S76" s="88"/>
      <c r="T76" s="88"/>
      <c r="U76" s="88">
        <v>10</v>
      </c>
      <c r="V76" s="88"/>
      <c r="W76" s="88"/>
      <c r="X76" s="88"/>
      <c r="Y76" s="89"/>
      <c r="Z76" s="88"/>
      <c r="AA76" s="88"/>
      <c r="AB76" s="88"/>
      <c r="AC76" s="88"/>
      <c r="AD76" s="88"/>
      <c r="AE76" s="88"/>
      <c r="AF76" s="88"/>
      <c r="AG76" s="88"/>
      <c r="AH76" s="88"/>
      <c r="AI76" s="88"/>
      <c r="AJ76" s="88"/>
      <c r="AK76" s="88"/>
      <c r="AL76" s="88"/>
      <c r="AM76" s="88"/>
      <c r="AN76" s="88"/>
      <c r="AO76" s="88"/>
      <c r="AP76" s="88"/>
      <c r="AQ76" s="88"/>
      <c r="AR76" s="88"/>
      <c r="AS76" s="88"/>
      <c r="AT76" s="88"/>
      <c r="AU76" s="88"/>
      <c r="AV76" s="88"/>
      <c r="AW76" s="88"/>
    </row>
    <row r="77" spans="1:49" ht="15.75" customHeight="1">
      <c r="A77" s="85" t="s">
        <v>96</v>
      </c>
      <c r="B77" s="88">
        <v>4</v>
      </c>
      <c r="C77" s="88"/>
      <c r="D77" s="90"/>
      <c r="E77" s="90"/>
      <c r="F77" s="90"/>
      <c r="G77" s="90"/>
      <c r="H77" s="90" t="s">
        <v>87</v>
      </c>
      <c r="I77" s="90"/>
      <c r="J77" s="90"/>
      <c r="K77" s="90"/>
      <c r="L77" s="90"/>
      <c r="M77" s="89"/>
      <c r="N77" s="88">
        <v>30</v>
      </c>
      <c r="O77" s="88"/>
      <c r="P77" s="88"/>
      <c r="Q77" s="88"/>
      <c r="R77" s="88"/>
      <c r="S77" s="88"/>
      <c r="T77" s="88"/>
      <c r="U77" s="88"/>
      <c r="V77" s="88"/>
      <c r="W77" s="88"/>
      <c r="X77" s="88"/>
      <c r="Y77" s="89"/>
      <c r="Z77" s="88"/>
      <c r="AA77" s="88"/>
      <c r="AB77" s="88"/>
      <c r="AC77" s="88"/>
      <c r="AD77" s="88"/>
      <c r="AE77" s="88"/>
      <c r="AF77" s="88"/>
      <c r="AG77" s="88"/>
      <c r="AH77" s="88"/>
      <c r="AI77" s="88"/>
      <c r="AJ77" s="88"/>
      <c r="AK77" s="88"/>
      <c r="AL77" s="88"/>
      <c r="AM77" s="88"/>
      <c r="AN77" s="88"/>
      <c r="AO77" s="88"/>
      <c r="AP77" s="88"/>
      <c r="AQ77" s="88"/>
      <c r="AR77" s="88"/>
      <c r="AS77" s="88"/>
      <c r="AT77" s="88"/>
      <c r="AU77" s="88"/>
      <c r="AV77" s="88"/>
      <c r="AW77" s="88"/>
    </row>
    <row r="78" spans="1:49" ht="15.75" customHeight="1">
      <c r="A78" s="85" t="s">
        <v>97</v>
      </c>
      <c r="B78" s="88">
        <v>4</v>
      </c>
      <c r="C78" s="88"/>
      <c r="D78" s="90"/>
      <c r="E78" s="90"/>
      <c r="F78" s="90"/>
      <c r="G78" s="90"/>
      <c r="H78" s="90" t="s">
        <v>98</v>
      </c>
      <c r="I78" s="90"/>
      <c r="J78" s="90"/>
      <c r="K78" s="90"/>
      <c r="L78" s="90"/>
      <c r="M78" s="89"/>
      <c r="N78" s="88">
        <v>30</v>
      </c>
      <c r="O78" s="88"/>
      <c r="P78" s="88"/>
      <c r="Q78" s="88"/>
      <c r="R78" s="88"/>
      <c r="S78" s="88"/>
      <c r="T78" s="88"/>
      <c r="U78" s="88"/>
      <c r="V78" s="88"/>
      <c r="W78" s="88"/>
      <c r="X78" s="88"/>
      <c r="Y78" s="89"/>
      <c r="Z78" s="88"/>
      <c r="AA78" s="88"/>
      <c r="AB78" s="88"/>
      <c r="AC78" s="88"/>
      <c r="AD78" s="88"/>
      <c r="AE78" s="88"/>
      <c r="AF78" s="88"/>
      <c r="AG78" s="88"/>
      <c r="AH78" s="88"/>
      <c r="AI78" s="88"/>
      <c r="AJ78" s="88"/>
      <c r="AK78" s="88"/>
      <c r="AL78" s="88"/>
      <c r="AM78" s="88"/>
      <c r="AN78" s="88"/>
      <c r="AO78" s="88"/>
      <c r="AP78" s="88"/>
      <c r="AQ78" s="88"/>
      <c r="AR78" s="88"/>
      <c r="AS78" s="88"/>
      <c r="AT78" s="88"/>
      <c r="AU78" s="88"/>
      <c r="AV78" s="88"/>
      <c r="AW78" s="88"/>
    </row>
    <row r="79" spans="1:49" ht="15.75" customHeight="1">
      <c r="A79" s="85" t="s">
        <v>99</v>
      </c>
      <c r="B79" s="88">
        <v>4</v>
      </c>
      <c r="C79" s="88"/>
      <c r="D79" s="90"/>
      <c r="E79" s="90"/>
      <c r="F79" s="90"/>
      <c r="G79" s="90"/>
      <c r="H79" s="90" t="s">
        <v>100</v>
      </c>
      <c r="I79" s="90"/>
      <c r="J79" s="90"/>
      <c r="K79" s="90"/>
      <c r="L79" s="90"/>
      <c r="M79" s="89"/>
      <c r="N79" s="88">
        <v>30</v>
      </c>
      <c r="O79" s="88"/>
      <c r="P79" s="88"/>
      <c r="Q79" s="88"/>
      <c r="R79" s="88"/>
      <c r="S79" s="88"/>
      <c r="T79" s="88"/>
      <c r="U79" s="88"/>
      <c r="V79" s="88"/>
      <c r="W79" s="88"/>
      <c r="X79" s="88"/>
      <c r="Y79" s="89"/>
      <c r="Z79" s="88"/>
      <c r="AA79" s="88"/>
      <c r="AB79" s="88"/>
      <c r="AC79" s="88"/>
      <c r="AD79" s="88"/>
      <c r="AE79" s="88"/>
      <c r="AF79" s="88"/>
      <c r="AG79" s="88"/>
      <c r="AH79" s="88"/>
      <c r="AI79" s="88"/>
      <c r="AJ79" s="88"/>
      <c r="AK79" s="88"/>
      <c r="AL79" s="88"/>
      <c r="AM79" s="88"/>
      <c r="AN79" s="88"/>
      <c r="AO79" s="88"/>
      <c r="AP79" s="88"/>
      <c r="AQ79" s="88"/>
      <c r="AR79" s="88"/>
      <c r="AS79" s="88"/>
      <c r="AT79" s="88"/>
      <c r="AU79" s="88"/>
      <c r="AV79" s="88"/>
      <c r="AW79" s="88"/>
    </row>
    <row r="80" spans="1:49" ht="15.75" customHeight="1">
      <c r="A80" s="85" t="s">
        <v>101</v>
      </c>
      <c r="B80" s="88"/>
      <c r="C80" s="88"/>
      <c r="D80" s="90" t="s">
        <v>726</v>
      </c>
      <c r="E80" s="90"/>
      <c r="F80" s="90"/>
      <c r="G80" s="90"/>
      <c r="H80" s="90" t="s">
        <v>102</v>
      </c>
      <c r="I80" s="90"/>
      <c r="J80" s="90"/>
      <c r="K80" s="90"/>
      <c r="L80" s="90"/>
      <c r="M80" s="89"/>
      <c r="N80" s="88"/>
      <c r="O80" s="88">
        <v>100</v>
      </c>
      <c r="P80" s="88"/>
      <c r="Q80" s="88"/>
      <c r="R80" s="88"/>
      <c r="S80" s="88"/>
      <c r="T80" s="88"/>
      <c r="U80" s="88"/>
      <c r="V80" s="88"/>
      <c r="W80" s="88"/>
      <c r="X80" s="88"/>
      <c r="Y80" s="89"/>
      <c r="Z80" s="88"/>
      <c r="AA80" s="88"/>
      <c r="AB80" s="88"/>
      <c r="AC80" s="88"/>
      <c r="AD80" s="88"/>
      <c r="AE80" s="88"/>
      <c r="AF80" s="88"/>
      <c r="AG80" s="88"/>
      <c r="AH80" s="88"/>
      <c r="AI80" s="88"/>
      <c r="AJ80" s="88"/>
      <c r="AK80" s="88"/>
      <c r="AL80" s="88"/>
      <c r="AM80" s="88"/>
      <c r="AN80" s="88"/>
      <c r="AO80" s="88"/>
      <c r="AP80" s="88"/>
      <c r="AQ80" s="88"/>
      <c r="AR80" s="88"/>
      <c r="AS80" s="88"/>
      <c r="AT80" s="88"/>
      <c r="AU80" s="88"/>
      <c r="AV80" s="88"/>
      <c r="AW80" s="88"/>
    </row>
    <row r="81" spans="1:49" ht="15.75" customHeight="1">
      <c r="A81" s="85" t="s">
        <v>103</v>
      </c>
      <c r="B81" s="88">
        <v>4</v>
      </c>
      <c r="C81" s="88"/>
      <c r="D81" s="90"/>
      <c r="E81" s="90"/>
      <c r="F81" s="90"/>
      <c r="G81" s="90"/>
      <c r="H81" s="90" t="s">
        <v>102</v>
      </c>
      <c r="I81" s="90"/>
      <c r="J81" s="90"/>
      <c r="K81" s="90"/>
      <c r="L81" s="90"/>
      <c r="M81" s="89"/>
      <c r="N81" s="88">
        <v>30</v>
      </c>
      <c r="O81" s="88"/>
      <c r="P81" s="88"/>
      <c r="Q81" s="88"/>
      <c r="R81" s="88"/>
      <c r="S81" s="88"/>
      <c r="T81" s="88"/>
      <c r="U81" s="88"/>
      <c r="V81" s="88"/>
      <c r="W81" s="88"/>
      <c r="X81" s="88"/>
      <c r="Y81" s="89"/>
      <c r="Z81" s="88"/>
      <c r="AA81" s="88"/>
      <c r="AB81" s="88"/>
      <c r="AC81" s="88"/>
      <c r="AD81" s="88"/>
      <c r="AE81" s="88"/>
      <c r="AF81" s="88"/>
      <c r="AG81" s="88"/>
      <c r="AH81" s="88"/>
      <c r="AI81" s="88"/>
      <c r="AJ81" s="88"/>
      <c r="AK81" s="88"/>
      <c r="AL81" s="88"/>
      <c r="AM81" s="88"/>
      <c r="AN81" s="88"/>
      <c r="AO81" s="88"/>
      <c r="AP81" s="88"/>
      <c r="AQ81" s="88"/>
      <c r="AR81" s="88"/>
      <c r="AS81" s="88"/>
      <c r="AT81" s="88"/>
      <c r="AU81" s="88"/>
      <c r="AV81" s="88"/>
      <c r="AW81" s="88"/>
    </row>
    <row r="82" spans="1:49" ht="15.75" customHeight="1">
      <c r="A82" s="85" t="s">
        <v>104</v>
      </c>
      <c r="B82" s="88">
        <v>4</v>
      </c>
      <c r="C82" s="88"/>
      <c r="D82" s="90"/>
      <c r="E82" s="90"/>
      <c r="F82" s="90"/>
      <c r="G82" s="90"/>
      <c r="H82" s="90" t="s">
        <v>105</v>
      </c>
      <c r="I82" s="90"/>
      <c r="J82" s="90"/>
      <c r="K82" s="90"/>
      <c r="L82" s="90"/>
      <c r="M82" s="89"/>
      <c r="N82" s="88">
        <v>30</v>
      </c>
      <c r="O82" s="88"/>
      <c r="P82" s="88"/>
      <c r="Q82" s="88"/>
      <c r="R82" s="88"/>
      <c r="S82" s="88"/>
      <c r="T82" s="88"/>
      <c r="U82" s="88"/>
      <c r="V82" s="88"/>
      <c r="W82" s="88"/>
      <c r="X82" s="88"/>
      <c r="Y82" s="89"/>
      <c r="Z82" s="88"/>
      <c r="AA82" s="88"/>
      <c r="AB82" s="88"/>
      <c r="AC82" s="88"/>
      <c r="AD82" s="88"/>
      <c r="AE82" s="88"/>
      <c r="AF82" s="88"/>
      <c r="AG82" s="88"/>
      <c r="AH82" s="88"/>
      <c r="AI82" s="88"/>
      <c r="AJ82" s="88"/>
      <c r="AK82" s="88"/>
      <c r="AL82" s="88"/>
      <c r="AM82" s="88"/>
      <c r="AN82" s="88"/>
      <c r="AO82" s="88"/>
      <c r="AP82" s="88"/>
      <c r="AQ82" s="88"/>
      <c r="AR82" s="88"/>
      <c r="AS82" s="88"/>
      <c r="AT82" s="88"/>
      <c r="AU82" s="88"/>
      <c r="AV82" s="88"/>
      <c r="AW82" s="88"/>
    </row>
    <row r="83" spans="1:49" ht="15.75" customHeight="1">
      <c r="A83" s="85" t="s">
        <v>106</v>
      </c>
      <c r="B83" s="88">
        <v>4</v>
      </c>
      <c r="C83" s="88"/>
      <c r="D83" s="90"/>
      <c r="E83" s="90"/>
      <c r="F83" s="90"/>
      <c r="G83" s="90"/>
      <c r="H83" s="90" t="s">
        <v>107</v>
      </c>
      <c r="I83" s="90"/>
      <c r="J83" s="90"/>
      <c r="K83" s="90"/>
      <c r="L83" s="90"/>
      <c r="M83" s="89"/>
      <c r="N83" s="88">
        <v>30</v>
      </c>
      <c r="O83" s="88"/>
      <c r="P83" s="88"/>
      <c r="Q83" s="88"/>
      <c r="R83" s="88"/>
      <c r="S83" s="88"/>
      <c r="T83" s="88"/>
      <c r="U83" s="88"/>
      <c r="V83" s="88"/>
      <c r="W83" s="88"/>
      <c r="X83" s="88"/>
      <c r="Y83" s="89"/>
      <c r="Z83" s="88"/>
      <c r="AA83" s="88"/>
      <c r="AB83" s="88"/>
      <c r="AC83" s="88"/>
      <c r="AD83" s="88"/>
      <c r="AE83" s="88"/>
      <c r="AF83" s="88"/>
      <c r="AG83" s="88"/>
      <c r="AH83" s="88"/>
      <c r="AI83" s="88"/>
      <c r="AJ83" s="88"/>
      <c r="AK83" s="88"/>
      <c r="AL83" s="88"/>
      <c r="AM83" s="88"/>
      <c r="AN83" s="88"/>
      <c r="AO83" s="88"/>
      <c r="AP83" s="88"/>
      <c r="AQ83" s="88"/>
      <c r="AR83" s="88"/>
      <c r="AS83" s="88"/>
      <c r="AT83" s="88"/>
      <c r="AU83" s="88"/>
      <c r="AV83" s="88"/>
      <c r="AW83" s="88"/>
    </row>
    <row r="84" spans="1:49" ht="15.75" customHeight="1">
      <c r="A84" s="85" t="s">
        <v>108</v>
      </c>
      <c r="B84" s="88"/>
      <c r="C84" s="88"/>
      <c r="D84" s="90" t="s">
        <v>759</v>
      </c>
      <c r="E84" s="90"/>
      <c r="F84" s="90"/>
      <c r="G84" s="90"/>
      <c r="H84" s="90" t="s">
        <v>109</v>
      </c>
      <c r="I84" s="90"/>
      <c r="J84" s="90"/>
      <c r="K84" s="90"/>
      <c r="L84" s="90"/>
      <c r="M84" s="89"/>
      <c r="N84" s="88">
        <v>44</v>
      </c>
      <c r="O84" s="88">
        <v>100</v>
      </c>
      <c r="P84" s="88"/>
      <c r="Q84" s="88"/>
      <c r="R84" s="88"/>
      <c r="S84" s="88"/>
      <c r="T84" s="88"/>
      <c r="U84" s="88"/>
      <c r="V84" s="88"/>
      <c r="W84" s="88"/>
      <c r="X84" s="88"/>
      <c r="Y84" s="89"/>
      <c r="Z84" s="88"/>
      <c r="AA84" s="88"/>
      <c r="AB84" s="88"/>
      <c r="AC84" s="88"/>
      <c r="AD84" s="88"/>
      <c r="AE84" s="88"/>
      <c r="AF84" s="88"/>
      <c r="AG84" s="88"/>
      <c r="AH84" s="88"/>
      <c r="AI84" s="88"/>
      <c r="AJ84" s="88"/>
      <c r="AK84" s="88"/>
      <c r="AL84" s="88"/>
      <c r="AM84" s="88"/>
      <c r="AN84" s="88"/>
      <c r="AO84" s="88"/>
      <c r="AP84" s="88"/>
      <c r="AQ84" s="88"/>
      <c r="AR84" s="88"/>
      <c r="AS84" s="88"/>
      <c r="AT84" s="88"/>
      <c r="AU84" s="88"/>
      <c r="AV84" s="88"/>
      <c r="AW84" s="88"/>
    </row>
    <row r="85" spans="1:49" ht="15.75" customHeight="1">
      <c r="A85" s="85" t="s">
        <v>110</v>
      </c>
      <c r="B85" s="88">
        <v>4</v>
      </c>
      <c r="C85" s="88"/>
      <c r="D85" s="90"/>
      <c r="E85" s="90"/>
      <c r="F85" s="90"/>
      <c r="G85" s="90"/>
      <c r="H85" s="90" t="s">
        <v>111</v>
      </c>
      <c r="I85" s="90"/>
      <c r="J85" s="90"/>
      <c r="K85" s="90"/>
      <c r="L85" s="90"/>
      <c r="M85" s="89"/>
      <c r="N85" s="88">
        <v>30</v>
      </c>
      <c r="O85" s="88"/>
      <c r="P85" s="88"/>
      <c r="Q85" s="88"/>
      <c r="R85" s="88"/>
      <c r="S85" s="88"/>
      <c r="T85" s="88"/>
      <c r="U85" s="88"/>
      <c r="V85" s="88"/>
      <c r="W85" s="88"/>
      <c r="X85" s="88"/>
      <c r="Y85" s="89"/>
      <c r="Z85" s="88"/>
      <c r="AA85" s="88"/>
      <c r="AB85" s="88"/>
      <c r="AC85" s="88"/>
      <c r="AD85" s="88"/>
      <c r="AE85" s="88"/>
      <c r="AF85" s="88"/>
      <c r="AG85" s="88"/>
      <c r="AH85" s="88"/>
      <c r="AI85" s="88"/>
      <c r="AJ85" s="88"/>
      <c r="AK85" s="88"/>
      <c r="AL85" s="88"/>
      <c r="AM85" s="88"/>
      <c r="AN85" s="88"/>
      <c r="AO85" s="88"/>
      <c r="AP85" s="88"/>
      <c r="AQ85" s="88"/>
      <c r="AR85" s="88"/>
      <c r="AS85" s="88"/>
      <c r="AT85" s="88"/>
      <c r="AU85" s="88"/>
      <c r="AV85" s="88"/>
      <c r="AW85" s="88"/>
    </row>
    <row r="86" spans="1:49" ht="15.75" customHeight="1">
      <c r="A86" s="85" t="s">
        <v>112</v>
      </c>
      <c r="B86" s="88">
        <v>4</v>
      </c>
      <c r="C86" s="88"/>
      <c r="D86" s="90"/>
      <c r="E86" s="90"/>
      <c r="F86" s="90"/>
      <c r="G86" s="90"/>
      <c r="H86" s="90" t="s">
        <v>109</v>
      </c>
      <c r="I86" s="90"/>
      <c r="J86" s="90"/>
      <c r="K86" s="90"/>
      <c r="L86" s="90"/>
      <c r="M86" s="89"/>
      <c r="N86" s="88">
        <v>30</v>
      </c>
      <c r="O86" s="88"/>
      <c r="P86" s="88"/>
      <c r="Q86" s="88"/>
      <c r="R86" s="88"/>
      <c r="S86" s="88"/>
      <c r="T86" s="88"/>
      <c r="U86" s="88"/>
      <c r="V86" s="88"/>
      <c r="W86" s="88"/>
      <c r="X86" s="88"/>
      <c r="Y86" s="89"/>
      <c r="Z86" s="88"/>
      <c r="AA86" s="88"/>
      <c r="AB86" s="88"/>
      <c r="AC86" s="88"/>
      <c r="AD86" s="88"/>
      <c r="AE86" s="88"/>
      <c r="AF86" s="88"/>
      <c r="AG86" s="88"/>
      <c r="AH86" s="88"/>
      <c r="AI86" s="88"/>
      <c r="AJ86" s="88"/>
      <c r="AK86" s="88"/>
      <c r="AL86" s="88"/>
      <c r="AM86" s="88"/>
      <c r="AN86" s="88"/>
      <c r="AO86" s="88"/>
      <c r="AP86" s="88"/>
      <c r="AQ86" s="88"/>
      <c r="AR86" s="88"/>
      <c r="AS86" s="88"/>
      <c r="AT86" s="88"/>
      <c r="AU86" s="88"/>
      <c r="AV86" s="88"/>
      <c r="AW86" s="88"/>
    </row>
    <row r="87" spans="1:49" ht="15.75" customHeight="1">
      <c r="A87" s="85" t="s">
        <v>113</v>
      </c>
      <c r="B87" s="88">
        <v>4</v>
      </c>
      <c r="C87" s="88"/>
      <c r="D87" s="90"/>
      <c r="E87" s="90"/>
      <c r="F87" s="90"/>
      <c r="G87" s="90"/>
      <c r="H87" s="90" t="s">
        <v>114</v>
      </c>
      <c r="I87" s="90"/>
      <c r="J87" s="90"/>
      <c r="K87" s="90"/>
      <c r="L87" s="90"/>
      <c r="M87" s="89"/>
      <c r="N87" s="88">
        <v>30</v>
      </c>
      <c r="O87" s="88"/>
      <c r="P87" s="88"/>
      <c r="Q87" s="88"/>
      <c r="R87" s="88"/>
      <c r="S87" s="88"/>
      <c r="T87" s="88"/>
      <c r="U87" s="88"/>
      <c r="V87" s="88"/>
      <c r="W87" s="88"/>
      <c r="X87" s="88"/>
      <c r="Y87" s="89"/>
      <c r="Z87" s="88"/>
      <c r="AA87" s="88"/>
      <c r="AB87" s="88"/>
      <c r="AC87" s="88"/>
      <c r="AD87" s="88"/>
      <c r="AE87" s="88"/>
      <c r="AF87" s="88"/>
      <c r="AG87" s="88"/>
      <c r="AH87" s="88"/>
      <c r="AI87" s="88"/>
      <c r="AJ87" s="88"/>
      <c r="AK87" s="88"/>
      <c r="AL87" s="88"/>
      <c r="AM87" s="88"/>
      <c r="AN87" s="88"/>
      <c r="AO87" s="88"/>
      <c r="AP87" s="88"/>
      <c r="AQ87" s="88"/>
      <c r="AR87" s="88"/>
      <c r="AS87" s="88"/>
      <c r="AT87" s="88"/>
      <c r="AU87" s="88"/>
      <c r="AV87" s="88"/>
      <c r="AW87" s="88"/>
    </row>
    <row r="88" spans="1:49" ht="15.75" customHeight="1">
      <c r="A88" s="85" t="s">
        <v>818</v>
      </c>
      <c r="B88" s="88"/>
      <c r="C88" s="88"/>
      <c r="D88" s="90"/>
      <c r="E88" s="90"/>
      <c r="F88" s="90"/>
      <c r="G88" s="90"/>
      <c r="H88" s="90"/>
      <c r="I88" s="90"/>
      <c r="J88" s="90"/>
      <c r="K88" s="90"/>
      <c r="L88" s="90"/>
      <c r="M88" s="89"/>
      <c r="N88" s="88"/>
      <c r="O88" s="88"/>
      <c r="P88" s="88"/>
      <c r="Q88" s="88"/>
      <c r="R88" s="88"/>
      <c r="S88" s="88"/>
      <c r="T88" s="88"/>
      <c r="U88" s="88"/>
      <c r="V88" s="88"/>
      <c r="W88" s="88"/>
      <c r="X88" s="88"/>
      <c r="Y88" s="89"/>
      <c r="Z88" s="88"/>
      <c r="AA88" s="88"/>
      <c r="AB88" s="88"/>
      <c r="AC88" s="88"/>
      <c r="AD88" s="88"/>
      <c r="AE88" s="88"/>
      <c r="AF88" s="88"/>
      <c r="AG88" s="88"/>
      <c r="AH88" s="88"/>
      <c r="AI88" s="88"/>
      <c r="AJ88" s="88"/>
      <c r="AK88" s="88"/>
      <c r="AL88" s="88">
        <v>7</v>
      </c>
      <c r="AM88" s="88">
        <v>7</v>
      </c>
      <c r="AN88" s="88">
        <v>7</v>
      </c>
      <c r="AO88" s="88">
        <v>7</v>
      </c>
      <c r="AP88" s="88">
        <v>7</v>
      </c>
      <c r="AQ88" s="88">
        <v>7</v>
      </c>
      <c r="AR88" s="88"/>
      <c r="AS88" s="88"/>
      <c r="AT88" s="88"/>
      <c r="AU88" s="88"/>
      <c r="AV88" s="88"/>
      <c r="AW88" s="88"/>
    </row>
    <row r="89" spans="1:49" ht="15.75" customHeight="1">
      <c r="A89" s="85" t="s">
        <v>115</v>
      </c>
      <c r="B89" s="88">
        <v>6</v>
      </c>
      <c r="C89" s="88"/>
      <c r="D89" s="90"/>
      <c r="E89" s="90"/>
      <c r="F89" s="90"/>
      <c r="G89" s="90"/>
      <c r="H89" s="90"/>
      <c r="I89" s="90"/>
      <c r="J89" s="90"/>
      <c r="K89" s="90"/>
      <c r="L89" s="90" t="s">
        <v>783</v>
      </c>
      <c r="M89" s="89"/>
      <c r="N89" s="88">
        <v>20</v>
      </c>
      <c r="O89" s="88"/>
      <c r="P89" s="88"/>
      <c r="Q89" s="88"/>
      <c r="R89" s="88"/>
      <c r="S89" s="88"/>
      <c r="T89" s="88"/>
      <c r="U89" s="88"/>
      <c r="V89" s="88"/>
      <c r="W89" s="88"/>
      <c r="X89" s="88"/>
      <c r="Y89" s="89"/>
      <c r="Z89" s="88"/>
      <c r="AA89" s="88"/>
      <c r="AB89" s="88"/>
      <c r="AC89" s="88"/>
      <c r="AD89" s="88"/>
      <c r="AE89" s="88"/>
      <c r="AF89" s="88"/>
      <c r="AG89" s="88"/>
      <c r="AH89" s="88"/>
      <c r="AI89" s="88"/>
      <c r="AJ89" s="88"/>
      <c r="AK89" s="88"/>
      <c r="AL89" s="88"/>
      <c r="AM89" s="88"/>
      <c r="AN89" s="88"/>
      <c r="AO89" s="88"/>
      <c r="AP89" s="88"/>
      <c r="AQ89" s="88"/>
      <c r="AR89" s="88"/>
      <c r="AS89" s="88"/>
      <c r="AT89" s="88"/>
      <c r="AU89" s="88"/>
      <c r="AV89" s="88"/>
      <c r="AW89" s="88"/>
    </row>
    <row r="90" spans="1:49" ht="15.75" customHeight="1">
      <c r="A90" s="85" t="s">
        <v>116</v>
      </c>
      <c r="B90" s="88"/>
      <c r="C90" s="88"/>
      <c r="D90" s="90"/>
      <c r="E90" s="90"/>
      <c r="F90" s="90"/>
      <c r="G90" s="90"/>
      <c r="H90" s="90"/>
      <c r="I90" s="90"/>
      <c r="J90" s="90"/>
      <c r="K90" s="90"/>
      <c r="L90" s="90"/>
      <c r="M90" s="89"/>
      <c r="N90" s="88"/>
      <c r="O90" s="88"/>
      <c r="P90" s="88"/>
      <c r="Q90" s="88"/>
      <c r="R90" s="88"/>
      <c r="S90" s="88"/>
      <c r="T90" s="88"/>
      <c r="U90" s="88"/>
      <c r="V90" s="88"/>
      <c r="W90" s="88"/>
      <c r="X90" s="88"/>
      <c r="Y90" s="89"/>
      <c r="Z90" s="88">
        <v>20</v>
      </c>
      <c r="AA90" s="88"/>
      <c r="AB90" s="88"/>
      <c r="AC90" s="88"/>
      <c r="AD90" s="88"/>
      <c r="AE90" s="88"/>
      <c r="AF90" s="88"/>
      <c r="AG90" s="88"/>
      <c r="AH90" s="88"/>
      <c r="AI90" s="88"/>
      <c r="AJ90" s="88"/>
      <c r="AK90" s="88"/>
      <c r="AL90" s="88"/>
      <c r="AM90" s="88"/>
      <c r="AN90" s="88"/>
      <c r="AO90" s="88"/>
      <c r="AP90" s="88"/>
      <c r="AQ90" s="88"/>
      <c r="AR90" s="88"/>
      <c r="AS90" s="88"/>
      <c r="AT90" s="88"/>
      <c r="AU90" s="88"/>
      <c r="AV90" s="88"/>
      <c r="AW90" s="88"/>
    </row>
    <row r="91" spans="1:49" ht="15.75" customHeight="1">
      <c r="A91" s="85" t="s">
        <v>117</v>
      </c>
      <c r="B91" s="88"/>
      <c r="C91" s="88"/>
      <c r="D91" s="90"/>
      <c r="E91" s="90"/>
      <c r="F91" s="90"/>
      <c r="G91" s="90"/>
      <c r="H91" s="90" t="s">
        <v>102</v>
      </c>
      <c r="I91" s="90"/>
      <c r="J91" s="90"/>
      <c r="K91" s="90"/>
      <c r="L91" s="90"/>
      <c r="M91" s="89"/>
      <c r="N91" s="88">
        <v>15</v>
      </c>
      <c r="O91" s="88"/>
      <c r="P91" s="88"/>
      <c r="Q91" s="88"/>
      <c r="R91" s="88"/>
      <c r="S91" s="88"/>
      <c r="T91" s="88"/>
      <c r="U91" s="88"/>
      <c r="V91" s="88"/>
      <c r="W91" s="88"/>
      <c r="X91" s="88"/>
      <c r="Y91" s="89"/>
      <c r="Z91" s="88"/>
      <c r="AA91" s="88"/>
      <c r="AB91" s="88"/>
      <c r="AC91" s="88"/>
      <c r="AD91" s="88"/>
      <c r="AE91" s="88"/>
      <c r="AF91" s="88"/>
      <c r="AG91" s="88"/>
      <c r="AH91" s="88"/>
      <c r="AI91" s="88"/>
      <c r="AJ91" s="88"/>
      <c r="AK91" s="88"/>
      <c r="AL91" s="88"/>
      <c r="AM91" s="88"/>
      <c r="AN91" s="88"/>
      <c r="AO91" s="88"/>
      <c r="AP91" s="88"/>
      <c r="AQ91" s="88"/>
      <c r="AR91" s="88"/>
      <c r="AS91" s="88"/>
      <c r="AT91" s="88"/>
      <c r="AU91" s="88"/>
      <c r="AV91" s="88"/>
      <c r="AW91" s="88"/>
    </row>
    <row r="92" spans="1:49" ht="15.75" customHeight="1">
      <c r="A92" s="85" t="s">
        <v>118</v>
      </c>
      <c r="B92" s="88"/>
      <c r="C92" s="88"/>
      <c r="D92" s="90"/>
      <c r="E92" s="90"/>
      <c r="F92" s="90"/>
      <c r="G92" s="90"/>
      <c r="H92" s="90" t="s">
        <v>92</v>
      </c>
      <c r="I92" s="90"/>
      <c r="J92" s="90"/>
      <c r="K92" s="90"/>
      <c r="L92" s="90"/>
      <c r="M92" s="89"/>
      <c r="N92" s="88">
        <v>15</v>
      </c>
      <c r="O92" s="88"/>
      <c r="P92" s="88"/>
      <c r="Q92" s="88"/>
      <c r="R92" s="88"/>
      <c r="S92" s="88"/>
      <c r="T92" s="88"/>
      <c r="U92" s="88"/>
      <c r="V92" s="88"/>
      <c r="W92" s="88"/>
      <c r="X92" s="88"/>
      <c r="Y92" s="89"/>
      <c r="Z92" s="88"/>
      <c r="AA92" s="88"/>
      <c r="AB92" s="88"/>
      <c r="AC92" s="88"/>
      <c r="AD92" s="88"/>
      <c r="AE92" s="88"/>
      <c r="AF92" s="88"/>
      <c r="AG92" s="88"/>
      <c r="AH92" s="88"/>
      <c r="AI92" s="88"/>
      <c r="AJ92" s="88"/>
      <c r="AK92" s="88"/>
      <c r="AL92" s="88"/>
      <c r="AM92" s="88"/>
      <c r="AN92" s="88"/>
      <c r="AO92" s="88"/>
      <c r="AP92" s="88"/>
      <c r="AQ92" s="88"/>
      <c r="AR92" s="88"/>
      <c r="AS92" s="88"/>
      <c r="AT92" s="88"/>
      <c r="AU92" s="88"/>
      <c r="AV92" s="88"/>
      <c r="AW92" s="88"/>
    </row>
    <row r="93" spans="1:49" ht="15.75" customHeight="1">
      <c r="A93" s="85" t="s">
        <v>119</v>
      </c>
      <c r="B93" s="88"/>
      <c r="C93" s="88"/>
      <c r="D93" s="90"/>
      <c r="E93" s="90"/>
      <c r="F93" s="90"/>
      <c r="G93" s="90"/>
      <c r="H93" s="90" t="s">
        <v>87</v>
      </c>
      <c r="I93" s="90"/>
      <c r="J93" s="90"/>
      <c r="K93" s="90"/>
      <c r="L93" s="90"/>
      <c r="M93" s="89"/>
      <c r="N93" s="88">
        <v>15</v>
      </c>
      <c r="O93" s="88"/>
      <c r="P93" s="88"/>
      <c r="Q93" s="88"/>
      <c r="R93" s="88"/>
      <c r="S93" s="88"/>
      <c r="T93" s="88"/>
      <c r="U93" s="88"/>
      <c r="V93" s="88"/>
      <c r="W93" s="88"/>
      <c r="X93" s="88"/>
      <c r="Y93" s="89"/>
      <c r="Z93" s="88"/>
      <c r="AA93" s="88"/>
      <c r="AB93" s="88"/>
      <c r="AC93" s="88"/>
      <c r="AD93" s="88"/>
      <c r="AE93" s="88"/>
      <c r="AF93" s="88"/>
      <c r="AG93" s="88"/>
      <c r="AH93" s="88"/>
      <c r="AI93" s="88"/>
      <c r="AJ93" s="88"/>
      <c r="AK93" s="88"/>
      <c r="AL93" s="88"/>
      <c r="AM93" s="88"/>
      <c r="AN93" s="88"/>
      <c r="AO93" s="88"/>
      <c r="AP93" s="88"/>
      <c r="AQ93" s="88"/>
      <c r="AR93" s="88"/>
      <c r="AS93" s="88"/>
      <c r="AT93" s="88"/>
      <c r="AU93" s="88"/>
      <c r="AV93" s="88"/>
      <c r="AW93" s="88"/>
    </row>
    <row r="94" spans="1:49" ht="15.75" customHeight="1">
      <c r="A94" s="85" t="s">
        <v>120</v>
      </c>
      <c r="B94" s="88"/>
      <c r="C94" s="88"/>
      <c r="D94" s="90"/>
      <c r="E94" s="90"/>
      <c r="F94" s="90"/>
      <c r="G94" s="90"/>
      <c r="H94" s="90" t="s">
        <v>114</v>
      </c>
      <c r="I94" s="90"/>
      <c r="J94" s="90"/>
      <c r="K94" s="90"/>
      <c r="L94" s="90"/>
      <c r="M94" s="89"/>
      <c r="N94" s="88">
        <v>15</v>
      </c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9"/>
      <c r="Z94" s="88"/>
      <c r="AA94" s="88"/>
      <c r="AB94" s="88"/>
      <c r="AC94" s="88"/>
      <c r="AD94" s="88"/>
      <c r="AE94" s="88"/>
      <c r="AF94" s="88"/>
      <c r="AG94" s="88"/>
      <c r="AH94" s="88"/>
      <c r="AI94" s="88"/>
      <c r="AJ94" s="88"/>
      <c r="AK94" s="88"/>
      <c r="AL94" s="88"/>
      <c r="AM94" s="88"/>
      <c r="AN94" s="88"/>
      <c r="AO94" s="88"/>
      <c r="AP94" s="88"/>
      <c r="AQ94" s="88"/>
      <c r="AR94" s="88"/>
      <c r="AS94" s="88"/>
      <c r="AT94" s="88"/>
      <c r="AU94" s="88"/>
      <c r="AV94" s="88"/>
      <c r="AW94" s="88"/>
    </row>
    <row r="95" spans="1:49" ht="15.75" customHeight="1">
      <c r="A95" s="85" t="s">
        <v>121</v>
      </c>
      <c r="B95" s="88"/>
      <c r="C95" s="88">
        <v>2</v>
      </c>
      <c r="D95" s="90"/>
      <c r="E95" s="90"/>
      <c r="F95" s="90"/>
      <c r="G95" s="90"/>
      <c r="H95" s="90"/>
      <c r="I95" s="90"/>
      <c r="J95" s="90"/>
      <c r="K95" s="90"/>
      <c r="L95" s="90"/>
      <c r="M95" s="89"/>
      <c r="N95" s="88"/>
      <c r="O95" s="88"/>
      <c r="P95" s="88"/>
      <c r="Q95" s="88"/>
      <c r="R95" s="88"/>
      <c r="S95" s="88"/>
      <c r="T95" s="88"/>
      <c r="U95" s="88"/>
      <c r="V95" s="88"/>
      <c r="W95" s="88">
        <v>15</v>
      </c>
      <c r="X95" s="88">
        <v>15</v>
      </c>
      <c r="Y95" s="89"/>
      <c r="Z95" s="88"/>
      <c r="AA95" s="88"/>
      <c r="AB95" s="88"/>
      <c r="AC95" s="88"/>
      <c r="AD95" s="88"/>
      <c r="AE95" s="88"/>
      <c r="AF95" s="88"/>
      <c r="AG95" s="88"/>
      <c r="AH95" s="88"/>
      <c r="AI95" s="88"/>
      <c r="AJ95" s="88"/>
      <c r="AK95" s="88"/>
      <c r="AL95" s="88"/>
      <c r="AM95" s="88"/>
      <c r="AN95" s="88"/>
      <c r="AO95" s="88"/>
      <c r="AP95" s="88"/>
      <c r="AQ95" s="88"/>
      <c r="AR95" s="88"/>
      <c r="AS95" s="88"/>
      <c r="AT95" s="88"/>
      <c r="AU95" s="88"/>
      <c r="AV95" s="88"/>
      <c r="AW95" s="88"/>
    </row>
    <row r="96" spans="1:49" ht="15.75" customHeight="1">
      <c r="A96" s="85" t="s">
        <v>819</v>
      </c>
      <c r="B96" s="88"/>
      <c r="C96" s="88"/>
      <c r="D96" s="90" t="s">
        <v>718</v>
      </c>
      <c r="E96" s="90"/>
      <c r="F96" s="90"/>
      <c r="G96" s="90" t="s">
        <v>783</v>
      </c>
      <c r="H96" s="90"/>
      <c r="I96" s="90"/>
      <c r="J96" s="90"/>
      <c r="K96" s="90"/>
      <c r="L96" s="90"/>
      <c r="M96" s="89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9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</row>
    <row r="97" spans="1:49" ht="15.75" customHeight="1">
      <c r="A97" s="85" t="s">
        <v>122</v>
      </c>
      <c r="B97" s="88">
        <v>4</v>
      </c>
      <c r="C97" s="88"/>
      <c r="D97" s="90"/>
      <c r="E97" s="90"/>
      <c r="F97" s="90"/>
      <c r="G97" s="90"/>
      <c r="H97" s="90" t="s">
        <v>123</v>
      </c>
      <c r="I97" s="90"/>
      <c r="J97" s="90"/>
      <c r="K97" s="90"/>
      <c r="L97" s="90"/>
      <c r="M97" s="89"/>
      <c r="N97" s="88">
        <v>30</v>
      </c>
      <c r="O97" s="88"/>
      <c r="P97" s="88"/>
      <c r="Q97" s="88"/>
      <c r="R97" s="88"/>
      <c r="S97" s="88"/>
      <c r="T97" s="88"/>
      <c r="U97" s="88"/>
      <c r="V97" s="88"/>
      <c r="W97" s="88"/>
      <c r="X97" s="88"/>
      <c r="Y97" s="89"/>
      <c r="Z97" s="88"/>
      <c r="AA97" s="88"/>
      <c r="AB97" s="88"/>
      <c r="AC97" s="88"/>
      <c r="AD97" s="88"/>
      <c r="AE97" s="88"/>
      <c r="AF97" s="88"/>
      <c r="AG97" s="88"/>
      <c r="AH97" s="88"/>
      <c r="AI97" s="88"/>
      <c r="AJ97" s="88"/>
      <c r="AK97" s="88"/>
      <c r="AL97" s="88"/>
      <c r="AM97" s="88"/>
      <c r="AN97" s="88"/>
      <c r="AO97" s="88"/>
      <c r="AP97" s="88"/>
      <c r="AQ97" s="88"/>
      <c r="AR97" s="88"/>
      <c r="AS97" s="88"/>
      <c r="AT97" s="88"/>
      <c r="AU97" s="88"/>
      <c r="AV97" s="88"/>
      <c r="AW97" s="88"/>
    </row>
    <row r="98" spans="1:49" ht="15.75" customHeight="1">
      <c r="A98" s="85" t="s">
        <v>124</v>
      </c>
      <c r="B98" s="88">
        <v>4</v>
      </c>
      <c r="C98" s="88"/>
      <c r="D98" s="90"/>
      <c r="E98" s="90"/>
      <c r="F98" s="90"/>
      <c r="G98" s="90"/>
      <c r="H98" s="90" t="s">
        <v>125</v>
      </c>
      <c r="I98" s="90"/>
      <c r="J98" s="90"/>
      <c r="K98" s="90"/>
      <c r="L98" s="90"/>
      <c r="M98" s="89"/>
      <c r="N98" s="88">
        <v>30</v>
      </c>
      <c r="O98" s="88"/>
      <c r="P98" s="88"/>
      <c r="Q98" s="88"/>
      <c r="R98" s="88"/>
      <c r="S98" s="88"/>
      <c r="T98" s="88"/>
      <c r="U98" s="88"/>
      <c r="V98" s="88"/>
      <c r="W98" s="88"/>
      <c r="X98" s="88"/>
      <c r="Y98" s="89"/>
      <c r="Z98" s="88"/>
      <c r="AA98" s="88"/>
      <c r="AB98" s="88"/>
      <c r="AC98" s="88"/>
      <c r="AD98" s="88"/>
      <c r="AE98" s="88"/>
      <c r="AF98" s="88"/>
      <c r="AG98" s="88"/>
      <c r="AH98" s="88"/>
      <c r="AI98" s="88"/>
      <c r="AJ98" s="88"/>
      <c r="AK98" s="88"/>
      <c r="AL98" s="88"/>
      <c r="AM98" s="88"/>
      <c r="AN98" s="88"/>
      <c r="AO98" s="88"/>
      <c r="AP98" s="88"/>
      <c r="AQ98" s="88"/>
      <c r="AR98" s="88"/>
      <c r="AS98" s="88"/>
      <c r="AT98" s="88"/>
      <c r="AU98" s="88"/>
      <c r="AV98" s="88"/>
      <c r="AW98" s="88"/>
    </row>
    <row r="99" spans="1:49" ht="15.75" customHeight="1">
      <c r="A99" s="85" t="s">
        <v>126</v>
      </c>
      <c r="B99" s="88">
        <v>4</v>
      </c>
      <c r="C99" s="88"/>
      <c r="D99" s="90"/>
      <c r="E99" s="90"/>
      <c r="F99" s="90"/>
      <c r="G99" s="90"/>
      <c r="H99" s="90" t="s">
        <v>127</v>
      </c>
      <c r="I99" s="90"/>
      <c r="J99" s="90"/>
      <c r="K99" s="90"/>
      <c r="L99" s="90"/>
      <c r="M99" s="89"/>
      <c r="N99" s="88">
        <v>30</v>
      </c>
      <c r="O99" s="88"/>
      <c r="P99" s="88"/>
      <c r="Q99" s="88"/>
      <c r="R99" s="88"/>
      <c r="S99" s="88"/>
      <c r="T99" s="88"/>
      <c r="U99" s="88"/>
      <c r="V99" s="88"/>
      <c r="W99" s="88"/>
      <c r="X99" s="88"/>
      <c r="Y99" s="89"/>
      <c r="Z99" s="88"/>
      <c r="AA99" s="88"/>
      <c r="AB99" s="88"/>
      <c r="AC99" s="88"/>
      <c r="AD99" s="88"/>
      <c r="AE99" s="88"/>
      <c r="AF99" s="88"/>
      <c r="AG99" s="88"/>
      <c r="AH99" s="88"/>
      <c r="AI99" s="88"/>
      <c r="AJ99" s="88"/>
      <c r="AK99" s="88"/>
      <c r="AL99" s="88"/>
      <c r="AM99" s="88"/>
      <c r="AN99" s="88"/>
      <c r="AO99" s="88"/>
      <c r="AP99" s="88"/>
      <c r="AQ99" s="88"/>
      <c r="AR99" s="88"/>
      <c r="AS99" s="88"/>
      <c r="AT99" s="88"/>
      <c r="AU99" s="88"/>
      <c r="AV99" s="88"/>
      <c r="AW99" s="88"/>
    </row>
    <row r="100" spans="1:49" ht="15.75" customHeight="1">
      <c r="A100" s="85" t="s">
        <v>128</v>
      </c>
      <c r="B100" s="88"/>
      <c r="C100" s="88"/>
      <c r="D100" s="90" t="s">
        <v>784</v>
      </c>
      <c r="E100" s="90"/>
      <c r="F100" s="90"/>
      <c r="G100" s="90"/>
      <c r="H100" s="90" t="s">
        <v>60</v>
      </c>
      <c r="I100" s="90"/>
      <c r="J100" s="90"/>
      <c r="K100" s="90"/>
      <c r="L100" s="90"/>
      <c r="M100" s="89"/>
      <c r="N100" s="88">
        <v>70</v>
      </c>
      <c r="O100" s="88"/>
      <c r="P100" s="88"/>
      <c r="Q100" s="88"/>
      <c r="R100" s="88"/>
      <c r="S100" s="88"/>
      <c r="T100" s="88"/>
      <c r="U100" s="88"/>
      <c r="V100" s="88"/>
      <c r="W100" s="88"/>
      <c r="X100" s="88"/>
      <c r="Y100" s="89"/>
      <c r="Z100" s="88"/>
      <c r="AA100" s="88"/>
      <c r="AB100" s="88"/>
      <c r="AC100" s="88"/>
      <c r="AD100" s="88"/>
      <c r="AE100" s="88"/>
      <c r="AF100" s="88"/>
      <c r="AG100" s="88"/>
      <c r="AH100" s="88"/>
      <c r="AI100" s="88"/>
      <c r="AJ100" s="88"/>
      <c r="AK100" s="88"/>
      <c r="AL100" s="88"/>
      <c r="AM100" s="88"/>
      <c r="AN100" s="88"/>
      <c r="AO100" s="88"/>
      <c r="AP100" s="88"/>
      <c r="AQ100" s="88"/>
      <c r="AR100" s="88"/>
      <c r="AS100" s="88"/>
      <c r="AT100" s="88"/>
      <c r="AU100" s="88"/>
      <c r="AV100" s="88"/>
      <c r="AW100" s="88"/>
    </row>
    <row r="101" spans="1:49" ht="15.75" customHeight="1">
      <c r="A101" s="85" t="s">
        <v>129</v>
      </c>
      <c r="B101" s="88"/>
      <c r="C101" s="88"/>
      <c r="D101" s="90" t="s">
        <v>724</v>
      </c>
      <c r="E101" s="90"/>
      <c r="F101" s="90"/>
      <c r="G101" s="90"/>
      <c r="H101" s="90" t="s">
        <v>130</v>
      </c>
      <c r="I101" s="90"/>
      <c r="J101" s="90"/>
      <c r="K101" s="90"/>
      <c r="L101" s="90"/>
      <c r="M101" s="89"/>
      <c r="N101" s="88">
        <v>30</v>
      </c>
      <c r="O101" s="88"/>
      <c r="P101" s="88"/>
      <c r="Q101" s="88"/>
      <c r="R101" s="88"/>
      <c r="S101" s="88"/>
      <c r="T101" s="88"/>
      <c r="U101" s="88"/>
      <c r="V101" s="88"/>
      <c r="W101" s="88"/>
      <c r="X101" s="88"/>
      <c r="Y101" s="89"/>
      <c r="Z101" s="88"/>
      <c r="AA101" s="88"/>
      <c r="AB101" s="88"/>
      <c r="AC101" s="88"/>
      <c r="AD101" s="88"/>
      <c r="AE101" s="88"/>
      <c r="AF101" s="88"/>
      <c r="AG101" s="88"/>
      <c r="AH101" s="88"/>
      <c r="AI101" s="88"/>
      <c r="AJ101" s="88"/>
      <c r="AK101" s="88"/>
      <c r="AL101" s="88"/>
      <c r="AM101" s="88"/>
      <c r="AN101" s="88"/>
      <c r="AO101" s="88"/>
      <c r="AP101" s="88"/>
      <c r="AQ101" s="88"/>
      <c r="AR101" s="88"/>
      <c r="AS101" s="88"/>
      <c r="AT101" s="88"/>
      <c r="AU101" s="88"/>
      <c r="AV101" s="88"/>
      <c r="AW101" s="88"/>
    </row>
    <row r="102" spans="1:49" ht="15.75" customHeight="1">
      <c r="A102" s="85" t="s">
        <v>131</v>
      </c>
      <c r="B102" s="88"/>
      <c r="C102" s="88"/>
      <c r="D102" s="90" t="s">
        <v>760</v>
      </c>
      <c r="E102" s="90"/>
      <c r="F102" s="90"/>
      <c r="G102" s="90"/>
      <c r="H102" s="90" t="s">
        <v>132</v>
      </c>
      <c r="I102" s="90"/>
      <c r="J102" s="90"/>
      <c r="K102" s="90"/>
      <c r="L102" s="90"/>
      <c r="M102" s="89"/>
      <c r="N102" s="88">
        <v>15</v>
      </c>
      <c r="O102" s="88"/>
      <c r="P102" s="88"/>
      <c r="Q102" s="88"/>
      <c r="R102" s="88"/>
      <c r="S102" s="88"/>
      <c r="T102" s="88"/>
      <c r="U102" s="88"/>
      <c r="V102" s="88"/>
      <c r="W102" s="88"/>
      <c r="X102" s="88"/>
      <c r="Y102" s="89"/>
      <c r="Z102" s="88"/>
      <c r="AA102" s="88"/>
      <c r="AB102" s="88"/>
      <c r="AC102" s="88"/>
      <c r="AD102" s="88"/>
      <c r="AE102" s="88"/>
      <c r="AF102" s="88"/>
      <c r="AG102" s="88"/>
      <c r="AH102" s="88"/>
      <c r="AI102" s="88"/>
      <c r="AJ102" s="88"/>
      <c r="AK102" s="88"/>
      <c r="AL102" s="88"/>
      <c r="AM102" s="88"/>
      <c r="AN102" s="88"/>
      <c r="AO102" s="88"/>
      <c r="AP102" s="88"/>
      <c r="AQ102" s="88"/>
      <c r="AR102" s="88"/>
      <c r="AS102" s="88"/>
      <c r="AT102" s="88"/>
      <c r="AU102" s="88"/>
      <c r="AV102" s="88"/>
      <c r="AW102" s="88"/>
    </row>
    <row r="103" spans="1:49" ht="15.75" customHeight="1">
      <c r="A103" s="85" t="s">
        <v>133</v>
      </c>
      <c r="B103" s="88">
        <v>4</v>
      </c>
      <c r="C103" s="88"/>
      <c r="D103" s="90"/>
      <c r="E103" s="90"/>
      <c r="F103" s="90"/>
      <c r="G103" s="90"/>
      <c r="H103" s="90"/>
      <c r="I103" s="90"/>
      <c r="J103" s="90"/>
      <c r="K103" s="90"/>
      <c r="L103" s="90"/>
      <c r="M103" s="89"/>
      <c r="N103" s="88">
        <v>30</v>
      </c>
      <c r="O103" s="88"/>
      <c r="P103" s="88"/>
      <c r="Q103" s="88"/>
      <c r="R103" s="88"/>
      <c r="S103" s="88"/>
      <c r="T103" s="88"/>
      <c r="U103" s="88"/>
      <c r="V103" s="88"/>
      <c r="W103" s="88"/>
      <c r="X103" s="88"/>
      <c r="Y103" s="89"/>
      <c r="Z103" s="88"/>
      <c r="AA103" s="88"/>
      <c r="AB103" s="88"/>
      <c r="AC103" s="88"/>
      <c r="AD103" s="88"/>
      <c r="AE103" s="88"/>
      <c r="AF103" s="88"/>
      <c r="AG103" s="88"/>
      <c r="AH103" s="88"/>
      <c r="AI103" s="88"/>
      <c r="AJ103" s="88"/>
      <c r="AK103" s="88"/>
      <c r="AL103" s="88"/>
      <c r="AM103" s="88"/>
      <c r="AN103" s="88"/>
      <c r="AO103" s="88"/>
      <c r="AP103" s="88"/>
      <c r="AQ103" s="88"/>
      <c r="AR103" s="88"/>
      <c r="AS103" s="88"/>
      <c r="AT103" s="88"/>
      <c r="AU103" s="88"/>
      <c r="AV103" s="88"/>
      <c r="AW103" s="88"/>
    </row>
    <row r="104" spans="1:49" ht="15.75" customHeight="1">
      <c r="A104" s="85" t="s">
        <v>134</v>
      </c>
      <c r="B104" s="88">
        <v>4</v>
      </c>
      <c r="C104" s="88"/>
      <c r="D104" s="90"/>
      <c r="E104" s="90"/>
      <c r="F104" s="90"/>
      <c r="G104" s="90"/>
      <c r="H104" s="90" t="s">
        <v>135</v>
      </c>
      <c r="I104" s="90"/>
      <c r="J104" s="90"/>
      <c r="K104" s="90"/>
      <c r="L104" s="90"/>
      <c r="M104" s="89"/>
      <c r="N104" s="88">
        <v>30</v>
      </c>
      <c r="O104" s="88"/>
      <c r="P104" s="88"/>
      <c r="Q104" s="88"/>
      <c r="R104" s="88"/>
      <c r="S104" s="88"/>
      <c r="T104" s="88"/>
      <c r="U104" s="88"/>
      <c r="V104" s="88"/>
      <c r="W104" s="88"/>
      <c r="X104" s="88"/>
      <c r="Y104" s="89"/>
      <c r="Z104" s="88"/>
      <c r="AA104" s="88"/>
      <c r="AB104" s="88"/>
      <c r="AC104" s="88"/>
      <c r="AD104" s="88"/>
      <c r="AE104" s="88"/>
      <c r="AF104" s="88"/>
      <c r="AG104" s="88"/>
      <c r="AH104" s="88"/>
      <c r="AI104" s="88"/>
      <c r="AJ104" s="88"/>
      <c r="AK104" s="88"/>
      <c r="AL104" s="88"/>
      <c r="AM104" s="88"/>
      <c r="AN104" s="88"/>
      <c r="AO104" s="88"/>
      <c r="AP104" s="88"/>
      <c r="AQ104" s="88"/>
      <c r="AR104" s="88"/>
      <c r="AS104" s="88"/>
      <c r="AT104" s="88"/>
      <c r="AU104" s="88"/>
      <c r="AV104" s="88"/>
      <c r="AW104" s="88"/>
    </row>
    <row r="105" spans="1:49" ht="15.75" customHeight="1">
      <c r="A105" s="85" t="s">
        <v>136</v>
      </c>
      <c r="B105" s="88">
        <v>4</v>
      </c>
      <c r="C105" s="88"/>
      <c r="D105" s="90"/>
      <c r="E105" s="90"/>
      <c r="F105" s="90"/>
      <c r="G105" s="90"/>
      <c r="H105" s="90" t="s">
        <v>137</v>
      </c>
      <c r="I105" s="90"/>
      <c r="J105" s="90"/>
      <c r="K105" s="90"/>
      <c r="L105" s="90"/>
      <c r="M105" s="89"/>
      <c r="N105" s="88">
        <v>30</v>
      </c>
      <c r="O105" s="88"/>
      <c r="P105" s="88"/>
      <c r="Q105" s="88"/>
      <c r="R105" s="88"/>
      <c r="S105" s="88"/>
      <c r="T105" s="88"/>
      <c r="U105" s="88"/>
      <c r="V105" s="88"/>
      <c r="W105" s="88"/>
      <c r="X105" s="88"/>
      <c r="Y105" s="89"/>
      <c r="Z105" s="88"/>
      <c r="AA105" s="88"/>
      <c r="AB105" s="88"/>
      <c r="AC105" s="88"/>
      <c r="AD105" s="88"/>
      <c r="AE105" s="88"/>
      <c r="AF105" s="88"/>
      <c r="AG105" s="88"/>
      <c r="AH105" s="88"/>
      <c r="AI105" s="88"/>
      <c r="AJ105" s="88"/>
      <c r="AK105" s="88"/>
      <c r="AL105" s="88"/>
      <c r="AM105" s="88"/>
      <c r="AN105" s="88"/>
      <c r="AO105" s="88"/>
      <c r="AP105" s="88"/>
      <c r="AQ105" s="88"/>
      <c r="AR105" s="88"/>
      <c r="AS105" s="88"/>
      <c r="AT105" s="88"/>
      <c r="AU105" s="88"/>
      <c r="AV105" s="88"/>
      <c r="AW105" s="88"/>
    </row>
    <row r="106" spans="1:49" ht="15.75" customHeight="1">
      <c r="A106" s="85" t="s">
        <v>138</v>
      </c>
      <c r="B106" s="88"/>
      <c r="C106" s="88"/>
      <c r="D106" s="90" t="s">
        <v>756</v>
      </c>
      <c r="E106" s="90"/>
      <c r="F106" s="90"/>
      <c r="G106" s="90"/>
      <c r="H106" s="90" t="s">
        <v>139</v>
      </c>
      <c r="I106" s="90"/>
      <c r="J106" s="90"/>
      <c r="K106" s="90"/>
      <c r="L106" s="90"/>
      <c r="M106" s="89"/>
      <c r="N106" s="88">
        <v>30</v>
      </c>
      <c r="O106" s="88"/>
      <c r="P106" s="88"/>
      <c r="Q106" s="88"/>
      <c r="R106" s="88"/>
      <c r="S106" s="88"/>
      <c r="T106" s="88"/>
      <c r="U106" s="88"/>
      <c r="V106" s="88"/>
      <c r="W106" s="88"/>
      <c r="X106" s="88"/>
      <c r="Y106" s="89"/>
      <c r="Z106" s="88">
        <v>20</v>
      </c>
      <c r="AA106" s="88"/>
      <c r="AB106" s="88"/>
      <c r="AC106" s="88"/>
      <c r="AD106" s="88"/>
      <c r="AE106" s="88"/>
      <c r="AF106" s="88"/>
      <c r="AG106" s="88"/>
      <c r="AH106" s="88"/>
      <c r="AI106" s="88"/>
      <c r="AJ106" s="88"/>
      <c r="AK106" s="88"/>
      <c r="AL106" s="88"/>
      <c r="AM106" s="88"/>
      <c r="AN106" s="88"/>
      <c r="AO106" s="88"/>
      <c r="AP106" s="88"/>
      <c r="AQ106" s="88"/>
      <c r="AR106" s="88"/>
      <c r="AS106" s="88"/>
      <c r="AT106" s="88"/>
      <c r="AU106" s="88"/>
      <c r="AV106" s="88"/>
      <c r="AW106" s="88"/>
    </row>
    <row r="107" spans="1:49" ht="15.75" customHeight="1">
      <c r="A107" s="85" t="s">
        <v>140</v>
      </c>
      <c r="B107" s="88"/>
      <c r="C107" s="88"/>
      <c r="D107" s="90" t="s">
        <v>727</v>
      </c>
      <c r="E107" s="90"/>
      <c r="F107" s="90"/>
      <c r="G107" s="90"/>
      <c r="H107" s="90" t="s">
        <v>92</v>
      </c>
      <c r="I107" s="90"/>
      <c r="J107" s="90"/>
      <c r="K107" s="90"/>
      <c r="L107" s="90"/>
      <c r="M107" s="89"/>
      <c r="N107" s="88">
        <v>30</v>
      </c>
      <c r="O107" s="88">
        <v>100</v>
      </c>
      <c r="P107" s="88"/>
      <c r="Q107" s="88"/>
      <c r="R107" s="88"/>
      <c r="S107" s="88"/>
      <c r="T107" s="88"/>
      <c r="U107" s="88"/>
      <c r="V107" s="88"/>
      <c r="W107" s="88"/>
      <c r="X107" s="88"/>
      <c r="Y107" s="89"/>
      <c r="Z107" s="88"/>
      <c r="AA107" s="88"/>
      <c r="AB107" s="88"/>
      <c r="AC107" s="88"/>
      <c r="AD107" s="88"/>
      <c r="AE107" s="88"/>
      <c r="AF107" s="88"/>
      <c r="AG107" s="88"/>
      <c r="AH107" s="88"/>
      <c r="AI107" s="88"/>
      <c r="AJ107" s="88"/>
      <c r="AK107" s="88"/>
      <c r="AL107" s="88"/>
      <c r="AM107" s="88"/>
      <c r="AN107" s="88"/>
      <c r="AO107" s="88"/>
      <c r="AP107" s="88"/>
      <c r="AQ107" s="88"/>
      <c r="AR107" s="88"/>
      <c r="AS107" s="88"/>
      <c r="AT107" s="88"/>
      <c r="AU107" s="88"/>
      <c r="AV107" s="88"/>
      <c r="AW107" s="88"/>
    </row>
    <row r="108" spans="1:49" ht="15.75" customHeight="1">
      <c r="A108" s="85" t="s">
        <v>141</v>
      </c>
      <c r="B108" s="88">
        <v>4</v>
      </c>
      <c r="C108" s="88"/>
      <c r="D108" s="90"/>
      <c r="E108" s="90"/>
      <c r="F108" s="90"/>
      <c r="G108" s="90"/>
      <c r="H108" s="90" t="s">
        <v>142</v>
      </c>
      <c r="I108" s="90"/>
      <c r="J108" s="90"/>
      <c r="K108" s="90"/>
      <c r="L108" s="90"/>
      <c r="M108" s="89"/>
      <c r="N108" s="88">
        <v>30</v>
      </c>
      <c r="O108" s="88"/>
      <c r="P108" s="88"/>
      <c r="Q108" s="88"/>
      <c r="R108" s="88"/>
      <c r="S108" s="88"/>
      <c r="T108" s="88"/>
      <c r="U108" s="88"/>
      <c r="V108" s="88"/>
      <c r="W108" s="88"/>
      <c r="X108" s="88"/>
      <c r="Y108" s="89"/>
      <c r="Z108" s="88"/>
      <c r="AA108" s="88"/>
      <c r="AB108" s="88"/>
      <c r="AC108" s="88"/>
      <c r="AD108" s="88"/>
      <c r="AE108" s="88"/>
      <c r="AF108" s="88"/>
      <c r="AG108" s="88"/>
      <c r="AH108" s="88"/>
      <c r="AI108" s="88"/>
      <c r="AJ108" s="88"/>
      <c r="AK108" s="88"/>
      <c r="AL108" s="88"/>
      <c r="AM108" s="88"/>
      <c r="AN108" s="88"/>
      <c r="AO108" s="88"/>
      <c r="AP108" s="88"/>
      <c r="AQ108" s="88"/>
      <c r="AR108" s="88"/>
      <c r="AS108" s="88"/>
      <c r="AT108" s="88"/>
      <c r="AU108" s="88"/>
      <c r="AV108" s="88"/>
      <c r="AW108" s="88"/>
    </row>
    <row r="109" spans="1:49" ht="15.75" customHeight="1">
      <c r="A109" s="85" t="s">
        <v>143</v>
      </c>
      <c r="B109" s="88">
        <v>4</v>
      </c>
      <c r="C109" s="88"/>
      <c r="D109" s="90"/>
      <c r="E109" s="90"/>
      <c r="F109" s="90"/>
      <c r="G109" s="90"/>
      <c r="H109" s="90" t="s">
        <v>139</v>
      </c>
      <c r="I109" s="90"/>
      <c r="J109" s="90"/>
      <c r="K109" s="90"/>
      <c r="L109" s="90"/>
      <c r="M109" s="89"/>
      <c r="N109" s="88">
        <v>30</v>
      </c>
      <c r="O109" s="88"/>
      <c r="P109" s="88"/>
      <c r="Q109" s="88"/>
      <c r="R109" s="88"/>
      <c r="S109" s="88"/>
      <c r="T109" s="88"/>
      <c r="U109" s="88"/>
      <c r="V109" s="88"/>
      <c r="W109" s="88"/>
      <c r="X109" s="88"/>
      <c r="Y109" s="89"/>
      <c r="Z109" s="88"/>
      <c r="AA109" s="88"/>
      <c r="AB109" s="88"/>
      <c r="AC109" s="88"/>
      <c r="AD109" s="88"/>
      <c r="AE109" s="88"/>
      <c r="AF109" s="88"/>
      <c r="AG109" s="88"/>
      <c r="AH109" s="88"/>
      <c r="AI109" s="88"/>
      <c r="AJ109" s="88"/>
      <c r="AK109" s="88"/>
      <c r="AL109" s="88"/>
      <c r="AM109" s="88"/>
      <c r="AN109" s="88"/>
      <c r="AO109" s="88"/>
      <c r="AP109" s="88"/>
      <c r="AQ109" s="88"/>
      <c r="AR109" s="88"/>
      <c r="AS109" s="88"/>
      <c r="AT109" s="88"/>
      <c r="AU109" s="88"/>
      <c r="AV109" s="88"/>
      <c r="AW109" s="88"/>
    </row>
    <row r="110" spans="1:49" ht="15.75" customHeight="1">
      <c r="A110" s="85" t="s">
        <v>144</v>
      </c>
      <c r="B110" s="88">
        <v>4</v>
      </c>
      <c r="C110" s="88"/>
      <c r="D110" s="90"/>
      <c r="E110" s="90"/>
      <c r="F110" s="90"/>
      <c r="G110" s="90"/>
      <c r="H110" s="90" t="s">
        <v>145</v>
      </c>
      <c r="I110" s="90"/>
      <c r="J110" s="90"/>
      <c r="K110" s="90"/>
      <c r="L110" s="90"/>
      <c r="M110" s="89"/>
      <c r="N110" s="88">
        <v>30</v>
      </c>
      <c r="O110" s="88"/>
      <c r="P110" s="88"/>
      <c r="Q110" s="88"/>
      <c r="R110" s="88"/>
      <c r="S110" s="88"/>
      <c r="T110" s="88"/>
      <c r="U110" s="88"/>
      <c r="V110" s="88"/>
      <c r="W110" s="88"/>
      <c r="X110" s="88"/>
      <c r="Y110" s="89"/>
      <c r="Z110" s="88"/>
      <c r="AA110" s="88"/>
      <c r="AB110" s="88"/>
      <c r="AC110" s="88"/>
      <c r="AD110" s="88"/>
      <c r="AE110" s="88"/>
      <c r="AF110" s="88"/>
      <c r="AG110" s="88"/>
      <c r="AH110" s="88"/>
      <c r="AI110" s="88"/>
      <c r="AJ110" s="88"/>
      <c r="AK110" s="88"/>
      <c r="AL110" s="88"/>
      <c r="AM110" s="88"/>
      <c r="AN110" s="88"/>
      <c r="AO110" s="88"/>
      <c r="AP110" s="88"/>
      <c r="AQ110" s="88"/>
      <c r="AR110" s="88"/>
      <c r="AS110" s="88"/>
      <c r="AT110" s="88"/>
      <c r="AU110" s="88"/>
      <c r="AV110" s="88"/>
      <c r="AW110" s="88"/>
    </row>
    <row r="111" spans="1:49" ht="15.75" customHeight="1">
      <c r="A111" s="85" t="s">
        <v>821</v>
      </c>
      <c r="B111" s="88"/>
      <c r="C111" s="88"/>
      <c r="D111" s="90" t="s">
        <v>717</v>
      </c>
      <c r="E111" s="90" t="s">
        <v>783</v>
      </c>
      <c r="F111" s="90"/>
      <c r="G111" s="90"/>
      <c r="H111" s="90"/>
      <c r="I111" s="90"/>
      <c r="J111" s="90"/>
      <c r="K111" s="90"/>
      <c r="L111" s="90"/>
      <c r="M111" s="89"/>
      <c r="N111" s="88"/>
      <c r="O111" s="88"/>
      <c r="P111" s="88"/>
      <c r="Q111" s="88"/>
      <c r="R111" s="88"/>
      <c r="S111" s="88"/>
      <c r="T111" s="88"/>
      <c r="U111" s="88"/>
      <c r="V111" s="88"/>
      <c r="W111" s="88"/>
      <c r="X111" s="88"/>
      <c r="Y111" s="89"/>
      <c r="Z111" s="88"/>
      <c r="AA111" s="88"/>
      <c r="AB111" s="88"/>
      <c r="AC111" s="88"/>
      <c r="AD111" s="88"/>
      <c r="AE111" s="88"/>
      <c r="AF111" s="88"/>
      <c r="AG111" s="88"/>
      <c r="AH111" s="88"/>
      <c r="AI111" s="88"/>
      <c r="AJ111" s="88"/>
      <c r="AK111" s="88"/>
      <c r="AL111" s="88">
        <v>20</v>
      </c>
      <c r="AM111" s="88"/>
      <c r="AN111" s="88"/>
      <c r="AO111" s="88"/>
      <c r="AP111" s="88"/>
      <c r="AQ111" s="88"/>
      <c r="AR111" s="88"/>
      <c r="AS111" s="88"/>
      <c r="AT111" s="88"/>
      <c r="AU111" s="88"/>
      <c r="AV111" s="88"/>
      <c r="AW111" s="88"/>
    </row>
    <row r="112" spans="1:49" ht="15.75" customHeight="1">
      <c r="A112" s="85" t="s">
        <v>146</v>
      </c>
      <c r="B112" s="88"/>
      <c r="C112" s="88"/>
      <c r="D112" s="90" t="s">
        <v>781</v>
      </c>
      <c r="E112" s="90" t="s">
        <v>783</v>
      </c>
      <c r="F112" s="90"/>
      <c r="G112" s="90"/>
      <c r="H112" s="90"/>
      <c r="I112" s="90"/>
      <c r="J112" s="90"/>
      <c r="K112" s="90"/>
      <c r="L112" s="90"/>
      <c r="M112" s="89"/>
      <c r="N112" s="88"/>
      <c r="O112" s="88">
        <v>50</v>
      </c>
      <c r="P112" s="88"/>
      <c r="Q112" s="88"/>
      <c r="R112" s="88"/>
      <c r="S112" s="88"/>
      <c r="T112" s="88"/>
      <c r="U112" s="88"/>
      <c r="V112" s="88"/>
      <c r="W112" s="88"/>
      <c r="X112" s="88"/>
      <c r="Y112" s="89"/>
      <c r="Z112" s="88"/>
      <c r="AA112" s="88"/>
      <c r="AB112" s="88"/>
      <c r="AC112" s="88"/>
      <c r="AD112" s="88">
        <v>30</v>
      </c>
      <c r="AE112" s="88"/>
      <c r="AF112" s="88"/>
      <c r="AG112" s="88"/>
      <c r="AH112" s="88"/>
      <c r="AI112" s="88"/>
      <c r="AJ112" s="88"/>
      <c r="AK112" s="88"/>
      <c r="AL112" s="88"/>
      <c r="AM112" s="88"/>
      <c r="AN112" s="88"/>
      <c r="AO112" s="88"/>
      <c r="AP112" s="88"/>
      <c r="AQ112" s="88"/>
      <c r="AR112" s="88"/>
      <c r="AS112" s="88"/>
      <c r="AT112" s="88"/>
      <c r="AU112" s="88"/>
      <c r="AV112" s="88"/>
      <c r="AW112" s="88"/>
    </row>
    <row r="113" spans="1:49" ht="15.75" customHeight="1">
      <c r="A113" s="85" t="s">
        <v>147</v>
      </c>
      <c r="B113" s="88"/>
      <c r="C113" s="88"/>
      <c r="D113" s="90" t="s">
        <v>736</v>
      </c>
      <c r="E113" s="90"/>
      <c r="F113" s="90"/>
      <c r="G113" s="90"/>
      <c r="H113" s="90" t="s">
        <v>137</v>
      </c>
      <c r="I113" s="90"/>
      <c r="J113" s="90"/>
      <c r="K113" s="90"/>
      <c r="L113" s="90"/>
      <c r="M113" s="89"/>
      <c r="N113" s="88">
        <v>40</v>
      </c>
      <c r="O113" s="88"/>
      <c r="P113" s="88"/>
      <c r="Q113" s="88"/>
      <c r="R113" s="88"/>
      <c r="S113" s="88"/>
      <c r="T113" s="88"/>
      <c r="U113" s="88"/>
      <c r="V113" s="88"/>
      <c r="W113" s="88"/>
      <c r="X113" s="88"/>
      <c r="Y113" s="89"/>
      <c r="Z113" s="88"/>
      <c r="AA113" s="88"/>
      <c r="AB113" s="88"/>
      <c r="AC113" s="88"/>
      <c r="AD113" s="88"/>
      <c r="AE113" s="88"/>
      <c r="AF113" s="88"/>
      <c r="AG113" s="88"/>
      <c r="AH113" s="88"/>
      <c r="AI113" s="88"/>
      <c r="AJ113" s="88"/>
      <c r="AK113" s="88"/>
      <c r="AL113" s="88"/>
      <c r="AM113" s="88"/>
      <c r="AN113" s="88"/>
      <c r="AO113" s="88"/>
      <c r="AP113" s="88"/>
      <c r="AQ113" s="88"/>
      <c r="AR113" s="88"/>
      <c r="AS113" s="88"/>
      <c r="AT113" s="88"/>
      <c r="AU113" s="88"/>
      <c r="AV113" s="88"/>
      <c r="AW113" s="88"/>
    </row>
    <row r="114" spans="1:49" ht="15.75" customHeight="1">
      <c r="A114" s="85" t="s">
        <v>148</v>
      </c>
      <c r="B114" s="88">
        <v>4</v>
      </c>
      <c r="C114" s="88"/>
      <c r="D114" s="90"/>
      <c r="E114" s="90"/>
      <c r="F114" s="90"/>
      <c r="G114" s="90"/>
      <c r="H114" s="90" t="s">
        <v>149</v>
      </c>
      <c r="I114" s="90"/>
      <c r="J114" s="90"/>
      <c r="K114" s="90"/>
      <c r="L114" s="90"/>
      <c r="M114" s="89"/>
      <c r="N114" s="88">
        <v>30</v>
      </c>
      <c r="O114" s="88"/>
      <c r="P114" s="88"/>
      <c r="Q114" s="88"/>
      <c r="R114" s="88"/>
      <c r="S114" s="88"/>
      <c r="T114" s="88"/>
      <c r="U114" s="88"/>
      <c r="V114" s="88"/>
      <c r="W114" s="88"/>
      <c r="X114" s="88"/>
      <c r="Y114" s="89"/>
      <c r="Z114" s="88"/>
      <c r="AA114" s="88"/>
      <c r="AB114" s="88"/>
      <c r="AC114" s="88"/>
      <c r="AD114" s="88"/>
      <c r="AE114" s="88"/>
      <c r="AF114" s="88"/>
      <c r="AG114" s="88"/>
      <c r="AH114" s="88"/>
      <c r="AI114" s="88"/>
      <c r="AJ114" s="88"/>
      <c r="AK114" s="88"/>
      <c r="AL114" s="88"/>
      <c r="AM114" s="88"/>
      <c r="AN114" s="88"/>
      <c r="AO114" s="88"/>
      <c r="AP114" s="88"/>
      <c r="AQ114" s="88"/>
      <c r="AR114" s="88"/>
      <c r="AS114" s="88"/>
      <c r="AT114" s="88"/>
      <c r="AU114" s="88"/>
      <c r="AV114" s="88"/>
      <c r="AW114" s="88"/>
    </row>
    <row r="115" spans="1:49" ht="15.75" customHeight="1">
      <c r="A115" s="85" t="s">
        <v>150</v>
      </c>
      <c r="B115" s="88">
        <v>4</v>
      </c>
      <c r="C115" s="88"/>
      <c r="D115" s="90"/>
      <c r="E115" s="90"/>
      <c r="F115" s="90"/>
      <c r="G115" s="90"/>
      <c r="H115" s="90" t="s">
        <v>130</v>
      </c>
      <c r="I115" s="90"/>
      <c r="J115" s="90"/>
      <c r="K115" s="90"/>
      <c r="L115" s="90"/>
      <c r="M115" s="89"/>
      <c r="N115" s="88">
        <v>30</v>
      </c>
      <c r="O115" s="88"/>
      <c r="P115" s="88"/>
      <c r="Q115" s="88"/>
      <c r="R115" s="88"/>
      <c r="S115" s="88"/>
      <c r="T115" s="88"/>
      <c r="U115" s="88"/>
      <c r="V115" s="88"/>
      <c r="W115" s="88"/>
      <c r="X115" s="88"/>
      <c r="Y115" s="89"/>
      <c r="Z115" s="88"/>
      <c r="AA115" s="88"/>
      <c r="AB115" s="88"/>
      <c r="AC115" s="88"/>
      <c r="AD115" s="88"/>
      <c r="AE115" s="88"/>
      <c r="AF115" s="88"/>
      <c r="AG115" s="88"/>
      <c r="AH115" s="88"/>
      <c r="AI115" s="88"/>
      <c r="AJ115" s="88"/>
      <c r="AK115" s="88"/>
      <c r="AL115" s="88"/>
      <c r="AM115" s="88"/>
      <c r="AN115" s="88"/>
      <c r="AO115" s="88"/>
      <c r="AP115" s="88"/>
      <c r="AQ115" s="88"/>
      <c r="AR115" s="88"/>
      <c r="AS115" s="88"/>
      <c r="AT115" s="88"/>
      <c r="AU115" s="88"/>
      <c r="AV115" s="88"/>
      <c r="AW115" s="88"/>
    </row>
    <row r="116" spans="1:49" ht="15.75" customHeight="1">
      <c r="A116" s="85" t="s">
        <v>151</v>
      </c>
      <c r="B116" s="88">
        <v>4</v>
      </c>
      <c r="C116" s="88"/>
      <c r="D116" s="90"/>
      <c r="E116" s="90"/>
      <c r="F116" s="90"/>
      <c r="G116" s="90"/>
      <c r="H116" s="90" t="s">
        <v>152</v>
      </c>
      <c r="I116" s="90"/>
      <c r="J116" s="90"/>
      <c r="K116" s="90"/>
      <c r="L116" s="90"/>
      <c r="M116" s="89"/>
      <c r="N116" s="88">
        <v>30</v>
      </c>
      <c r="O116" s="88"/>
      <c r="P116" s="88"/>
      <c r="Q116" s="88"/>
      <c r="R116" s="88"/>
      <c r="S116" s="88"/>
      <c r="T116" s="88"/>
      <c r="U116" s="88"/>
      <c r="V116" s="88"/>
      <c r="W116" s="88"/>
      <c r="X116" s="88"/>
      <c r="Y116" s="89"/>
      <c r="Z116" s="88"/>
      <c r="AA116" s="88"/>
      <c r="AB116" s="88"/>
      <c r="AC116" s="88"/>
      <c r="AD116" s="88"/>
      <c r="AE116" s="88"/>
      <c r="AF116" s="88"/>
      <c r="AG116" s="88"/>
      <c r="AH116" s="88"/>
      <c r="AI116" s="88"/>
      <c r="AJ116" s="88"/>
      <c r="AK116" s="88"/>
      <c r="AL116" s="88"/>
      <c r="AM116" s="88"/>
      <c r="AN116" s="88"/>
      <c r="AO116" s="88"/>
      <c r="AP116" s="88"/>
      <c r="AQ116" s="88"/>
      <c r="AR116" s="88"/>
      <c r="AS116" s="88"/>
      <c r="AT116" s="88"/>
      <c r="AU116" s="88"/>
      <c r="AV116" s="88"/>
      <c r="AW116" s="88"/>
    </row>
    <row r="117" spans="1:49" ht="15.75" customHeight="1">
      <c r="A117" s="85" t="s">
        <v>829</v>
      </c>
      <c r="B117" s="88"/>
      <c r="C117" s="88"/>
      <c r="D117" s="90"/>
      <c r="E117" s="90"/>
      <c r="F117" s="90"/>
      <c r="G117" s="90"/>
      <c r="H117" s="90"/>
      <c r="I117" s="90"/>
      <c r="J117" s="90"/>
      <c r="K117" s="90"/>
      <c r="L117" s="90"/>
      <c r="M117" s="89"/>
      <c r="N117" s="88"/>
      <c r="O117" s="88"/>
      <c r="P117" s="88"/>
      <c r="Q117" s="88"/>
      <c r="R117" s="88"/>
      <c r="S117" s="88"/>
      <c r="T117" s="88"/>
      <c r="U117" s="88"/>
      <c r="V117" s="88"/>
      <c r="W117" s="88"/>
      <c r="X117" s="88"/>
      <c r="Y117" s="89"/>
      <c r="Z117" s="88"/>
      <c r="AA117" s="88"/>
      <c r="AB117" s="88"/>
      <c r="AC117" s="88"/>
      <c r="AD117" s="88"/>
      <c r="AE117" s="88"/>
      <c r="AF117" s="88"/>
      <c r="AG117" s="88">
        <v>20</v>
      </c>
      <c r="AH117" s="88"/>
      <c r="AI117" s="88"/>
      <c r="AJ117" s="88"/>
      <c r="AK117" s="88"/>
      <c r="AL117" s="88"/>
      <c r="AM117" s="88"/>
      <c r="AN117" s="88"/>
      <c r="AO117" s="88"/>
      <c r="AP117" s="88"/>
      <c r="AQ117" s="88"/>
      <c r="AR117" s="88"/>
      <c r="AS117" s="88"/>
      <c r="AT117" s="88"/>
      <c r="AU117" s="88"/>
      <c r="AV117" s="88"/>
      <c r="AW117" s="88"/>
    </row>
    <row r="118" spans="1:49" ht="15.75" customHeight="1">
      <c r="A118" s="85" t="s">
        <v>830</v>
      </c>
      <c r="B118" s="88"/>
      <c r="C118" s="88"/>
      <c r="D118" s="90"/>
      <c r="E118" s="90"/>
      <c r="F118" s="90"/>
      <c r="G118" s="90"/>
      <c r="H118" s="90"/>
      <c r="I118" s="90"/>
      <c r="J118" s="90"/>
      <c r="K118" s="90"/>
      <c r="L118" s="90"/>
      <c r="M118" s="89"/>
      <c r="N118" s="88"/>
      <c r="O118" s="88"/>
      <c r="P118" s="88"/>
      <c r="Q118" s="88"/>
      <c r="R118" s="88"/>
      <c r="S118" s="88"/>
      <c r="T118" s="88"/>
      <c r="U118" s="88"/>
      <c r="V118" s="88"/>
      <c r="W118" s="88"/>
      <c r="X118" s="88"/>
      <c r="Y118" s="89"/>
      <c r="Z118" s="88"/>
      <c r="AA118" s="88"/>
      <c r="AB118" s="88"/>
      <c r="AC118" s="88"/>
      <c r="AD118" s="88"/>
      <c r="AE118" s="88">
        <v>20</v>
      </c>
      <c r="AF118" s="88"/>
      <c r="AG118" s="88"/>
      <c r="AH118" s="88"/>
      <c r="AI118" s="88"/>
      <c r="AJ118" s="88"/>
      <c r="AK118" s="88"/>
      <c r="AL118" s="88"/>
      <c r="AM118" s="88"/>
      <c r="AN118" s="88"/>
      <c r="AO118" s="88"/>
      <c r="AP118" s="88"/>
      <c r="AQ118" s="88"/>
      <c r="AR118" s="88"/>
      <c r="AS118" s="88"/>
      <c r="AT118" s="88"/>
      <c r="AU118" s="88"/>
      <c r="AV118" s="88"/>
      <c r="AW118" s="88"/>
    </row>
    <row r="119" spans="1:49" ht="15.75" customHeight="1">
      <c r="A119" s="85" t="s">
        <v>831</v>
      </c>
      <c r="B119" s="88"/>
      <c r="C119" s="88"/>
      <c r="D119" s="90"/>
      <c r="E119" s="90"/>
      <c r="F119" s="90"/>
      <c r="G119" s="90"/>
      <c r="H119" s="90"/>
      <c r="I119" s="90"/>
      <c r="J119" s="90"/>
      <c r="K119" s="90"/>
      <c r="L119" s="90"/>
      <c r="M119" s="89"/>
      <c r="N119" s="88"/>
      <c r="O119" s="88"/>
      <c r="P119" s="88"/>
      <c r="Q119" s="88"/>
      <c r="R119" s="88"/>
      <c r="S119" s="88"/>
      <c r="T119" s="88"/>
      <c r="U119" s="88"/>
      <c r="V119" s="88"/>
      <c r="W119" s="88"/>
      <c r="X119" s="88"/>
      <c r="Y119" s="89"/>
      <c r="Z119" s="88"/>
      <c r="AA119" s="88"/>
      <c r="AB119" s="88"/>
      <c r="AC119" s="88"/>
      <c r="AD119" s="88"/>
      <c r="AE119" s="88"/>
      <c r="AF119" s="88">
        <v>20</v>
      </c>
      <c r="AG119" s="88"/>
      <c r="AH119" s="88"/>
      <c r="AI119" s="88"/>
      <c r="AJ119" s="88"/>
      <c r="AK119" s="88"/>
      <c r="AL119" s="88"/>
      <c r="AM119" s="88"/>
      <c r="AN119" s="88"/>
      <c r="AO119" s="88"/>
      <c r="AP119" s="88"/>
      <c r="AQ119" s="88"/>
      <c r="AR119" s="88"/>
      <c r="AS119" s="88"/>
      <c r="AT119" s="88"/>
      <c r="AU119" s="88"/>
      <c r="AV119" s="88"/>
      <c r="AW119" s="88"/>
    </row>
    <row r="120" spans="1:49" ht="15.75" customHeight="1">
      <c r="A120" s="85" t="s">
        <v>153</v>
      </c>
      <c r="B120" s="88"/>
      <c r="C120" s="88"/>
      <c r="D120" s="90" t="s">
        <v>716</v>
      </c>
      <c r="E120" s="90"/>
      <c r="F120" s="90"/>
      <c r="G120" s="90"/>
      <c r="H120" s="90" t="s">
        <v>145</v>
      </c>
      <c r="I120" s="90"/>
      <c r="J120" s="90"/>
      <c r="K120" s="90"/>
      <c r="L120" s="90"/>
      <c r="M120" s="89"/>
      <c r="N120" s="88">
        <v>40</v>
      </c>
      <c r="O120" s="88"/>
      <c r="P120" s="88"/>
      <c r="Q120" s="88"/>
      <c r="R120" s="88"/>
      <c r="S120" s="88"/>
      <c r="T120" s="88"/>
      <c r="U120" s="88"/>
      <c r="V120" s="88"/>
      <c r="W120" s="88"/>
      <c r="X120" s="88"/>
      <c r="Y120" s="89"/>
      <c r="Z120" s="88"/>
      <c r="AA120" s="88"/>
      <c r="AB120" s="88"/>
      <c r="AC120" s="88"/>
      <c r="AD120" s="88"/>
      <c r="AE120" s="88"/>
      <c r="AF120" s="88"/>
      <c r="AG120" s="88"/>
      <c r="AH120" s="88"/>
      <c r="AI120" s="88"/>
      <c r="AJ120" s="88"/>
      <c r="AK120" s="88"/>
      <c r="AL120" s="88"/>
      <c r="AM120" s="88"/>
      <c r="AN120" s="88"/>
      <c r="AO120" s="88"/>
      <c r="AP120" s="88"/>
      <c r="AQ120" s="88"/>
      <c r="AR120" s="88"/>
      <c r="AS120" s="88"/>
      <c r="AT120" s="88"/>
      <c r="AU120" s="88"/>
      <c r="AV120" s="88"/>
      <c r="AW120" s="88"/>
    </row>
    <row r="121" spans="1:49" ht="15.75" customHeight="1">
      <c r="A121" s="85" t="s">
        <v>154</v>
      </c>
      <c r="B121" s="88"/>
      <c r="C121" s="88"/>
      <c r="D121" s="90" t="s">
        <v>712</v>
      </c>
      <c r="E121" s="90"/>
      <c r="F121" s="90"/>
      <c r="G121" s="90"/>
      <c r="H121" s="90" t="s">
        <v>69</v>
      </c>
      <c r="I121" s="90"/>
      <c r="J121" s="90"/>
      <c r="K121" s="90"/>
      <c r="L121" s="90"/>
      <c r="M121" s="89"/>
      <c r="N121" s="88">
        <v>60</v>
      </c>
      <c r="O121" s="88"/>
      <c r="P121" s="88"/>
      <c r="Q121" s="88"/>
      <c r="R121" s="88"/>
      <c r="S121" s="88"/>
      <c r="T121" s="88"/>
      <c r="U121" s="88"/>
      <c r="V121" s="88"/>
      <c r="W121" s="88"/>
      <c r="X121" s="88"/>
      <c r="Y121" s="89"/>
      <c r="Z121" s="88"/>
      <c r="AA121" s="88"/>
      <c r="AB121" s="88"/>
      <c r="AC121" s="88"/>
      <c r="AD121" s="88"/>
      <c r="AE121" s="88"/>
      <c r="AF121" s="88"/>
      <c r="AG121" s="88"/>
      <c r="AH121" s="88"/>
      <c r="AI121" s="88"/>
      <c r="AJ121" s="88"/>
      <c r="AK121" s="88"/>
      <c r="AL121" s="88"/>
      <c r="AM121" s="88"/>
      <c r="AN121" s="88"/>
      <c r="AO121" s="88"/>
      <c r="AP121" s="88"/>
      <c r="AQ121" s="88"/>
      <c r="AR121" s="88"/>
      <c r="AS121" s="88"/>
      <c r="AT121" s="88"/>
      <c r="AU121" s="88"/>
      <c r="AV121" s="88"/>
      <c r="AW121" s="88"/>
    </row>
    <row r="122" spans="1:49" ht="15.75" customHeight="1">
      <c r="A122" s="85" t="s">
        <v>155</v>
      </c>
      <c r="B122" s="88"/>
      <c r="C122" s="88"/>
      <c r="D122" s="90" t="s">
        <v>729</v>
      </c>
      <c r="E122" s="90"/>
      <c r="F122" s="90"/>
      <c r="G122" s="90"/>
      <c r="H122" s="90" t="s">
        <v>127</v>
      </c>
      <c r="I122" s="90"/>
      <c r="J122" s="90"/>
      <c r="K122" s="90"/>
      <c r="L122" s="90"/>
      <c r="M122" s="89"/>
      <c r="N122" s="88">
        <v>30</v>
      </c>
      <c r="O122" s="88"/>
      <c r="P122" s="88"/>
      <c r="Q122" s="88"/>
      <c r="R122" s="88"/>
      <c r="S122" s="88"/>
      <c r="T122" s="88"/>
      <c r="U122" s="88"/>
      <c r="V122" s="88"/>
      <c r="W122" s="88"/>
      <c r="X122" s="88"/>
      <c r="Y122" s="89"/>
      <c r="Z122" s="88">
        <v>80</v>
      </c>
      <c r="AA122" s="88"/>
      <c r="AB122" s="88"/>
      <c r="AC122" s="88"/>
      <c r="AD122" s="88"/>
      <c r="AE122" s="88"/>
      <c r="AF122" s="88"/>
      <c r="AG122" s="88"/>
      <c r="AH122" s="88"/>
      <c r="AI122" s="88"/>
      <c r="AJ122" s="88"/>
      <c r="AK122" s="88"/>
      <c r="AL122" s="88"/>
      <c r="AM122" s="88"/>
      <c r="AN122" s="88"/>
      <c r="AO122" s="88"/>
      <c r="AP122" s="88"/>
      <c r="AQ122" s="88"/>
      <c r="AR122" s="88"/>
      <c r="AS122" s="88"/>
      <c r="AT122" s="88"/>
      <c r="AU122" s="88"/>
      <c r="AV122" s="88"/>
      <c r="AW122" s="88"/>
    </row>
    <row r="123" spans="1:49" ht="15.75" customHeight="1">
      <c r="A123" s="85" t="s">
        <v>156</v>
      </c>
      <c r="B123" s="88">
        <v>4</v>
      </c>
      <c r="C123" s="88"/>
      <c r="D123" s="90"/>
      <c r="E123" s="90"/>
      <c r="F123" s="90"/>
      <c r="G123" s="90"/>
      <c r="H123" s="90" t="s">
        <v>157</v>
      </c>
      <c r="I123" s="90"/>
      <c r="J123" s="90"/>
      <c r="K123" s="90"/>
      <c r="L123" s="90"/>
      <c r="M123" s="89"/>
      <c r="N123" s="88">
        <v>30</v>
      </c>
      <c r="O123" s="88"/>
      <c r="P123" s="88"/>
      <c r="Q123" s="88"/>
      <c r="R123" s="88"/>
      <c r="S123" s="88"/>
      <c r="T123" s="88"/>
      <c r="U123" s="88"/>
      <c r="V123" s="88"/>
      <c r="W123" s="88"/>
      <c r="X123" s="88"/>
      <c r="Y123" s="89"/>
      <c r="Z123" s="88"/>
      <c r="AA123" s="88"/>
      <c r="AB123" s="88"/>
      <c r="AC123" s="88"/>
      <c r="AD123" s="88"/>
      <c r="AE123" s="88"/>
      <c r="AF123" s="88"/>
      <c r="AG123" s="88"/>
      <c r="AH123" s="88"/>
      <c r="AI123" s="88"/>
      <c r="AJ123" s="88"/>
      <c r="AK123" s="88"/>
      <c r="AL123" s="88"/>
      <c r="AM123" s="88"/>
      <c r="AN123" s="88"/>
      <c r="AO123" s="88"/>
      <c r="AP123" s="88"/>
      <c r="AQ123" s="88"/>
      <c r="AR123" s="88"/>
      <c r="AS123" s="88"/>
      <c r="AT123" s="88"/>
      <c r="AU123" s="88"/>
      <c r="AV123" s="88"/>
      <c r="AW123" s="88"/>
    </row>
    <row r="124" spans="1:49" ht="15.75" customHeight="1">
      <c r="A124" s="85" t="s">
        <v>158</v>
      </c>
      <c r="B124" s="88">
        <v>4</v>
      </c>
      <c r="C124" s="88"/>
      <c r="D124" s="90"/>
      <c r="E124" s="90"/>
      <c r="F124" s="90"/>
      <c r="G124" s="90"/>
      <c r="H124" s="90" t="s">
        <v>159</v>
      </c>
      <c r="I124" s="90"/>
      <c r="J124" s="90"/>
      <c r="K124" s="90"/>
      <c r="L124" s="90"/>
      <c r="M124" s="89"/>
      <c r="N124" s="88">
        <v>30</v>
      </c>
      <c r="O124" s="88"/>
      <c r="P124" s="88"/>
      <c r="Q124" s="88"/>
      <c r="R124" s="88"/>
      <c r="S124" s="88"/>
      <c r="T124" s="88"/>
      <c r="U124" s="88"/>
      <c r="V124" s="88"/>
      <c r="W124" s="88"/>
      <c r="X124" s="88"/>
      <c r="Y124" s="89"/>
      <c r="Z124" s="88"/>
      <c r="AA124" s="88"/>
      <c r="AB124" s="88"/>
      <c r="AC124" s="88"/>
      <c r="AD124" s="88"/>
      <c r="AE124" s="88"/>
      <c r="AF124" s="88"/>
      <c r="AG124" s="88"/>
      <c r="AH124" s="88"/>
      <c r="AI124" s="88"/>
      <c r="AJ124" s="88"/>
      <c r="AK124" s="88"/>
      <c r="AL124" s="88"/>
      <c r="AM124" s="88"/>
      <c r="AN124" s="88"/>
      <c r="AO124" s="88"/>
      <c r="AP124" s="88"/>
      <c r="AQ124" s="88"/>
      <c r="AR124" s="88"/>
      <c r="AS124" s="88"/>
      <c r="AT124" s="88"/>
      <c r="AU124" s="88"/>
      <c r="AV124" s="88"/>
      <c r="AW124" s="88"/>
    </row>
    <row r="125" spans="1:49" ht="15.75" customHeight="1">
      <c r="A125" s="85" t="s">
        <v>160</v>
      </c>
      <c r="B125" s="88">
        <v>4</v>
      </c>
      <c r="C125" s="88"/>
      <c r="D125" s="90"/>
      <c r="E125" s="90"/>
      <c r="F125" s="90"/>
      <c r="G125" s="90"/>
      <c r="H125" s="90" t="s">
        <v>161</v>
      </c>
      <c r="I125" s="90"/>
      <c r="J125" s="90"/>
      <c r="K125" s="90"/>
      <c r="L125" s="90"/>
      <c r="M125" s="89"/>
      <c r="N125" s="88">
        <v>30</v>
      </c>
      <c r="O125" s="88"/>
      <c r="P125" s="88"/>
      <c r="Q125" s="88"/>
      <c r="R125" s="88"/>
      <c r="S125" s="88"/>
      <c r="T125" s="88"/>
      <c r="U125" s="88"/>
      <c r="V125" s="88"/>
      <c r="W125" s="88"/>
      <c r="X125" s="88"/>
      <c r="Y125" s="89"/>
      <c r="Z125" s="88"/>
      <c r="AA125" s="88"/>
      <c r="AB125" s="88"/>
      <c r="AC125" s="88"/>
      <c r="AD125" s="88"/>
      <c r="AE125" s="88"/>
      <c r="AF125" s="88"/>
      <c r="AG125" s="88"/>
      <c r="AH125" s="88"/>
      <c r="AI125" s="88"/>
      <c r="AJ125" s="88"/>
      <c r="AK125" s="88"/>
      <c r="AL125" s="88"/>
      <c r="AM125" s="88"/>
      <c r="AN125" s="88"/>
      <c r="AO125" s="88"/>
      <c r="AP125" s="88"/>
      <c r="AQ125" s="88"/>
      <c r="AR125" s="88"/>
      <c r="AS125" s="88"/>
      <c r="AT125" s="88"/>
      <c r="AU125" s="88"/>
      <c r="AV125" s="88"/>
      <c r="AW125" s="88"/>
    </row>
    <row r="126" spans="1:49" ht="15.75" customHeight="1">
      <c r="A126" s="85" t="s">
        <v>162</v>
      </c>
      <c r="B126" s="88"/>
      <c r="C126" s="88"/>
      <c r="D126" s="90"/>
      <c r="E126" s="90"/>
      <c r="F126" s="90"/>
      <c r="G126" s="90"/>
      <c r="H126" s="90" t="s">
        <v>62</v>
      </c>
      <c r="I126" s="90"/>
      <c r="J126" s="90"/>
      <c r="K126" s="90"/>
      <c r="L126" s="90"/>
      <c r="M126" s="89"/>
      <c r="N126" s="88">
        <v>20</v>
      </c>
      <c r="O126" s="88">
        <v>30</v>
      </c>
      <c r="P126" s="88"/>
      <c r="Q126" s="88"/>
      <c r="R126" s="88"/>
      <c r="S126" s="88"/>
      <c r="T126" s="88"/>
      <c r="U126" s="88"/>
      <c r="V126" s="88"/>
      <c r="W126" s="88"/>
      <c r="X126" s="88"/>
      <c r="Y126" s="89"/>
      <c r="Z126" s="88"/>
      <c r="AA126" s="88"/>
      <c r="AB126" s="88"/>
      <c r="AC126" s="88"/>
      <c r="AD126" s="88"/>
      <c r="AE126" s="88"/>
      <c r="AF126" s="88"/>
      <c r="AG126" s="88"/>
      <c r="AH126" s="88"/>
      <c r="AI126" s="88"/>
      <c r="AJ126" s="88"/>
      <c r="AK126" s="88"/>
      <c r="AL126" s="88"/>
      <c r="AM126" s="88"/>
      <c r="AN126" s="88"/>
      <c r="AO126" s="88"/>
      <c r="AP126" s="88"/>
      <c r="AQ126" s="88"/>
      <c r="AR126" s="88"/>
      <c r="AS126" s="88"/>
      <c r="AT126" s="88"/>
      <c r="AU126" s="88"/>
      <c r="AV126" s="88"/>
      <c r="AW126" s="88"/>
    </row>
    <row r="127" spans="1:49" ht="15.75" customHeight="1">
      <c r="A127" s="85" t="s">
        <v>163</v>
      </c>
      <c r="B127" s="88">
        <v>3</v>
      </c>
      <c r="C127" s="88"/>
      <c r="D127" s="90"/>
      <c r="E127" s="90"/>
      <c r="F127" s="90"/>
      <c r="G127" s="90"/>
      <c r="H127" s="90"/>
      <c r="I127" s="90"/>
      <c r="J127" s="90"/>
      <c r="K127" s="90"/>
      <c r="L127" s="90"/>
      <c r="M127" s="89"/>
      <c r="N127" s="88">
        <v>10</v>
      </c>
      <c r="O127" s="88"/>
      <c r="P127" s="88"/>
      <c r="Q127" s="88"/>
      <c r="R127" s="88"/>
      <c r="S127" s="88"/>
      <c r="T127" s="88"/>
      <c r="U127" s="88"/>
      <c r="V127" s="88"/>
      <c r="W127" s="88">
        <v>20</v>
      </c>
      <c r="X127" s="88"/>
      <c r="Y127" s="89"/>
      <c r="Z127" s="88"/>
      <c r="AA127" s="88"/>
      <c r="AB127" s="88"/>
      <c r="AC127" s="88"/>
      <c r="AD127" s="88"/>
      <c r="AE127" s="88"/>
      <c r="AF127" s="88"/>
      <c r="AG127" s="88"/>
      <c r="AH127" s="88"/>
      <c r="AI127" s="88"/>
      <c r="AJ127" s="88"/>
      <c r="AK127" s="88"/>
      <c r="AL127" s="88"/>
      <c r="AM127" s="88"/>
      <c r="AN127" s="88"/>
      <c r="AO127" s="88"/>
      <c r="AP127" s="88"/>
      <c r="AQ127" s="88"/>
      <c r="AR127" s="88"/>
      <c r="AS127" s="88"/>
      <c r="AT127" s="88"/>
      <c r="AU127" s="88"/>
      <c r="AV127" s="88"/>
      <c r="AW127" s="88"/>
    </row>
    <row r="128" spans="1:49" ht="15.75" customHeight="1">
      <c r="A128" s="85" t="s">
        <v>164</v>
      </c>
      <c r="B128" s="88"/>
      <c r="C128" s="88"/>
      <c r="D128" s="90"/>
      <c r="E128" s="90"/>
      <c r="F128" s="90"/>
      <c r="G128" s="90"/>
      <c r="H128" s="90" t="s">
        <v>73</v>
      </c>
      <c r="I128" s="90"/>
      <c r="J128" s="90"/>
      <c r="K128" s="90"/>
      <c r="L128" s="90"/>
      <c r="M128" s="89"/>
      <c r="N128" s="88">
        <v>20</v>
      </c>
      <c r="O128" s="88"/>
      <c r="P128" s="88"/>
      <c r="Q128" s="88"/>
      <c r="R128" s="88"/>
      <c r="S128" s="88"/>
      <c r="T128" s="88"/>
      <c r="U128" s="88"/>
      <c r="V128" s="88"/>
      <c r="W128" s="88"/>
      <c r="X128" s="88"/>
      <c r="Y128" s="89"/>
      <c r="Z128" s="88"/>
      <c r="AA128" s="88"/>
      <c r="AB128" s="88"/>
      <c r="AC128" s="88"/>
      <c r="AD128" s="88"/>
      <c r="AE128" s="88"/>
      <c r="AF128" s="88"/>
      <c r="AG128" s="88"/>
      <c r="AH128" s="88"/>
      <c r="AI128" s="88"/>
      <c r="AJ128" s="88"/>
      <c r="AK128" s="88"/>
      <c r="AL128" s="88"/>
      <c r="AM128" s="88"/>
      <c r="AN128" s="88"/>
      <c r="AO128" s="88"/>
      <c r="AP128" s="88"/>
      <c r="AQ128" s="88"/>
      <c r="AR128" s="88"/>
      <c r="AS128" s="88"/>
      <c r="AT128" s="88"/>
      <c r="AU128" s="88"/>
      <c r="AV128" s="88"/>
      <c r="AW128" s="88"/>
    </row>
    <row r="129" spans="1:49" ht="15.75" customHeight="1">
      <c r="A129" s="85" t="s">
        <v>165</v>
      </c>
      <c r="B129" s="88"/>
      <c r="C129" s="88"/>
      <c r="D129" s="90"/>
      <c r="E129" s="90"/>
      <c r="F129" s="90" t="s">
        <v>37</v>
      </c>
      <c r="G129" s="90"/>
      <c r="H129" s="90"/>
      <c r="I129" s="90" t="s">
        <v>37</v>
      </c>
      <c r="J129" s="90"/>
      <c r="K129" s="90"/>
      <c r="L129" s="90"/>
      <c r="M129" s="89"/>
      <c r="N129" s="88">
        <v>10</v>
      </c>
      <c r="O129" s="88"/>
      <c r="P129" s="88"/>
      <c r="Q129" s="88"/>
      <c r="R129" s="88"/>
      <c r="S129" s="88"/>
      <c r="T129" s="88"/>
      <c r="U129" s="88"/>
      <c r="V129" s="88"/>
      <c r="W129" s="88"/>
      <c r="X129" s="88"/>
      <c r="Y129" s="89"/>
      <c r="Z129" s="88"/>
      <c r="AA129" s="88"/>
      <c r="AB129" s="88"/>
      <c r="AC129" s="88"/>
      <c r="AD129" s="88"/>
      <c r="AE129" s="88"/>
      <c r="AF129" s="88"/>
      <c r="AG129" s="88"/>
      <c r="AH129" s="88"/>
      <c r="AI129" s="88"/>
      <c r="AJ129" s="88"/>
      <c r="AK129" s="88"/>
      <c r="AL129" s="88"/>
      <c r="AM129" s="88"/>
      <c r="AN129" s="88"/>
      <c r="AO129" s="88"/>
      <c r="AP129" s="88"/>
      <c r="AQ129" s="88"/>
      <c r="AR129" s="88"/>
      <c r="AS129" s="88"/>
      <c r="AT129" s="88"/>
      <c r="AU129" s="88"/>
      <c r="AV129" s="88"/>
      <c r="AW129" s="88"/>
    </row>
    <row r="130" spans="1:49" ht="15.75" customHeight="1">
      <c r="A130" s="85" t="s">
        <v>166</v>
      </c>
      <c r="B130" s="88"/>
      <c r="C130" s="88"/>
      <c r="D130" s="90"/>
      <c r="E130" s="90"/>
      <c r="F130" s="90" t="s">
        <v>41</v>
      </c>
      <c r="G130" s="90"/>
      <c r="H130" s="90"/>
      <c r="I130" s="90" t="s">
        <v>41</v>
      </c>
      <c r="J130" s="90"/>
      <c r="K130" s="90"/>
      <c r="L130" s="90"/>
      <c r="M130" s="89"/>
      <c r="N130" s="88">
        <v>10</v>
      </c>
      <c r="O130" s="88"/>
      <c r="P130" s="88"/>
      <c r="Q130" s="88"/>
      <c r="R130" s="88"/>
      <c r="S130" s="88"/>
      <c r="T130" s="88"/>
      <c r="U130" s="88"/>
      <c r="V130" s="88"/>
      <c r="W130" s="88"/>
      <c r="X130" s="88"/>
      <c r="Y130" s="89"/>
      <c r="Z130" s="88"/>
      <c r="AA130" s="88"/>
      <c r="AB130" s="88"/>
      <c r="AC130" s="88"/>
      <c r="AD130" s="88"/>
      <c r="AE130" s="88"/>
      <c r="AF130" s="88"/>
      <c r="AG130" s="88"/>
      <c r="AH130" s="88"/>
      <c r="AI130" s="88"/>
      <c r="AJ130" s="88"/>
      <c r="AK130" s="88"/>
      <c r="AL130" s="88"/>
      <c r="AM130" s="88"/>
      <c r="AN130" s="88"/>
      <c r="AO130" s="88"/>
      <c r="AP130" s="88"/>
      <c r="AQ130" s="88"/>
      <c r="AR130" s="88"/>
      <c r="AS130" s="88"/>
      <c r="AT130" s="88"/>
      <c r="AU130" s="88"/>
      <c r="AV130" s="88"/>
      <c r="AW130" s="88"/>
    </row>
    <row r="131" spans="1:49" ht="15.75" customHeight="1">
      <c r="A131" s="85" t="s">
        <v>167</v>
      </c>
      <c r="B131" s="88"/>
      <c r="C131" s="88"/>
      <c r="D131" s="90"/>
      <c r="E131" s="90"/>
      <c r="F131" s="90" t="s">
        <v>39</v>
      </c>
      <c r="G131" s="90"/>
      <c r="H131" s="90"/>
      <c r="I131" s="90" t="s">
        <v>39</v>
      </c>
      <c r="J131" s="90"/>
      <c r="K131" s="90"/>
      <c r="L131" s="90"/>
      <c r="M131" s="89"/>
      <c r="N131" s="88">
        <v>10</v>
      </c>
      <c r="O131" s="88"/>
      <c r="P131" s="88"/>
      <c r="Q131" s="88"/>
      <c r="R131" s="88"/>
      <c r="S131" s="88"/>
      <c r="T131" s="88"/>
      <c r="U131" s="88"/>
      <c r="V131" s="88"/>
      <c r="W131" s="88"/>
      <c r="X131" s="88"/>
      <c r="Y131" s="89"/>
      <c r="Z131" s="88"/>
      <c r="AA131" s="88"/>
      <c r="AB131" s="88"/>
      <c r="AC131" s="88"/>
      <c r="AD131" s="88"/>
      <c r="AE131" s="88"/>
      <c r="AF131" s="88"/>
      <c r="AG131" s="88"/>
      <c r="AH131" s="88"/>
      <c r="AI131" s="88"/>
      <c r="AJ131" s="88"/>
      <c r="AK131" s="88"/>
      <c r="AL131" s="88"/>
      <c r="AM131" s="88"/>
      <c r="AN131" s="88"/>
      <c r="AO131" s="88"/>
      <c r="AP131" s="88"/>
      <c r="AQ131" s="88"/>
      <c r="AR131" s="88"/>
      <c r="AS131" s="88"/>
      <c r="AT131" s="88"/>
      <c r="AU131" s="88"/>
      <c r="AV131" s="88"/>
      <c r="AW131" s="88"/>
    </row>
    <row r="132" spans="1:49" ht="15.75" customHeight="1">
      <c r="A132" s="85" t="s">
        <v>168</v>
      </c>
      <c r="B132" s="88"/>
      <c r="C132" s="88"/>
      <c r="D132" s="90"/>
      <c r="E132" s="90"/>
      <c r="F132" s="90" t="s">
        <v>43</v>
      </c>
      <c r="G132" s="90"/>
      <c r="H132" s="90"/>
      <c r="I132" s="90" t="s">
        <v>43</v>
      </c>
      <c r="J132" s="90"/>
      <c r="K132" s="90"/>
      <c r="L132" s="90"/>
      <c r="M132" s="89"/>
      <c r="N132" s="88">
        <v>10</v>
      </c>
      <c r="O132" s="88"/>
      <c r="P132" s="88"/>
      <c r="Q132" s="88"/>
      <c r="R132" s="88"/>
      <c r="S132" s="88"/>
      <c r="T132" s="88"/>
      <c r="U132" s="88"/>
      <c r="V132" s="88"/>
      <c r="W132" s="88"/>
      <c r="X132" s="88"/>
      <c r="Y132" s="89"/>
      <c r="Z132" s="88"/>
      <c r="AA132" s="88"/>
      <c r="AB132" s="88"/>
      <c r="AC132" s="88"/>
      <c r="AD132" s="88"/>
      <c r="AE132" s="88"/>
      <c r="AF132" s="88"/>
      <c r="AG132" s="88"/>
      <c r="AH132" s="88"/>
      <c r="AI132" s="88"/>
      <c r="AJ132" s="88"/>
      <c r="AK132" s="88"/>
      <c r="AL132" s="88"/>
      <c r="AM132" s="88"/>
      <c r="AN132" s="88"/>
      <c r="AO132" s="88"/>
      <c r="AP132" s="88"/>
      <c r="AQ132" s="88"/>
      <c r="AR132" s="88"/>
      <c r="AS132" s="88"/>
      <c r="AT132" s="88"/>
      <c r="AU132" s="88"/>
      <c r="AV132" s="88"/>
      <c r="AW132" s="88"/>
    </row>
    <row r="133" spans="1:49" ht="15.75" customHeight="1">
      <c r="A133" s="85" t="s">
        <v>832</v>
      </c>
      <c r="B133" s="88"/>
      <c r="C133" s="88"/>
      <c r="D133" s="90"/>
      <c r="E133" s="90"/>
      <c r="F133" s="90"/>
      <c r="G133" s="90"/>
      <c r="H133" s="90"/>
      <c r="I133" s="90"/>
      <c r="J133" s="90"/>
      <c r="K133" s="90"/>
      <c r="L133" s="90"/>
      <c r="M133" s="89"/>
      <c r="N133" s="88"/>
      <c r="O133" s="88"/>
      <c r="P133" s="88"/>
      <c r="Q133" s="88"/>
      <c r="R133" s="88"/>
      <c r="S133" s="88"/>
      <c r="T133" s="88"/>
      <c r="U133" s="88"/>
      <c r="V133" s="88"/>
      <c r="W133" s="88"/>
      <c r="X133" s="88"/>
      <c r="Y133" s="89"/>
      <c r="Z133" s="88"/>
      <c r="AA133" s="88"/>
      <c r="AB133" s="88"/>
      <c r="AC133" s="88"/>
      <c r="AD133" s="88"/>
      <c r="AE133" s="88"/>
      <c r="AF133" s="88"/>
      <c r="AG133" s="88"/>
      <c r="AH133" s="88"/>
      <c r="AI133" s="88"/>
      <c r="AJ133" s="88"/>
      <c r="AK133" s="88"/>
      <c r="AL133" s="88"/>
      <c r="AM133" s="88"/>
      <c r="AN133" s="88"/>
      <c r="AO133" s="88"/>
      <c r="AP133" s="88"/>
      <c r="AQ133" s="88"/>
      <c r="AR133" s="88">
        <v>-10</v>
      </c>
      <c r="AS133" s="88">
        <v>-10</v>
      </c>
      <c r="AT133" s="88">
        <v>-10</v>
      </c>
      <c r="AU133" s="88">
        <v>-10</v>
      </c>
      <c r="AV133" s="88">
        <v>-10</v>
      </c>
      <c r="AW133" s="88">
        <v>-10</v>
      </c>
    </row>
    <row r="134" spans="1:49" ht="15.75" customHeight="1">
      <c r="A134" s="85" t="s">
        <v>169</v>
      </c>
      <c r="B134" s="88"/>
      <c r="C134" s="88"/>
      <c r="D134" s="90"/>
      <c r="E134" s="90"/>
      <c r="F134" s="90"/>
      <c r="G134" s="90"/>
      <c r="H134" s="90"/>
      <c r="I134" s="90"/>
      <c r="J134" s="90"/>
      <c r="K134" s="90"/>
      <c r="L134" s="90"/>
      <c r="M134" s="89"/>
      <c r="N134" s="88"/>
      <c r="O134" s="88">
        <v>30</v>
      </c>
      <c r="P134" s="88"/>
      <c r="Q134" s="88"/>
      <c r="R134" s="88"/>
      <c r="S134" s="88"/>
      <c r="T134" s="88"/>
      <c r="U134" s="88"/>
      <c r="V134" s="88"/>
      <c r="W134" s="88"/>
      <c r="X134" s="88"/>
      <c r="Y134" s="89"/>
      <c r="Z134" s="88"/>
      <c r="AA134" s="88"/>
      <c r="AB134" s="88"/>
      <c r="AC134" s="88"/>
      <c r="AD134" s="88"/>
      <c r="AE134" s="88"/>
      <c r="AF134" s="88"/>
      <c r="AG134" s="88"/>
      <c r="AH134" s="88"/>
      <c r="AI134" s="88"/>
      <c r="AJ134" s="88"/>
      <c r="AK134" s="88"/>
      <c r="AL134" s="88"/>
      <c r="AM134" s="88"/>
      <c r="AN134" s="88"/>
      <c r="AO134" s="88"/>
      <c r="AP134" s="88"/>
      <c r="AQ134" s="88"/>
      <c r="AR134" s="88"/>
      <c r="AS134" s="88"/>
      <c r="AT134" s="88"/>
      <c r="AU134" s="88"/>
      <c r="AV134" s="88"/>
      <c r="AW134" s="88"/>
    </row>
    <row r="135" spans="1:49" ht="15.75" customHeight="1">
      <c r="A135" s="85" t="s">
        <v>170</v>
      </c>
      <c r="B135" s="88"/>
      <c r="C135" s="88"/>
      <c r="D135" s="90" t="s">
        <v>748</v>
      </c>
      <c r="E135" s="90"/>
      <c r="F135" s="90"/>
      <c r="G135" s="90"/>
      <c r="H135" s="90" t="s">
        <v>64</v>
      </c>
      <c r="I135" s="90"/>
      <c r="J135" s="90"/>
      <c r="K135" s="90"/>
      <c r="L135" s="90"/>
      <c r="M135" s="89"/>
      <c r="N135" s="88"/>
      <c r="O135" s="88"/>
      <c r="P135" s="88"/>
      <c r="Q135" s="88"/>
      <c r="R135" s="88"/>
      <c r="S135" s="88"/>
      <c r="T135" s="88"/>
      <c r="U135" s="88"/>
      <c r="V135" s="88"/>
      <c r="W135" s="88">
        <v>30</v>
      </c>
      <c r="X135" s="88"/>
      <c r="Y135" s="89"/>
      <c r="Z135" s="88"/>
      <c r="AA135" s="88"/>
      <c r="AB135" s="88"/>
      <c r="AC135" s="88"/>
      <c r="AD135" s="88"/>
      <c r="AE135" s="88"/>
      <c r="AF135" s="88"/>
      <c r="AG135" s="88"/>
      <c r="AH135" s="88"/>
      <c r="AI135" s="88"/>
      <c r="AJ135" s="88"/>
      <c r="AK135" s="88"/>
      <c r="AL135" s="88"/>
      <c r="AM135" s="88"/>
      <c r="AN135" s="88"/>
      <c r="AO135" s="88"/>
      <c r="AP135" s="88"/>
      <c r="AQ135" s="88"/>
      <c r="AR135" s="88"/>
      <c r="AS135" s="88"/>
      <c r="AT135" s="88"/>
      <c r="AU135" s="88"/>
      <c r="AV135" s="88"/>
      <c r="AW135" s="88"/>
    </row>
    <row r="136" spans="1:49" ht="15.75" customHeight="1">
      <c r="A136" s="85" t="s">
        <v>171</v>
      </c>
      <c r="B136" s="88"/>
      <c r="C136" s="88"/>
      <c r="D136" s="90" t="s">
        <v>737</v>
      </c>
      <c r="E136" s="90"/>
      <c r="F136" s="90"/>
      <c r="G136" s="90"/>
      <c r="H136" s="90" t="s">
        <v>105</v>
      </c>
      <c r="I136" s="90"/>
      <c r="J136" s="90"/>
      <c r="K136" s="90"/>
      <c r="L136" s="90"/>
      <c r="M136" s="89"/>
      <c r="N136" s="88">
        <v>40</v>
      </c>
      <c r="O136" s="88"/>
      <c r="P136" s="88"/>
      <c r="Q136" s="88"/>
      <c r="R136" s="88"/>
      <c r="S136" s="88"/>
      <c r="T136" s="88"/>
      <c r="U136" s="88"/>
      <c r="V136" s="88"/>
      <c r="W136" s="88"/>
      <c r="X136" s="88"/>
      <c r="Y136" s="89"/>
      <c r="Z136" s="88"/>
      <c r="AA136" s="88"/>
      <c r="AB136" s="88"/>
      <c r="AC136" s="88"/>
      <c r="AD136" s="88"/>
      <c r="AE136" s="88"/>
      <c r="AF136" s="88"/>
      <c r="AG136" s="88"/>
      <c r="AH136" s="88"/>
      <c r="AI136" s="88"/>
      <c r="AJ136" s="88"/>
      <c r="AK136" s="88"/>
      <c r="AL136" s="88"/>
      <c r="AM136" s="88"/>
      <c r="AN136" s="88"/>
      <c r="AO136" s="88"/>
      <c r="AP136" s="88"/>
      <c r="AQ136" s="88"/>
      <c r="AR136" s="88"/>
      <c r="AS136" s="88"/>
      <c r="AT136" s="88"/>
      <c r="AU136" s="88"/>
      <c r="AV136" s="88"/>
      <c r="AW136" s="88"/>
    </row>
    <row r="137" spans="1:49" ht="15.75" customHeight="1">
      <c r="A137" s="85" t="s">
        <v>172</v>
      </c>
      <c r="B137" s="88"/>
      <c r="C137" s="88"/>
      <c r="D137" s="90" t="s">
        <v>741</v>
      </c>
      <c r="E137" s="90"/>
      <c r="F137" s="90"/>
      <c r="G137" s="90"/>
      <c r="H137" s="90" t="s">
        <v>114</v>
      </c>
      <c r="I137" s="90"/>
      <c r="J137" s="90"/>
      <c r="K137" s="90"/>
      <c r="L137" s="90"/>
      <c r="M137" s="89"/>
      <c r="N137" s="88">
        <v>80</v>
      </c>
      <c r="O137" s="88">
        <v>100</v>
      </c>
      <c r="P137" s="88"/>
      <c r="Q137" s="88"/>
      <c r="R137" s="88"/>
      <c r="S137" s="88"/>
      <c r="T137" s="88"/>
      <c r="U137" s="88"/>
      <c r="V137" s="88"/>
      <c r="W137" s="88"/>
      <c r="X137" s="88"/>
      <c r="Y137" s="89"/>
      <c r="Z137" s="88"/>
      <c r="AA137" s="88"/>
      <c r="AB137" s="88"/>
      <c r="AC137" s="88"/>
      <c r="AD137" s="88"/>
      <c r="AE137" s="88"/>
      <c r="AF137" s="88"/>
      <c r="AG137" s="88"/>
      <c r="AH137" s="88"/>
      <c r="AI137" s="88"/>
      <c r="AJ137" s="88"/>
      <c r="AK137" s="88"/>
      <c r="AL137" s="88"/>
      <c r="AM137" s="88"/>
      <c r="AN137" s="88"/>
      <c r="AO137" s="88"/>
      <c r="AP137" s="88"/>
      <c r="AQ137" s="88"/>
      <c r="AR137" s="88"/>
      <c r="AS137" s="88"/>
      <c r="AT137" s="88"/>
      <c r="AU137" s="88"/>
      <c r="AV137" s="88"/>
      <c r="AW137" s="88"/>
    </row>
    <row r="138" spans="1:49" ht="15.75" customHeight="1">
      <c r="A138" s="85" t="s">
        <v>173</v>
      </c>
      <c r="B138" s="88">
        <v>4</v>
      </c>
      <c r="C138" s="88"/>
      <c r="D138" s="90"/>
      <c r="E138" s="90"/>
      <c r="F138" s="90"/>
      <c r="G138" s="90"/>
      <c r="H138" s="90" t="s">
        <v>174</v>
      </c>
      <c r="I138" s="90"/>
      <c r="J138" s="90"/>
      <c r="K138" s="90"/>
      <c r="L138" s="90"/>
      <c r="M138" s="89"/>
      <c r="N138" s="88">
        <v>30</v>
      </c>
      <c r="O138" s="88"/>
      <c r="P138" s="88"/>
      <c r="Q138" s="88"/>
      <c r="R138" s="88"/>
      <c r="S138" s="88"/>
      <c r="T138" s="88"/>
      <c r="U138" s="88"/>
      <c r="V138" s="88"/>
      <c r="W138" s="88"/>
      <c r="X138" s="88"/>
      <c r="Y138" s="89"/>
      <c r="Z138" s="88"/>
      <c r="AA138" s="88"/>
      <c r="AB138" s="88"/>
      <c r="AC138" s="88"/>
      <c r="AD138" s="88"/>
      <c r="AE138" s="88"/>
      <c r="AF138" s="88"/>
      <c r="AG138" s="88"/>
      <c r="AH138" s="88"/>
      <c r="AI138" s="88"/>
      <c r="AJ138" s="88"/>
      <c r="AK138" s="88"/>
      <c r="AL138" s="88"/>
      <c r="AM138" s="88"/>
      <c r="AN138" s="88"/>
      <c r="AO138" s="88"/>
      <c r="AP138" s="88"/>
      <c r="AQ138" s="88"/>
      <c r="AR138" s="88"/>
      <c r="AS138" s="88"/>
      <c r="AT138" s="88"/>
      <c r="AU138" s="88"/>
      <c r="AV138" s="88"/>
      <c r="AW138" s="88"/>
    </row>
    <row r="139" spans="1:49" ht="15.75" customHeight="1">
      <c r="A139" s="85" t="s">
        <v>19</v>
      </c>
      <c r="B139" s="88">
        <v>1</v>
      </c>
      <c r="C139" s="88"/>
      <c r="D139" s="90"/>
      <c r="E139" s="90"/>
      <c r="F139" s="90"/>
      <c r="G139" s="90"/>
      <c r="H139" s="90"/>
      <c r="I139" s="90"/>
      <c r="J139" s="90"/>
      <c r="K139" s="90"/>
      <c r="L139" s="90"/>
      <c r="M139" s="89"/>
      <c r="N139" s="88">
        <v>30</v>
      </c>
      <c r="O139" s="88"/>
      <c r="P139" s="88"/>
      <c r="Q139" s="88"/>
      <c r="R139" s="88"/>
      <c r="S139" s="88"/>
      <c r="T139" s="88"/>
      <c r="U139" s="88"/>
      <c r="V139" s="88"/>
      <c r="W139" s="88"/>
      <c r="X139" s="88"/>
      <c r="Y139" s="89"/>
      <c r="Z139" s="88"/>
      <c r="AA139" s="88"/>
      <c r="AB139" s="88"/>
      <c r="AC139" s="88"/>
      <c r="AD139" s="88"/>
      <c r="AE139" s="88"/>
      <c r="AF139" s="88"/>
      <c r="AG139" s="88"/>
      <c r="AH139" s="88"/>
      <c r="AI139" s="88"/>
      <c r="AJ139" s="88"/>
      <c r="AK139" s="88"/>
      <c r="AL139" s="88"/>
      <c r="AM139" s="88"/>
      <c r="AN139" s="88"/>
      <c r="AO139" s="88"/>
      <c r="AP139" s="88"/>
      <c r="AQ139" s="88"/>
      <c r="AR139" s="88"/>
      <c r="AS139" s="88"/>
      <c r="AT139" s="88"/>
      <c r="AU139" s="88"/>
      <c r="AV139" s="88"/>
      <c r="AW139" s="88"/>
    </row>
    <row r="140" spans="1:49" ht="15.75" customHeight="1">
      <c r="A140" s="85" t="s">
        <v>175</v>
      </c>
      <c r="B140" s="88">
        <v>5</v>
      </c>
      <c r="C140" s="88"/>
      <c r="D140" s="90"/>
      <c r="E140" s="90"/>
      <c r="F140" s="90"/>
      <c r="G140" s="90"/>
      <c r="H140" s="90"/>
      <c r="I140" s="90"/>
      <c r="J140" s="90" t="s">
        <v>874</v>
      </c>
      <c r="K140" s="90"/>
      <c r="L140" s="90"/>
      <c r="M140" s="89"/>
      <c r="N140" s="88"/>
      <c r="O140" s="88"/>
      <c r="P140" s="88">
        <v>30</v>
      </c>
      <c r="Q140" s="88">
        <v>30</v>
      </c>
      <c r="R140" s="88"/>
      <c r="S140" s="88"/>
      <c r="T140" s="88"/>
      <c r="U140" s="88"/>
      <c r="V140" s="88"/>
      <c r="W140" s="88"/>
      <c r="X140" s="88"/>
      <c r="Y140" s="89"/>
      <c r="Z140" s="88"/>
      <c r="AA140" s="88"/>
      <c r="AB140" s="88"/>
      <c r="AC140" s="88"/>
      <c r="AD140" s="88"/>
      <c r="AE140" s="88"/>
      <c r="AF140" s="88"/>
      <c r="AG140" s="88"/>
      <c r="AH140" s="88"/>
      <c r="AI140" s="88"/>
      <c r="AJ140" s="88"/>
      <c r="AK140" s="88"/>
      <c r="AL140" s="88"/>
      <c r="AM140" s="88"/>
      <c r="AN140" s="88"/>
      <c r="AO140" s="88"/>
      <c r="AP140" s="88"/>
      <c r="AQ140" s="88"/>
      <c r="AR140" s="88"/>
      <c r="AS140" s="88"/>
      <c r="AT140" s="88"/>
      <c r="AU140" s="88"/>
      <c r="AV140" s="88"/>
      <c r="AW140" s="88"/>
    </row>
    <row r="141" spans="1:49" ht="15.75" customHeight="1">
      <c r="A141" s="85" t="s">
        <v>176</v>
      </c>
      <c r="B141" s="88"/>
      <c r="C141" s="88"/>
      <c r="D141" s="90" t="s">
        <v>742</v>
      </c>
      <c r="E141" s="90"/>
      <c r="F141" s="90"/>
      <c r="G141" s="90"/>
      <c r="H141" s="90" t="s">
        <v>94</v>
      </c>
      <c r="I141" s="90"/>
      <c r="J141" s="90"/>
      <c r="K141" s="90"/>
      <c r="L141" s="90"/>
      <c r="M141" s="89"/>
      <c r="N141" s="88"/>
      <c r="O141" s="88"/>
      <c r="P141" s="88"/>
      <c r="Q141" s="88"/>
      <c r="R141" s="88"/>
      <c r="S141" s="88"/>
      <c r="T141" s="88"/>
      <c r="U141" s="88"/>
      <c r="V141" s="88"/>
      <c r="W141" s="88"/>
      <c r="X141" s="88"/>
      <c r="Y141" s="89"/>
      <c r="Z141" s="88">
        <v>100</v>
      </c>
      <c r="AA141" s="88"/>
      <c r="AB141" s="88"/>
      <c r="AC141" s="88"/>
      <c r="AD141" s="88"/>
      <c r="AE141" s="88"/>
      <c r="AF141" s="88"/>
      <c r="AG141" s="88"/>
      <c r="AH141" s="88"/>
      <c r="AI141" s="88"/>
      <c r="AJ141" s="88"/>
      <c r="AK141" s="88"/>
      <c r="AL141" s="88"/>
      <c r="AM141" s="88"/>
      <c r="AN141" s="88"/>
      <c r="AO141" s="88"/>
      <c r="AP141" s="88"/>
      <c r="AQ141" s="88"/>
      <c r="AR141" s="88"/>
      <c r="AS141" s="88"/>
      <c r="AT141" s="88"/>
      <c r="AU141" s="88"/>
      <c r="AV141" s="88"/>
      <c r="AW141" s="88"/>
    </row>
    <row r="142" spans="1:49" ht="15.75" customHeight="1">
      <c r="A142" s="85" t="s">
        <v>177</v>
      </c>
      <c r="B142" s="88"/>
      <c r="C142" s="88"/>
      <c r="D142" s="90" t="s">
        <v>755</v>
      </c>
      <c r="E142" s="90"/>
      <c r="F142" s="90"/>
      <c r="G142" s="90"/>
      <c r="H142" s="90" t="s">
        <v>75</v>
      </c>
      <c r="I142" s="90"/>
      <c r="J142" s="90"/>
      <c r="K142" s="90"/>
      <c r="L142" s="90"/>
      <c r="M142" s="89"/>
      <c r="N142" s="88">
        <v>100</v>
      </c>
      <c r="O142" s="88"/>
      <c r="P142" s="88"/>
      <c r="Q142" s="88"/>
      <c r="R142" s="88"/>
      <c r="S142" s="88"/>
      <c r="T142" s="88"/>
      <c r="U142" s="88"/>
      <c r="V142" s="88"/>
      <c r="W142" s="88"/>
      <c r="X142" s="88"/>
      <c r="Y142" s="89"/>
      <c r="Z142" s="88">
        <v>100</v>
      </c>
      <c r="AA142" s="88"/>
      <c r="AB142" s="88"/>
      <c r="AC142" s="88"/>
      <c r="AD142" s="88"/>
      <c r="AE142" s="88"/>
      <c r="AF142" s="88"/>
      <c r="AG142" s="88"/>
      <c r="AH142" s="88"/>
      <c r="AI142" s="88"/>
      <c r="AJ142" s="88"/>
      <c r="AK142" s="88"/>
      <c r="AL142" s="88"/>
      <c r="AM142" s="88"/>
      <c r="AN142" s="88"/>
      <c r="AO142" s="88"/>
      <c r="AP142" s="88"/>
      <c r="AQ142" s="88"/>
      <c r="AR142" s="88"/>
      <c r="AS142" s="88"/>
      <c r="AT142" s="88"/>
      <c r="AU142" s="88"/>
      <c r="AV142" s="88"/>
      <c r="AW142" s="88"/>
    </row>
    <row r="143" spans="1:49" ht="15.75" customHeight="1">
      <c r="A143" s="85" t="s">
        <v>178</v>
      </c>
      <c r="B143" s="88"/>
      <c r="C143" s="88"/>
      <c r="D143" s="90"/>
      <c r="E143" s="90"/>
      <c r="F143" s="90"/>
      <c r="G143" s="90"/>
      <c r="H143" s="90"/>
      <c r="I143" s="90"/>
      <c r="J143" s="90"/>
      <c r="K143" s="90"/>
      <c r="L143" s="90"/>
      <c r="M143" s="89"/>
      <c r="N143" s="88">
        <v>30</v>
      </c>
      <c r="O143" s="88"/>
      <c r="P143" s="88"/>
      <c r="Q143" s="88"/>
      <c r="R143" s="88"/>
      <c r="S143" s="88"/>
      <c r="T143" s="88"/>
      <c r="U143" s="88"/>
      <c r="V143" s="88"/>
      <c r="W143" s="88"/>
      <c r="X143" s="88"/>
      <c r="Y143" s="89"/>
      <c r="Z143" s="88"/>
      <c r="AA143" s="88"/>
      <c r="AB143" s="88"/>
      <c r="AC143" s="88"/>
      <c r="AD143" s="88"/>
      <c r="AE143" s="88"/>
      <c r="AF143" s="88"/>
      <c r="AG143" s="88"/>
      <c r="AH143" s="88"/>
      <c r="AI143" s="88"/>
      <c r="AJ143" s="88"/>
      <c r="AK143" s="88"/>
      <c r="AL143" s="88"/>
      <c r="AM143" s="88"/>
      <c r="AN143" s="88"/>
      <c r="AO143" s="88"/>
      <c r="AP143" s="88"/>
      <c r="AQ143" s="88"/>
      <c r="AR143" s="88"/>
      <c r="AS143" s="88"/>
      <c r="AT143" s="88"/>
      <c r="AU143" s="88"/>
      <c r="AV143" s="88"/>
      <c r="AW143" s="88"/>
    </row>
    <row r="144" spans="1:49" ht="15.75" customHeight="1">
      <c r="A144" s="85" t="s">
        <v>833</v>
      </c>
      <c r="B144" s="88"/>
      <c r="C144" s="88"/>
      <c r="D144" s="90"/>
      <c r="E144" s="90"/>
      <c r="F144" s="90"/>
      <c r="G144" s="90"/>
      <c r="H144" s="90"/>
      <c r="I144" s="90"/>
      <c r="J144" s="90"/>
      <c r="K144" s="90"/>
      <c r="L144" s="90"/>
      <c r="M144" s="89"/>
      <c r="N144" s="88"/>
      <c r="O144" s="88"/>
      <c r="P144" s="88"/>
      <c r="Q144" s="88"/>
      <c r="R144" s="88"/>
      <c r="S144" s="88"/>
      <c r="T144" s="88"/>
      <c r="U144" s="88"/>
      <c r="V144" s="88"/>
      <c r="W144" s="88"/>
      <c r="X144" s="88"/>
      <c r="Y144" s="89"/>
      <c r="Z144" s="88"/>
      <c r="AA144" s="88"/>
      <c r="AB144" s="88"/>
      <c r="AC144" s="88"/>
      <c r="AD144" s="88"/>
      <c r="AE144" s="88"/>
      <c r="AF144" s="88"/>
      <c r="AG144" s="88"/>
      <c r="AH144" s="88">
        <v>20</v>
      </c>
      <c r="AI144" s="88"/>
      <c r="AJ144" s="88"/>
      <c r="AK144" s="88"/>
      <c r="AL144" s="88"/>
      <c r="AM144" s="88"/>
      <c r="AN144" s="88"/>
      <c r="AO144" s="88"/>
      <c r="AP144" s="88"/>
      <c r="AQ144" s="88"/>
      <c r="AR144" s="88"/>
      <c r="AS144" s="88"/>
      <c r="AT144" s="88"/>
      <c r="AU144" s="88"/>
      <c r="AV144" s="88"/>
      <c r="AW144" s="88"/>
    </row>
    <row r="145" spans="1:49" ht="15.75" customHeight="1">
      <c r="A145" s="85" t="s">
        <v>834</v>
      </c>
      <c r="B145" s="88"/>
      <c r="C145" s="88"/>
      <c r="D145" s="90"/>
      <c r="E145" s="90"/>
      <c r="F145" s="90"/>
      <c r="G145" s="90"/>
      <c r="H145" s="90"/>
      <c r="I145" s="90"/>
      <c r="J145" s="90"/>
      <c r="K145" s="90"/>
      <c r="L145" s="90"/>
      <c r="M145" s="89"/>
      <c r="N145" s="88"/>
      <c r="O145" s="88"/>
      <c r="P145" s="88"/>
      <c r="Q145" s="88"/>
      <c r="R145" s="88"/>
      <c r="S145" s="88"/>
      <c r="T145" s="88"/>
      <c r="U145" s="88"/>
      <c r="V145" s="88"/>
      <c r="W145" s="88"/>
      <c r="X145" s="88"/>
      <c r="Y145" s="89"/>
      <c r="Z145" s="88"/>
      <c r="AA145" s="88"/>
      <c r="AB145" s="88"/>
      <c r="AC145" s="88"/>
      <c r="AD145" s="88"/>
      <c r="AE145" s="88"/>
      <c r="AF145" s="88"/>
      <c r="AG145" s="88"/>
      <c r="AH145" s="88"/>
      <c r="AI145" s="88">
        <v>20</v>
      </c>
      <c r="AJ145" s="88"/>
      <c r="AK145" s="88"/>
      <c r="AL145" s="88"/>
      <c r="AM145" s="88"/>
      <c r="AN145" s="88"/>
      <c r="AO145" s="88"/>
      <c r="AP145" s="88"/>
      <c r="AQ145" s="88"/>
      <c r="AR145" s="88"/>
      <c r="AS145" s="88"/>
      <c r="AT145" s="88"/>
      <c r="AU145" s="88"/>
      <c r="AV145" s="88"/>
      <c r="AW145" s="88"/>
    </row>
    <row r="146" spans="1:49" ht="15.75" customHeight="1">
      <c r="A146" s="85" t="s">
        <v>835</v>
      </c>
      <c r="B146" s="88"/>
      <c r="C146" s="88"/>
      <c r="D146" s="90"/>
      <c r="E146" s="90"/>
      <c r="F146" s="90"/>
      <c r="G146" s="90"/>
      <c r="H146" s="90"/>
      <c r="I146" s="90"/>
      <c r="J146" s="90"/>
      <c r="K146" s="90"/>
      <c r="L146" s="90"/>
      <c r="M146" s="89"/>
      <c r="N146" s="88"/>
      <c r="O146" s="88"/>
      <c r="P146" s="88"/>
      <c r="Q146" s="88"/>
      <c r="R146" s="88"/>
      <c r="S146" s="88"/>
      <c r="T146" s="88"/>
      <c r="U146" s="88"/>
      <c r="V146" s="88"/>
      <c r="W146" s="88"/>
      <c r="X146" s="88"/>
      <c r="Y146" s="89"/>
      <c r="Z146" s="88"/>
      <c r="AA146" s="88"/>
      <c r="AB146" s="88"/>
      <c r="AC146" s="88"/>
      <c r="AD146" s="88"/>
      <c r="AE146" s="88"/>
      <c r="AF146" s="88"/>
      <c r="AG146" s="88"/>
      <c r="AH146" s="88"/>
      <c r="AI146" s="88"/>
      <c r="AJ146" s="88">
        <v>20</v>
      </c>
      <c r="AK146" s="88"/>
      <c r="AL146" s="88"/>
      <c r="AM146" s="88"/>
      <c r="AN146" s="88"/>
      <c r="AO146" s="88"/>
      <c r="AP146" s="88"/>
      <c r="AQ146" s="88"/>
      <c r="AR146" s="88"/>
      <c r="AS146" s="88"/>
      <c r="AT146" s="88"/>
      <c r="AU146" s="88"/>
      <c r="AV146" s="88"/>
      <c r="AW146" s="88"/>
    </row>
    <row r="147" spans="1:49" ht="15.75" customHeight="1">
      <c r="A147" s="85" t="s">
        <v>836</v>
      </c>
      <c r="B147" s="88"/>
      <c r="C147" s="88"/>
      <c r="D147" s="90"/>
      <c r="E147" s="90"/>
      <c r="F147" s="90"/>
      <c r="G147" s="90"/>
      <c r="H147" s="90"/>
      <c r="I147" s="90"/>
      <c r="J147" s="90"/>
      <c r="K147" s="90"/>
      <c r="L147" s="90"/>
      <c r="M147" s="89"/>
      <c r="N147" s="88"/>
      <c r="O147" s="88"/>
      <c r="P147" s="88"/>
      <c r="Q147" s="88"/>
      <c r="R147" s="88"/>
      <c r="S147" s="88"/>
      <c r="T147" s="88"/>
      <c r="U147" s="88"/>
      <c r="V147" s="88"/>
      <c r="W147" s="88"/>
      <c r="X147" s="88"/>
      <c r="Y147" s="89"/>
      <c r="Z147" s="88"/>
      <c r="AA147" s="88"/>
      <c r="AB147" s="88"/>
      <c r="AC147" s="88"/>
      <c r="AD147" s="88">
        <v>30</v>
      </c>
      <c r="AE147" s="88"/>
      <c r="AF147" s="88"/>
      <c r="AG147" s="88"/>
      <c r="AH147" s="88"/>
      <c r="AI147" s="88"/>
      <c r="AJ147" s="88"/>
      <c r="AK147" s="88"/>
      <c r="AL147" s="88"/>
      <c r="AM147" s="88"/>
      <c r="AN147" s="88"/>
      <c r="AO147" s="88"/>
      <c r="AP147" s="88"/>
      <c r="AQ147" s="88"/>
      <c r="AR147" s="88"/>
      <c r="AS147" s="88"/>
      <c r="AT147" s="88"/>
      <c r="AU147" s="88"/>
      <c r="AV147" s="88"/>
      <c r="AW147" s="88"/>
    </row>
    <row r="148" spans="1:49" ht="15.75" customHeight="1">
      <c r="A148" s="85" t="s">
        <v>179</v>
      </c>
      <c r="B148" s="88"/>
      <c r="C148" s="88"/>
      <c r="D148" s="90" t="s">
        <v>725</v>
      </c>
      <c r="E148" s="90" t="s">
        <v>783</v>
      </c>
      <c r="F148" s="90"/>
      <c r="G148" s="90"/>
      <c r="H148" s="90" t="s">
        <v>152</v>
      </c>
      <c r="I148" s="90"/>
      <c r="J148" s="90"/>
      <c r="K148" s="90"/>
      <c r="L148" s="90"/>
      <c r="M148" s="89"/>
      <c r="N148" s="88"/>
      <c r="O148" s="88"/>
      <c r="P148" s="88"/>
      <c r="Q148" s="88"/>
      <c r="R148" s="88"/>
      <c r="S148" s="88">
        <v>100</v>
      </c>
      <c r="T148" s="88"/>
      <c r="U148" s="88"/>
      <c r="V148" s="88"/>
      <c r="W148" s="88"/>
      <c r="X148" s="88"/>
      <c r="Y148" s="89"/>
      <c r="Z148" s="88"/>
      <c r="AA148" s="88"/>
      <c r="AB148" s="88"/>
      <c r="AC148" s="88"/>
      <c r="AD148" s="88">
        <v>50</v>
      </c>
      <c r="AE148" s="88"/>
      <c r="AF148" s="88"/>
      <c r="AG148" s="88"/>
      <c r="AH148" s="88"/>
      <c r="AI148" s="88"/>
      <c r="AJ148" s="88"/>
      <c r="AK148" s="88"/>
      <c r="AL148" s="88"/>
      <c r="AM148" s="88"/>
      <c r="AN148" s="88"/>
      <c r="AO148" s="88"/>
      <c r="AP148" s="88"/>
      <c r="AQ148" s="88"/>
      <c r="AR148" s="88"/>
      <c r="AS148" s="88"/>
      <c r="AT148" s="88"/>
      <c r="AU148" s="88"/>
      <c r="AV148" s="88"/>
      <c r="AW148" s="88"/>
    </row>
    <row r="149" spans="1:49" ht="15.75" customHeight="1">
      <c r="A149" s="85" t="s">
        <v>180</v>
      </c>
      <c r="B149" s="88"/>
      <c r="C149" s="88"/>
      <c r="D149" s="90" t="s">
        <v>780</v>
      </c>
      <c r="E149" s="90"/>
      <c r="F149" s="90"/>
      <c r="G149" s="90"/>
      <c r="H149" s="90" t="s">
        <v>62</v>
      </c>
      <c r="I149" s="90"/>
      <c r="J149" s="90"/>
      <c r="K149" s="90"/>
      <c r="L149" s="90"/>
      <c r="M149" s="89"/>
      <c r="N149" s="88"/>
      <c r="O149" s="88"/>
      <c r="P149" s="88"/>
      <c r="Q149" s="88"/>
      <c r="R149" s="88"/>
      <c r="S149" s="88"/>
      <c r="T149" s="88"/>
      <c r="U149" s="88"/>
      <c r="V149" s="88"/>
      <c r="W149" s="88"/>
      <c r="X149" s="88"/>
      <c r="Y149" s="89"/>
      <c r="Z149" s="88">
        <v>30</v>
      </c>
      <c r="AA149" s="88"/>
      <c r="AB149" s="88"/>
      <c r="AC149" s="88"/>
      <c r="AD149" s="88"/>
      <c r="AE149" s="88"/>
      <c r="AF149" s="88"/>
      <c r="AG149" s="88"/>
      <c r="AH149" s="88"/>
      <c r="AI149" s="88"/>
      <c r="AJ149" s="88"/>
      <c r="AK149" s="88"/>
      <c r="AL149" s="88"/>
      <c r="AM149" s="88"/>
      <c r="AN149" s="88"/>
      <c r="AO149" s="88"/>
      <c r="AP149" s="88"/>
      <c r="AQ149" s="88"/>
      <c r="AR149" s="88"/>
      <c r="AS149" s="88"/>
      <c r="AT149" s="88"/>
      <c r="AU149" s="88"/>
      <c r="AV149" s="88"/>
      <c r="AW149" s="88"/>
    </row>
    <row r="150" spans="1:49" ht="15.75" customHeight="1">
      <c r="A150" s="85" t="s">
        <v>181</v>
      </c>
      <c r="B150" s="88">
        <v>4</v>
      </c>
      <c r="C150" s="88"/>
      <c r="D150" s="90"/>
      <c r="E150" s="90"/>
      <c r="F150" s="90"/>
      <c r="G150" s="90"/>
      <c r="H150" s="90" t="s">
        <v>182</v>
      </c>
      <c r="I150" s="90"/>
      <c r="J150" s="90"/>
      <c r="K150" s="90"/>
      <c r="L150" s="90"/>
      <c r="M150" s="89"/>
      <c r="N150" s="88">
        <v>30</v>
      </c>
      <c r="O150" s="88"/>
      <c r="P150" s="88"/>
      <c r="Q150" s="88"/>
      <c r="R150" s="88"/>
      <c r="S150" s="88"/>
      <c r="T150" s="88"/>
      <c r="U150" s="88"/>
      <c r="V150" s="88"/>
      <c r="W150" s="88"/>
      <c r="X150" s="88"/>
      <c r="Y150" s="89"/>
      <c r="Z150" s="88"/>
      <c r="AA150" s="88"/>
      <c r="AB150" s="88"/>
      <c r="AC150" s="88"/>
      <c r="AD150" s="88"/>
      <c r="AE150" s="88"/>
      <c r="AF150" s="88"/>
      <c r="AG150" s="88"/>
      <c r="AH150" s="88"/>
      <c r="AI150" s="88"/>
      <c r="AJ150" s="88"/>
      <c r="AK150" s="88"/>
      <c r="AL150" s="88"/>
      <c r="AM150" s="88"/>
      <c r="AN150" s="88"/>
      <c r="AO150" s="88"/>
      <c r="AP150" s="88"/>
      <c r="AQ150" s="88"/>
      <c r="AR150" s="88"/>
      <c r="AS150" s="88"/>
      <c r="AT150" s="88"/>
      <c r="AU150" s="88"/>
      <c r="AV150" s="88"/>
      <c r="AW150" s="88"/>
    </row>
    <row r="151" spans="1:49" ht="15.75" customHeight="1">
      <c r="A151" s="85" t="s">
        <v>183</v>
      </c>
      <c r="B151" s="88"/>
      <c r="C151" s="88"/>
      <c r="D151" s="90"/>
      <c r="E151" s="90"/>
      <c r="F151" s="90"/>
      <c r="G151" s="90"/>
      <c r="H151" s="90"/>
      <c r="I151" s="90"/>
      <c r="J151" s="90"/>
      <c r="K151" s="90"/>
      <c r="L151" s="90"/>
      <c r="M151" s="89"/>
      <c r="N151" s="88"/>
      <c r="O151" s="88"/>
      <c r="P151" s="88"/>
      <c r="Q151" s="88"/>
      <c r="R151" s="88"/>
      <c r="S151" s="88"/>
      <c r="T151" s="88"/>
      <c r="U151" s="88"/>
      <c r="V151" s="88"/>
      <c r="W151" s="88">
        <v>30</v>
      </c>
      <c r="X151" s="88"/>
      <c r="Y151" s="89"/>
      <c r="Z151" s="88"/>
      <c r="AA151" s="88"/>
      <c r="AB151" s="88"/>
      <c r="AC151" s="88"/>
      <c r="AD151" s="88"/>
      <c r="AE151" s="88"/>
      <c r="AF151" s="88"/>
      <c r="AG151" s="88"/>
      <c r="AH151" s="88"/>
      <c r="AI151" s="88"/>
      <c r="AJ151" s="88"/>
      <c r="AK151" s="88"/>
      <c r="AL151" s="88"/>
      <c r="AM151" s="88"/>
      <c r="AN151" s="88"/>
      <c r="AO151" s="88"/>
      <c r="AP151" s="88"/>
      <c r="AQ151" s="88"/>
      <c r="AR151" s="88"/>
      <c r="AS151" s="88"/>
      <c r="AT151" s="88"/>
      <c r="AU151" s="88"/>
      <c r="AV151" s="88"/>
      <c r="AW151" s="88"/>
    </row>
    <row r="152" spans="1:49" ht="15.75" customHeight="1">
      <c r="A152" s="85" t="s">
        <v>184</v>
      </c>
      <c r="B152" s="88"/>
      <c r="C152" s="88"/>
      <c r="D152" s="90" t="s">
        <v>785</v>
      </c>
      <c r="E152" s="90"/>
      <c r="F152" s="90"/>
      <c r="G152" s="90"/>
      <c r="H152" s="90" t="s">
        <v>142</v>
      </c>
      <c r="I152" s="90"/>
      <c r="J152" s="90"/>
      <c r="K152" s="90"/>
      <c r="L152" s="90"/>
      <c r="M152" s="89"/>
      <c r="N152" s="88"/>
      <c r="O152" s="88"/>
      <c r="P152" s="88"/>
      <c r="Q152" s="88"/>
      <c r="R152" s="88"/>
      <c r="S152" s="88"/>
      <c r="T152" s="88"/>
      <c r="U152" s="88"/>
      <c r="V152" s="88"/>
      <c r="W152" s="88"/>
      <c r="X152" s="88"/>
      <c r="Y152" s="89">
        <v>30</v>
      </c>
      <c r="Z152" s="88"/>
      <c r="AA152" s="88"/>
      <c r="AB152" s="88"/>
      <c r="AC152" s="88"/>
      <c r="AD152" s="88"/>
      <c r="AE152" s="88"/>
      <c r="AF152" s="88"/>
      <c r="AG152" s="88"/>
      <c r="AH152" s="88"/>
      <c r="AI152" s="88"/>
      <c r="AJ152" s="88"/>
      <c r="AK152" s="88"/>
      <c r="AL152" s="88"/>
      <c r="AM152" s="88"/>
      <c r="AN152" s="88"/>
      <c r="AO152" s="88"/>
      <c r="AP152" s="88"/>
      <c r="AQ152" s="88"/>
      <c r="AR152" s="88"/>
      <c r="AS152" s="88"/>
      <c r="AT152" s="88"/>
      <c r="AU152" s="88"/>
      <c r="AV152" s="88"/>
      <c r="AW152" s="88"/>
    </row>
    <row r="153" spans="1:49" ht="15.75" customHeight="1">
      <c r="A153" s="85" t="s">
        <v>837</v>
      </c>
      <c r="B153" s="88"/>
      <c r="C153" s="88"/>
      <c r="D153" s="90" t="s">
        <v>747</v>
      </c>
      <c r="E153" s="90"/>
      <c r="F153" s="90"/>
      <c r="G153" s="90"/>
      <c r="H153" s="90"/>
      <c r="I153" s="90"/>
      <c r="J153" s="90"/>
      <c r="K153" s="90"/>
      <c r="L153" s="90"/>
      <c r="M153" s="89"/>
      <c r="N153" s="88"/>
      <c r="O153" s="88"/>
      <c r="P153" s="88"/>
      <c r="Q153" s="88"/>
      <c r="R153" s="88"/>
      <c r="S153" s="88"/>
      <c r="T153" s="88"/>
      <c r="U153" s="88"/>
      <c r="V153" s="88"/>
      <c r="W153" s="88"/>
      <c r="X153" s="88"/>
      <c r="Y153" s="89"/>
      <c r="Z153" s="88"/>
      <c r="AA153" s="88"/>
      <c r="AB153" s="88"/>
      <c r="AC153" s="88"/>
      <c r="AD153" s="88">
        <v>20</v>
      </c>
      <c r="AE153" s="88"/>
      <c r="AF153" s="88"/>
      <c r="AG153" s="88"/>
      <c r="AH153" s="88"/>
      <c r="AI153" s="88"/>
      <c r="AJ153" s="88"/>
      <c r="AK153" s="88"/>
      <c r="AL153" s="88"/>
      <c r="AM153" s="88"/>
      <c r="AN153" s="88"/>
      <c r="AO153" s="88"/>
      <c r="AP153" s="88"/>
      <c r="AQ153" s="88"/>
      <c r="AR153" s="88"/>
      <c r="AS153" s="88"/>
      <c r="AT153" s="88"/>
      <c r="AU153" s="88"/>
      <c r="AV153" s="88"/>
      <c r="AW153" s="88"/>
    </row>
    <row r="154" spans="1:49" ht="15.75" customHeight="1">
      <c r="A154" s="85" t="s">
        <v>838</v>
      </c>
      <c r="B154" s="88"/>
      <c r="C154" s="88"/>
      <c r="D154" s="90"/>
      <c r="E154" s="90"/>
      <c r="F154" s="90"/>
      <c r="G154" s="90"/>
      <c r="H154" s="90"/>
      <c r="I154" s="90"/>
      <c r="J154" s="90"/>
      <c r="K154" s="90"/>
      <c r="L154" s="90"/>
      <c r="M154" s="89"/>
      <c r="N154" s="88"/>
      <c r="O154" s="88"/>
      <c r="P154" s="88"/>
      <c r="Q154" s="88"/>
      <c r="R154" s="88"/>
      <c r="S154" s="88"/>
      <c r="T154" s="88"/>
      <c r="U154" s="88"/>
      <c r="V154" s="88"/>
      <c r="W154" s="88"/>
      <c r="X154" s="88"/>
      <c r="Y154" s="89"/>
      <c r="Z154" s="88"/>
      <c r="AA154" s="88"/>
      <c r="AB154" s="88"/>
      <c r="AC154" s="88"/>
      <c r="AD154" s="88"/>
      <c r="AE154" s="88"/>
      <c r="AF154" s="88"/>
      <c r="AG154" s="88">
        <v>10</v>
      </c>
      <c r="AH154" s="88"/>
      <c r="AI154" s="88"/>
      <c r="AJ154" s="88"/>
      <c r="AK154" s="88">
        <v>100</v>
      </c>
      <c r="AL154" s="88"/>
      <c r="AM154" s="88"/>
      <c r="AN154" s="88"/>
      <c r="AO154" s="88"/>
      <c r="AP154" s="88"/>
      <c r="AQ154" s="88"/>
      <c r="AR154" s="88"/>
      <c r="AS154" s="88"/>
      <c r="AT154" s="88"/>
      <c r="AU154" s="88"/>
      <c r="AV154" s="88"/>
      <c r="AW154" s="88"/>
    </row>
    <row r="155" spans="1:49" ht="15.75" customHeight="1">
      <c r="A155" s="85" t="s">
        <v>840</v>
      </c>
      <c r="B155" s="88"/>
      <c r="C155" s="88"/>
      <c r="D155" s="90"/>
      <c r="E155" s="90"/>
      <c r="F155" s="90"/>
      <c r="G155" s="90"/>
      <c r="H155" s="90"/>
      <c r="I155" s="90"/>
      <c r="J155" s="90"/>
      <c r="K155" s="90"/>
      <c r="L155" s="90"/>
      <c r="M155" s="89"/>
      <c r="N155" s="88"/>
      <c r="O155" s="88"/>
      <c r="P155" s="88"/>
      <c r="Q155" s="88"/>
      <c r="R155" s="88"/>
      <c r="S155" s="88"/>
      <c r="T155" s="88"/>
      <c r="U155" s="88"/>
      <c r="V155" s="88"/>
      <c r="W155" s="88"/>
      <c r="X155" s="88"/>
      <c r="Y155" s="89"/>
      <c r="Z155" s="88"/>
      <c r="AA155" s="88"/>
      <c r="AB155" s="88"/>
      <c r="AC155" s="88"/>
      <c r="AD155" s="88"/>
      <c r="AE155" s="88"/>
      <c r="AF155" s="88"/>
      <c r="AG155" s="88"/>
      <c r="AH155" s="88"/>
      <c r="AI155" s="88"/>
      <c r="AJ155" s="88"/>
      <c r="AK155" s="88"/>
      <c r="AL155" s="88">
        <v>60</v>
      </c>
      <c r="AM155" s="88"/>
      <c r="AN155" s="88"/>
      <c r="AO155" s="88"/>
      <c r="AP155" s="88"/>
      <c r="AQ155" s="88"/>
      <c r="AR155" s="88"/>
      <c r="AS155" s="88"/>
      <c r="AT155" s="88"/>
      <c r="AU155" s="88"/>
      <c r="AV155" s="88"/>
      <c r="AW155" s="88"/>
    </row>
    <row r="156" spans="1:49" ht="15.75" customHeight="1">
      <c r="A156" s="85" t="s">
        <v>185</v>
      </c>
      <c r="B156" s="88"/>
      <c r="C156" s="88"/>
      <c r="D156" s="90" t="s">
        <v>765</v>
      </c>
      <c r="E156" s="90" t="s">
        <v>783</v>
      </c>
      <c r="F156" s="90"/>
      <c r="G156" s="90"/>
      <c r="H156" s="90" t="s">
        <v>135</v>
      </c>
      <c r="I156" s="90"/>
      <c r="J156" s="90"/>
      <c r="K156" s="90"/>
      <c r="L156" s="90"/>
      <c r="M156" s="89"/>
      <c r="N156" s="88">
        <v>40</v>
      </c>
      <c r="O156" s="88"/>
      <c r="P156" s="88"/>
      <c r="Q156" s="88"/>
      <c r="R156" s="88"/>
      <c r="S156" s="88">
        <v>80</v>
      </c>
      <c r="T156" s="88"/>
      <c r="U156" s="88"/>
      <c r="V156" s="88"/>
      <c r="W156" s="88"/>
      <c r="X156" s="88"/>
      <c r="Y156" s="89"/>
      <c r="Z156" s="88"/>
      <c r="AA156" s="88"/>
      <c r="AB156" s="88"/>
      <c r="AC156" s="88"/>
      <c r="AD156" s="88"/>
      <c r="AE156" s="88"/>
      <c r="AF156" s="88"/>
      <c r="AG156" s="88"/>
      <c r="AH156" s="88"/>
      <c r="AI156" s="88"/>
      <c r="AJ156" s="88"/>
      <c r="AK156" s="88"/>
      <c r="AL156" s="88"/>
      <c r="AM156" s="88"/>
      <c r="AN156" s="88"/>
      <c r="AO156" s="88"/>
      <c r="AP156" s="88"/>
      <c r="AQ156" s="88"/>
      <c r="AR156" s="88"/>
      <c r="AS156" s="88"/>
      <c r="AT156" s="88"/>
      <c r="AU156" s="88"/>
      <c r="AV156" s="88"/>
      <c r="AW156" s="88"/>
    </row>
    <row r="157" spans="1:49" ht="15.75" customHeight="1">
      <c r="A157" s="85" t="s">
        <v>186</v>
      </c>
      <c r="B157" s="88"/>
      <c r="C157" s="88"/>
      <c r="D157" s="90" t="s">
        <v>758</v>
      </c>
      <c r="E157" s="90"/>
      <c r="F157" s="90"/>
      <c r="G157" s="90"/>
      <c r="H157" s="90" t="s">
        <v>187</v>
      </c>
      <c r="I157" s="90"/>
      <c r="J157" s="90"/>
      <c r="K157" s="90"/>
      <c r="L157" s="90"/>
      <c r="M157" s="89"/>
      <c r="N157" s="88"/>
      <c r="O157" s="88">
        <v>200</v>
      </c>
      <c r="P157" s="88"/>
      <c r="Q157" s="88"/>
      <c r="R157" s="88"/>
      <c r="S157" s="88"/>
      <c r="T157" s="88"/>
      <c r="U157" s="88"/>
      <c r="V157" s="88"/>
      <c r="W157" s="88"/>
      <c r="X157" s="88"/>
      <c r="Y157" s="89"/>
      <c r="Z157" s="88"/>
      <c r="AA157" s="88"/>
      <c r="AB157" s="88"/>
      <c r="AC157" s="88"/>
      <c r="AD157" s="88"/>
      <c r="AE157" s="88"/>
      <c r="AF157" s="88"/>
      <c r="AG157" s="88"/>
      <c r="AH157" s="88"/>
      <c r="AI157" s="88"/>
      <c r="AJ157" s="88"/>
      <c r="AK157" s="88"/>
      <c r="AL157" s="88"/>
      <c r="AM157" s="88"/>
      <c r="AN157" s="88"/>
      <c r="AO157" s="88"/>
      <c r="AP157" s="88"/>
      <c r="AQ157" s="88"/>
      <c r="AR157" s="88"/>
      <c r="AS157" s="88"/>
      <c r="AT157" s="88"/>
      <c r="AU157" s="88"/>
      <c r="AV157" s="88"/>
      <c r="AW157" s="88"/>
    </row>
    <row r="158" spans="1:49" ht="15.75" customHeight="1">
      <c r="A158" s="85" t="s">
        <v>188</v>
      </c>
      <c r="B158" s="88">
        <v>4</v>
      </c>
      <c r="C158" s="88"/>
      <c r="D158" s="90"/>
      <c r="E158" s="90"/>
      <c r="F158" s="90"/>
      <c r="G158" s="90"/>
      <c r="H158" s="90" t="s">
        <v>189</v>
      </c>
      <c r="I158" s="90"/>
      <c r="J158" s="90"/>
      <c r="K158" s="90"/>
      <c r="L158" s="90"/>
      <c r="M158" s="89"/>
      <c r="N158" s="88">
        <v>30</v>
      </c>
      <c r="O158" s="88"/>
      <c r="P158" s="88"/>
      <c r="Q158" s="88"/>
      <c r="R158" s="88"/>
      <c r="S158" s="88"/>
      <c r="T158" s="88"/>
      <c r="U158" s="88"/>
      <c r="V158" s="88"/>
      <c r="W158" s="88"/>
      <c r="X158" s="88"/>
      <c r="Y158" s="89"/>
      <c r="Z158" s="88"/>
      <c r="AA158" s="88"/>
      <c r="AB158" s="88"/>
      <c r="AC158" s="88"/>
      <c r="AD158" s="88"/>
      <c r="AE158" s="88"/>
      <c r="AF158" s="88"/>
      <c r="AG158" s="88"/>
      <c r="AH158" s="88"/>
      <c r="AI158" s="88"/>
      <c r="AJ158" s="88"/>
      <c r="AK158" s="88"/>
      <c r="AL158" s="88"/>
      <c r="AM158" s="88"/>
      <c r="AN158" s="88"/>
      <c r="AO158" s="88"/>
      <c r="AP158" s="88"/>
      <c r="AQ158" s="88"/>
      <c r="AR158" s="88"/>
      <c r="AS158" s="88"/>
      <c r="AT158" s="88"/>
      <c r="AU158" s="88"/>
      <c r="AV158" s="88"/>
      <c r="AW158" s="88"/>
    </row>
    <row r="159" spans="1:49" ht="15.75" customHeight="1">
      <c r="A159" s="85" t="s">
        <v>841</v>
      </c>
      <c r="B159" s="88"/>
      <c r="C159" s="88"/>
      <c r="D159" s="90" t="s">
        <v>762</v>
      </c>
      <c r="E159" s="90" t="s">
        <v>783</v>
      </c>
      <c r="F159" s="90"/>
      <c r="G159" s="90"/>
      <c r="H159" s="90"/>
      <c r="I159" s="90"/>
      <c r="J159" s="90"/>
      <c r="K159" s="90"/>
      <c r="L159" s="90"/>
      <c r="M159" s="89"/>
      <c r="N159" s="88"/>
      <c r="O159" s="88"/>
      <c r="P159" s="88"/>
      <c r="Q159" s="88"/>
      <c r="R159" s="88"/>
      <c r="S159" s="88"/>
      <c r="T159" s="88"/>
      <c r="U159" s="88"/>
      <c r="V159" s="88"/>
      <c r="W159" s="88"/>
      <c r="X159" s="88"/>
      <c r="Y159" s="89"/>
      <c r="Z159" s="88"/>
      <c r="AA159" s="88"/>
      <c r="AB159" s="88"/>
      <c r="AC159" s="88"/>
      <c r="AD159" s="88">
        <v>20</v>
      </c>
      <c r="AE159" s="88"/>
      <c r="AF159" s="88"/>
      <c r="AG159" s="88"/>
      <c r="AH159" s="88"/>
      <c r="AI159" s="88"/>
      <c r="AJ159" s="88"/>
      <c r="AK159" s="88"/>
      <c r="AL159" s="88"/>
      <c r="AM159" s="88"/>
      <c r="AN159" s="88"/>
      <c r="AO159" s="88"/>
      <c r="AP159" s="88"/>
      <c r="AQ159" s="88"/>
      <c r="AR159" s="88"/>
      <c r="AS159" s="88"/>
      <c r="AT159" s="88"/>
      <c r="AU159" s="88"/>
      <c r="AV159" s="88"/>
      <c r="AW159" s="88"/>
    </row>
    <row r="160" spans="1:49" ht="15.75" customHeight="1">
      <c r="A160" s="85" t="s">
        <v>190</v>
      </c>
      <c r="B160" s="88"/>
      <c r="C160" s="88"/>
      <c r="D160" s="90" t="s">
        <v>714</v>
      </c>
      <c r="E160" s="90"/>
      <c r="F160" s="90"/>
      <c r="G160" s="90"/>
      <c r="H160" s="90" t="s">
        <v>98</v>
      </c>
      <c r="I160" s="90"/>
      <c r="J160" s="90"/>
      <c r="K160" s="90"/>
      <c r="L160" s="90"/>
      <c r="M160" s="89"/>
      <c r="N160" s="88">
        <v>40</v>
      </c>
      <c r="O160" s="88"/>
      <c r="P160" s="88"/>
      <c r="Q160" s="88"/>
      <c r="R160" s="88"/>
      <c r="S160" s="88"/>
      <c r="T160" s="88"/>
      <c r="U160" s="88"/>
      <c r="V160" s="88"/>
      <c r="W160" s="88"/>
      <c r="X160" s="88"/>
      <c r="Y160" s="89"/>
      <c r="Z160" s="88"/>
      <c r="AA160" s="88"/>
      <c r="AB160" s="88"/>
      <c r="AC160" s="88"/>
      <c r="AD160" s="88"/>
      <c r="AE160" s="88"/>
      <c r="AF160" s="88"/>
      <c r="AG160" s="88"/>
      <c r="AH160" s="88"/>
      <c r="AI160" s="88"/>
      <c r="AJ160" s="88"/>
      <c r="AK160" s="88"/>
      <c r="AL160" s="88"/>
      <c r="AM160" s="88"/>
      <c r="AN160" s="88"/>
      <c r="AO160" s="88"/>
      <c r="AP160" s="88"/>
      <c r="AQ160" s="88"/>
      <c r="AR160" s="88"/>
      <c r="AS160" s="88"/>
      <c r="AT160" s="88"/>
      <c r="AU160" s="88"/>
      <c r="AV160" s="88"/>
      <c r="AW160" s="88"/>
    </row>
    <row r="161" spans="1:49" ht="15.75" customHeight="1">
      <c r="A161" s="85" t="s">
        <v>191</v>
      </c>
      <c r="B161" s="88">
        <v>6</v>
      </c>
      <c r="C161" s="88"/>
      <c r="D161" s="90"/>
      <c r="E161" s="90"/>
      <c r="F161" s="90"/>
      <c r="G161" s="90"/>
      <c r="H161" s="90"/>
      <c r="I161" s="90"/>
      <c r="J161" s="90"/>
      <c r="K161" s="90"/>
      <c r="L161" s="90" t="s">
        <v>783</v>
      </c>
      <c r="M161" s="89"/>
      <c r="N161" s="88">
        <v>30</v>
      </c>
      <c r="O161" s="88"/>
      <c r="P161" s="88"/>
      <c r="Q161" s="88"/>
      <c r="R161" s="88"/>
      <c r="S161" s="88"/>
      <c r="T161" s="88"/>
      <c r="U161" s="88"/>
      <c r="V161" s="88"/>
      <c r="W161" s="88"/>
      <c r="X161" s="88"/>
      <c r="Y161" s="89"/>
      <c r="Z161" s="88"/>
      <c r="AA161" s="88"/>
      <c r="AB161" s="88"/>
      <c r="AC161" s="88"/>
      <c r="AD161" s="88"/>
      <c r="AE161" s="88"/>
      <c r="AF161" s="88"/>
      <c r="AG161" s="88"/>
      <c r="AH161" s="88"/>
      <c r="AI161" s="88"/>
      <c r="AJ161" s="88"/>
      <c r="AK161" s="88"/>
      <c r="AL161" s="88"/>
      <c r="AM161" s="88"/>
      <c r="AN161" s="88"/>
      <c r="AO161" s="88"/>
      <c r="AP161" s="88"/>
      <c r="AQ161" s="88"/>
      <c r="AR161" s="88"/>
      <c r="AS161" s="88"/>
      <c r="AT161" s="88"/>
      <c r="AU161" s="88"/>
      <c r="AV161" s="88"/>
      <c r="AW161" s="88"/>
    </row>
    <row r="162" spans="1:49" ht="15.75" customHeight="1">
      <c r="A162" s="85" t="s">
        <v>192</v>
      </c>
      <c r="B162" s="88"/>
      <c r="C162" s="88"/>
      <c r="D162" s="90" t="s">
        <v>719</v>
      </c>
      <c r="E162" s="90"/>
      <c r="F162" s="90"/>
      <c r="G162" s="90"/>
      <c r="H162" s="90"/>
      <c r="I162" s="90"/>
      <c r="J162" s="90"/>
      <c r="K162" s="90"/>
      <c r="L162" s="90"/>
      <c r="M162" s="89"/>
      <c r="N162" s="88">
        <v>30</v>
      </c>
      <c r="O162" s="88"/>
      <c r="P162" s="88"/>
      <c r="Q162" s="88"/>
      <c r="R162" s="88"/>
      <c r="S162" s="88"/>
      <c r="T162" s="88"/>
      <c r="U162" s="88"/>
      <c r="V162" s="88"/>
      <c r="W162" s="88"/>
      <c r="X162" s="88"/>
      <c r="Y162" s="89"/>
      <c r="Z162" s="88"/>
      <c r="AA162" s="88"/>
      <c r="AB162" s="88"/>
      <c r="AC162" s="88"/>
      <c r="AD162" s="88">
        <v>30</v>
      </c>
      <c r="AE162" s="88"/>
      <c r="AF162" s="88"/>
      <c r="AG162" s="88"/>
      <c r="AH162" s="88"/>
      <c r="AI162" s="88"/>
      <c r="AJ162" s="88"/>
      <c r="AK162" s="88"/>
      <c r="AL162" s="88"/>
      <c r="AM162" s="88"/>
      <c r="AN162" s="88"/>
      <c r="AO162" s="88"/>
      <c r="AP162" s="88"/>
      <c r="AQ162" s="88"/>
      <c r="AR162" s="88"/>
      <c r="AS162" s="88"/>
      <c r="AT162" s="88"/>
      <c r="AU162" s="88"/>
      <c r="AV162" s="88"/>
      <c r="AW162" s="88"/>
    </row>
    <row r="163" spans="1:49" ht="15.75" customHeight="1">
      <c r="A163" s="85" t="s">
        <v>193</v>
      </c>
      <c r="B163" s="88"/>
      <c r="C163" s="88"/>
      <c r="D163" s="90" t="s">
        <v>761</v>
      </c>
      <c r="E163" s="90"/>
      <c r="F163" s="90"/>
      <c r="G163" s="90"/>
      <c r="H163" s="90" t="s">
        <v>111</v>
      </c>
      <c r="I163" s="90"/>
      <c r="J163" s="90"/>
      <c r="K163" s="90"/>
      <c r="L163" s="90"/>
      <c r="M163" s="89"/>
      <c r="N163" s="88"/>
      <c r="O163" s="88">
        <v>100</v>
      </c>
      <c r="P163" s="88"/>
      <c r="Q163" s="88"/>
      <c r="R163" s="88"/>
      <c r="S163" s="88"/>
      <c r="T163" s="88"/>
      <c r="U163" s="88"/>
      <c r="V163" s="88"/>
      <c r="W163" s="88"/>
      <c r="X163" s="88"/>
      <c r="Y163" s="89"/>
      <c r="Z163" s="88"/>
      <c r="AA163" s="88"/>
      <c r="AB163" s="88"/>
      <c r="AC163" s="88"/>
      <c r="AD163" s="88"/>
      <c r="AE163" s="88"/>
      <c r="AF163" s="88"/>
      <c r="AG163" s="88"/>
      <c r="AH163" s="88"/>
      <c r="AI163" s="88"/>
      <c r="AJ163" s="88"/>
      <c r="AK163" s="88"/>
      <c r="AL163" s="88"/>
      <c r="AM163" s="88"/>
      <c r="AN163" s="88"/>
      <c r="AO163" s="88"/>
      <c r="AP163" s="88"/>
      <c r="AQ163" s="88"/>
      <c r="AR163" s="88"/>
      <c r="AS163" s="88"/>
      <c r="AT163" s="88"/>
      <c r="AU163" s="88"/>
      <c r="AV163" s="88"/>
      <c r="AW163" s="88"/>
    </row>
    <row r="164" spans="1:49" ht="15.75" customHeight="1">
      <c r="A164" s="85" t="s">
        <v>194</v>
      </c>
      <c r="B164" s="88"/>
      <c r="C164" s="88"/>
      <c r="D164" s="90"/>
      <c r="E164" s="90"/>
      <c r="F164" s="90"/>
      <c r="G164" s="90"/>
      <c r="H164" s="90"/>
      <c r="I164" s="90"/>
      <c r="J164" s="90"/>
      <c r="K164" s="90"/>
      <c r="L164" s="90"/>
      <c r="M164" s="89"/>
      <c r="N164" s="88">
        <v>20</v>
      </c>
      <c r="O164" s="88"/>
      <c r="P164" s="88"/>
      <c r="Q164" s="88"/>
      <c r="R164" s="88"/>
      <c r="S164" s="88"/>
      <c r="T164" s="88"/>
      <c r="U164" s="88"/>
      <c r="V164" s="88"/>
      <c r="W164" s="88"/>
      <c r="X164" s="88"/>
      <c r="Y164" s="89"/>
      <c r="Z164" s="88"/>
      <c r="AA164" s="88"/>
      <c r="AB164" s="88"/>
      <c r="AC164" s="88"/>
      <c r="AD164" s="88">
        <v>20</v>
      </c>
      <c r="AE164" s="88"/>
      <c r="AF164" s="88"/>
      <c r="AG164" s="88"/>
      <c r="AH164" s="88"/>
      <c r="AI164" s="88"/>
      <c r="AJ164" s="88"/>
      <c r="AK164" s="88"/>
      <c r="AL164" s="88">
        <v>20</v>
      </c>
      <c r="AM164" s="88"/>
      <c r="AN164" s="88"/>
      <c r="AO164" s="88"/>
      <c r="AP164" s="88"/>
      <c r="AQ164" s="88"/>
      <c r="AR164" s="88"/>
      <c r="AS164" s="88"/>
      <c r="AT164" s="88"/>
      <c r="AU164" s="88"/>
      <c r="AV164" s="88"/>
      <c r="AW164" s="88"/>
    </row>
    <row r="165" spans="1:49" ht="15.75" customHeight="1">
      <c r="A165" s="85" t="s">
        <v>842</v>
      </c>
      <c r="B165" s="88"/>
      <c r="C165" s="88"/>
      <c r="D165" s="90"/>
      <c r="E165" s="90"/>
      <c r="F165" s="90"/>
      <c r="G165" s="90"/>
      <c r="H165" s="90"/>
      <c r="I165" s="90"/>
      <c r="J165" s="90"/>
      <c r="K165" s="90"/>
      <c r="L165" s="90"/>
      <c r="M165" s="89"/>
      <c r="N165" s="88"/>
      <c r="O165" s="88"/>
      <c r="P165" s="88"/>
      <c r="Q165" s="88"/>
      <c r="R165" s="88"/>
      <c r="S165" s="88"/>
      <c r="T165" s="88"/>
      <c r="U165" s="88"/>
      <c r="V165" s="88"/>
      <c r="W165" s="88"/>
      <c r="X165" s="88"/>
      <c r="Y165" s="89"/>
      <c r="Z165" s="88"/>
      <c r="AA165" s="88"/>
      <c r="AB165" s="88"/>
      <c r="AC165" s="88"/>
      <c r="AD165" s="88"/>
      <c r="AE165" s="88"/>
      <c r="AF165" s="88"/>
      <c r="AG165" s="88"/>
      <c r="AH165" s="88"/>
      <c r="AI165" s="88"/>
      <c r="AJ165" s="88"/>
      <c r="AK165" s="88"/>
      <c r="AL165" s="88"/>
      <c r="AM165" s="88"/>
      <c r="AN165" s="88"/>
      <c r="AO165" s="88"/>
      <c r="AP165" s="88"/>
      <c r="AQ165" s="88"/>
      <c r="AR165" s="88">
        <v>-20</v>
      </c>
      <c r="AS165" s="88">
        <v>-20</v>
      </c>
      <c r="AT165" s="88">
        <v>-20</v>
      </c>
      <c r="AU165" s="88">
        <v>-20</v>
      </c>
      <c r="AV165" s="88">
        <v>-20</v>
      </c>
      <c r="AW165" s="88">
        <v>-20</v>
      </c>
    </row>
    <row r="166" spans="1:49" ht="15.75" customHeight="1">
      <c r="A166" s="85" t="s">
        <v>195</v>
      </c>
      <c r="B166" s="88">
        <v>4</v>
      </c>
      <c r="C166" s="88"/>
      <c r="D166" s="90"/>
      <c r="E166" s="90"/>
      <c r="F166" s="90"/>
      <c r="G166" s="90"/>
      <c r="H166" s="90" t="s">
        <v>196</v>
      </c>
      <c r="I166" s="90"/>
      <c r="J166" s="90"/>
      <c r="K166" s="90"/>
      <c r="L166" s="90"/>
      <c r="M166" s="89"/>
      <c r="N166" s="88">
        <v>30</v>
      </c>
      <c r="O166" s="88"/>
      <c r="P166" s="88"/>
      <c r="Q166" s="88"/>
      <c r="R166" s="88"/>
      <c r="S166" s="88"/>
      <c r="T166" s="88"/>
      <c r="U166" s="88"/>
      <c r="V166" s="88"/>
      <c r="W166" s="88"/>
      <c r="X166" s="88"/>
      <c r="Y166" s="89"/>
      <c r="Z166" s="88"/>
      <c r="AA166" s="88"/>
      <c r="AB166" s="88"/>
      <c r="AC166" s="88"/>
      <c r="AD166" s="88"/>
      <c r="AE166" s="88"/>
      <c r="AF166" s="88"/>
      <c r="AG166" s="88"/>
      <c r="AH166" s="88"/>
      <c r="AI166" s="88"/>
      <c r="AJ166" s="88"/>
      <c r="AK166" s="88"/>
      <c r="AL166" s="88"/>
      <c r="AM166" s="88"/>
      <c r="AN166" s="88"/>
      <c r="AO166" s="88"/>
      <c r="AP166" s="88"/>
      <c r="AQ166" s="88"/>
      <c r="AR166" s="88"/>
      <c r="AS166" s="88"/>
      <c r="AT166" s="88"/>
      <c r="AU166" s="88"/>
      <c r="AV166" s="88"/>
      <c r="AW166" s="88"/>
    </row>
    <row r="167" spans="1:49" ht="15.75" customHeight="1">
      <c r="A167" s="85" t="s">
        <v>843</v>
      </c>
      <c r="B167" s="88"/>
      <c r="C167" s="88"/>
      <c r="D167" s="90"/>
      <c r="E167" s="90"/>
      <c r="F167" s="90"/>
      <c r="G167" s="90"/>
      <c r="H167" s="90"/>
      <c r="I167" s="90"/>
      <c r="J167" s="90"/>
      <c r="K167" s="90"/>
      <c r="L167" s="90"/>
      <c r="M167" s="89"/>
      <c r="N167" s="88"/>
      <c r="O167" s="88"/>
      <c r="P167" s="88"/>
      <c r="Q167" s="88"/>
      <c r="R167" s="88"/>
      <c r="S167" s="88"/>
      <c r="T167" s="88"/>
      <c r="U167" s="88"/>
      <c r="V167" s="88"/>
      <c r="W167" s="88"/>
      <c r="X167" s="88"/>
      <c r="Y167" s="89"/>
      <c r="Z167" s="88"/>
      <c r="AA167" s="88"/>
      <c r="AB167" s="88"/>
      <c r="AC167" s="88"/>
      <c r="AD167" s="88">
        <v>20</v>
      </c>
      <c r="AE167" s="88"/>
      <c r="AF167" s="88"/>
      <c r="AG167" s="88"/>
      <c r="AH167" s="88"/>
      <c r="AI167" s="88"/>
      <c r="AJ167" s="88"/>
      <c r="AK167" s="88"/>
      <c r="AL167" s="88"/>
      <c r="AM167" s="88"/>
      <c r="AN167" s="88"/>
      <c r="AO167" s="88"/>
      <c r="AP167" s="88"/>
      <c r="AQ167" s="88"/>
      <c r="AR167" s="88"/>
      <c r="AS167" s="88"/>
      <c r="AT167" s="88"/>
      <c r="AU167" s="88"/>
      <c r="AV167" s="88"/>
      <c r="AW167" s="88"/>
    </row>
    <row r="168" spans="1:49" ht="15.75" customHeight="1">
      <c r="A168" s="85" t="s">
        <v>197</v>
      </c>
      <c r="B168" s="88"/>
      <c r="C168" s="88"/>
      <c r="D168" s="90" t="s">
        <v>745</v>
      </c>
      <c r="E168" s="90"/>
      <c r="F168" s="90"/>
      <c r="G168" s="90"/>
      <c r="H168" s="90" t="s">
        <v>71</v>
      </c>
      <c r="I168" s="90"/>
      <c r="J168" s="90"/>
      <c r="K168" s="90"/>
      <c r="L168" s="90"/>
      <c r="M168" s="89"/>
      <c r="N168" s="88"/>
      <c r="O168" s="88"/>
      <c r="P168" s="88"/>
      <c r="Q168" s="88"/>
      <c r="R168" s="88"/>
      <c r="S168" s="88"/>
      <c r="T168" s="88"/>
      <c r="U168" s="88"/>
      <c r="V168" s="88"/>
      <c r="W168" s="88">
        <v>30</v>
      </c>
      <c r="X168" s="88"/>
      <c r="Y168" s="89"/>
      <c r="Z168" s="88"/>
      <c r="AA168" s="88"/>
      <c r="AB168" s="88"/>
      <c r="AC168" s="88"/>
      <c r="AD168" s="88"/>
      <c r="AE168" s="88"/>
      <c r="AF168" s="88"/>
      <c r="AG168" s="88"/>
      <c r="AH168" s="88"/>
      <c r="AI168" s="88"/>
      <c r="AJ168" s="88"/>
      <c r="AK168" s="88"/>
      <c r="AL168" s="88"/>
      <c r="AM168" s="88"/>
      <c r="AN168" s="88"/>
      <c r="AO168" s="88"/>
      <c r="AP168" s="88"/>
      <c r="AQ168" s="88"/>
      <c r="AR168" s="88"/>
      <c r="AS168" s="88"/>
      <c r="AT168" s="88"/>
      <c r="AU168" s="88"/>
      <c r="AV168" s="88"/>
      <c r="AW168" s="88"/>
    </row>
    <row r="169" spans="1:49" ht="15.75" customHeight="1">
      <c r="A169" s="85" t="s">
        <v>15</v>
      </c>
      <c r="B169" s="88">
        <v>1</v>
      </c>
      <c r="C169" s="88"/>
      <c r="D169" s="90"/>
      <c r="E169" s="90"/>
      <c r="F169" s="90"/>
      <c r="G169" s="90"/>
      <c r="H169" s="90"/>
      <c r="I169" s="90"/>
      <c r="J169" s="90"/>
      <c r="K169" s="90"/>
      <c r="L169" s="90"/>
      <c r="M169" s="89"/>
      <c r="N169" s="88">
        <v>15</v>
      </c>
      <c r="O169" s="88"/>
      <c r="P169" s="88"/>
      <c r="Q169" s="88"/>
      <c r="R169" s="88"/>
      <c r="S169" s="88"/>
      <c r="T169" s="88"/>
      <c r="U169" s="88"/>
      <c r="V169" s="88"/>
      <c r="W169" s="88"/>
      <c r="X169" s="88"/>
      <c r="Y169" s="89"/>
      <c r="Z169" s="88"/>
      <c r="AA169" s="88"/>
      <c r="AB169" s="88"/>
      <c r="AC169" s="88"/>
      <c r="AD169" s="88">
        <v>15</v>
      </c>
      <c r="AE169" s="88"/>
      <c r="AF169" s="88"/>
      <c r="AG169" s="88"/>
      <c r="AH169" s="88"/>
      <c r="AI169" s="88"/>
      <c r="AJ169" s="88"/>
      <c r="AK169" s="88"/>
      <c r="AL169" s="88">
        <v>20</v>
      </c>
      <c r="AM169" s="88">
        <v>50</v>
      </c>
      <c r="AN169" s="88"/>
      <c r="AO169" s="88"/>
      <c r="AP169" s="88"/>
      <c r="AQ169" s="88"/>
      <c r="AR169" s="88"/>
      <c r="AS169" s="88"/>
      <c r="AT169" s="88"/>
      <c r="AU169" s="88"/>
      <c r="AV169" s="88"/>
      <c r="AW169" s="88"/>
    </row>
    <row r="170" spans="1:49" ht="15.75" customHeight="1">
      <c r="A170" s="85" t="s">
        <v>844</v>
      </c>
      <c r="B170" s="88"/>
      <c r="C170" s="88"/>
      <c r="D170" s="90" t="s">
        <v>720</v>
      </c>
      <c r="E170" s="90" t="s">
        <v>783</v>
      </c>
      <c r="F170" s="90"/>
      <c r="G170" s="90"/>
      <c r="H170" s="90"/>
      <c r="I170" s="90"/>
      <c r="J170" s="90"/>
      <c r="K170" s="90"/>
      <c r="L170" s="90"/>
      <c r="M170" s="89"/>
      <c r="N170" s="88"/>
      <c r="O170" s="88"/>
      <c r="P170" s="88"/>
      <c r="Q170" s="88"/>
      <c r="R170" s="88"/>
      <c r="S170" s="88"/>
      <c r="T170" s="88"/>
      <c r="U170" s="88"/>
      <c r="V170" s="88"/>
      <c r="W170" s="88"/>
      <c r="X170" s="88"/>
      <c r="Y170" s="89"/>
      <c r="Z170" s="88"/>
      <c r="AA170" s="88"/>
      <c r="AB170" s="88"/>
      <c r="AC170" s="88"/>
      <c r="AD170" s="88">
        <v>30</v>
      </c>
      <c r="AE170" s="88"/>
      <c r="AF170" s="88"/>
      <c r="AG170" s="88"/>
      <c r="AH170" s="88"/>
      <c r="AI170" s="88"/>
      <c r="AJ170" s="88"/>
      <c r="AK170" s="88"/>
      <c r="AL170" s="88"/>
      <c r="AM170" s="88"/>
      <c r="AN170" s="88"/>
      <c r="AO170" s="88"/>
      <c r="AP170" s="88"/>
      <c r="AQ170" s="88"/>
      <c r="AR170" s="88"/>
      <c r="AS170" s="88"/>
      <c r="AT170" s="88"/>
      <c r="AU170" s="88"/>
      <c r="AV170" s="88"/>
      <c r="AW170" s="88"/>
    </row>
    <row r="171" spans="1:49" ht="15.75" customHeight="1">
      <c r="A171" s="85" t="s">
        <v>198</v>
      </c>
      <c r="B171" s="88">
        <v>4</v>
      </c>
      <c r="C171" s="88"/>
      <c r="D171" s="90"/>
      <c r="E171" s="90"/>
      <c r="F171" s="90"/>
      <c r="G171" s="90"/>
      <c r="H171" s="90" t="s">
        <v>199</v>
      </c>
      <c r="I171" s="90"/>
      <c r="J171" s="90"/>
      <c r="K171" s="90"/>
      <c r="L171" s="90"/>
      <c r="M171" s="89"/>
      <c r="N171" s="88">
        <v>30</v>
      </c>
      <c r="O171" s="88"/>
      <c r="P171" s="88"/>
      <c r="Q171" s="88"/>
      <c r="R171" s="88"/>
      <c r="S171" s="88"/>
      <c r="T171" s="88"/>
      <c r="U171" s="88"/>
      <c r="V171" s="88"/>
      <c r="W171" s="88"/>
      <c r="X171" s="88"/>
      <c r="Y171" s="89"/>
      <c r="Z171" s="88"/>
      <c r="AA171" s="88"/>
      <c r="AB171" s="88"/>
      <c r="AC171" s="88"/>
      <c r="AD171" s="88"/>
      <c r="AE171" s="88"/>
      <c r="AF171" s="88"/>
      <c r="AG171" s="88"/>
      <c r="AH171" s="88"/>
      <c r="AI171" s="88"/>
      <c r="AJ171" s="88"/>
      <c r="AK171" s="88"/>
      <c r="AL171" s="88"/>
      <c r="AM171" s="88"/>
      <c r="AN171" s="88"/>
      <c r="AO171" s="88"/>
      <c r="AP171" s="88"/>
      <c r="AQ171" s="88"/>
      <c r="AR171" s="88"/>
      <c r="AS171" s="88"/>
      <c r="AT171" s="88"/>
      <c r="AU171" s="88"/>
      <c r="AV171" s="88"/>
      <c r="AW171" s="88"/>
    </row>
    <row r="172" spans="1:49" ht="15.75" customHeight="1">
      <c r="A172" s="85" t="s">
        <v>200</v>
      </c>
      <c r="B172" s="88"/>
      <c r="C172" s="88"/>
      <c r="D172" s="90" t="s">
        <v>732</v>
      </c>
      <c r="E172" s="90"/>
      <c r="F172" s="90"/>
      <c r="G172" s="90"/>
      <c r="H172" s="90" t="s">
        <v>199</v>
      </c>
      <c r="I172" s="90"/>
      <c r="J172" s="90"/>
      <c r="K172" s="90"/>
      <c r="L172" s="90"/>
      <c r="M172" s="89"/>
      <c r="N172" s="88">
        <v>30</v>
      </c>
      <c r="O172" s="88"/>
      <c r="P172" s="88"/>
      <c r="Q172" s="88"/>
      <c r="R172" s="88"/>
      <c r="S172" s="88"/>
      <c r="T172" s="88"/>
      <c r="U172" s="88"/>
      <c r="V172" s="88"/>
      <c r="W172" s="88"/>
      <c r="X172" s="88"/>
      <c r="Y172" s="89"/>
      <c r="Z172" s="88"/>
      <c r="AA172" s="88"/>
      <c r="AB172" s="88"/>
      <c r="AC172" s="88"/>
      <c r="AD172" s="88"/>
      <c r="AE172" s="88"/>
      <c r="AF172" s="88"/>
      <c r="AG172" s="88"/>
      <c r="AH172" s="88"/>
      <c r="AI172" s="88"/>
      <c r="AJ172" s="88"/>
      <c r="AK172" s="88"/>
      <c r="AL172" s="88"/>
      <c r="AM172" s="88"/>
      <c r="AN172" s="88"/>
      <c r="AO172" s="88"/>
      <c r="AP172" s="88"/>
      <c r="AQ172" s="88"/>
      <c r="AR172" s="88"/>
      <c r="AS172" s="88"/>
      <c r="AT172" s="88"/>
      <c r="AU172" s="88"/>
      <c r="AV172" s="88"/>
      <c r="AW172" s="88"/>
    </row>
    <row r="173" spans="1:49" ht="15.75" customHeight="1">
      <c r="A173" s="85" t="s">
        <v>845</v>
      </c>
      <c r="B173" s="88"/>
      <c r="C173" s="88"/>
      <c r="D173" s="90"/>
      <c r="E173" s="90"/>
      <c r="F173" s="90"/>
      <c r="G173" s="90"/>
      <c r="H173" s="90"/>
      <c r="I173" s="90"/>
      <c r="J173" s="90"/>
      <c r="K173" s="90"/>
      <c r="L173" s="90"/>
      <c r="M173" s="89"/>
      <c r="N173" s="88"/>
      <c r="O173" s="88"/>
      <c r="P173" s="88"/>
      <c r="Q173" s="88"/>
      <c r="R173" s="88"/>
      <c r="S173" s="88"/>
      <c r="T173" s="88"/>
      <c r="U173" s="88"/>
      <c r="V173" s="88"/>
      <c r="W173" s="88"/>
      <c r="X173" s="88"/>
      <c r="Y173" s="89"/>
      <c r="Z173" s="88"/>
      <c r="AA173" s="88"/>
      <c r="AB173" s="88"/>
      <c r="AC173" s="88"/>
      <c r="AD173" s="88"/>
      <c r="AE173" s="88"/>
      <c r="AF173" s="88"/>
      <c r="AG173" s="88"/>
      <c r="AH173" s="88"/>
      <c r="AI173" s="88"/>
      <c r="AJ173" s="88"/>
      <c r="AK173" s="88"/>
      <c r="AL173" s="88">
        <v>20</v>
      </c>
      <c r="AM173" s="88">
        <v>20</v>
      </c>
      <c r="AN173" s="88">
        <v>20</v>
      </c>
      <c r="AO173" s="88">
        <v>20</v>
      </c>
      <c r="AP173" s="88">
        <v>20</v>
      </c>
      <c r="AQ173" s="88">
        <v>20</v>
      </c>
      <c r="AR173" s="88"/>
      <c r="AS173" s="88"/>
      <c r="AT173" s="88"/>
      <c r="AU173" s="88"/>
      <c r="AV173" s="88"/>
      <c r="AW173" s="88"/>
    </row>
    <row r="174" spans="1:49" ht="15.75" customHeight="1">
      <c r="A174" s="85" t="s">
        <v>14</v>
      </c>
      <c r="B174" s="88">
        <v>3</v>
      </c>
      <c r="C174" s="88"/>
      <c r="D174" s="90"/>
      <c r="E174" s="90"/>
      <c r="F174" s="90"/>
      <c r="G174" s="90"/>
      <c r="H174" s="90"/>
      <c r="I174" s="90"/>
      <c r="J174" s="90"/>
      <c r="K174" s="90"/>
      <c r="L174" s="90"/>
      <c r="M174" s="89"/>
      <c r="N174" s="88">
        <v>20</v>
      </c>
      <c r="O174" s="88"/>
      <c r="P174" s="88"/>
      <c r="Q174" s="88"/>
      <c r="R174" s="88"/>
      <c r="S174" s="88"/>
      <c r="T174" s="88"/>
      <c r="U174" s="88"/>
      <c r="V174" s="88"/>
      <c r="W174" s="88">
        <v>20</v>
      </c>
      <c r="X174" s="88"/>
      <c r="Y174" s="89"/>
      <c r="Z174" s="88"/>
      <c r="AA174" s="88"/>
      <c r="AB174" s="88"/>
      <c r="AC174" s="88"/>
      <c r="AD174" s="88">
        <v>20</v>
      </c>
      <c r="AE174" s="88"/>
      <c r="AF174" s="88"/>
      <c r="AG174" s="88"/>
      <c r="AH174" s="88"/>
      <c r="AI174" s="88"/>
      <c r="AJ174" s="88"/>
      <c r="AK174" s="88"/>
      <c r="AL174" s="88"/>
      <c r="AM174" s="88"/>
      <c r="AN174" s="88"/>
      <c r="AO174" s="88"/>
      <c r="AP174" s="88"/>
      <c r="AQ174" s="88"/>
      <c r="AR174" s="88"/>
      <c r="AS174" s="88"/>
      <c r="AT174" s="88"/>
      <c r="AU174" s="88"/>
      <c r="AV174" s="88"/>
      <c r="AW174" s="88"/>
    </row>
    <row r="175" spans="1:49" ht="15.75" customHeight="1">
      <c r="A175" s="85" t="s">
        <v>201</v>
      </c>
      <c r="B175" s="88">
        <v>4</v>
      </c>
      <c r="C175" s="88"/>
      <c r="D175" s="90"/>
      <c r="E175" s="90"/>
      <c r="F175" s="90"/>
      <c r="G175" s="90"/>
      <c r="H175" s="90" t="s">
        <v>202</v>
      </c>
      <c r="I175" s="90"/>
      <c r="J175" s="90"/>
      <c r="K175" s="90"/>
      <c r="L175" s="90"/>
      <c r="M175" s="89"/>
      <c r="N175" s="88">
        <v>30</v>
      </c>
      <c r="O175" s="88"/>
      <c r="P175" s="88"/>
      <c r="Q175" s="88"/>
      <c r="R175" s="88"/>
      <c r="S175" s="88"/>
      <c r="T175" s="88"/>
      <c r="U175" s="88"/>
      <c r="V175" s="88"/>
      <c r="W175" s="88"/>
      <c r="X175" s="88"/>
      <c r="Y175" s="89"/>
      <c r="Z175" s="88"/>
      <c r="AA175" s="88"/>
      <c r="AB175" s="88"/>
      <c r="AC175" s="88"/>
      <c r="AD175" s="88"/>
      <c r="AE175" s="88"/>
      <c r="AF175" s="88"/>
      <c r="AG175" s="88"/>
      <c r="AH175" s="88"/>
      <c r="AI175" s="88"/>
      <c r="AJ175" s="88"/>
      <c r="AK175" s="88"/>
      <c r="AL175" s="88"/>
      <c r="AM175" s="88"/>
      <c r="AN175" s="88"/>
      <c r="AO175" s="88"/>
      <c r="AP175" s="88"/>
      <c r="AQ175" s="88"/>
      <c r="AR175" s="88"/>
      <c r="AS175" s="88"/>
      <c r="AT175" s="88"/>
      <c r="AU175" s="88"/>
      <c r="AV175" s="88"/>
      <c r="AW175" s="88"/>
    </row>
    <row r="176" spans="1:49" ht="15.75" customHeight="1">
      <c r="A176" s="85" t="s">
        <v>203</v>
      </c>
      <c r="B176" s="88"/>
      <c r="C176" s="88">
        <v>2</v>
      </c>
      <c r="D176" s="90" t="s">
        <v>752</v>
      </c>
      <c r="E176" s="90"/>
      <c r="F176" s="90"/>
      <c r="G176" s="90"/>
      <c r="H176" s="90" t="s">
        <v>202</v>
      </c>
      <c r="I176" s="90"/>
      <c r="J176" s="90"/>
      <c r="K176" s="90"/>
      <c r="L176" s="90"/>
      <c r="M176" s="89"/>
      <c r="N176" s="88">
        <v>30</v>
      </c>
      <c r="O176" s="88"/>
      <c r="P176" s="88"/>
      <c r="Q176" s="88"/>
      <c r="R176" s="88"/>
      <c r="S176" s="88"/>
      <c r="T176" s="88"/>
      <c r="U176" s="88"/>
      <c r="V176" s="88"/>
      <c r="W176" s="88"/>
      <c r="X176" s="88">
        <v>30</v>
      </c>
      <c r="Y176" s="89"/>
      <c r="Z176" s="88"/>
      <c r="AA176" s="88"/>
      <c r="AB176" s="88"/>
      <c r="AC176" s="88"/>
      <c r="AD176" s="88"/>
      <c r="AE176" s="88"/>
      <c r="AF176" s="88"/>
      <c r="AG176" s="88"/>
      <c r="AH176" s="88"/>
      <c r="AI176" s="88"/>
      <c r="AJ176" s="88"/>
      <c r="AK176" s="88"/>
      <c r="AL176" s="88"/>
      <c r="AM176" s="88"/>
      <c r="AN176" s="88"/>
      <c r="AO176" s="88"/>
      <c r="AP176" s="88"/>
      <c r="AQ176" s="88"/>
      <c r="AR176" s="88"/>
      <c r="AS176" s="88"/>
      <c r="AT176" s="88"/>
      <c r="AU176" s="88"/>
      <c r="AV176" s="88"/>
      <c r="AW176" s="88"/>
    </row>
    <row r="177" spans="1:49" ht="15.75" customHeight="1">
      <c r="A177" s="85" t="s">
        <v>204</v>
      </c>
      <c r="B177" s="88">
        <v>5</v>
      </c>
      <c r="C177" s="88"/>
      <c r="D177" s="90"/>
      <c r="E177" s="90"/>
      <c r="F177" s="90"/>
      <c r="G177" s="90"/>
      <c r="H177" s="90"/>
      <c r="I177" s="90"/>
      <c r="J177" s="90"/>
      <c r="K177" s="90"/>
      <c r="L177" s="90"/>
      <c r="M177" s="89"/>
      <c r="N177" s="88"/>
      <c r="O177" s="88"/>
      <c r="P177" s="88"/>
      <c r="Q177" s="88"/>
      <c r="R177" s="88">
        <v>15</v>
      </c>
      <c r="S177" s="88"/>
      <c r="T177" s="88"/>
      <c r="U177" s="88"/>
      <c r="V177" s="88"/>
      <c r="W177" s="88"/>
      <c r="X177" s="88"/>
      <c r="Y177" s="89"/>
      <c r="Z177" s="88"/>
      <c r="AA177" s="88"/>
      <c r="AB177" s="88"/>
      <c r="AC177" s="88"/>
      <c r="AD177" s="88"/>
      <c r="AE177" s="88"/>
      <c r="AF177" s="88"/>
      <c r="AG177" s="88"/>
      <c r="AH177" s="88"/>
      <c r="AI177" s="88"/>
      <c r="AJ177" s="88"/>
      <c r="AK177" s="88"/>
      <c r="AL177" s="88"/>
      <c r="AM177" s="88"/>
      <c r="AN177" s="88"/>
      <c r="AO177" s="88"/>
      <c r="AP177" s="88"/>
      <c r="AQ177" s="88"/>
      <c r="AR177" s="88"/>
      <c r="AS177" s="88"/>
      <c r="AT177" s="88"/>
      <c r="AU177" s="88"/>
      <c r="AV177" s="88"/>
      <c r="AW177" s="88"/>
    </row>
    <row r="178" spans="1:49" ht="15.75" customHeight="1">
      <c r="A178" s="85" t="s">
        <v>205</v>
      </c>
      <c r="B178" s="88"/>
      <c r="C178" s="88">
        <v>2</v>
      </c>
      <c r="D178" s="90" t="s">
        <v>764</v>
      </c>
      <c r="E178" s="90"/>
      <c r="F178" s="90"/>
      <c r="G178" s="90"/>
      <c r="H178" s="90"/>
      <c r="I178" s="90"/>
      <c r="J178" s="90"/>
      <c r="K178" s="90"/>
      <c r="L178" s="90"/>
      <c r="M178" s="89"/>
      <c r="N178" s="88"/>
      <c r="O178" s="88"/>
      <c r="P178" s="88"/>
      <c r="Q178" s="88"/>
      <c r="R178" s="88"/>
      <c r="S178" s="88"/>
      <c r="T178" s="88"/>
      <c r="U178" s="88"/>
      <c r="V178" s="88"/>
      <c r="W178" s="88">
        <v>30</v>
      </c>
      <c r="X178" s="88">
        <v>30</v>
      </c>
      <c r="Y178" s="89"/>
      <c r="Z178" s="88"/>
      <c r="AA178" s="88"/>
      <c r="AB178" s="88"/>
      <c r="AC178" s="88"/>
      <c r="AD178" s="88"/>
      <c r="AE178" s="88"/>
      <c r="AF178" s="88"/>
      <c r="AG178" s="88"/>
      <c r="AH178" s="88"/>
      <c r="AI178" s="88"/>
      <c r="AJ178" s="88"/>
      <c r="AK178" s="88"/>
      <c r="AL178" s="88"/>
      <c r="AM178" s="88"/>
      <c r="AN178" s="88"/>
      <c r="AO178" s="88"/>
      <c r="AP178" s="88"/>
      <c r="AQ178" s="88"/>
      <c r="AR178" s="88"/>
      <c r="AS178" s="88"/>
      <c r="AT178" s="88"/>
      <c r="AU178" s="88"/>
      <c r="AV178" s="88"/>
      <c r="AW178" s="88"/>
    </row>
    <row r="179" spans="1:49" ht="15.75" customHeight="1">
      <c r="A179" s="85" t="s">
        <v>206</v>
      </c>
      <c r="B179" s="88">
        <v>4</v>
      </c>
      <c r="C179" s="88"/>
      <c r="D179" s="90"/>
      <c r="E179" s="90"/>
      <c r="F179" s="90"/>
      <c r="G179" s="90"/>
      <c r="H179" s="90" t="s">
        <v>207</v>
      </c>
      <c r="I179" s="90"/>
      <c r="J179" s="90"/>
      <c r="K179" s="90"/>
      <c r="L179" s="90"/>
      <c r="M179" s="89"/>
      <c r="N179" s="88">
        <v>30</v>
      </c>
      <c r="O179" s="88"/>
      <c r="P179" s="88"/>
      <c r="Q179" s="88"/>
      <c r="R179" s="88"/>
      <c r="S179" s="88"/>
      <c r="T179" s="88"/>
      <c r="U179" s="88"/>
      <c r="V179" s="88"/>
      <c r="W179" s="88"/>
      <c r="X179" s="88"/>
      <c r="Y179" s="89"/>
      <c r="Z179" s="88"/>
      <c r="AA179" s="88"/>
      <c r="AB179" s="88"/>
      <c r="AC179" s="88"/>
      <c r="AD179" s="88"/>
      <c r="AE179" s="88"/>
      <c r="AF179" s="88"/>
      <c r="AG179" s="88"/>
      <c r="AH179" s="88"/>
      <c r="AI179" s="88"/>
      <c r="AJ179" s="88"/>
      <c r="AK179" s="88"/>
      <c r="AL179" s="88"/>
      <c r="AM179" s="88"/>
      <c r="AN179" s="88"/>
      <c r="AO179" s="88"/>
      <c r="AP179" s="88"/>
      <c r="AQ179" s="88"/>
      <c r="AR179" s="88"/>
      <c r="AS179" s="88"/>
      <c r="AT179" s="88"/>
      <c r="AU179" s="88"/>
      <c r="AV179" s="88"/>
      <c r="AW179" s="88"/>
    </row>
    <row r="180" spans="1:49" ht="15.75" customHeight="1">
      <c r="A180" s="85" t="s">
        <v>208</v>
      </c>
      <c r="B180" s="88"/>
      <c r="C180" s="88">
        <v>2</v>
      </c>
      <c r="D180" s="90"/>
      <c r="E180" s="90"/>
      <c r="F180" s="90"/>
      <c r="G180" s="90"/>
      <c r="H180" s="90"/>
      <c r="I180" s="90"/>
      <c r="J180" s="90"/>
      <c r="K180" s="90"/>
      <c r="L180" s="90"/>
      <c r="M180" s="89"/>
      <c r="N180" s="88"/>
      <c r="O180" s="88"/>
      <c r="P180" s="88"/>
      <c r="Q180" s="88"/>
      <c r="R180" s="88"/>
      <c r="S180" s="88"/>
      <c r="T180" s="88"/>
      <c r="U180" s="88"/>
      <c r="V180" s="88"/>
      <c r="W180" s="88">
        <v>20</v>
      </c>
      <c r="X180" s="88">
        <v>30</v>
      </c>
      <c r="Y180" s="89"/>
      <c r="Z180" s="88"/>
      <c r="AA180" s="88"/>
      <c r="AB180" s="88"/>
      <c r="AC180" s="88"/>
      <c r="AD180" s="88"/>
      <c r="AE180" s="88"/>
      <c r="AF180" s="88"/>
      <c r="AG180" s="88"/>
      <c r="AH180" s="88"/>
      <c r="AI180" s="88"/>
      <c r="AJ180" s="88"/>
      <c r="AK180" s="88"/>
      <c r="AL180" s="88"/>
      <c r="AM180" s="88"/>
      <c r="AN180" s="88"/>
      <c r="AO180" s="88"/>
      <c r="AP180" s="88"/>
      <c r="AQ180" s="88"/>
      <c r="AR180" s="88"/>
      <c r="AS180" s="88"/>
      <c r="AT180" s="88"/>
      <c r="AU180" s="88"/>
      <c r="AV180" s="88"/>
      <c r="AW180" s="88"/>
    </row>
    <row r="181" spans="1:49" ht="15.75" customHeight="1">
      <c r="A181" s="85" t="s">
        <v>209</v>
      </c>
      <c r="B181" s="88">
        <v>1</v>
      </c>
      <c r="C181" s="88"/>
      <c r="D181" s="90"/>
      <c r="E181" s="90"/>
      <c r="F181" s="90"/>
      <c r="G181" s="90"/>
      <c r="H181" s="90"/>
      <c r="I181" s="90"/>
      <c r="J181" s="90"/>
      <c r="K181" s="90"/>
      <c r="L181" s="90"/>
      <c r="M181" s="89"/>
      <c r="N181" s="88"/>
      <c r="O181" s="88"/>
      <c r="P181" s="88"/>
      <c r="Q181" s="88"/>
      <c r="R181" s="88"/>
      <c r="S181" s="88"/>
      <c r="T181" s="88"/>
      <c r="U181" s="88"/>
      <c r="V181" s="88"/>
      <c r="W181" s="88"/>
      <c r="X181" s="88"/>
      <c r="Y181" s="89"/>
      <c r="Z181" s="88"/>
      <c r="AA181" s="88"/>
      <c r="AB181" s="88">
        <v>40</v>
      </c>
      <c r="AC181" s="88"/>
      <c r="AD181" s="88"/>
      <c r="AE181" s="88"/>
      <c r="AF181" s="88"/>
      <c r="AG181" s="88"/>
      <c r="AH181" s="88"/>
      <c r="AI181" s="88"/>
      <c r="AJ181" s="88"/>
      <c r="AK181" s="88"/>
      <c r="AL181" s="88"/>
      <c r="AM181" s="88"/>
      <c r="AN181" s="88"/>
      <c r="AO181" s="88"/>
      <c r="AP181" s="88"/>
      <c r="AQ181" s="88"/>
      <c r="AR181" s="88"/>
      <c r="AS181" s="88"/>
      <c r="AT181" s="88"/>
      <c r="AU181" s="88"/>
      <c r="AV181" s="88"/>
      <c r="AW181" s="88"/>
    </row>
    <row r="182" spans="1:49" ht="15.75" customHeight="1">
      <c r="A182" s="85" t="s">
        <v>846</v>
      </c>
      <c r="B182" s="88"/>
      <c r="C182" s="88"/>
      <c r="D182" s="90"/>
      <c r="E182" s="90"/>
      <c r="F182" s="90"/>
      <c r="G182" s="90"/>
      <c r="H182" s="90"/>
      <c r="I182" s="90"/>
      <c r="J182" s="90"/>
      <c r="K182" s="90"/>
      <c r="L182" s="90"/>
      <c r="M182" s="89"/>
      <c r="N182" s="88"/>
      <c r="O182" s="88"/>
      <c r="P182" s="88"/>
      <c r="Q182" s="88"/>
      <c r="R182" s="88"/>
      <c r="S182" s="88"/>
      <c r="T182" s="88"/>
      <c r="U182" s="88"/>
      <c r="V182" s="88"/>
      <c r="W182" s="88"/>
      <c r="X182" s="88"/>
      <c r="Y182" s="89"/>
      <c r="Z182" s="88"/>
      <c r="AA182" s="88"/>
      <c r="AB182" s="88"/>
      <c r="AC182" s="88"/>
      <c r="AD182" s="88">
        <v>20</v>
      </c>
      <c r="AE182" s="88"/>
      <c r="AF182" s="88"/>
      <c r="AG182" s="88"/>
      <c r="AH182" s="88"/>
      <c r="AI182" s="88"/>
      <c r="AJ182" s="88"/>
      <c r="AK182" s="88"/>
      <c r="AL182" s="88"/>
      <c r="AM182" s="88"/>
      <c r="AN182" s="88"/>
      <c r="AO182" s="88"/>
      <c r="AP182" s="88"/>
      <c r="AQ182" s="88"/>
      <c r="AR182" s="88"/>
      <c r="AS182" s="88"/>
      <c r="AT182" s="88"/>
      <c r="AU182" s="88"/>
      <c r="AV182" s="88"/>
      <c r="AW182" s="88"/>
    </row>
    <row r="183" spans="1:49" ht="15.75" customHeight="1">
      <c r="A183" s="85" t="s">
        <v>210</v>
      </c>
      <c r="B183" s="88">
        <v>9</v>
      </c>
      <c r="C183" s="88"/>
      <c r="D183" s="90"/>
      <c r="E183" s="90"/>
      <c r="F183" s="90"/>
      <c r="G183" s="90"/>
      <c r="H183" s="90"/>
      <c r="I183" s="90"/>
      <c r="J183" s="90"/>
      <c r="K183" s="90"/>
      <c r="L183" s="90"/>
      <c r="M183" s="89"/>
      <c r="N183" s="88"/>
      <c r="O183" s="88">
        <v>30</v>
      </c>
      <c r="P183" s="88"/>
      <c r="Q183" s="88"/>
      <c r="R183" s="88"/>
      <c r="S183" s="88"/>
      <c r="T183" s="88"/>
      <c r="U183" s="88"/>
      <c r="V183" s="88"/>
      <c r="W183" s="88"/>
      <c r="X183" s="88"/>
      <c r="Y183" s="89"/>
      <c r="Z183" s="88"/>
      <c r="AA183" s="88"/>
      <c r="AB183" s="88"/>
      <c r="AC183" s="88"/>
      <c r="AD183" s="88"/>
      <c r="AE183" s="88"/>
      <c r="AF183" s="88"/>
      <c r="AG183" s="88"/>
      <c r="AH183" s="88"/>
      <c r="AI183" s="88"/>
      <c r="AJ183" s="88"/>
      <c r="AK183" s="88"/>
      <c r="AL183" s="88">
        <v>8</v>
      </c>
      <c r="AM183" s="88">
        <v>8</v>
      </c>
      <c r="AN183" s="88">
        <v>8</v>
      </c>
      <c r="AO183" s="88">
        <v>8</v>
      </c>
      <c r="AP183" s="88">
        <v>8</v>
      </c>
      <c r="AQ183" s="88">
        <v>8</v>
      </c>
      <c r="AR183" s="88"/>
      <c r="AS183" s="88"/>
      <c r="AT183" s="88"/>
      <c r="AU183" s="88"/>
      <c r="AV183" s="88"/>
      <c r="AW183" s="88"/>
    </row>
    <row r="184" spans="1:49" ht="15.75" customHeight="1">
      <c r="A184" s="85" t="s">
        <v>211</v>
      </c>
      <c r="B184" s="88">
        <v>5</v>
      </c>
      <c r="C184" s="88"/>
      <c r="D184" s="90"/>
      <c r="E184" s="90"/>
      <c r="F184" s="90"/>
      <c r="G184" s="90"/>
      <c r="H184" s="90"/>
      <c r="I184" s="90"/>
      <c r="J184" s="90"/>
      <c r="K184" s="90"/>
      <c r="L184" s="90"/>
      <c r="M184" s="89"/>
      <c r="N184" s="88"/>
      <c r="O184" s="88"/>
      <c r="P184" s="88"/>
      <c r="Q184" s="88"/>
      <c r="R184" s="88">
        <v>15</v>
      </c>
      <c r="S184" s="88"/>
      <c r="T184" s="88"/>
      <c r="U184" s="88"/>
      <c r="V184" s="88"/>
      <c r="W184" s="88"/>
      <c r="X184" s="88"/>
      <c r="Y184" s="89">
        <v>100</v>
      </c>
      <c r="Z184" s="88"/>
      <c r="AA184" s="88"/>
      <c r="AB184" s="88"/>
      <c r="AC184" s="88"/>
      <c r="AD184" s="88"/>
      <c r="AE184" s="88"/>
      <c r="AF184" s="88"/>
      <c r="AG184" s="88"/>
      <c r="AH184" s="88"/>
      <c r="AI184" s="88"/>
      <c r="AJ184" s="88"/>
      <c r="AK184" s="88"/>
      <c r="AL184" s="88"/>
      <c r="AM184" s="88"/>
      <c r="AN184" s="88"/>
      <c r="AO184" s="88"/>
      <c r="AP184" s="88"/>
      <c r="AQ184" s="88"/>
      <c r="AR184" s="88"/>
      <c r="AS184" s="88"/>
      <c r="AT184" s="88"/>
      <c r="AU184" s="88"/>
      <c r="AV184" s="88"/>
      <c r="AW184" s="88"/>
    </row>
    <row r="185" spans="1:49" ht="15.75" customHeight="1">
      <c r="A185" s="85" t="s">
        <v>212</v>
      </c>
      <c r="B185" s="88">
        <v>1</v>
      </c>
      <c r="C185" s="88"/>
      <c r="D185" s="90"/>
      <c r="E185" s="90"/>
      <c r="F185" s="90"/>
      <c r="G185" s="90"/>
      <c r="H185" s="90"/>
      <c r="I185" s="90"/>
      <c r="J185" s="90"/>
      <c r="K185" s="90"/>
      <c r="L185" s="90"/>
      <c r="M185" s="89"/>
      <c r="N185" s="88">
        <v>40</v>
      </c>
      <c r="O185" s="88"/>
      <c r="P185" s="88"/>
      <c r="Q185" s="88"/>
      <c r="R185" s="88"/>
      <c r="S185" s="88"/>
      <c r="T185" s="88"/>
      <c r="U185" s="88"/>
      <c r="V185" s="88"/>
      <c r="W185" s="88">
        <v>10</v>
      </c>
      <c r="X185" s="88"/>
      <c r="Y185" s="89"/>
      <c r="Z185" s="88"/>
      <c r="AA185" s="88"/>
      <c r="AB185" s="88"/>
      <c r="AC185" s="88"/>
      <c r="AD185" s="88">
        <v>-30</v>
      </c>
      <c r="AE185" s="88"/>
      <c r="AF185" s="88"/>
      <c r="AG185" s="88"/>
      <c r="AH185" s="88"/>
      <c r="AI185" s="88"/>
      <c r="AJ185" s="88"/>
      <c r="AK185" s="88"/>
      <c r="AL185" s="88"/>
      <c r="AM185" s="88"/>
      <c r="AN185" s="88"/>
      <c r="AO185" s="88"/>
      <c r="AP185" s="88"/>
      <c r="AQ185" s="88"/>
      <c r="AR185" s="88"/>
      <c r="AS185" s="88"/>
      <c r="AT185" s="88"/>
      <c r="AU185" s="88"/>
      <c r="AV185" s="88"/>
      <c r="AW185" s="88"/>
    </row>
    <row r="186" spans="1:49" ht="15.75" customHeight="1">
      <c r="A186" s="85" t="s">
        <v>213</v>
      </c>
      <c r="B186" s="88">
        <v>1</v>
      </c>
      <c r="C186" s="88"/>
      <c r="D186" s="90"/>
      <c r="E186" s="90"/>
      <c r="F186" s="90"/>
      <c r="G186" s="90"/>
      <c r="H186" s="90"/>
      <c r="I186" s="90"/>
      <c r="J186" s="90"/>
      <c r="K186" s="90"/>
      <c r="L186" s="90"/>
      <c r="M186" s="89"/>
      <c r="N186" s="88">
        <v>10</v>
      </c>
      <c r="O186" s="88"/>
      <c r="P186" s="88"/>
      <c r="Q186" s="88"/>
      <c r="R186" s="88"/>
      <c r="S186" s="88"/>
      <c r="T186" s="88"/>
      <c r="U186" s="88"/>
      <c r="V186" s="88"/>
      <c r="W186" s="88"/>
      <c r="X186" s="88"/>
      <c r="Y186" s="89"/>
      <c r="Z186" s="88"/>
      <c r="AA186" s="88"/>
      <c r="AB186" s="88"/>
      <c r="AC186" s="88"/>
      <c r="AD186" s="88">
        <v>10</v>
      </c>
      <c r="AE186" s="88"/>
      <c r="AF186" s="88"/>
      <c r="AG186" s="88"/>
      <c r="AH186" s="88"/>
      <c r="AI186" s="88"/>
      <c r="AJ186" s="88"/>
      <c r="AK186" s="88"/>
      <c r="AL186" s="88"/>
      <c r="AM186" s="88"/>
      <c r="AN186" s="88"/>
      <c r="AO186" s="88"/>
      <c r="AP186" s="88"/>
      <c r="AQ186" s="88"/>
      <c r="AR186" s="88"/>
      <c r="AS186" s="88"/>
      <c r="AT186" s="88"/>
      <c r="AU186" s="88"/>
      <c r="AV186" s="88"/>
      <c r="AW186" s="88"/>
    </row>
    <row r="187" spans="1:49" ht="15.75" customHeight="1">
      <c r="A187" s="85" t="s">
        <v>214</v>
      </c>
      <c r="B187" s="88">
        <v>3</v>
      </c>
      <c r="C187" s="88"/>
      <c r="D187" s="90"/>
      <c r="E187" s="90"/>
      <c r="F187" s="90"/>
      <c r="G187" s="90"/>
      <c r="H187" s="90"/>
      <c r="I187" s="90"/>
      <c r="J187" s="90"/>
      <c r="K187" s="90"/>
      <c r="L187" s="90"/>
      <c r="M187" s="89"/>
      <c r="N187" s="88">
        <v>10</v>
      </c>
      <c r="O187" s="88"/>
      <c r="P187" s="88"/>
      <c r="Q187" s="88"/>
      <c r="R187" s="88"/>
      <c r="S187" s="88"/>
      <c r="T187" s="88"/>
      <c r="U187" s="88"/>
      <c r="V187" s="88"/>
      <c r="W187" s="88">
        <v>20</v>
      </c>
      <c r="X187" s="88"/>
      <c r="Y187" s="89"/>
      <c r="Z187" s="88"/>
      <c r="AA187" s="88"/>
      <c r="AB187" s="88"/>
      <c r="AC187" s="88"/>
      <c r="AD187" s="88"/>
      <c r="AE187" s="88"/>
      <c r="AF187" s="88"/>
      <c r="AG187" s="88"/>
      <c r="AH187" s="88"/>
      <c r="AI187" s="88"/>
      <c r="AJ187" s="88"/>
      <c r="AK187" s="88"/>
      <c r="AL187" s="88"/>
      <c r="AM187" s="88"/>
      <c r="AN187" s="88"/>
      <c r="AO187" s="88"/>
      <c r="AP187" s="88"/>
      <c r="AQ187" s="88"/>
      <c r="AR187" s="88"/>
      <c r="AS187" s="88"/>
      <c r="AT187" s="88"/>
      <c r="AU187" s="88"/>
      <c r="AV187" s="88"/>
      <c r="AW187" s="88"/>
    </row>
    <row r="188" spans="1:49" ht="15.75" customHeight="1">
      <c r="A188" s="85" t="s">
        <v>215</v>
      </c>
      <c r="B188" s="88">
        <v>14</v>
      </c>
      <c r="C188" s="88"/>
      <c r="D188" s="90"/>
      <c r="E188" s="90"/>
      <c r="F188" s="90"/>
      <c r="G188" s="90"/>
      <c r="H188" s="90"/>
      <c r="I188" s="90"/>
      <c r="J188" s="90"/>
      <c r="K188" s="90"/>
      <c r="L188" s="90"/>
      <c r="M188" s="89"/>
      <c r="N188" s="88"/>
      <c r="O188" s="88"/>
      <c r="P188" s="88"/>
      <c r="Q188" s="88"/>
      <c r="R188" s="88"/>
      <c r="S188" s="88"/>
      <c r="T188" s="88"/>
      <c r="U188" s="88"/>
      <c r="V188" s="88"/>
      <c r="W188" s="88"/>
      <c r="X188" s="88"/>
      <c r="Y188" s="89"/>
      <c r="Z188" s="88">
        <v>30</v>
      </c>
      <c r="AA188" s="88"/>
      <c r="AB188" s="88"/>
      <c r="AC188" s="88"/>
      <c r="AD188" s="88"/>
      <c r="AE188" s="88"/>
      <c r="AF188" s="88"/>
      <c r="AG188" s="88"/>
      <c r="AH188" s="88"/>
      <c r="AI188" s="88"/>
      <c r="AJ188" s="88"/>
      <c r="AK188" s="88"/>
      <c r="AL188" s="88"/>
      <c r="AM188" s="88"/>
      <c r="AN188" s="88"/>
      <c r="AO188" s="88"/>
      <c r="AP188" s="88"/>
      <c r="AQ188" s="88"/>
      <c r="AR188" s="88"/>
      <c r="AS188" s="88"/>
      <c r="AT188" s="88"/>
      <c r="AU188" s="88"/>
      <c r="AV188" s="88"/>
      <c r="AW188" s="88"/>
    </row>
    <row r="189" spans="1:49" ht="15.75" customHeight="1">
      <c r="A189" s="85" t="s">
        <v>216</v>
      </c>
      <c r="B189" s="88"/>
      <c r="C189" s="88"/>
      <c r="D189" s="90"/>
      <c r="E189" s="90"/>
      <c r="F189" s="90"/>
      <c r="G189" s="90"/>
      <c r="H189" s="90"/>
      <c r="I189" s="90"/>
      <c r="J189" s="90"/>
      <c r="K189" s="90"/>
      <c r="L189" s="90"/>
      <c r="M189" s="89"/>
      <c r="N189" s="88"/>
      <c r="O189" s="88"/>
      <c r="P189" s="88"/>
      <c r="Q189" s="88"/>
      <c r="R189" s="88"/>
      <c r="S189" s="88"/>
      <c r="T189" s="88"/>
      <c r="U189" s="88"/>
      <c r="V189" s="88"/>
      <c r="W189" s="88">
        <v>15</v>
      </c>
      <c r="X189" s="88"/>
      <c r="Y189" s="89"/>
      <c r="Z189" s="88"/>
      <c r="AA189" s="88"/>
      <c r="AB189" s="88"/>
      <c r="AC189" s="88"/>
      <c r="AD189" s="88"/>
      <c r="AE189" s="88"/>
      <c r="AF189" s="88"/>
      <c r="AG189" s="88"/>
      <c r="AH189" s="88"/>
      <c r="AI189" s="88"/>
      <c r="AJ189" s="88"/>
      <c r="AK189" s="88"/>
      <c r="AL189" s="88"/>
      <c r="AM189" s="88"/>
      <c r="AN189" s="88"/>
      <c r="AO189" s="88"/>
      <c r="AP189" s="88"/>
      <c r="AQ189" s="88"/>
      <c r="AR189" s="88"/>
      <c r="AS189" s="88"/>
      <c r="AT189" s="88"/>
      <c r="AU189" s="88"/>
      <c r="AV189" s="88"/>
      <c r="AW189" s="88"/>
    </row>
    <row r="190" spans="1:49" ht="15.75" customHeight="1">
      <c r="A190" s="85" t="s">
        <v>217</v>
      </c>
      <c r="B190" s="88">
        <v>5</v>
      </c>
      <c r="C190" s="88"/>
      <c r="D190" s="90"/>
      <c r="E190" s="90"/>
      <c r="F190" s="90"/>
      <c r="G190" s="90"/>
      <c r="H190" s="90"/>
      <c r="I190" s="90"/>
      <c r="J190" s="90"/>
      <c r="K190" s="90"/>
      <c r="L190" s="90"/>
      <c r="M190" s="89"/>
      <c r="N190" s="88"/>
      <c r="O190" s="88"/>
      <c r="P190" s="88">
        <v>40</v>
      </c>
      <c r="Q190" s="88">
        <v>40</v>
      </c>
      <c r="R190" s="88"/>
      <c r="S190" s="88"/>
      <c r="T190" s="88"/>
      <c r="U190" s="88"/>
      <c r="V190" s="88"/>
      <c r="W190" s="88"/>
      <c r="X190" s="88"/>
      <c r="Y190" s="89"/>
      <c r="Z190" s="88"/>
      <c r="AA190" s="88"/>
      <c r="AB190" s="88"/>
      <c r="AC190" s="88"/>
      <c r="AD190" s="88"/>
      <c r="AE190" s="88"/>
      <c r="AF190" s="88"/>
      <c r="AG190" s="88"/>
      <c r="AH190" s="88"/>
      <c r="AI190" s="88"/>
      <c r="AJ190" s="88"/>
      <c r="AK190" s="88"/>
      <c r="AL190" s="88"/>
      <c r="AM190" s="88"/>
      <c r="AN190" s="88"/>
      <c r="AO190" s="88"/>
      <c r="AP190" s="88"/>
      <c r="AQ190" s="88"/>
      <c r="AR190" s="88"/>
      <c r="AS190" s="88"/>
      <c r="AT190" s="88"/>
      <c r="AU190" s="88"/>
      <c r="AV190" s="88"/>
      <c r="AW190" s="88"/>
    </row>
    <row r="191" spans="1:49" ht="15.75" customHeight="1">
      <c r="A191" s="85" t="s">
        <v>218</v>
      </c>
      <c r="B191" s="88"/>
      <c r="C191" s="88"/>
      <c r="D191" s="90"/>
      <c r="E191" s="90"/>
      <c r="F191" s="90"/>
      <c r="G191" s="90"/>
      <c r="H191" s="90"/>
      <c r="I191" s="90"/>
      <c r="J191" s="90"/>
      <c r="K191" s="90"/>
      <c r="L191" s="90"/>
      <c r="M191" s="89"/>
      <c r="N191" s="88">
        <v>30</v>
      </c>
      <c r="O191" s="88"/>
      <c r="P191" s="88"/>
      <c r="Q191" s="88"/>
      <c r="R191" s="88"/>
      <c r="S191" s="88"/>
      <c r="T191" s="88"/>
      <c r="U191" s="88"/>
      <c r="V191" s="88"/>
      <c r="W191" s="88"/>
      <c r="X191" s="88"/>
      <c r="Y191" s="89"/>
      <c r="Z191" s="88"/>
      <c r="AA191" s="88"/>
      <c r="AB191" s="88"/>
      <c r="AC191" s="88"/>
      <c r="AD191" s="88">
        <v>30</v>
      </c>
      <c r="AE191" s="88"/>
      <c r="AF191" s="88"/>
      <c r="AG191" s="88"/>
      <c r="AH191" s="88"/>
      <c r="AI191" s="88"/>
      <c r="AJ191" s="88"/>
      <c r="AK191" s="88"/>
      <c r="AL191" s="88"/>
      <c r="AM191" s="88"/>
      <c r="AN191" s="88"/>
      <c r="AO191" s="88"/>
      <c r="AP191" s="88"/>
      <c r="AQ191" s="88"/>
      <c r="AR191" s="88"/>
      <c r="AS191" s="88"/>
      <c r="AT191" s="88"/>
      <c r="AU191" s="88"/>
      <c r="AV191" s="88"/>
      <c r="AW191" s="88"/>
    </row>
    <row r="192" spans="1:49" ht="15.75" customHeight="1">
      <c r="A192" s="85" t="s">
        <v>219</v>
      </c>
      <c r="B192" s="88">
        <v>5</v>
      </c>
      <c r="C192" s="88"/>
      <c r="D192" s="90"/>
      <c r="E192" s="90"/>
      <c r="F192" s="90"/>
      <c r="G192" s="90"/>
      <c r="H192" s="90"/>
      <c r="I192" s="90"/>
      <c r="J192" s="90"/>
      <c r="K192" s="90"/>
      <c r="L192" s="90"/>
      <c r="M192" s="89"/>
      <c r="N192" s="88"/>
      <c r="O192" s="88"/>
      <c r="P192" s="88"/>
      <c r="Q192" s="88"/>
      <c r="R192" s="88"/>
      <c r="S192" s="88"/>
      <c r="T192" s="88"/>
      <c r="U192" s="88">
        <v>30</v>
      </c>
      <c r="V192" s="88"/>
      <c r="W192" s="88"/>
      <c r="X192" s="88"/>
      <c r="Y192" s="89"/>
      <c r="Z192" s="88"/>
      <c r="AA192" s="88"/>
      <c r="AB192" s="88"/>
      <c r="AC192" s="88"/>
      <c r="AD192" s="88"/>
      <c r="AE192" s="88"/>
      <c r="AF192" s="88"/>
      <c r="AG192" s="88"/>
      <c r="AH192" s="88"/>
      <c r="AI192" s="88"/>
      <c r="AJ192" s="88">
        <v>20</v>
      </c>
      <c r="AK192" s="88"/>
      <c r="AL192" s="88"/>
      <c r="AM192" s="88"/>
      <c r="AN192" s="88"/>
      <c r="AO192" s="88"/>
      <c r="AP192" s="88"/>
      <c r="AQ192" s="88"/>
      <c r="AR192" s="88"/>
      <c r="AS192" s="88"/>
      <c r="AT192" s="88"/>
      <c r="AU192" s="88"/>
      <c r="AV192" s="88"/>
      <c r="AW192" s="88"/>
    </row>
    <row r="193" spans="1:49" ht="15.75" customHeight="1">
      <c r="A193" s="85" t="s">
        <v>220</v>
      </c>
      <c r="B193" s="88">
        <v>1</v>
      </c>
      <c r="C193" s="88"/>
      <c r="D193" s="90"/>
      <c r="E193" s="90"/>
      <c r="F193" s="90"/>
      <c r="G193" s="90"/>
      <c r="H193" s="90"/>
      <c r="I193" s="90"/>
      <c r="J193" s="90"/>
      <c r="K193" s="90"/>
      <c r="L193" s="90"/>
      <c r="M193" s="89"/>
      <c r="N193" s="88">
        <v>40</v>
      </c>
      <c r="O193" s="88"/>
      <c r="P193" s="88"/>
      <c r="Q193" s="88"/>
      <c r="R193" s="88"/>
      <c r="S193" s="88"/>
      <c r="T193" s="88"/>
      <c r="U193" s="88"/>
      <c r="V193" s="88"/>
      <c r="W193" s="88"/>
      <c r="X193" s="88"/>
      <c r="Y193" s="89"/>
      <c r="Z193" s="88"/>
      <c r="AA193" s="88"/>
      <c r="AB193" s="88"/>
      <c r="AC193" s="88"/>
      <c r="AD193" s="88"/>
      <c r="AE193" s="88"/>
      <c r="AF193" s="88"/>
      <c r="AG193" s="88"/>
      <c r="AH193" s="88"/>
      <c r="AI193" s="88"/>
      <c r="AJ193" s="88"/>
      <c r="AK193" s="88"/>
      <c r="AL193" s="88">
        <v>-30</v>
      </c>
      <c r="AM193" s="88"/>
      <c r="AN193" s="88"/>
      <c r="AO193" s="88"/>
      <c r="AP193" s="88"/>
      <c r="AQ193" s="88"/>
      <c r="AR193" s="88">
        <v>-20</v>
      </c>
      <c r="AS193" s="88">
        <v>-20</v>
      </c>
      <c r="AT193" s="88">
        <v>-20</v>
      </c>
      <c r="AU193" s="88">
        <v>-20</v>
      </c>
      <c r="AV193" s="88">
        <v>-20</v>
      </c>
      <c r="AW193" s="88">
        <v>-20</v>
      </c>
    </row>
    <row r="194" spans="1:49" ht="15.75" customHeight="1">
      <c r="A194" s="85" t="s">
        <v>221</v>
      </c>
      <c r="B194" s="88">
        <v>1</v>
      </c>
      <c r="C194" s="88">
        <v>2</v>
      </c>
      <c r="D194" s="90"/>
      <c r="E194" s="90"/>
      <c r="F194" s="90"/>
      <c r="G194" s="90"/>
      <c r="H194" s="90"/>
      <c r="I194" s="90"/>
      <c r="J194" s="90"/>
      <c r="K194" s="90"/>
      <c r="L194" s="90"/>
      <c r="M194" s="89"/>
      <c r="N194" s="88">
        <v>15</v>
      </c>
      <c r="O194" s="88"/>
      <c r="P194" s="88"/>
      <c r="Q194" s="88"/>
      <c r="R194" s="88"/>
      <c r="S194" s="88"/>
      <c r="T194" s="88"/>
      <c r="U194" s="88"/>
      <c r="V194" s="88"/>
      <c r="W194" s="88"/>
      <c r="X194" s="88">
        <v>15</v>
      </c>
      <c r="Y194" s="89"/>
      <c r="Z194" s="88"/>
      <c r="AA194" s="88"/>
      <c r="AB194" s="88"/>
      <c r="AC194" s="88"/>
      <c r="AD194" s="88"/>
      <c r="AE194" s="88"/>
      <c r="AF194" s="88"/>
      <c r="AG194" s="88"/>
      <c r="AH194" s="88"/>
      <c r="AI194" s="88"/>
      <c r="AJ194" s="88"/>
      <c r="AK194" s="88"/>
      <c r="AL194" s="88"/>
      <c r="AM194" s="88"/>
      <c r="AN194" s="88"/>
      <c r="AO194" s="88"/>
      <c r="AP194" s="88"/>
      <c r="AQ194" s="88"/>
      <c r="AR194" s="88"/>
      <c r="AS194" s="88"/>
      <c r="AT194" s="88"/>
      <c r="AU194" s="88"/>
      <c r="AV194" s="88"/>
      <c r="AW194" s="88"/>
    </row>
    <row r="195" spans="1:49" ht="15.75" customHeight="1">
      <c r="A195" s="85" t="s">
        <v>222</v>
      </c>
      <c r="B195" s="88">
        <v>5</v>
      </c>
      <c r="C195" s="88"/>
      <c r="D195" s="90"/>
      <c r="E195" s="90"/>
      <c r="F195" s="90"/>
      <c r="G195" s="90"/>
      <c r="H195" s="90"/>
      <c r="I195" s="90"/>
      <c r="J195" s="90"/>
      <c r="K195" s="90"/>
      <c r="L195" s="90"/>
      <c r="M195" s="89"/>
      <c r="N195" s="88"/>
      <c r="O195" s="88"/>
      <c r="P195" s="88"/>
      <c r="Q195" s="88"/>
      <c r="R195" s="88"/>
      <c r="S195" s="88">
        <v>30</v>
      </c>
      <c r="T195" s="88"/>
      <c r="U195" s="88"/>
      <c r="V195" s="88"/>
      <c r="W195" s="88"/>
      <c r="X195" s="88"/>
      <c r="Y195" s="89"/>
      <c r="Z195" s="88"/>
      <c r="AA195" s="88"/>
      <c r="AB195" s="88"/>
      <c r="AC195" s="88"/>
      <c r="AD195" s="88"/>
      <c r="AE195" s="88"/>
      <c r="AF195" s="88"/>
      <c r="AG195" s="88"/>
      <c r="AH195" s="88">
        <v>20</v>
      </c>
      <c r="AI195" s="88"/>
      <c r="AJ195" s="88"/>
      <c r="AK195" s="88"/>
      <c r="AL195" s="88"/>
      <c r="AM195" s="88"/>
      <c r="AN195" s="88"/>
      <c r="AO195" s="88"/>
      <c r="AP195" s="88"/>
      <c r="AQ195" s="88"/>
      <c r="AR195" s="88"/>
      <c r="AS195" s="88"/>
      <c r="AT195" s="88"/>
      <c r="AU195" s="88"/>
      <c r="AV195" s="88"/>
      <c r="AW195" s="88"/>
    </row>
    <row r="196" spans="1:49" ht="15.75" customHeight="1">
      <c r="A196" s="85" t="s">
        <v>223</v>
      </c>
      <c r="B196" s="88">
        <v>3</v>
      </c>
      <c r="C196" s="88"/>
      <c r="D196" s="90"/>
      <c r="E196" s="90"/>
      <c r="F196" s="90"/>
      <c r="G196" s="90"/>
      <c r="H196" s="90"/>
      <c r="I196" s="90" t="s">
        <v>37</v>
      </c>
      <c r="J196" s="90"/>
      <c r="K196" s="90"/>
      <c r="L196" s="90"/>
      <c r="M196" s="89"/>
      <c r="N196" s="88">
        <v>24</v>
      </c>
      <c r="O196" s="88"/>
      <c r="P196" s="88"/>
      <c r="Q196" s="88"/>
      <c r="R196" s="88"/>
      <c r="S196" s="88"/>
      <c r="T196" s="88"/>
      <c r="U196" s="88"/>
      <c r="V196" s="88"/>
      <c r="W196" s="88"/>
      <c r="X196" s="88"/>
      <c r="Y196" s="89"/>
      <c r="Z196" s="88"/>
      <c r="AA196" s="88"/>
      <c r="AB196" s="88"/>
      <c r="AC196" s="88"/>
      <c r="AD196" s="88">
        <v>24</v>
      </c>
      <c r="AE196" s="88"/>
      <c r="AF196" s="88"/>
      <c r="AG196" s="88"/>
      <c r="AH196" s="88"/>
      <c r="AI196" s="88"/>
      <c r="AJ196" s="88"/>
      <c r="AK196" s="88"/>
      <c r="AL196" s="88"/>
      <c r="AM196" s="88"/>
      <c r="AN196" s="88"/>
      <c r="AO196" s="88"/>
      <c r="AP196" s="88"/>
      <c r="AQ196" s="88"/>
      <c r="AR196" s="88"/>
      <c r="AS196" s="88"/>
      <c r="AT196" s="88"/>
      <c r="AU196" s="88"/>
      <c r="AV196" s="88"/>
      <c r="AW196" s="88"/>
    </row>
    <row r="197" spans="1:49" ht="15.75" customHeight="1">
      <c r="A197" s="85" t="s">
        <v>224</v>
      </c>
      <c r="B197" s="88">
        <v>3</v>
      </c>
      <c r="C197" s="88"/>
      <c r="D197" s="90"/>
      <c r="E197" s="90"/>
      <c r="F197" s="90"/>
      <c r="G197" s="90"/>
      <c r="H197" s="90"/>
      <c r="I197" s="90" t="s">
        <v>39</v>
      </c>
      <c r="J197" s="90"/>
      <c r="K197" s="90"/>
      <c r="L197" s="90"/>
      <c r="M197" s="89"/>
      <c r="N197" s="88">
        <v>24</v>
      </c>
      <c r="O197" s="88"/>
      <c r="P197" s="88"/>
      <c r="Q197" s="88"/>
      <c r="R197" s="88"/>
      <c r="S197" s="88"/>
      <c r="T197" s="88"/>
      <c r="U197" s="88"/>
      <c r="V197" s="88"/>
      <c r="W197" s="88"/>
      <c r="X197" s="88"/>
      <c r="Y197" s="89"/>
      <c r="Z197" s="88"/>
      <c r="AA197" s="88"/>
      <c r="AB197" s="88"/>
      <c r="AC197" s="88"/>
      <c r="AD197" s="88">
        <v>24</v>
      </c>
      <c r="AE197" s="88"/>
      <c r="AF197" s="88"/>
      <c r="AG197" s="88"/>
      <c r="AH197" s="88"/>
      <c r="AI197" s="88"/>
      <c r="AJ197" s="88"/>
      <c r="AK197" s="88"/>
      <c r="AL197" s="88"/>
      <c r="AM197" s="88"/>
      <c r="AN197" s="88"/>
      <c r="AO197" s="88"/>
      <c r="AP197" s="88"/>
      <c r="AQ197" s="88"/>
      <c r="AR197" s="88"/>
      <c r="AS197" s="88"/>
      <c r="AT197" s="88"/>
      <c r="AU197" s="88"/>
      <c r="AV197" s="88"/>
      <c r="AW197" s="88"/>
    </row>
    <row r="198" spans="1:49" ht="15.75" customHeight="1">
      <c r="A198" s="85" t="s">
        <v>225</v>
      </c>
      <c r="B198" s="88">
        <v>5</v>
      </c>
      <c r="C198" s="88"/>
      <c r="D198" s="90"/>
      <c r="E198" s="90"/>
      <c r="F198" s="90"/>
      <c r="G198" s="90"/>
      <c r="H198" s="90"/>
      <c r="I198" s="90"/>
      <c r="J198" s="90"/>
      <c r="K198" s="90"/>
      <c r="L198" s="90"/>
      <c r="M198" s="89"/>
      <c r="N198" s="88"/>
      <c r="O198" s="88"/>
      <c r="P198" s="88"/>
      <c r="Q198" s="88"/>
      <c r="R198" s="88"/>
      <c r="S198" s="88"/>
      <c r="T198" s="88">
        <v>30</v>
      </c>
      <c r="U198" s="88"/>
      <c r="V198" s="88"/>
      <c r="W198" s="88"/>
      <c r="X198" s="88"/>
      <c r="Y198" s="89"/>
      <c r="Z198" s="88"/>
      <c r="AA198" s="88"/>
      <c r="AB198" s="88"/>
      <c r="AC198" s="88"/>
      <c r="AD198" s="88"/>
      <c r="AE198" s="88"/>
      <c r="AF198" s="88"/>
      <c r="AG198" s="88"/>
      <c r="AH198" s="88"/>
      <c r="AI198" s="88">
        <v>20</v>
      </c>
      <c r="AJ198" s="88"/>
      <c r="AK198" s="88"/>
      <c r="AL198" s="88"/>
      <c r="AM198" s="88"/>
      <c r="AN198" s="88"/>
      <c r="AO198" s="88"/>
      <c r="AP198" s="88"/>
      <c r="AQ198" s="88"/>
      <c r="AR198" s="88"/>
      <c r="AS198" s="88"/>
      <c r="AT198" s="88"/>
      <c r="AU198" s="88"/>
      <c r="AV198" s="88"/>
      <c r="AW198" s="88"/>
    </row>
    <row r="199" spans="1:49" ht="15.75" customHeight="1">
      <c r="A199" s="85" t="s">
        <v>226</v>
      </c>
      <c r="B199" s="88">
        <v>3</v>
      </c>
      <c r="C199" s="88"/>
      <c r="D199" s="90"/>
      <c r="E199" s="90"/>
      <c r="F199" s="90"/>
      <c r="G199" s="90"/>
      <c r="H199" s="90"/>
      <c r="I199" s="90" t="s">
        <v>41</v>
      </c>
      <c r="J199" s="90"/>
      <c r="K199" s="90"/>
      <c r="L199" s="90"/>
      <c r="M199" s="89"/>
      <c r="N199" s="88">
        <v>24</v>
      </c>
      <c r="O199" s="88"/>
      <c r="P199" s="88"/>
      <c r="Q199" s="88"/>
      <c r="R199" s="88"/>
      <c r="S199" s="88"/>
      <c r="T199" s="88"/>
      <c r="U199" s="88"/>
      <c r="V199" s="88"/>
      <c r="W199" s="88"/>
      <c r="X199" s="88"/>
      <c r="Y199" s="89"/>
      <c r="Z199" s="88"/>
      <c r="AA199" s="88"/>
      <c r="AB199" s="88"/>
      <c r="AC199" s="88"/>
      <c r="AD199" s="88">
        <v>24</v>
      </c>
      <c r="AE199" s="88"/>
      <c r="AF199" s="88"/>
      <c r="AG199" s="88"/>
      <c r="AH199" s="88"/>
      <c r="AI199" s="88"/>
      <c r="AJ199" s="88"/>
      <c r="AK199" s="88"/>
      <c r="AL199" s="88"/>
      <c r="AM199" s="88"/>
      <c r="AN199" s="88"/>
      <c r="AO199" s="88"/>
      <c r="AP199" s="88"/>
      <c r="AQ199" s="88"/>
      <c r="AR199" s="88"/>
      <c r="AS199" s="88"/>
      <c r="AT199" s="88"/>
      <c r="AU199" s="88"/>
      <c r="AV199" s="88"/>
      <c r="AW199" s="88"/>
    </row>
    <row r="200" spans="1:49" ht="15.75" customHeight="1">
      <c r="A200" s="85" t="s">
        <v>227</v>
      </c>
      <c r="B200" s="88">
        <v>3</v>
      </c>
      <c r="C200" s="88"/>
      <c r="D200" s="90"/>
      <c r="E200" s="90"/>
      <c r="F200" s="90"/>
      <c r="G200" s="90"/>
      <c r="H200" s="90"/>
      <c r="I200" s="90"/>
      <c r="J200" s="90"/>
      <c r="K200" s="90"/>
      <c r="L200" s="90"/>
      <c r="M200" s="89"/>
      <c r="N200" s="88">
        <v>30</v>
      </c>
      <c r="O200" s="88"/>
      <c r="P200" s="88"/>
      <c r="Q200" s="88"/>
      <c r="R200" s="88"/>
      <c r="S200" s="88"/>
      <c r="T200" s="88"/>
      <c r="U200" s="88"/>
      <c r="V200" s="88"/>
      <c r="W200" s="88">
        <v>20</v>
      </c>
      <c r="X200" s="88"/>
      <c r="Y200" s="89"/>
      <c r="Z200" s="88"/>
      <c r="AA200" s="88"/>
      <c r="AB200" s="88"/>
      <c r="AC200" s="88"/>
      <c r="AD200" s="88"/>
      <c r="AE200" s="88"/>
      <c r="AF200" s="88"/>
      <c r="AG200" s="88"/>
      <c r="AH200" s="88"/>
      <c r="AI200" s="88"/>
      <c r="AJ200" s="88"/>
      <c r="AK200" s="88"/>
      <c r="AL200" s="88"/>
      <c r="AM200" s="88"/>
      <c r="AN200" s="88"/>
      <c r="AO200" s="88"/>
      <c r="AP200" s="88"/>
      <c r="AQ200" s="88"/>
      <c r="AR200" s="88"/>
      <c r="AS200" s="88"/>
      <c r="AT200" s="88"/>
      <c r="AU200" s="88"/>
      <c r="AV200" s="88"/>
      <c r="AW200" s="88"/>
    </row>
    <row r="201" spans="1:49" ht="15.75" customHeight="1">
      <c r="A201" s="85" t="s">
        <v>228</v>
      </c>
      <c r="B201" s="88">
        <v>3</v>
      </c>
      <c r="C201" s="88"/>
      <c r="D201" s="90"/>
      <c r="E201" s="90"/>
      <c r="F201" s="90"/>
      <c r="G201" s="90"/>
      <c r="H201" s="90"/>
      <c r="I201" s="90" t="s">
        <v>43</v>
      </c>
      <c r="J201" s="90"/>
      <c r="K201" s="90"/>
      <c r="L201" s="90"/>
      <c r="M201" s="89"/>
      <c r="N201" s="88">
        <v>24</v>
      </c>
      <c r="O201" s="88"/>
      <c r="P201" s="88"/>
      <c r="Q201" s="88"/>
      <c r="R201" s="88"/>
      <c r="S201" s="88"/>
      <c r="T201" s="88"/>
      <c r="U201" s="88"/>
      <c r="V201" s="88"/>
      <c r="W201" s="88"/>
      <c r="X201" s="88"/>
      <c r="Y201" s="89"/>
      <c r="Z201" s="88"/>
      <c r="AA201" s="88"/>
      <c r="AB201" s="88"/>
      <c r="AC201" s="88"/>
      <c r="AD201" s="88">
        <v>24</v>
      </c>
      <c r="AE201" s="88"/>
      <c r="AF201" s="88"/>
      <c r="AG201" s="88"/>
      <c r="AH201" s="88"/>
      <c r="AI201" s="88"/>
      <c r="AJ201" s="88"/>
      <c r="AK201" s="88"/>
      <c r="AL201" s="88"/>
      <c r="AM201" s="88"/>
      <c r="AN201" s="88"/>
      <c r="AO201" s="88"/>
      <c r="AP201" s="88"/>
      <c r="AQ201" s="88"/>
      <c r="AR201" s="88"/>
      <c r="AS201" s="88"/>
      <c r="AT201" s="88"/>
      <c r="AU201" s="88"/>
      <c r="AV201" s="88"/>
      <c r="AW201" s="88"/>
    </row>
    <row r="202" spans="1:49" ht="15.75" customHeight="1">
      <c r="A202" s="85" t="s">
        <v>229</v>
      </c>
      <c r="B202" s="88">
        <v>5</v>
      </c>
      <c r="C202" s="88">
        <v>2</v>
      </c>
      <c r="D202" s="90"/>
      <c r="E202" s="90"/>
      <c r="F202" s="90"/>
      <c r="G202" s="90"/>
      <c r="H202" s="90"/>
      <c r="I202" s="90"/>
      <c r="J202" s="90" t="s">
        <v>875</v>
      </c>
      <c r="K202" s="90" t="s">
        <v>876</v>
      </c>
      <c r="L202" s="90"/>
      <c r="M202" s="89"/>
      <c r="N202" s="88"/>
      <c r="O202" s="88"/>
      <c r="P202" s="88">
        <v>50</v>
      </c>
      <c r="Q202" s="88">
        <v>50</v>
      </c>
      <c r="R202" s="88"/>
      <c r="S202" s="88">
        <v>50</v>
      </c>
      <c r="T202" s="88">
        <v>50</v>
      </c>
      <c r="U202" s="88">
        <v>50</v>
      </c>
      <c r="V202" s="88"/>
      <c r="W202" s="88"/>
      <c r="X202" s="88">
        <v>10</v>
      </c>
      <c r="Y202" s="89"/>
      <c r="Z202" s="88"/>
      <c r="AA202" s="88"/>
      <c r="AB202" s="88"/>
      <c r="AC202" s="88"/>
      <c r="AD202" s="88"/>
      <c r="AE202" s="88"/>
      <c r="AF202" s="88"/>
      <c r="AG202" s="88"/>
      <c r="AH202" s="88"/>
      <c r="AI202" s="88"/>
      <c r="AJ202" s="88"/>
      <c r="AK202" s="88"/>
      <c r="AL202" s="88"/>
      <c r="AM202" s="88"/>
      <c r="AN202" s="88"/>
      <c r="AO202" s="88"/>
      <c r="AP202" s="88"/>
      <c r="AQ202" s="88"/>
      <c r="AR202" s="88"/>
      <c r="AS202" s="88"/>
      <c r="AT202" s="88"/>
      <c r="AU202" s="88"/>
      <c r="AV202" s="88"/>
      <c r="AW202" s="88"/>
    </row>
    <row r="203" spans="1:49" ht="15.75" customHeight="1">
      <c r="A203" s="85"/>
      <c r="B203" s="88"/>
      <c r="C203" s="88"/>
      <c r="D203" s="90"/>
      <c r="E203" s="90"/>
      <c r="F203" s="90"/>
      <c r="G203" s="90"/>
      <c r="H203" s="90"/>
      <c r="I203" s="90"/>
      <c r="J203" s="90"/>
      <c r="K203" s="90"/>
      <c r="L203" s="90"/>
      <c r="M203" s="89"/>
      <c r="N203" s="88"/>
      <c r="O203" s="88"/>
      <c r="P203" s="88"/>
      <c r="Q203" s="88"/>
      <c r="R203" s="88"/>
      <c r="S203" s="88"/>
      <c r="T203" s="88"/>
      <c r="U203" s="88"/>
      <c r="V203" s="88"/>
      <c r="W203" s="88"/>
      <c r="X203" s="88"/>
      <c r="Y203" s="89"/>
      <c r="Z203" s="88"/>
      <c r="AA203" s="88"/>
      <c r="AB203" s="88"/>
      <c r="AC203" s="88"/>
      <c r="AD203" s="88"/>
      <c r="AE203" s="88"/>
      <c r="AF203" s="88"/>
      <c r="AG203" s="88"/>
      <c r="AH203" s="88"/>
      <c r="AI203" s="88"/>
      <c r="AJ203" s="88"/>
      <c r="AK203" s="88"/>
      <c r="AL203" s="88"/>
      <c r="AM203" s="88"/>
      <c r="AN203" s="88"/>
      <c r="AO203" s="88"/>
      <c r="AP203" s="88"/>
      <c r="AQ203" s="88"/>
      <c r="AR203" s="88"/>
      <c r="AS203" s="88"/>
      <c r="AT203" s="88"/>
      <c r="AU203" s="88"/>
      <c r="AV203" s="88"/>
      <c r="AW203" s="88"/>
    </row>
    <row r="204" spans="1:49" ht="15.75" customHeight="1">
      <c r="A204" s="85"/>
      <c r="B204" s="88"/>
      <c r="C204" s="88"/>
      <c r="D204" s="90"/>
      <c r="E204" s="90"/>
      <c r="F204" s="90"/>
      <c r="G204" s="90"/>
      <c r="H204" s="90"/>
      <c r="I204" s="90"/>
      <c r="J204" s="90"/>
      <c r="K204" s="90"/>
      <c r="L204" s="90"/>
      <c r="M204" s="89"/>
      <c r="N204" s="88"/>
      <c r="O204" s="88"/>
      <c r="P204" s="88"/>
      <c r="Q204" s="88"/>
      <c r="R204" s="88"/>
      <c r="S204" s="88"/>
      <c r="T204" s="88"/>
      <c r="U204" s="88"/>
      <c r="V204" s="88"/>
      <c r="W204" s="88"/>
      <c r="X204" s="88"/>
      <c r="Y204" s="89"/>
      <c r="Z204" s="88"/>
      <c r="AA204" s="88"/>
      <c r="AB204" s="88"/>
      <c r="AC204" s="88"/>
      <c r="AD204" s="88"/>
      <c r="AE204" s="88"/>
      <c r="AF204" s="88"/>
      <c r="AG204" s="88"/>
      <c r="AH204" s="88"/>
      <c r="AI204" s="88"/>
      <c r="AJ204" s="88"/>
      <c r="AK204" s="88"/>
      <c r="AL204" s="88"/>
      <c r="AM204" s="88"/>
      <c r="AN204" s="88"/>
      <c r="AO204" s="88"/>
      <c r="AP204" s="88"/>
      <c r="AQ204" s="88"/>
      <c r="AR204" s="88"/>
      <c r="AS204" s="88"/>
      <c r="AT204" s="88"/>
      <c r="AU204" s="88"/>
      <c r="AV204" s="88"/>
      <c r="AW204" s="88"/>
    </row>
    <row r="205" spans="1:49" ht="15.75" customHeight="1">
      <c r="A205" s="85"/>
      <c r="B205" s="88"/>
      <c r="C205" s="88"/>
      <c r="D205" s="90"/>
      <c r="E205" s="90"/>
      <c r="F205" s="90"/>
      <c r="G205" s="90"/>
      <c r="H205" s="90"/>
      <c r="I205" s="90"/>
      <c r="J205" s="90"/>
      <c r="K205" s="90"/>
      <c r="L205" s="90"/>
      <c r="M205" s="89"/>
      <c r="N205" s="88"/>
      <c r="O205" s="88"/>
      <c r="P205" s="88"/>
      <c r="Q205" s="88"/>
      <c r="R205" s="88"/>
      <c r="S205" s="88"/>
      <c r="T205" s="88"/>
      <c r="U205" s="88"/>
      <c r="V205" s="88"/>
      <c r="W205" s="88"/>
      <c r="X205" s="88"/>
      <c r="Y205" s="89"/>
      <c r="Z205" s="88"/>
      <c r="AA205" s="88"/>
      <c r="AB205" s="88"/>
      <c r="AC205" s="88"/>
      <c r="AD205" s="88"/>
      <c r="AE205" s="88"/>
      <c r="AF205" s="88"/>
      <c r="AG205" s="88"/>
      <c r="AH205" s="88"/>
      <c r="AI205" s="88"/>
      <c r="AJ205" s="88"/>
      <c r="AK205" s="88"/>
      <c r="AL205" s="88"/>
      <c r="AM205" s="88"/>
      <c r="AN205" s="88"/>
      <c r="AO205" s="88"/>
      <c r="AP205" s="88"/>
      <c r="AQ205" s="88"/>
      <c r="AR205" s="88"/>
      <c r="AS205" s="88"/>
      <c r="AT205" s="88"/>
      <c r="AU205" s="88"/>
      <c r="AV205" s="88"/>
      <c r="AW205" s="88"/>
    </row>
    <row r="206" spans="1:49" ht="15.75" customHeight="1">
      <c r="A206" s="85"/>
      <c r="B206" s="88"/>
      <c r="C206" s="88"/>
      <c r="D206" s="90"/>
      <c r="E206" s="90"/>
      <c r="F206" s="90"/>
      <c r="G206" s="90"/>
      <c r="H206" s="90"/>
      <c r="I206" s="90"/>
      <c r="J206" s="90"/>
      <c r="K206" s="90"/>
      <c r="L206" s="90"/>
      <c r="M206" s="89"/>
      <c r="N206" s="88"/>
      <c r="O206" s="88"/>
      <c r="P206" s="88"/>
      <c r="Q206" s="88"/>
      <c r="R206" s="88"/>
      <c r="S206" s="88"/>
      <c r="T206" s="88"/>
      <c r="U206" s="88"/>
      <c r="V206" s="88"/>
      <c r="W206" s="88"/>
      <c r="X206" s="88"/>
      <c r="Y206" s="89"/>
      <c r="Z206" s="88"/>
      <c r="AA206" s="88"/>
      <c r="AB206" s="88"/>
      <c r="AC206" s="88"/>
      <c r="AD206" s="88"/>
      <c r="AE206" s="88"/>
      <c r="AF206" s="88"/>
      <c r="AG206" s="88"/>
      <c r="AH206" s="88"/>
      <c r="AI206" s="88"/>
      <c r="AJ206" s="88"/>
      <c r="AK206" s="88"/>
      <c r="AL206" s="88"/>
      <c r="AM206" s="88"/>
      <c r="AN206" s="88"/>
      <c r="AO206" s="88"/>
      <c r="AP206" s="88"/>
      <c r="AQ206" s="88"/>
      <c r="AR206" s="88"/>
      <c r="AS206" s="88"/>
      <c r="AT206" s="88"/>
      <c r="AU206" s="88"/>
      <c r="AV206" s="88"/>
      <c r="AW206" s="88"/>
    </row>
    <row r="207" spans="1:49" ht="15.75" customHeight="1">
      <c r="A207" s="85"/>
      <c r="B207" s="88"/>
      <c r="C207" s="88"/>
      <c r="D207" s="90"/>
      <c r="E207" s="90"/>
      <c r="F207" s="90"/>
      <c r="G207" s="90"/>
      <c r="H207" s="90"/>
      <c r="I207" s="90"/>
      <c r="J207" s="90"/>
      <c r="K207" s="90"/>
      <c r="L207" s="90"/>
      <c r="M207" s="89"/>
      <c r="N207" s="88"/>
      <c r="O207" s="88"/>
      <c r="P207" s="88"/>
      <c r="Q207" s="88"/>
      <c r="R207" s="88"/>
      <c r="S207" s="88"/>
      <c r="T207" s="88"/>
      <c r="U207" s="88"/>
      <c r="V207" s="88"/>
      <c r="W207" s="88"/>
      <c r="X207" s="88"/>
      <c r="Y207" s="89"/>
      <c r="Z207" s="88"/>
      <c r="AA207" s="88"/>
      <c r="AB207" s="88"/>
      <c r="AC207" s="88"/>
      <c r="AD207" s="88"/>
      <c r="AE207" s="88"/>
      <c r="AF207" s="88"/>
      <c r="AG207" s="88"/>
      <c r="AH207" s="88"/>
      <c r="AI207" s="88"/>
      <c r="AJ207" s="88"/>
      <c r="AK207" s="88"/>
      <c r="AL207" s="88"/>
      <c r="AM207" s="88"/>
      <c r="AN207" s="88"/>
      <c r="AO207" s="88"/>
      <c r="AP207" s="88"/>
      <c r="AQ207" s="88"/>
      <c r="AR207" s="88"/>
      <c r="AS207" s="88"/>
      <c r="AT207" s="88"/>
      <c r="AU207" s="88"/>
      <c r="AV207" s="88"/>
      <c r="AW207" s="88"/>
    </row>
    <row r="208" spans="1:49" ht="15.75" customHeight="1">
      <c r="A208" s="85"/>
      <c r="B208" s="88"/>
      <c r="C208" s="88"/>
      <c r="D208" s="90"/>
      <c r="E208" s="90"/>
      <c r="F208" s="90"/>
      <c r="G208" s="90"/>
      <c r="H208" s="90"/>
      <c r="I208" s="90"/>
      <c r="J208" s="90"/>
      <c r="K208" s="90"/>
      <c r="L208" s="90"/>
      <c r="M208" s="89"/>
      <c r="N208" s="88"/>
      <c r="O208" s="88"/>
      <c r="P208" s="88"/>
      <c r="Q208" s="88"/>
      <c r="R208" s="88"/>
      <c r="S208" s="88"/>
      <c r="T208" s="88"/>
      <c r="U208" s="88"/>
      <c r="V208" s="88"/>
      <c r="W208" s="88"/>
      <c r="X208" s="88"/>
      <c r="Y208" s="89"/>
      <c r="Z208" s="88"/>
      <c r="AA208" s="88"/>
      <c r="AB208" s="88"/>
      <c r="AC208" s="88"/>
      <c r="AD208" s="88"/>
      <c r="AE208" s="88"/>
      <c r="AF208" s="88"/>
      <c r="AG208" s="88"/>
      <c r="AH208" s="88"/>
      <c r="AI208" s="88"/>
      <c r="AJ208" s="88"/>
      <c r="AK208" s="88"/>
      <c r="AL208" s="88"/>
      <c r="AM208" s="88"/>
      <c r="AN208" s="88"/>
      <c r="AO208" s="88"/>
      <c r="AP208" s="88"/>
      <c r="AQ208" s="88"/>
      <c r="AR208" s="88"/>
      <c r="AS208" s="88"/>
      <c r="AT208" s="88"/>
      <c r="AU208" s="88"/>
      <c r="AV208" s="88"/>
      <c r="AW208" s="88"/>
    </row>
    <row r="209" spans="1:49" ht="15.75" customHeight="1">
      <c r="A209" s="85"/>
      <c r="B209" s="88"/>
      <c r="C209" s="88"/>
      <c r="D209" s="90"/>
      <c r="E209" s="90"/>
      <c r="F209" s="90"/>
      <c r="G209" s="90"/>
      <c r="H209" s="90"/>
      <c r="I209" s="90"/>
      <c r="J209" s="90"/>
      <c r="K209" s="90"/>
      <c r="L209" s="90"/>
      <c r="M209" s="89"/>
      <c r="N209" s="88"/>
      <c r="O209" s="88"/>
      <c r="P209" s="88"/>
      <c r="Q209" s="88"/>
      <c r="R209" s="88"/>
      <c r="S209" s="88"/>
      <c r="T209" s="88"/>
      <c r="U209" s="88"/>
      <c r="V209" s="88"/>
      <c r="W209" s="88"/>
      <c r="X209" s="88"/>
      <c r="Y209" s="89"/>
      <c r="Z209" s="88"/>
      <c r="AA209" s="88"/>
      <c r="AB209" s="88"/>
      <c r="AC209" s="88"/>
      <c r="AD209" s="88"/>
      <c r="AE209" s="88"/>
      <c r="AF209" s="88"/>
      <c r="AG209" s="88"/>
      <c r="AH209" s="88"/>
      <c r="AI209" s="88"/>
      <c r="AJ209" s="88"/>
      <c r="AK209" s="88"/>
      <c r="AL209" s="88"/>
      <c r="AM209" s="88"/>
      <c r="AN209" s="88"/>
      <c r="AO209" s="88"/>
      <c r="AP209" s="88"/>
      <c r="AQ209" s="88"/>
      <c r="AR209" s="88"/>
      <c r="AS209" s="88"/>
      <c r="AT209" s="88"/>
      <c r="AU209" s="88"/>
      <c r="AV209" s="88"/>
      <c r="AW209" s="88"/>
    </row>
    <row r="210" spans="1:49" ht="15.75" customHeight="1">
      <c r="A210" s="85"/>
      <c r="B210" s="88"/>
      <c r="C210" s="88"/>
      <c r="D210" s="90"/>
      <c r="E210" s="90"/>
      <c r="F210" s="90"/>
      <c r="G210" s="90"/>
      <c r="H210" s="90"/>
      <c r="I210" s="90"/>
      <c r="J210" s="90"/>
      <c r="K210" s="90"/>
      <c r="L210" s="90"/>
      <c r="M210" s="89"/>
      <c r="N210" s="88"/>
      <c r="O210" s="88"/>
      <c r="P210" s="88"/>
      <c r="Q210" s="88"/>
      <c r="R210" s="88"/>
      <c r="S210" s="88"/>
      <c r="T210" s="88"/>
      <c r="U210" s="88"/>
      <c r="V210" s="88"/>
      <c r="W210" s="88"/>
      <c r="X210" s="88"/>
      <c r="Y210" s="89"/>
      <c r="Z210" s="88"/>
      <c r="AA210" s="88"/>
      <c r="AB210" s="88"/>
      <c r="AC210" s="88"/>
      <c r="AD210" s="88"/>
      <c r="AE210" s="88"/>
      <c r="AF210" s="88"/>
      <c r="AG210" s="88"/>
      <c r="AH210" s="88"/>
      <c r="AI210" s="88"/>
      <c r="AJ210" s="88"/>
      <c r="AK210" s="88"/>
      <c r="AL210" s="88"/>
      <c r="AM210" s="88"/>
      <c r="AN210" s="88"/>
      <c r="AO210" s="88"/>
      <c r="AP210" s="88"/>
      <c r="AQ210" s="88"/>
      <c r="AR210" s="88"/>
      <c r="AS210" s="88"/>
      <c r="AT210" s="88"/>
      <c r="AU210" s="88"/>
      <c r="AV210" s="88"/>
      <c r="AW210" s="88"/>
    </row>
    <row r="211" spans="1:49" ht="15.75" customHeight="1">
      <c r="A211" s="85"/>
      <c r="B211" s="88"/>
      <c r="C211" s="88"/>
      <c r="D211" s="90"/>
      <c r="E211" s="90"/>
      <c r="F211" s="90"/>
      <c r="G211" s="90"/>
      <c r="H211" s="90"/>
      <c r="I211" s="90"/>
      <c r="J211" s="90"/>
      <c r="K211" s="90"/>
      <c r="L211" s="90"/>
      <c r="M211" s="89"/>
      <c r="N211" s="88"/>
      <c r="O211" s="88"/>
      <c r="P211" s="88"/>
      <c r="Q211" s="88"/>
      <c r="R211" s="88"/>
      <c r="S211" s="88"/>
      <c r="T211" s="88"/>
      <c r="U211" s="88"/>
      <c r="V211" s="88"/>
      <c r="W211" s="88"/>
      <c r="X211" s="88"/>
      <c r="Y211" s="89"/>
      <c r="Z211" s="88"/>
      <c r="AA211" s="88"/>
      <c r="AB211" s="88"/>
      <c r="AC211" s="88"/>
      <c r="AD211" s="88"/>
      <c r="AE211" s="88"/>
      <c r="AF211" s="88"/>
      <c r="AG211" s="88"/>
      <c r="AH211" s="88"/>
      <c r="AI211" s="88"/>
      <c r="AJ211" s="88"/>
      <c r="AK211" s="88"/>
      <c r="AL211" s="88"/>
      <c r="AM211" s="88"/>
      <c r="AN211" s="88"/>
      <c r="AO211" s="88"/>
      <c r="AP211" s="88"/>
      <c r="AQ211" s="88"/>
      <c r="AR211" s="88"/>
      <c r="AS211" s="88"/>
      <c r="AT211" s="88"/>
      <c r="AU211" s="88"/>
      <c r="AV211" s="88"/>
      <c r="AW211" s="88"/>
    </row>
    <row r="212" spans="1:49" ht="15.75" customHeight="1">
      <c r="A212" s="85"/>
      <c r="B212" s="88"/>
      <c r="C212" s="88"/>
      <c r="D212" s="90"/>
      <c r="E212" s="90"/>
      <c r="F212" s="90"/>
      <c r="G212" s="90"/>
      <c r="H212" s="90"/>
      <c r="I212" s="90"/>
      <c r="J212" s="90"/>
      <c r="K212" s="90"/>
      <c r="L212" s="90"/>
      <c r="M212" s="89"/>
      <c r="N212" s="88"/>
      <c r="O212" s="88"/>
      <c r="P212" s="88"/>
      <c r="Q212" s="88"/>
      <c r="R212" s="88"/>
      <c r="S212" s="88"/>
      <c r="T212" s="88"/>
      <c r="U212" s="88"/>
      <c r="V212" s="88"/>
      <c r="W212" s="88"/>
      <c r="X212" s="88"/>
      <c r="Y212" s="89"/>
      <c r="Z212" s="88"/>
      <c r="AA212" s="88"/>
      <c r="AB212" s="88"/>
      <c r="AC212" s="88"/>
      <c r="AD212" s="88"/>
      <c r="AE212" s="88"/>
      <c r="AF212" s="88"/>
      <c r="AG212" s="88"/>
      <c r="AH212" s="88"/>
      <c r="AI212" s="88"/>
      <c r="AJ212" s="88"/>
      <c r="AK212" s="88"/>
      <c r="AL212" s="88"/>
      <c r="AM212" s="88"/>
      <c r="AN212" s="88"/>
      <c r="AO212" s="88"/>
      <c r="AP212" s="88"/>
      <c r="AQ212" s="88"/>
      <c r="AR212" s="88"/>
      <c r="AS212" s="88"/>
      <c r="AT212" s="88"/>
      <c r="AU212" s="88"/>
      <c r="AV212" s="88"/>
      <c r="AW212" s="88"/>
    </row>
    <row r="213" spans="1:49" ht="15.75" customHeight="1">
      <c r="A213" s="85"/>
      <c r="B213" s="88"/>
      <c r="C213" s="88"/>
      <c r="D213" s="90"/>
      <c r="E213" s="90"/>
      <c r="F213" s="90"/>
      <c r="G213" s="90"/>
      <c r="H213" s="90"/>
      <c r="I213" s="90"/>
      <c r="J213" s="90"/>
      <c r="K213" s="90"/>
      <c r="L213" s="90"/>
      <c r="M213" s="89"/>
      <c r="N213" s="88"/>
      <c r="O213" s="88"/>
      <c r="P213" s="88"/>
      <c r="Q213" s="88"/>
      <c r="R213" s="88"/>
      <c r="S213" s="88"/>
      <c r="T213" s="88"/>
      <c r="U213" s="88"/>
      <c r="V213" s="88"/>
      <c r="W213" s="88"/>
      <c r="X213" s="88"/>
      <c r="Y213" s="89"/>
      <c r="Z213" s="88"/>
      <c r="AA213" s="88"/>
      <c r="AB213" s="88"/>
      <c r="AC213" s="88"/>
      <c r="AD213" s="88"/>
      <c r="AE213" s="88"/>
      <c r="AF213" s="88"/>
      <c r="AG213" s="88"/>
      <c r="AH213" s="88"/>
      <c r="AI213" s="88"/>
      <c r="AJ213" s="88"/>
      <c r="AK213" s="88"/>
      <c r="AL213" s="88"/>
      <c r="AM213" s="88"/>
      <c r="AN213" s="88"/>
      <c r="AO213" s="88"/>
      <c r="AP213" s="88"/>
      <c r="AQ213" s="88"/>
      <c r="AR213" s="88"/>
      <c r="AS213" s="88"/>
      <c r="AT213" s="88"/>
      <c r="AU213" s="88"/>
      <c r="AV213" s="88"/>
      <c r="AW213" s="88"/>
    </row>
    <row r="214" spans="1:49" ht="15.75" customHeight="1">
      <c r="A214" s="85"/>
      <c r="B214" s="88"/>
      <c r="C214" s="88"/>
      <c r="D214" s="90"/>
      <c r="E214" s="90"/>
      <c r="F214" s="90"/>
      <c r="G214" s="90"/>
      <c r="H214" s="90"/>
      <c r="I214" s="90"/>
      <c r="J214" s="90"/>
      <c r="K214" s="90"/>
      <c r="L214" s="90"/>
      <c r="M214" s="89"/>
      <c r="N214" s="88"/>
      <c r="O214" s="88"/>
      <c r="P214" s="88"/>
      <c r="Q214" s="88"/>
      <c r="R214" s="88"/>
      <c r="S214" s="88"/>
      <c r="T214" s="88"/>
      <c r="U214" s="88"/>
      <c r="V214" s="88"/>
      <c r="W214" s="88"/>
      <c r="X214" s="88"/>
      <c r="Y214" s="89"/>
      <c r="Z214" s="88"/>
      <c r="AA214" s="88"/>
      <c r="AB214" s="88"/>
      <c r="AC214" s="88"/>
      <c r="AD214" s="88"/>
      <c r="AE214" s="88"/>
      <c r="AF214" s="88"/>
      <c r="AG214" s="88"/>
      <c r="AH214" s="88"/>
      <c r="AI214" s="88"/>
      <c r="AJ214" s="88"/>
      <c r="AK214" s="88"/>
      <c r="AL214" s="88"/>
      <c r="AM214" s="88"/>
      <c r="AN214" s="88"/>
      <c r="AO214" s="88"/>
      <c r="AP214" s="88"/>
      <c r="AQ214" s="88"/>
      <c r="AR214" s="88"/>
      <c r="AS214" s="88"/>
      <c r="AT214" s="88"/>
      <c r="AU214" s="88"/>
      <c r="AV214" s="88"/>
      <c r="AW214" s="88"/>
    </row>
    <row r="215" spans="1:49" ht="15.75" customHeight="1">
      <c r="A215" s="85"/>
      <c r="B215" s="88"/>
      <c r="C215" s="88"/>
      <c r="D215" s="90"/>
      <c r="E215" s="90"/>
      <c r="F215" s="90"/>
      <c r="G215" s="90"/>
      <c r="H215" s="90"/>
      <c r="I215" s="90"/>
      <c r="J215" s="90"/>
      <c r="K215" s="90"/>
      <c r="L215" s="90"/>
      <c r="M215" s="89"/>
      <c r="N215" s="88"/>
      <c r="O215" s="88"/>
      <c r="P215" s="88"/>
      <c r="Q215" s="88"/>
      <c r="R215" s="88"/>
      <c r="S215" s="88"/>
      <c r="T215" s="88"/>
      <c r="U215" s="88"/>
      <c r="V215" s="88"/>
      <c r="W215" s="88"/>
      <c r="X215" s="88"/>
      <c r="Y215" s="89"/>
      <c r="Z215" s="88"/>
      <c r="AA215" s="88"/>
      <c r="AB215" s="88"/>
      <c r="AC215" s="88"/>
      <c r="AD215" s="88"/>
      <c r="AE215" s="88"/>
      <c r="AF215" s="88"/>
      <c r="AG215" s="88"/>
      <c r="AH215" s="88"/>
      <c r="AI215" s="88"/>
      <c r="AJ215" s="88"/>
      <c r="AK215" s="88"/>
      <c r="AL215" s="88"/>
      <c r="AM215" s="88"/>
      <c r="AN215" s="88"/>
      <c r="AO215" s="88"/>
      <c r="AP215" s="88"/>
      <c r="AQ215" s="88"/>
      <c r="AR215" s="88"/>
      <c r="AS215" s="88"/>
      <c r="AT215" s="88"/>
      <c r="AU215" s="88"/>
      <c r="AV215" s="88"/>
      <c r="AW215" s="88"/>
    </row>
    <row r="216" spans="1:49" ht="15.75" customHeight="1">
      <c r="A216" s="85"/>
      <c r="B216" s="88"/>
      <c r="C216" s="88"/>
      <c r="D216" s="90"/>
      <c r="E216" s="90"/>
      <c r="F216" s="90"/>
      <c r="G216" s="90"/>
      <c r="H216" s="90"/>
      <c r="I216" s="90"/>
      <c r="J216" s="90"/>
      <c r="K216" s="90"/>
      <c r="L216" s="90"/>
      <c r="M216" s="89"/>
      <c r="N216" s="88"/>
      <c r="O216" s="88"/>
      <c r="P216" s="88"/>
      <c r="Q216" s="88"/>
      <c r="R216" s="88"/>
      <c r="S216" s="88"/>
      <c r="T216" s="88"/>
      <c r="U216" s="88"/>
      <c r="V216" s="88"/>
      <c r="W216" s="88"/>
      <c r="X216" s="88"/>
      <c r="Y216" s="89"/>
      <c r="Z216" s="88"/>
      <c r="AA216" s="88"/>
      <c r="AB216" s="88"/>
      <c r="AC216" s="88"/>
      <c r="AD216" s="88"/>
      <c r="AE216" s="88"/>
      <c r="AF216" s="88"/>
      <c r="AG216" s="88"/>
      <c r="AH216" s="88"/>
      <c r="AI216" s="88"/>
      <c r="AJ216" s="88"/>
      <c r="AK216" s="88"/>
      <c r="AL216" s="88"/>
      <c r="AM216" s="88"/>
      <c r="AN216" s="88"/>
      <c r="AO216" s="88"/>
      <c r="AP216" s="88"/>
      <c r="AQ216" s="88"/>
      <c r="AR216" s="88"/>
      <c r="AS216" s="88"/>
      <c r="AT216" s="88"/>
      <c r="AU216" s="88"/>
      <c r="AV216" s="88"/>
      <c r="AW216" s="88"/>
    </row>
    <row r="217" spans="1:49" ht="15.75" customHeight="1">
      <c r="A217" s="85"/>
      <c r="B217" s="88"/>
      <c r="C217" s="88"/>
      <c r="D217" s="90"/>
      <c r="E217" s="90"/>
      <c r="F217" s="90"/>
      <c r="G217" s="90"/>
      <c r="H217" s="90"/>
      <c r="I217" s="90"/>
      <c r="J217" s="90"/>
      <c r="K217" s="90"/>
      <c r="L217" s="90"/>
      <c r="M217" s="89"/>
      <c r="N217" s="88"/>
      <c r="O217" s="88"/>
      <c r="P217" s="88"/>
      <c r="Q217" s="88"/>
      <c r="R217" s="88"/>
      <c r="S217" s="88"/>
      <c r="T217" s="88"/>
      <c r="U217" s="88"/>
      <c r="V217" s="88"/>
      <c r="W217" s="88"/>
      <c r="X217" s="88"/>
      <c r="Y217" s="89"/>
      <c r="Z217" s="88"/>
      <c r="AA217" s="88"/>
      <c r="AB217" s="88"/>
      <c r="AC217" s="88"/>
      <c r="AD217" s="88"/>
      <c r="AE217" s="88"/>
      <c r="AF217" s="88"/>
      <c r="AG217" s="88"/>
      <c r="AH217" s="88"/>
      <c r="AI217" s="88"/>
      <c r="AJ217" s="88"/>
      <c r="AK217" s="88"/>
      <c r="AL217" s="88"/>
      <c r="AM217" s="88"/>
      <c r="AN217" s="88"/>
      <c r="AO217" s="88"/>
      <c r="AP217" s="88"/>
      <c r="AQ217" s="88"/>
      <c r="AR217" s="88"/>
      <c r="AS217" s="88"/>
      <c r="AT217" s="88"/>
      <c r="AU217" s="88"/>
      <c r="AV217" s="88"/>
      <c r="AW217" s="88"/>
    </row>
    <row r="218" spans="1:49" ht="15.75" customHeight="1">
      <c r="A218" s="85"/>
      <c r="B218" s="88"/>
      <c r="C218" s="88"/>
      <c r="D218" s="90"/>
      <c r="E218" s="90"/>
      <c r="F218" s="90"/>
      <c r="G218" s="90"/>
      <c r="H218" s="90"/>
      <c r="I218" s="90"/>
      <c r="J218" s="90"/>
      <c r="K218" s="90"/>
      <c r="L218" s="90"/>
      <c r="M218" s="89"/>
      <c r="N218" s="88"/>
      <c r="O218" s="88"/>
      <c r="P218" s="88"/>
      <c r="Q218" s="88"/>
      <c r="R218" s="88"/>
      <c r="S218" s="88"/>
      <c r="T218" s="88"/>
      <c r="U218" s="88"/>
      <c r="V218" s="88"/>
      <c r="W218" s="88"/>
      <c r="X218" s="88"/>
      <c r="Y218" s="89"/>
      <c r="Z218" s="88"/>
      <c r="AA218" s="88"/>
      <c r="AB218" s="88"/>
      <c r="AC218" s="88"/>
      <c r="AD218" s="88"/>
      <c r="AE218" s="88"/>
      <c r="AF218" s="88"/>
      <c r="AG218" s="88"/>
      <c r="AH218" s="88"/>
      <c r="AI218" s="88"/>
      <c r="AJ218" s="88"/>
      <c r="AK218" s="88"/>
      <c r="AL218" s="88"/>
      <c r="AM218" s="88"/>
      <c r="AN218" s="88"/>
      <c r="AO218" s="88"/>
      <c r="AP218" s="88"/>
      <c r="AQ218" s="88"/>
      <c r="AR218" s="88"/>
      <c r="AS218" s="88"/>
      <c r="AT218" s="88"/>
      <c r="AU218" s="88"/>
      <c r="AV218" s="88"/>
      <c r="AW218" s="88"/>
    </row>
    <row r="219" spans="1:49" ht="15.75" customHeight="1">
      <c r="A219" s="85"/>
      <c r="B219" s="88"/>
      <c r="C219" s="88"/>
      <c r="D219" s="90"/>
      <c r="E219" s="90"/>
      <c r="F219" s="90"/>
      <c r="G219" s="90"/>
      <c r="H219" s="90"/>
      <c r="I219" s="90"/>
      <c r="J219" s="90"/>
      <c r="K219" s="90"/>
      <c r="L219" s="90"/>
      <c r="M219" s="89"/>
      <c r="N219" s="88"/>
      <c r="O219" s="88"/>
      <c r="P219" s="88"/>
      <c r="Q219" s="88"/>
      <c r="R219" s="88"/>
      <c r="S219" s="88"/>
      <c r="T219" s="88"/>
      <c r="U219" s="88"/>
      <c r="V219" s="88"/>
      <c r="W219" s="88"/>
      <c r="X219" s="88"/>
      <c r="Y219" s="89"/>
      <c r="Z219" s="88"/>
      <c r="AA219" s="88"/>
      <c r="AB219" s="88"/>
      <c r="AC219" s="88"/>
      <c r="AD219" s="88"/>
      <c r="AE219" s="88"/>
      <c r="AF219" s="88"/>
      <c r="AG219" s="88"/>
      <c r="AH219" s="88"/>
      <c r="AI219" s="88"/>
      <c r="AJ219" s="88"/>
      <c r="AK219" s="88"/>
      <c r="AL219" s="88"/>
      <c r="AM219" s="88"/>
      <c r="AN219" s="88"/>
      <c r="AO219" s="88"/>
      <c r="AP219" s="88"/>
      <c r="AQ219" s="88"/>
      <c r="AR219" s="88"/>
      <c r="AS219" s="88"/>
      <c r="AT219" s="88"/>
      <c r="AU219" s="88"/>
      <c r="AV219" s="88"/>
      <c r="AW219" s="88"/>
    </row>
    <row r="220" spans="1:49" ht="15.75" customHeight="1">
      <c r="G220" s="90"/>
      <c r="H220" s="90"/>
    </row>
    <row r="221" spans="1:49" ht="15.75" customHeight="1">
      <c r="G221" s="90"/>
      <c r="H221" s="90"/>
    </row>
    <row r="222" spans="1:49" ht="15.75" customHeight="1">
      <c r="G222" s="90"/>
      <c r="H222" s="90"/>
    </row>
    <row r="223" spans="1:49" ht="15.75" customHeight="1">
      <c r="G223" s="90"/>
      <c r="H223" s="90"/>
    </row>
    <row r="224" spans="1:49" ht="15.75" customHeight="1">
      <c r="G224" s="90"/>
      <c r="H224" s="90"/>
    </row>
    <row r="225" spans="7:8" ht="15.75" customHeight="1">
      <c r="G225" s="90"/>
      <c r="H225" s="90"/>
    </row>
    <row r="226" spans="7:8" ht="15.75" customHeight="1">
      <c r="G226" s="90"/>
      <c r="H226" s="90"/>
    </row>
    <row r="227" spans="7:8" ht="15.75" customHeight="1">
      <c r="G227" s="90"/>
      <c r="H227" s="90"/>
    </row>
    <row r="228" spans="7:8" ht="15.75" customHeight="1">
      <c r="G228" s="90"/>
      <c r="H228" s="90"/>
    </row>
    <row r="229" spans="7:8" ht="15.75" customHeight="1">
      <c r="G229" s="90"/>
      <c r="H229" s="90"/>
    </row>
    <row r="230" spans="7:8" ht="15.75" customHeight="1">
      <c r="G230" s="90"/>
      <c r="H230" s="90"/>
    </row>
    <row r="231" spans="7:8" ht="15.75" customHeight="1">
      <c r="G231" s="90"/>
      <c r="H231" s="90"/>
    </row>
    <row r="232" spans="7:8" ht="15.75" customHeight="1">
      <c r="G232" s="90"/>
      <c r="H232" s="90"/>
    </row>
    <row r="233" spans="7:8" ht="15.75" customHeight="1">
      <c r="G233" s="90"/>
      <c r="H233" s="90"/>
    </row>
    <row r="234" spans="7:8" ht="15.75" customHeight="1">
      <c r="G234" s="90"/>
      <c r="H234" s="90"/>
    </row>
    <row r="235" spans="7:8" ht="15.75" customHeight="1">
      <c r="G235" s="90"/>
      <c r="H235" s="90"/>
    </row>
    <row r="236" spans="7:8" ht="15.75" customHeight="1">
      <c r="G236" s="90"/>
      <c r="H236" s="90"/>
    </row>
    <row r="237" spans="7:8" ht="15.75" customHeight="1">
      <c r="G237" s="90"/>
      <c r="H237" s="90"/>
    </row>
    <row r="238" spans="7:8" ht="15.75" customHeight="1">
      <c r="G238" s="90"/>
      <c r="H238" s="90"/>
    </row>
    <row r="239" spans="7:8" ht="15.75" customHeight="1">
      <c r="G239" s="90"/>
      <c r="H239" s="90"/>
    </row>
    <row r="240" spans="7:8" ht="15.75" customHeight="1">
      <c r="G240" s="90"/>
      <c r="H240" s="90"/>
    </row>
    <row r="241" spans="7:8" ht="15.75" customHeight="1">
      <c r="G241" s="90"/>
      <c r="H241" s="90"/>
    </row>
    <row r="242" spans="7:8" ht="15.75" customHeight="1">
      <c r="G242" s="90"/>
      <c r="H242" s="90"/>
    </row>
    <row r="243" spans="7:8" ht="15.75" customHeight="1">
      <c r="G243" s="90"/>
      <c r="H243" s="90"/>
    </row>
    <row r="244" spans="7:8" ht="15.75" customHeight="1">
      <c r="G244" s="90"/>
      <c r="H244" s="90"/>
    </row>
    <row r="245" spans="7:8" ht="15.75" customHeight="1">
      <c r="G245" s="90"/>
      <c r="H245" s="90"/>
    </row>
    <row r="246" spans="7:8" ht="15.75" customHeight="1">
      <c r="G246" s="90"/>
      <c r="H246" s="90"/>
    </row>
    <row r="247" spans="7:8" ht="15.75" customHeight="1">
      <c r="G247" s="90"/>
      <c r="H247" s="90"/>
    </row>
    <row r="248" spans="7:8" ht="15.75" customHeight="1">
      <c r="G248" s="90"/>
      <c r="H248" s="90"/>
    </row>
    <row r="249" spans="7:8" ht="15.75" customHeight="1">
      <c r="G249" s="90"/>
      <c r="H249" s="90"/>
    </row>
    <row r="250" spans="7:8" ht="15.75" customHeight="1">
      <c r="G250" s="90"/>
      <c r="H250" s="90"/>
    </row>
    <row r="251" spans="7:8" ht="15.75" customHeight="1">
      <c r="G251" s="90"/>
      <c r="H251" s="90"/>
    </row>
    <row r="252" spans="7:8" ht="15.75" customHeight="1">
      <c r="G252" s="90"/>
      <c r="H252" s="90"/>
    </row>
    <row r="253" spans="7:8" ht="15.75" customHeight="1">
      <c r="G253" s="90"/>
      <c r="H253" s="90"/>
    </row>
    <row r="254" spans="7:8" ht="15.75" customHeight="1">
      <c r="G254" s="90"/>
      <c r="H254" s="90"/>
    </row>
    <row r="255" spans="7:8" ht="15.75" customHeight="1">
      <c r="G255" s="90"/>
      <c r="H255" s="90"/>
    </row>
    <row r="256" spans="7:8" ht="15.75" customHeight="1">
      <c r="G256" s="90"/>
      <c r="H256" s="90"/>
    </row>
    <row r="257" spans="7:8" ht="15.75" customHeight="1">
      <c r="G257" s="90"/>
      <c r="H257" s="90"/>
    </row>
    <row r="258" spans="7:8" ht="15.75" customHeight="1">
      <c r="G258" s="90"/>
      <c r="H258" s="90"/>
    </row>
    <row r="259" spans="7:8" ht="15.75" customHeight="1">
      <c r="G259" s="90"/>
      <c r="H259" s="90"/>
    </row>
    <row r="260" spans="7:8" ht="15.75" customHeight="1">
      <c r="G260" s="90"/>
      <c r="H260" s="90"/>
    </row>
    <row r="261" spans="7:8" ht="15.75" customHeight="1">
      <c r="G261" s="90"/>
      <c r="H261" s="90"/>
    </row>
    <row r="262" spans="7:8" ht="15.75" customHeight="1">
      <c r="G262" s="90"/>
      <c r="H262" s="90"/>
    </row>
    <row r="263" spans="7:8" ht="15.75" customHeight="1">
      <c r="G263" s="90"/>
      <c r="H263" s="90"/>
    </row>
    <row r="264" spans="7:8" ht="15.75" customHeight="1">
      <c r="G264" s="90"/>
      <c r="H264" s="90"/>
    </row>
    <row r="265" spans="7:8" ht="15.75" customHeight="1">
      <c r="G265" s="90"/>
      <c r="H265" s="90"/>
    </row>
    <row r="266" spans="7:8" ht="15.75" customHeight="1">
      <c r="G266" s="90"/>
      <c r="H266" s="90"/>
    </row>
    <row r="267" spans="7:8" ht="15.75" customHeight="1">
      <c r="G267" s="90"/>
      <c r="H267" s="90"/>
    </row>
    <row r="268" spans="7:8" ht="15.75" customHeight="1">
      <c r="G268" s="90"/>
      <c r="H268" s="90"/>
    </row>
    <row r="269" spans="7:8" ht="15.75" customHeight="1">
      <c r="G269" s="90"/>
      <c r="H269" s="90"/>
    </row>
    <row r="270" spans="7:8" ht="15.75" customHeight="1">
      <c r="G270" s="90"/>
      <c r="H270" s="90"/>
    </row>
    <row r="271" spans="7:8" ht="15.75" customHeight="1">
      <c r="G271" s="90"/>
      <c r="H271" s="90"/>
    </row>
    <row r="272" spans="7:8" ht="15.75" customHeight="1">
      <c r="G272" s="90"/>
      <c r="H272" s="90"/>
    </row>
    <row r="273" spans="7:8" ht="15.75" customHeight="1">
      <c r="G273" s="90"/>
      <c r="H273" s="90"/>
    </row>
    <row r="274" spans="7:8" ht="15.75" customHeight="1">
      <c r="G274" s="90"/>
      <c r="H274" s="90"/>
    </row>
    <row r="275" spans="7:8" ht="15.75" customHeight="1">
      <c r="G275" s="90"/>
      <c r="H275" s="90"/>
    </row>
    <row r="276" spans="7:8" ht="15.75" customHeight="1">
      <c r="G276" s="90"/>
      <c r="H276" s="90"/>
    </row>
    <row r="277" spans="7:8" ht="15.75" customHeight="1">
      <c r="G277" s="90"/>
      <c r="H277" s="90"/>
    </row>
    <row r="278" spans="7:8" ht="15.75" customHeight="1">
      <c r="G278" s="90"/>
      <c r="H278" s="90"/>
    </row>
    <row r="279" spans="7:8" ht="15.75" customHeight="1">
      <c r="G279" s="90"/>
      <c r="H279" s="90"/>
    </row>
    <row r="280" spans="7:8" ht="15.75" customHeight="1">
      <c r="G280" s="90"/>
      <c r="H280" s="90"/>
    </row>
    <row r="281" spans="7:8" ht="15.75" customHeight="1">
      <c r="G281" s="90"/>
      <c r="H281" s="90"/>
    </row>
    <row r="282" spans="7:8" ht="15.75" customHeight="1">
      <c r="G282" s="90"/>
      <c r="H282" s="90"/>
    </row>
    <row r="283" spans="7:8" ht="15.75" customHeight="1">
      <c r="G283" s="90"/>
      <c r="H283" s="90"/>
    </row>
    <row r="284" spans="7:8" ht="15.75" customHeight="1">
      <c r="G284" s="90"/>
      <c r="H284" s="90"/>
    </row>
    <row r="285" spans="7:8" ht="15.75" customHeight="1">
      <c r="G285" s="90"/>
      <c r="H285" s="90"/>
    </row>
    <row r="286" spans="7:8" ht="15.75" customHeight="1">
      <c r="G286" s="90"/>
      <c r="H286" s="90"/>
    </row>
    <row r="287" spans="7:8" ht="15.75" customHeight="1">
      <c r="G287" s="90"/>
      <c r="H287" s="90"/>
    </row>
    <row r="288" spans="7:8" ht="15.75" customHeight="1">
      <c r="G288" s="90"/>
      <c r="H288" s="90"/>
    </row>
    <row r="289" spans="7:8" ht="15.75" customHeight="1">
      <c r="G289" s="90"/>
      <c r="H289" s="90"/>
    </row>
    <row r="290" spans="7:8" ht="15.75" customHeight="1">
      <c r="G290" s="90"/>
      <c r="H290" s="90"/>
    </row>
    <row r="291" spans="7:8" ht="15.75" customHeight="1">
      <c r="G291" s="90"/>
      <c r="H291" s="90"/>
    </row>
    <row r="292" spans="7:8" ht="15.75" customHeight="1">
      <c r="G292" s="90"/>
      <c r="H292" s="90"/>
    </row>
    <row r="293" spans="7:8" ht="15.75" customHeight="1">
      <c r="G293" s="90"/>
      <c r="H293" s="90"/>
    </row>
    <row r="294" spans="7:8" ht="15.75" customHeight="1">
      <c r="G294" s="90"/>
      <c r="H294" s="90"/>
    </row>
    <row r="295" spans="7:8" ht="15.75" customHeight="1">
      <c r="G295" s="90"/>
      <c r="H295" s="90"/>
    </row>
    <row r="296" spans="7:8" ht="15.75" customHeight="1">
      <c r="G296" s="90"/>
      <c r="H296" s="90"/>
    </row>
    <row r="297" spans="7:8" ht="15.75" customHeight="1">
      <c r="G297" s="90"/>
      <c r="H297" s="90"/>
    </row>
    <row r="298" spans="7:8" ht="15.75" customHeight="1">
      <c r="G298" s="90"/>
      <c r="H298" s="90"/>
    </row>
    <row r="299" spans="7:8" ht="15.75" customHeight="1">
      <c r="G299" s="90"/>
      <c r="H299" s="90"/>
    </row>
    <row r="300" spans="7:8" ht="15.75" customHeight="1">
      <c r="G300" s="90"/>
      <c r="H300" s="90"/>
    </row>
    <row r="301" spans="7:8" ht="15.75" customHeight="1">
      <c r="G301" s="90"/>
      <c r="H301" s="90"/>
    </row>
    <row r="302" spans="7:8" ht="15.75" customHeight="1">
      <c r="G302" s="90"/>
      <c r="H302" s="90"/>
    </row>
    <row r="303" spans="7:8" ht="15.75" customHeight="1">
      <c r="G303" s="90"/>
      <c r="H303" s="90"/>
    </row>
    <row r="304" spans="7:8" ht="15.75" customHeight="1">
      <c r="G304" s="90"/>
      <c r="H304" s="90"/>
    </row>
    <row r="305" spans="7:8" ht="15.75" customHeight="1">
      <c r="G305" s="90"/>
      <c r="H305" s="90"/>
    </row>
    <row r="306" spans="7:8" ht="15.75" customHeight="1">
      <c r="G306" s="90"/>
      <c r="H306" s="90"/>
    </row>
    <row r="307" spans="7:8" ht="15.75" customHeight="1">
      <c r="G307" s="90"/>
      <c r="H307" s="90"/>
    </row>
    <row r="308" spans="7:8" ht="15.75" customHeight="1">
      <c r="G308" s="90"/>
      <c r="H308" s="90"/>
    </row>
    <row r="309" spans="7:8" ht="15.75" customHeight="1">
      <c r="G309" s="90"/>
      <c r="H309" s="90"/>
    </row>
    <row r="310" spans="7:8" ht="15.75" customHeight="1">
      <c r="G310" s="90"/>
      <c r="H310" s="90"/>
    </row>
    <row r="311" spans="7:8" ht="15.75" customHeight="1">
      <c r="G311" s="90"/>
      <c r="H311" s="90"/>
    </row>
    <row r="312" spans="7:8" ht="15.75" customHeight="1">
      <c r="G312" s="90"/>
      <c r="H312" s="90"/>
    </row>
    <row r="313" spans="7:8" ht="15.75" customHeight="1">
      <c r="G313" s="90"/>
      <c r="H313" s="90"/>
    </row>
    <row r="314" spans="7:8" ht="15.75" customHeight="1">
      <c r="G314" s="90"/>
      <c r="H314" s="90"/>
    </row>
    <row r="315" spans="7:8" ht="15.75" customHeight="1">
      <c r="G315" s="90"/>
      <c r="H315" s="90"/>
    </row>
    <row r="316" spans="7:8" ht="15.75" customHeight="1">
      <c r="G316" s="90"/>
      <c r="H316" s="90"/>
    </row>
    <row r="317" spans="7:8" ht="15.75" customHeight="1">
      <c r="G317" s="90"/>
      <c r="H317" s="90"/>
    </row>
    <row r="318" spans="7:8" ht="15.75" customHeight="1">
      <c r="G318" s="90"/>
      <c r="H318" s="90"/>
    </row>
    <row r="319" spans="7:8" ht="15.75" customHeight="1">
      <c r="G319" s="90"/>
      <c r="H319" s="90"/>
    </row>
    <row r="320" spans="7:8" ht="15.75" customHeight="1">
      <c r="G320" s="90"/>
      <c r="H320" s="90"/>
    </row>
    <row r="321" spans="7:8" ht="15.75" customHeight="1">
      <c r="G321" s="90"/>
      <c r="H321" s="90"/>
    </row>
    <row r="322" spans="7:8" ht="15.75" customHeight="1">
      <c r="G322" s="90"/>
      <c r="H322" s="90"/>
    </row>
    <row r="323" spans="7:8" ht="15.75" customHeight="1">
      <c r="G323" s="90"/>
      <c r="H323" s="90"/>
    </row>
    <row r="324" spans="7:8" ht="15.75" customHeight="1">
      <c r="G324" s="90"/>
      <c r="H324" s="90"/>
    </row>
    <row r="325" spans="7:8" ht="15.75" customHeight="1">
      <c r="G325" s="90"/>
      <c r="H325" s="90"/>
    </row>
    <row r="326" spans="7:8" ht="15.75" customHeight="1">
      <c r="G326" s="90"/>
      <c r="H326" s="90"/>
    </row>
    <row r="327" spans="7:8" ht="15.75" customHeight="1">
      <c r="G327" s="90"/>
      <c r="H327" s="90"/>
    </row>
    <row r="328" spans="7:8" ht="15.75" customHeight="1">
      <c r="G328" s="90"/>
      <c r="H328" s="90"/>
    </row>
    <row r="329" spans="7:8" ht="15.75" customHeight="1">
      <c r="G329" s="90"/>
      <c r="H329" s="90"/>
    </row>
    <row r="330" spans="7:8" ht="15.75" customHeight="1">
      <c r="G330" s="90"/>
      <c r="H330" s="90"/>
    </row>
    <row r="331" spans="7:8" ht="15.75" customHeight="1">
      <c r="G331" s="90"/>
      <c r="H331" s="90"/>
    </row>
    <row r="332" spans="7:8" ht="15.75" customHeight="1">
      <c r="G332" s="90"/>
      <c r="H332" s="90"/>
    </row>
    <row r="333" spans="7:8" ht="15.75" customHeight="1">
      <c r="G333" s="90"/>
      <c r="H333" s="90"/>
    </row>
    <row r="334" spans="7:8" ht="15.75" customHeight="1">
      <c r="G334" s="90"/>
      <c r="H334" s="90"/>
    </row>
    <row r="335" spans="7:8" ht="15.75" customHeight="1">
      <c r="G335" s="90"/>
      <c r="H335" s="90"/>
    </row>
    <row r="336" spans="7:8" ht="15.75" customHeight="1">
      <c r="G336" s="90"/>
      <c r="H336" s="90"/>
    </row>
    <row r="337" spans="7:8" ht="15.75" customHeight="1">
      <c r="G337" s="90"/>
      <c r="H337" s="90"/>
    </row>
    <row r="338" spans="7:8" ht="15.75" customHeight="1">
      <c r="G338" s="90"/>
      <c r="H338" s="90"/>
    </row>
    <row r="339" spans="7:8" ht="15.75" customHeight="1">
      <c r="G339" s="90"/>
      <c r="H339" s="90"/>
    </row>
    <row r="340" spans="7:8" ht="15.75" customHeight="1">
      <c r="G340" s="90"/>
      <c r="H340" s="90"/>
    </row>
    <row r="341" spans="7:8" ht="15.75" customHeight="1">
      <c r="G341" s="90"/>
      <c r="H341" s="90"/>
    </row>
    <row r="342" spans="7:8" ht="15.75" customHeight="1">
      <c r="G342" s="90"/>
      <c r="H342" s="90"/>
    </row>
    <row r="343" spans="7:8" ht="15.75" customHeight="1">
      <c r="G343" s="90"/>
      <c r="H343" s="90"/>
    </row>
    <row r="344" spans="7:8" ht="15.75" customHeight="1">
      <c r="G344" s="90"/>
      <c r="H344" s="90"/>
    </row>
    <row r="345" spans="7:8" ht="15.75" customHeight="1">
      <c r="G345" s="90"/>
      <c r="H345" s="90"/>
    </row>
    <row r="346" spans="7:8" ht="15.75" customHeight="1">
      <c r="G346" s="90"/>
      <c r="H346" s="90"/>
    </row>
    <row r="347" spans="7:8" ht="15.75" customHeight="1">
      <c r="G347" s="90"/>
      <c r="H347" s="90"/>
    </row>
    <row r="348" spans="7:8" ht="15.75" customHeight="1">
      <c r="G348" s="90"/>
      <c r="H348" s="90"/>
    </row>
    <row r="349" spans="7:8" ht="15.75" customHeight="1">
      <c r="G349" s="90"/>
      <c r="H349" s="90"/>
    </row>
    <row r="350" spans="7:8" ht="15.75" customHeight="1">
      <c r="G350" s="90"/>
      <c r="H350" s="90"/>
    </row>
    <row r="351" spans="7:8" ht="15.75" customHeight="1">
      <c r="G351" s="90"/>
      <c r="H351" s="90"/>
    </row>
    <row r="352" spans="7:8" ht="15.75" customHeight="1">
      <c r="G352" s="90"/>
      <c r="H352" s="90"/>
    </row>
    <row r="353" spans="7:8" ht="15.75" customHeight="1">
      <c r="G353" s="90"/>
      <c r="H353" s="90"/>
    </row>
    <row r="354" spans="7:8" ht="15.75" customHeight="1">
      <c r="G354" s="90"/>
      <c r="H354" s="90"/>
    </row>
    <row r="355" spans="7:8" ht="15.75" customHeight="1">
      <c r="G355" s="90"/>
      <c r="H355" s="90"/>
    </row>
    <row r="356" spans="7:8" ht="15.75" customHeight="1">
      <c r="G356" s="90"/>
      <c r="H356" s="90"/>
    </row>
    <row r="357" spans="7:8" ht="15.75" customHeight="1">
      <c r="G357" s="90"/>
      <c r="H357" s="90"/>
    </row>
    <row r="358" spans="7:8" ht="15.75" customHeight="1">
      <c r="G358" s="90"/>
      <c r="H358" s="90"/>
    </row>
    <row r="359" spans="7:8" ht="15.75" customHeight="1">
      <c r="G359" s="90"/>
      <c r="H359" s="90"/>
    </row>
    <row r="360" spans="7:8" ht="15.75" customHeight="1">
      <c r="G360" s="90"/>
      <c r="H360" s="90"/>
    </row>
    <row r="361" spans="7:8" ht="15.75" customHeight="1">
      <c r="G361" s="90"/>
      <c r="H361" s="90"/>
    </row>
    <row r="362" spans="7:8" ht="15.75" customHeight="1">
      <c r="G362" s="90"/>
      <c r="H362" s="90"/>
    </row>
    <row r="363" spans="7:8" ht="15.75" customHeight="1">
      <c r="G363" s="90"/>
      <c r="H363" s="90"/>
    </row>
    <row r="364" spans="7:8" ht="15.75" customHeight="1">
      <c r="G364" s="90"/>
      <c r="H364" s="90"/>
    </row>
    <row r="365" spans="7:8" ht="15.75" customHeight="1">
      <c r="G365" s="90"/>
      <c r="H365" s="90"/>
    </row>
    <row r="366" spans="7:8" ht="15.75" customHeight="1">
      <c r="G366" s="90"/>
      <c r="H366" s="90"/>
    </row>
    <row r="367" spans="7:8" ht="15.75" customHeight="1">
      <c r="G367" s="90"/>
      <c r="H367" s="90"/>
    </row>
    <row r="368" spans="7:8" ht="15.75" customHeight="1">
      <c r="G368" s="90"/>
      <c r="H368" s="90"/>
    </row>
    <row r="369" spans="7:8" ht="15.75" customHeight="1">
      <c r="G369" s="90"/>
      <c r="H369" s="90"/>
    </row>
    <row r="370" spans="7:8" ht="15.75" customHeight="1">
      <c r="G370" s="90"/>
      <c r="H370" s="90"/>
    </row>
    <row r="371" spans="7:8" ht="15.75" customHeight="1">
      <c r="G371" s="90"/>
      <c r="H371" s="90"/>
    </row>
    <row r="372" spans="7:8" ht="15.75" customHeight="1">
      <c r="G372" s="90"/>
      <c r="H372" s="90"/>
    </row>
    <row r="373" spans="7:8" ht="15.75" customHeight="1">
      <c r="G373" s="90"/>
      <c r="H373" s="90"/>
    </row>
    <row r="374" spans="7:8" ht="15.75" customHeight="1">
      <c r="G374" s="90"/>
      <c r="H374" s="90"/>
    </row>
    <row r="375" spans="7:8" ht="15.75" customHeight="1">
      <c r="G375" s="90"/>
      <c r="H375" s="90"/>
    </row>
    <row r="376" spans="7:8" ht="15.75" customHeight="1">
      <c r="G376" s="90"/>
      <c r="H376" s="90"/>
    </row>
    <row r="377" spans="7:8" ht="15.75" customHeight="1">
      <c r="G377" s="90"/>
      <c r="H377" s="90"/>
    </row>
    <row r="378" spans="7:8" ht="15.75" customHeight="1">
      <c r="G378" s="90"/>
      <c r="H378" s="90"/>
    </row>
    <row r="379" spans="7:8" ht="15.75" customHeight="1">
      <c r="G379" s="90"/>
      <c r="H379" s="90"/>
    </row>
    <row r="380" spans="7:8" ht="15.75" customHeight="1">
      <c r="G380" s="90"/>
      <c r="H380" s="90"/>
    </row>
    <row r="381" spans="7:8" ht="15.75" customHeight="1">
      <c r="G381" s="90"/>
      <c r="H381" s="90"/>
    </row>
    <row r="382" spans="7:8" ht="15.75" customHeight="1">
      <c r="G382" s="90"/>
      <c r="H382" s="90"/>
    </row>
    <row r="383" spans="7:8" ht="15.75" customHeight="1">
      <c r="G383" s="90"/>
      <c r="H383" s="90"/>
    </row>
    <row r="384" spans="7:8" ht="15.75" customHeight="1">
      <c r="G384" s="90"/>
      <c r="H384" s="90"/>
    </row>
    <row r="385" spans="7:8" ht="15.75" customHeight="1">
      <c r="G385" s="90"/>
      <c r="H385" s="90"/>
    </row>
    <row r="386" spans="7:8" ht="15.75" customHeight="1">
      <c r="G386" s="90"/>
      <c r="H386" s="90"/>
    </row>
    <row r="387" spans="7:8" ht="15.75" customHeight="1">
      <c r="G387" s="90"/>
      <c r="H387" s="90"/>
    </row>
    <row r="388" spans="7:8" ht="15.75" customHeight="1">
      <c r="G388" s="90"/>
      <c r="H388" s="90"/>
    </row>
    <row r="389" spans="7:8" ht="15.75" customHeight="1">
      <c r="G389" s="90"/>
      <c r="H389" s="90"/>
    </row>
    <row r="390" spans="7:8" ht="15.75" customHeight="1">
      <c r="G390" s="90"/>
      <c r="H390" s="90"/>
    </row>
    <row r="391" spans="7:8" ht="15.75" customHeight="1">
      <c r="G391" s="90"/>
      <c r="H391" s="90"/>
    </row>
    <row r="392" spans="7:8" ht="15.75" customHeight="1">
      <c r="G392" s="90"/>
      <c r="H392" s="90"/>
    </row>
    <row r="393" spans="7:8" ht="15.75" customHeight="1">
      <c r="G393" s="90"/>
      <c r="H393" s="90"/>
    </row>
    <row r="394" spans="7:8" ht="15.75" customHeight="1">
      <c r="G394" s="90"/>
      <c r="H394" s="90"/>
    </row>
    <row r="395" spans="7:8" ht="15.75" customHeight="1">
      <c r="G395" s="90"/>
      <c r="H395" s="90"/>
    </row>
    <row r="396" spans="7:8" ht="15.75" customHeight="1">
      <c r="G396" s="90"/>
      <c r="H396" s="90"/>
    </row>
    <row r="397" spans="7:8" ht="15.75" customHeight="1">
      <c r="G397" s="90"/>
      <c r="H397" s="90"/>
    </row>
    <row r="398" spans="7:8" ht="15.75" customHeight="1">
      <c r="G398" s="90"/>
      <c r="H398" s="90"/>
    </row>
    <row r="399" spans="7:8" ht="15.75" customHeight="1">
      <c r="G399" s="90"/>
      <c r="H399" s="90"/>
    </row>
    <row r="400" spans="7:8" ht="15.75" customHeight="1">
      <c r="G400" s="90"/>
      <c r="H400" s="90"/>
    </row>
    <row r="401" spans="7:8" ht="15.75" customHeight="1">
      <c r="G401" s="90"/>
      <c r="H401" s="90"/>
    </row>
    <row r="402" spans="7:8" ht="15.75" customHeight="1">
      <c r="G402" s="90"/>
      <c r="H402" s="90"/>
    </row>
    <row r="403" spans="7:8" ht="15.75" customHeight="1">
      <c r="G403" s="90"/>
      <c r="H403" s="90"/>
    </row>
    <row r="404" spans="7:8" ht="15.75" customHeight="1">
      <c r="G404" s="90"/>
      <c r="H404" s="90"/>
    </row>
    <row r="405" spans="7:8" ht="15.75" customHeight="1">
      <c r="G405" s="90"/>
      <c r="H405" s="90"/>
    </row>
    <row r="406" spans="7:8" ht="15.75" customHeight="1">
      <c r="G406" s="90"/>
      <c r="H406" s="90"/>
    </row>
    <row r="407" spans="7:8" ht="15.75" customHeight="1">
      <c r="G407" s="90"/>
      <c r="H407" s="90"/>
    </row>
    <row r="408" spans="7:8" ht="15.75" customHeight="1">
      <c r="G408" s="90"/>
      <c r="H408" s="90"/>
    </row>
    <row r="409" spans="7:8" ht="15.75" customHeight="1">
      <c r="G409" s="90"/>
      <c r="H409" s="90"/>
    </row>
    <row r="410" spans="7:8" ht="15.75" customHeight="1">
      <c r="G410" s="90"/>
      <c r="H410" s="90"/>
    </row>
    <row r="411" spans="7:8" ht="15.75" customHeight="1">
      <c r="G411" s="90"/>
      <c r="H411" s="90"/>
    </row>
    <row r="412" spans="7:8" ht="15.75" customHeight="1">
      <c r="G412" s="90"/>
      <c r="H412" s="90"/>
    </row>
    <row r="413" spans="7:8" ht="15.75" customHeight="1">
      <c r="G413" s="90"/>
      <c r="H413" s="90"/>
    </row>
    <row r="414" spans="7:8" ht="15.75" customHeight="1">
      <c r="G414" s="90"/>
      <c r="H414" s="90"/>
    </row>
    <row r="415" spans="7:8" ht="15.75" customHeight="1">
      <c r="G415" s="90"/>
      <c r="H415" s="90"/>
    </row>
    <row r="416" spans="7:8" ht="15.75" customHeight="1">
      <c r="G416" s="90"/>
      <c r="H416" s="90"/>
    </row>
    <row r="417" spans="7:8" ht="15.75" customHeight="1">
      <c r="G417" s="90"/>
      <c r="H417" s="90"/>
    </row>
    <row r="418" spans="7:8" ht="15.75" customHeight="1">
      <c r="G418" s="90"/>
      <c r="H418" s="90"/>
    </row>
    <row r="419" spans="7:8" ht="15.75" customHeight="1">
      <c r="G419" s="90"/>
      <c r="H419" s="90"/>
    </row>
    <row r="420" spans="7:8" ht="15.75" customHeight="1">
      <c r="G420" s="90"/>
      <c r="H420" s="90"/>
    </row>
    <row r="421" spans="7:8" ht="15.75" customHeight="1">
      <c r="G421" s="90"/>
      <c r="H421" s="90"/>
    </row>
    <row r="422" spans="7:8" ht="15.75" customHeight="1">
      <c r="G422" s="90"/>
      <c r="H422" s="90"/>
    </row>
    <row r="423" spans="7:8" ht="15.75" customHeight="1">
      <c r="G423" s="90"/>
      <c r="H423" s="90"/>
    </row>
    <row r="424" spans="7:8" ht="15.75" customHeight="1">
      <c r="G424" s="90"/>
      <c r="H424" s="90"/>
    </row>
    <row r="425" spans="7:8" ht="15.75" customHeight="1">
      <c r="G425" s="90"/>
      <c r="H425" s="90"/>
    </row>
    <row r="426" spans="7:8" ht="15.75" customHeight="1">
      <c r="G426" s="90"/>
      <c r="H426" s="90"/>
    </row>
    <row r="427" spans="7:8" ht="15.75" customHeight="1">
      <c r="G427" s="90"/>
      <c r="H427" s="90"/>
    </row>
    <row r="428" spans="7:8" ht="15.75" customHeight="1">
      <c r="G428" s="90"/>
      <c r="H428" s="90"/>
    </row>
    <row r="429" spans="7:8" ht="15.75" customHeight="1">
      <c r="G429" s="90"/>
      <c r="H429" s="90"/>
    </row>
    <row r="430" spans="7:8" ht="15.75" customHeight="1">
      <c r="G430" s="90"/>
      <c r="H430" s="90"/>
    </row>
    <row r="431" spans="7:8" ht="15.75" customHeight="1">
      <c r="G431" s="90"/>
      <c r="H431" s="90"/>
    </row>
    <row r="432" spans="7:8" ht="15.75" customHeight="1">
      <c r="G432" s="90"/>
      <c r="H432" s="90"/>
    </row>
    <row r="433" spans="7:8" ht="15.75" customHeight="1">
      <c r="G433" s="90"/>
      <c r="H433" s="90"/>
    </row>
    <row r="434" spans="7:8" ht="15.75" customHeight="1">
      <c r="G434" s="90"/>
      <c r="H434" s="90"/>
    </row>
    <row r="435" spans="7:8" ht="15.75" customHeight="1">
      <c r="G435" s="90"/>
      <c r="H435" s="90"/>
    </row>
    <row r="436" spans="7:8" ht="15.75" customHeight="1">
      <c r="G436" s="90"/>
      <c r="H436" s="90"/>
    </row>
    <row r="437" spans="7:8" ht="15.75" customHeight="1">
      <c r="G437" s="90"/>
      <c r="H437" s="90"/>
    </row>
    <row r="438" spans="7:8" ht="15.75" customHeight="1">
      <c r="G438" s="90"/>
      <c r="H438" s="90"/>
    </row>
    <row r="439" spans="7:8" ht="15.75" customHeight="1">
      <c r="G439" s="90"/>
      <c r="H439" s="90"/>
    </row>
    <row r="440" spans="7:8" ht="15.75" customHeight="1">
      <c r="G440" s="90"/>
      <c r="H440" s="90"/>
    </row>
    <row r="441" spans="7:8" ht="15.75" customHeight="1">
      <c r="G441" s="90"/>
      <c r="H441" s="90"/>
    </row>
    <row r="442" spans="7:8" ht="15.75" customHeight="1">
      <c r="G442" s="90"/>
      <c r="H442" s="90"/>
    </row>
    <row r="443" spans="7:8" ht="15.75" customHeight="1">
      <c r="G443" s="90"/>
      <c r="H443" s="90"/>
    </row>
    <row r="444" spans="7:8" ht="15.75" customHeight="1">
      <c r="G444" s="90"/>
      <c r="H444" s="90"/>
    </row>
    <row r="445" spans="7:8" ht="15.75" customHeight="1">
      <c r="G445" s="90"/>
      <c r="H445" s="90"/>
    </row>
    <row r="446" spans="7:8" ht="15.75" customHeight="1">
      <c r="G446" s="90"/>
      <c r="H446" s="90"/>
    </row>
    <row r="447" spans="7:8" ht="15.75" customHeight="1">
      <c r="G447" s="90"/>
      <c r="H447" s="90"/>
    </row>
    <row r="448" spans="7:8" ht="15.75" customHeight="1">
      <c r="G448" s="90"/>
      <c r="H448" s="90"/>
    </row>
    <row r="449" spans="7:8" ht="15.75" customHeight="1">
      <c r="G449" s="90"/>
      <c r="H449" s="90"/>
    </row>
    <row r="450" spans="7:8" ht="15.75" customHeight="1">
      <c r="G450" s="90"/>
      <c r="H450" s="90"/>
    </row>
    <row r="451" spans="7:8" ht="15.75" customHeight="1">
      <c r="G451" s="90"/>
      <c r="H451" s="90"/>
    </row>
    <row r="452" spans="7:8" ht="15.75" customHeight="1">
      <c r="G452" s="90"/>
      <c r="H452" s="90"/>
    </row>
    <row r="453" spans="7:8" ht="15.75" customHeight="1">
      <c r="G453" s="90"/>
      <c r="H453" s="90"/>
    </row>
    <row r="454" spans="7:8" ht="15.75" customHeight="1">
      <c r="G454" s="90"/>
      <c r="H454" s="90"/>
    </row>
    <row r="455" spans="7:8" ht="15.75" customHeight="1">
      <c r="G455" s="90"/>
      <c r="H455" s="90"/>
    </row>
    <row r="456" spans="7:8" ht="15.75" customHeight="1">
      <c r="G456" s="90"/>
      <c r="H456" s="90"/>
    </row>
    <row r="457" spans="7:8" ht="15.75" customHeight="1">
      <c r="G457" s="90"/>
      <c r="H457" s="90"/>
    </row>
    <row r="458" spans="7:8" ht="15.75" customHeight="1">
      <c r="G458" s="90"/>
      <c r="H458" s="90"/>
    </row>
    <row r="459" spans="7:8" ht="15.75" customHeight="1">
      <c r="G459" s="90"/>
      <c r="H459" s="90"/>
    </row>
    <row r="460" spans="7:8" ht="15.75" customHeight="1">
      <c r="G460" s="90"/>
      <c r="H460" s="90"/>
    </row>
    <row r="461" spans="7:8" ht="15.75" customHeight="1">
      <c r="G461" s="90"/>
      <c r="H461" s="90"/>
    </row>
    <row r="462" spans="7:8" ht="15.75" customHeight="1">
      <c r="G462" s="90"/>
      <c r="H462" s="90"/>
    </row>
    <row r="463" spans="7:8" ht="15.75" customHeight="1">
      <c r="G463" s="90"/>
      <c r="H463" s="90"/>
    </row>
    <row r="464" spans="7:8" ht="15.75" customHeight="1">
      <c r="G464" s="90"/>
      <c r="H464" s="90"/>
    </row>
    <row r="465" spans="7:8" ht="15.75" customHeight="1">
      <c r="G465" s="90"/>
      <c r="H465" s="90"/>
    </row>
    <row r="466" spans="7:8" ht="15.75" customHeight="1">
      <c r="G466" s="90"/>
      <c r="H466" s="90"/>
    </row>
    <row r="467" spans="7:8" ht="15.75" customHeight="1">
      <c r="G467" s="90"/>
      <c r="H467" s="90"/>
    </row>
    <row r="468" spans="7:8" ht="15.75" customHeight="1">
      <c r="G468" s="90"/>
      <c r="H468" s="90"/>
    </row>
    <row r="469" spans="7:8" ht="15.75" customHeight="1">
      <c r="G469" s="90"/>
      <c r="H469" s="90"/>
    </row>
    <row r="470" spans="7:8" ht="15.75" customHeight="1">
      <c r="G470" s="90"/>
      <c r="H470" s="90"/>
    </row>
    <row r="471" spans="7:8" ht="15.75" customHeight="1">
      <c r="G471" s="90"/>
      <c r="H471" s="90"/>
    </row>
    <row r="472" spans="7:8" ht="15.75" customHeight="1">
      <c r="G472" s="90"/>
      <c r="H472" s="90"/>
    </row>
    <row r="473" spans="7:8" ht="15.75" customHeight="1">
      <c r="G473" s="90"/>
      <c r="H473" s="90"/>
    </row>
    <row r="474" spans="7:8" ht="15.75" customHeight="1">
      <c r="G474" s="90"/>
      <c r="H474" s="90"/>
    </row>
    <row r="475" spans="7:8" ht="15.75" customHeight="1">
      <c r="G475" s="90"/>
      <c r="H475" s="90"/>
    </row>
    <row r="476" spans="7:8" ht="15.75" customHeight="1">
      <c r="G476" s="90"/>
      <c r="H476" s="90"/>
    </row>
    <row r="477" spans="7:8" ht="15.75" customHeight="1">
      <c r="G477" s="90"/>
      <c r="H477" s="90"/>
    </row>
    <row r="478" spans="7:8" ht="15.75" customHeight="1">
      <c r="G478" s="90"/>
      <c r="H478" s="90"/>
    </row>
    <row r="479" spans="7:8" ht="15.75" customHeight="1">
      <c r="G479" s="90"/>
      <c r="H479" s="90"/>
    </row>
    <row r="480" spans="7:8" ht="15.75" customHeight="1">
      <c r="G480" s="90"/>
      <c r="H480" s="90"/>
    </row>
    <row r="481" spans="7:8" ht="15.75" customHeight="1">
      <c r="G481" s="90"/>
      <c r="H481" s="90"/>
    </row>
    <row r="482" spans="7:8" ht="15.75" customHeight="1">
      <c r="G482" s="90"/>
      <c r="H482" s="90"/>
    </row>
    <row r="483" spans="7:8" ht="15.75" customHeight="1">
      <c r="G483" s="90"/>
      <c r="H483" s="90"/>
    </row>
    <row r="484" spans="7:8" ht="15.75" customHeight="1">
      <c r="G484" s="90"/>
      <c r="H484" s="90"/>
    </row>
    <row r="485" spans="7:8" ht="15.75" customHeight="1">
      <c r="G485" s="90"/>
      <c r="H485" s="90"/>
    </row>
    <row r="486" spans="7:8" ht="15.75" customHeight="1">
      <c r="G486" s="90"/>
      <c r="H486" s="90"/>
    </row>
    <row r="487" spans="7:8" ht="15.75" customHeight="1">
      <c r="G487" s="90"/>
      <c r="H487" s="90"/>
    </row>
    <row r="488" spans="7:8" ht="15.75" customHeight="1">
      <c r="G488" s="90"/>
      <c r="H488" s="90"/>
    </row>
    <row r="489" spans="7:8" ht="15.75" customHeight="1">
      <c r="G489" s="90"/>
      <c r="H489" s="90"/>
    </row>
    <row r="490" spans="7:8" ht="15.75" customHeight="1">
      <c r="G490" s="90"/>
      <c r="H490" s="90"/>
    </row>
    <row r="491" spans="7:8" ht="15.75" customHeight="1">
      <c r="G491" s="90"/>
      <c r="H491" s="90"/>
    </row>
    <row r="492" spans="7:8" ht="15.75" customHeight="1">
      <c r="G492" s="90"/>
      <c r="H492" s="90"/>
    </row>
    <row r="493" spans="7:8" ht="15.75" customHeight="1">
      <c r="G493" s="90"/>
      <c r="H493" s="90"/>
    </row>
    <row r="494" spans="7:8" ht="15.75" customHeight="1">
      <c r="G494" s="90"/>
      <c r="H494" s="90"/>
    </row>
    <row r="495" spans="7:8" ht="15.75" customHeight="1">
      <c r="G495" s="90"/>
      <c r="H495" s="90"/>
    </row>
    <row r="496" spans="7:8" ht="15.75" customHeight="1">
      <c r="G496" s="90"/>
      <c r="H496" s="90"/>
    </row>
    <row r="497" spans="7:8" ht="15.75" customHeight="1">
      <c r="G497" s="90"/>
      <c r="H497" s="90"/>
    </row>
    <row r="498" spans="7:8" ht="15.75" customHeight="1">
      <c r="G498" s="90"/>
      <c r="H498" s="90"/>
    </row>
    <row r="499" spans="7:8" ht="15.75" customHeight="1">
      <c r="G499" s="90"/>
      <c r="H499" s="90"/>
    </row>
    <row r="500" spans="7:8" ht="15.75" customHeight="1">
      <c r="G500" s="90"/>
      <c r="H500" s="90"/>
    </row>
    <row r="501" spans="7:8" ht="15.75" customHeight="1">
      <c r="G501" s="90"/>
      <c r="H501" s="90"/>
    </row>
    <row r="502" spans="7:8" ht="15.75" customHeight="1">
      <c r="G502" s="90"/>
      <c r="H502" s="90"/>
    </row>
    <row r="503" spans="7:8" ht="15.75" customHeight="1">
      <c r="G503" s="90"/>
      <c r="H503" s="90"/>
    </row>
    <row r="504" spans="7:8" ht="15.75" customHeight="1">
      <c r="G504" s="90"/>
      <c r="H504" s="90"/>
    </row>
    <row r="505" spans="7:8" ht="15.75" customHeight="1">
      <c r="G505" s="90"/>
      <c r="H505" s="90"/>
    </row>
    <row r="506" spans="7:8" ht="15.75" customHeight="1">
      <c r="G506" s="90"/>
      <c r="H506" s="90"/>
    </row>
    <row r="507" spans="7:8" ht="15.75" customHeight="1">
      <c r="G507" s="90"/>
      <c r="H507" s="90"/>
    </row>
    <row r="508" spans="7:8" ht="15.75" customHeight="1">
      <c r="G508" s="90"/>
      <c r="H508" s="90"/>
    </row>
    <row r="509" spans="7:8" ht="15.75" customHeight="1">
      <c r="G509" s="90"/>
      <c r="H509" s="90"/>
    </row>
    <row r="510" spans="7:8" ht="15.75" customHeight="1">
      <c r="G510" s="90"/>
      <c r="H510" s="90"/>
    </row>
    <row r="511" spans="7:8" ht="15.75" customHeight="1">
      <c r="G511" s="90"/>
      <c r="H511" s="90"/>
    </row>
    <row r="512" spans="7:8" ht="15.75" customHeight="1">
      <c r="G512" s="90"/>
      <c r="H512" s="90"/>
    </row>
    <row r="513" spans="7:8" ht="15.75" customHeight="1">
      <c r="G513" s="90"/>
      <c r="H513" s="90"/>
    </row>
    <row r="514" spans="7:8" ht="15.75" customHeight="1">
      <c r="G514" s="90"/>
      <c r="H514" s="90"/>
    </row>
    <row r="515" spans="7:8" ht="15.75" customHeight="1">
      <c r="G515" s="90"/>
      <c r="H515" s="90"/>
    </row>
    <row r="516" spans="7:8" ht="15.75" customHeight="1">
      <c r="G516" s="90"/>
      <c r="H516" s="90"/>
    </row>
    <row r="517" spans="7:8" ht="15.75" customHeight="1">
      <c r="G517" s="90"/>
      <c r="H517" s="90"/>
    </row>
    <row r="518" spans="7:8" ht="15.75" customHeight="1">
      <c r="G518" s="90"/>
      <c r="H518" s="90"/>
    </row>
    <row r="519" spans="7:8" ht="15.75" customHeight="1">
      <c r="G519" s="90"/>
      <c r="H519" s="90"/>
    </row>
    <row r="520" spans="7:8" ht="15.75" customHeight="1">
      <c r="G520" s="90"/>
      <c r="H520" s="90"/>
    </row>
    <row r="521" spans="7:8" ht="15.75" customHeight="1">
      <c r="G521" s="90"/>
      <c r="H521" s="90"/>
    </row>
    <row r="522" spans="7:8" ht="15.75" customHeight="1">
      <c r="G522" s="90"/>
      <c r="H522" s="90"/>
    </row>
    <row r="523" spans="7:8" ht="15.75" customHeight="1">
      <c r="G523" s="90"/>
      <c r="H523" s="90"/>
    </row>
    <row r="524" spans="7:8" ht="15.75" customHeight="1">
      <c r="G524" s="90"/>
      <c r="H524" s="90"/>
    </row>
    <row r="525" spans="7:8" ht="15.75" customHeight="1">
      <c r="G525" s="90"/>
      <c r="H525" s="90"/>
    </row>
    <row r="526" spans="7:8" ht="15.75" customHeight="1">
      <c r="G526" s="90"/>
      <c r="H526" s="90"/>
    </row>
    <row r="527" spans="7:8" ht="15.75" customHeight="1">
      <c r="G527" s="90"/>
      <c r="H527" s="90"/>
    </row>
    <row r="528" spans="7:8" ht="15.75" customHeight="1">
      <c r="G528" s="90"/>
      <c r="H528" s="90"/>
    </row>
    <row r="529" spans="7:8" ht="15.75" customHeight="1">
      <c r="G529" s="90"/>
      <c r="H529" s="90"/>
    </row>
    <row r="530" spans="7:8" ht="15.75" customHeight="1">
      <c r="G530" s="90"/>
      <c r="H530" s="90"/>
    </row>
    <row r="531" spans="7:8" ht="15.75" customHeight="1">
      <c r="G531" s="90"/>
      <c r="H531" s="90"/>
    </row>
    <row r="532" spans="7:8" ht="15.75" customHeight="1">
      <c r="G532" s="90"/>
      <c r="H532" s="90"/>
    </row>
    <row r="533" spans="7:8" ht="15.75" customHeight="1">
      <c r="G533" s="90"/>
      <c r="H533" s="90"/>
    </row>
    <row r="534" spans="7:8" ht="15.75" customHeight="1">
      <c r="G534" s="90"/>
      <c r="H534" s="90"/>
    </row>
    <row r="535" spans="7:8" ht="15.75" customHeight="1">
      <c r="G535" s="90"/>
      <c r="H535" s="90"/>
    </row>
    <row r="536" spans="7:8" ht="15.75" customHeight="1">
      <c r="G536" s="90"/>
      <c r="H536" s="90"/>
    </row>
    <row r="537" spans="7:8" ht="15.75" customHeight="1">
      <c r="G537" s="90"/>
      <c r="H537" s="90"/>
    </row>
    <row r="538" spans="7:8" ht="15.75" customHeight="1">
      <c r="G538" s="90"/>
      <c r="H538" s="90"/>
    </row>
    <row r="539" spans="7:8" ht="15.75" customHeight="1">
      <c r="G539" s="90"/>
      <c r="H539" s="90"/>
    </row>
    <row r="540" spans="7:8" ht="15.75" customHeight="1">
      <c r="G540" s="90"/>
      <c r="H540" s="90"/>
    </row>
    <row r="541" spans="7:8" ht="15.75" customHeight="1">
      <c r="G541" s="90"/>
      <c r="H541" s="90"/>
    </row>
    <row r="542" spans="7:8" ht="15.75" customHeight="1">
      <c r="G542" s="90"/>
      <c r="H542" s="90"/>
    </row>
    <row r="543" spans="7:8" ht="15.75" customHeight="1">
      <c r="G543" s="90"/>
      <c r="H543" s="90"/>
    </row>
    <row r="544" spans="7:8" ht="15.75" customHeight="1">
      <c r="G544" s="90"/>
      <c r="H544" s="90"/>
    </row>
    <row r="545" spans="7:8" ht="15.75" customHeight="1">
      <c r="G545" s="90"/>
      <c r="H545" s="90"/>
    </row>
    <row r="546" spans="7:8" ht="15.75" customHeight="1">
      <c r="G546" s="90"/>
      <c r="H546" s="90"/>
    </row>
    <row r="547" spans="7:8" ht="15.75" customHeight="1">
      <c r="G547" s="90"/>
      <c r="H547" s="90"/>
    </row>
    <row r="548" spans="7:8" ht="15.75" customHeight="1">
      <c r="G548" s="90"/>
      <c r="H548" s="90"/>
    </row>
    <row r="549" spans="7:8" ht="15.75" customHeight="1">
      <c r="G549" s="90"/>
      <c r="H549" s="90"/>
    </row>
    <row r="550" spans="7:8" ht="15.75" customHeight="1">
      <c r="G550" s="90"/>
      <c r="H550" s="90"/>
    </row>
    <row r="551" spans="7:8" ht="15.75" customHeight="1">
      <c r="G551" s="90"/>
      <c r="H551" s="90"/>
    </row>
    <row r="552" spans="7:8" ht="15.75" customHeight="1">
      <c r="G552" s="90"/>
      <c r="H552" s="90"/>
    </row>
    <row r="553" spans="7:8" ht="15.75" customHeight="1">
      <c r="G553" s="90"/>
      <c r="H553" s="90"/>
    </row>
    <row r="554" spans="7:8" ht="15.75" customHeight="1">
      <c r="G554" s="90"/>
      <c r="H554" s="90"/>
    </row>
    <row r="555" spans="7:8" ht="15.75" customHeight="1">
      <c r="G555" s="90"/>
      <c r="H555" s="90"/>
    </row>
    <row r="556" spans="7:8" ht="15.75" customHeight="1">
      <c r="G556" s="90"/>
      <c r="H556" s="90"/>
    </row>
    <row r="557" spans="7:8" ht="15.75" customHeight="1">
      <c r="G557" s="90"/>
      <c r="H557" s="90"/>
    </row>
    <row r="558" spans="7:8" ht="15.75" customHeight="1">
      <c r="G558" s="90"/>
      <c r="H558" s="90"/>
    </row>
    <row r="559" spans="7:8" ht="15.75" customHeight="1">
      <c r="G559" s="90"/>
      <c r="H559" s="90"/>
    </row>
    <row r="560" spans="7:8" ht="15.75" customHeight="1">
      <c r="G560" s="90"/>
      <c r="H560" s="90"/>
    </row>
    <row r="561" spans="7:8" ht="15.75" customHeight="1">
      <c r="G561" s="90"/>
      <c r="H561" s="90"/>
    </row>
    <row r="562" spans="7:8" ht="15.75" customHeight="1">
      <c r="G562" s="90"/>
      <c r="H562" s="90"/>
    </row>
    <row r="563" spans="7:8" ht="15.75" customHeight="1">
      <c r="G563" s="90"/>
      <c r="H563" s="90"/>
    </row>
    <row r="564" spans="7:8" ht="15.75" customHeight="1">
      <c r="G564" s="90"/>
      <c r="H564" s="90"/>
    </row>
    <row r="565" spans="7:8" ht="15.75" customHeight="1">
      <c r="G565" s="90"/>
      <c r="H565" s="90"/>
    </row>
    <row r="566" spans="7:8" ht="15.75" customHeight="1">
      <c r="G566" s="90"/>
      <c r="H566" s="90"/>
    </row>
    <row r="567" spans="7:8" ht="15.75" customHeight="1">
      <c r="G567" s="90"/>
      <c r="H567" s="90"/>
    </row>
    <row r="568" spans="7:8" ht="15.75" customHeight="1">
      <c r="G568" s="90"/>
      <c r="H568" s="90"/>
    </row>
    <row r="569" spans="7:8" ht="15.75" customHeight="1">
      <c r="G569" s="90"/>
      <c r="H569" s="90"/>
    </row>
    <row r="570" spans="7:8" ht="15.75" customHeight="1">
      <c r="G570" s="90"/>
      <c r="H570" s="90"/>
    </row>
    <row r="571" spans="7:8" ht="15.75" customHeight="1">
      <c r="G571" s="90"/>
      <c r="H571" s="90"/>
    </row>
    <row r="572" spans="7:8" ht="15.75" customHeight="1">
      <c r="G572" s="90"/>
      <c r="H572" s="90"/>
    </row>
    <row r="573" spans="7:8" ht="15.75" customHeight="1">
      <c r="G573" s="90"/>
      <c r="H573" s="90"/>
    </row>
    <row r="574" spans="7:8" ht="15.75" customHeight="1">
      <c r="G574" s="90"/>
      <c r="H574" s="90"/>
    </row>
    <row r="575" spans="7:8" ht="15.75" customHeight="1">
      <c r="G575" s="90"/>
      <c r="H575" s="90"/>
    </row>
    <row r="576" spans="7:8" ht="15.75" customHeight="1">
      <c r="G576" s="90"/>
      <c r="H576" s="90"/>
    </row>
    <row r="577" spans="7:8" ht="15.75" customHeight="1">
      <c r="G577" s="90"/>
      <c r="H577" s="90"/>
    </row>
    <row r="578" spans="7:8" ht="15.75" customHeight="1">
      <c r="G578" s="90"/>
      <c r="H578" s="90"/>
    </row>
    <row r="579" spans="7:8" ht="15.75" customHeight="1">
      <c r="G579" s="90"/>
      <c r="H579" s="90"/>
    </row>
    <row r="580" spans="7:8" ht="15.75" customHeight="1">
      <c r="G580" s="90"/>
      <c r="H580" s="90"/>
    </row>
    <row r="581" spans="7:8" ht="15.75" customHeight="1">
      <c r="G581" s="90"/>
      <c r="H581" s="90"/>
    </row>
    <row r="582" spans="7:8" ht="15.75" customHeight="1">
      <c r="G582" s="90"/>
      <c r="H582" s="90"/>
    </row>
    <row r="583" spans="7:8" ht="15.75" customHeight="1">
      <c r="G583" s="90"/>
      <c r="H583" s="90"/>
    </row>
    <row r="584" spans="7:8" ht="15.75" customHeight="1">
      <c r="G584" s="90"/>
      <c r="H584" s="90"/>
    </row>
    <row r="585" spans="7:8" ht="15.75" customHeight="1">
      <c r="G585" s="90"/>
      <c r="H585" s="90"/>
    </row>
    <row r="586" spans="7:8" ht="15.75" customHeight="1">
      <c r="G586" s="90"/>
      <c r="H586" s="90"/>
    </row>
    <row r="587" spans="7:8" ht="15.75" customHeight="1">
      <c r="G587" s="90"/>
      <c r="H587" s="90"/>
    </row>
    <row r="588" spans="7:8" ht="15.75" customHeight="1">
      <c r="G588" s="90"/>
      <c r="H588" s="90"/>
    </row>
    <row r="589" spans="7:8" ht="15.75" customHeight="1">
      <c r="G589" s="90"/>
      <c r="H589" s="90"/>
    </row>
    <row r="590" spans="7:8" ht="15.75" customHeight="1">
      <c r="G590" s="90"/>
      <c r="H590" s="90"/>
    </row>
    <row r="591" spans="7:8" ht="15.75" customHeight="1">
      <c r="G591" s="90"/>
      <c r="H591" s="90"/>
    </row>
    <row r="592" spans="7:8" ht="15.75" customHeight="1">
      <c r="G592" s="90"/>
      <c r="H592" s="90"/>
    </row>
    <row r="593" spans="7:8" ht="15.75" customHeight="1">
      <c r="G593" s="90"/>
      <c r="H593" s="90"/>
    </row>
    <row r="594" spans="7:8" ht="15.75" customHeight="1">
      <c r="G594" s="90"/>
      <c r="H594" s="90"/>
    </row>
    <row r="595" spans="7:8" ht="15.75" customHeight="1">
      <c r="G595" s="90"/>
      <c r="H595" s="90"/>
    </row>
    <row r="596" spans="7:8" ht="15.75" customHeight="1">
      <c r="G596" s="90"/>
      <c r="H596" s="90"/>
    </row>
    <row r="597" spans="7:8" ht="15.75" customHeight="1">
      <c r="G597" s="90"/>
      <c r="H597" s="90"/>
    </row>
    <row r="598" spans="7:8" ht="15.75" customHeight="1">
      <c r="G598" s="90"/>
      <c r="H598" s="90"/>
    </row>
    <row r="599" spans="7:8" ht="15.75" customHeight="1">
      <c r="G599" s="90"/>
      <c r="H599" s="90"/>
    </row>
    <row r="600" spans="7:8" ht="15.75" customHeight="1">
      <c r="G600" s="90"/>
      <c r="H600" s="90"/>
    </row>
    <row r="601" spans="7:8" ht="15.75" customHeight="1">
      <c r="G601" s="90"/>
      <c r="H601" s="90"/>
    </row>
    <row r="602" spans="7:8" ht="15.75" customHeight="1">
      <c r="G602" s="90"/>
      <c r="H602" s="90"/>
    </row>
    <row r="603" spans="7:8" ht="15.75" customHeight="1">
      <c r="G603" s="90"/>
      <c r="H603" s="90"/>
    </row>
    <row r="604" spans="7:8" ht="15.75" customHeight="1">
      <c r="G604" s="90"/>
      <c r="H604" s="90"/>
    </row>
    <row r="605" spans="7:8" ht="15.75" customHeight="1">
      <c r="G605" s="90"/>
      <c r="H605" s="90"/>
    </row>
    <row r="606" spans="7:8" ht="15.75" customHeight="1">
      <c r="G606" s="90"/>
      <c r="H606" s="90"/>
    </row>
    <row r="607" spans="7:8" ht="15.75" customHeight="1">
      <c r="G607" s="90"/>
      <c r="H607" s="90"/>
    </row>
    <row r="608" spans="7:8" ht="15.75" customHeight="1">
      <c r="G608" s="90"/>
      <c r="H608" s="90"/>
    </row>
    <row r="609" spans="7:8" ht="15.75" customHeight="1">
      <c r="G609" s="90"/>
      <c r="H609" s="90"/>
    </row>
    <row r="610" spans="7:8" ht="15.75" customHeight="1">
      <c r="G610" s="90"/>
      <c r="H610" s="90"/>
    </row>
    <row r="611" spans="7:8" ht="15.75" customHeight="1">
      <c r="G611" s="90"/>
      <c r="H611" s="90"/>
    </row>
    <row r="612" spans="7:8" ht="15.75" customHeight="1">
      <c r="G612" s="90"/>
      <c r="H612" s="90"/>
    </row>
    <row r="613" spans="7:8" ht="15.75" customHeight="1">
      <c r="G613" s="90"/>
      <c r="H613" s="90"/>
    </row>
    <row r="614" spans="7:8" ht="15.75" customHeight="1">
      <c r="G614" s="90"/>
      <c r="H614" s="90"/>
    </row>
    <row r="615" spans="7:8" ht="15.75" customHeight="1">
      <c r="G615" s="90"/>
      <c r="H615" s="90"/>
    </row>
    <row r="616" spans="7:8" ht="15.75" customHeight="1">
      <c r="G616" s="90"/>
      <c r="H616" s="90"/>
    </row>
    <row r="617" spans="7:8" ht="15.75" customHeight="1">
      <c r="G617" s="90"/>
      <c r="H617" s="90"/>
    </row>
    <row r="618" spans="7:8" ht="15.75" customHeight="1">
      <c r="G618" s="90"/>
      <c r="H618" s="90"/>
    </row>
    <row r="619" spans="7:8" ht="15.75" customHeight="1">
      <c r="G619" s="90"/>
      <c r="H619" s="90"/>
    </row>
    <row r="620" spans="7:8" ht="15.75" customHeight="1">
      <c r="G620" s="90"/>
      <c r="H620" s="90"/>
    </row>
    <row r="621" spans="7:8" ht="15.75" customHeight="1">
      <c r="G621" s="90"/>
      <c r="H621" s="90"/>
    </row>
    <row r="622" spans="7:8" ht="15.75" customHeight="1">
      <c r="G622" s="90"/>
      <c r="H622" s="90"/>
    </row>
    <row r="623" spans="7:8" ht="15.75" customHeight="1">
      <c r="G623" s="90"/>
      <c r="H623" s="90"/>
    </row>
    <row r="624" spans="7:8" ht="15.75" customHeight="1">
      <c r="G624" s="90"/>
      <c r="H624" s="90"/>
    </row>
    <row r="625" spans="7:8" ht="15.75" customHeight="1">
      <c r="G625" s="90"/>
      <c r="H625" s="90"/>
    </row>
    <row r="626" spans="7:8" ht="15.75" customHeight="1">
      <c r="G626" s="90"/>
      <c r="H626" s="90"/>
    </row>
    <row r="627" spans="7:8" ht="15.75" customHeight="1">
      <c r="G627" s="90"/>
      <c r="H627" s="90"/>
    </row>
    <row r="628" spans="7:8" ht="15.75" customHeight="1">
      <c r="G628" s="90"/>
      <c r="H628" s="90"/>
    </row>
    <row r="629" spans="7:8" ht="15.75" customHeight="1">
      <c r="G629" s="90"/>
      <c r="H629" s="90"/>
    </row>
    <row r="630" spans="7:8" ht="15.75" customHeight="1">
      <c r="G630" s="90"/>
      <c r="H630" s="90"/>
    </row>
    <row r="631" spans="7:8" ht="15.75" customHeight="1">
      <c r="G631" s="90"/>
      <c r="H631" s="90"/>
    </row>
    <row r="632" spans="7:8" ht="15.75" customHeight="1">
      <c r="G632" s="90"/>
      <c r="H632" s="90"/>
    </row>
    <row r="633" spans="7:8" ht="15.75" customHeight="1">
      <c r="G633" s="90"/>
      <c r="H633" s="90"/>
    </row>
    <row r="634" spans="7:8" ht="15.75" customHeight="1">
      <c r="G634" s="90"/>
      <c r="H634" s="90"/>
    </row>
    <row r="635" spans="7:8" ht="15.75" customHeight="1">
      <c r="G635" s="90"/>
      <c r="H635" s="90"/>
    </row>
    <row r="636" spans="7:8" ht="15.75" customHeight="1">
      <c r="G636" s="90"/>
      <c r="H636" s="90"/>
    </row>
    <row r="637" spans="7:8" ht="15.75" customHeight="1">
      <c r="G637" s="90"/>
      <c r="H637" s="90"/>
    </row>
    <row r="638" spans="7:8" ht="15.75" customHeight="1">
      <c r="G638" s="90"/>
      <c r="H638" s="90"/>
    </row>
    <row r="639" spans="7:8" ht="15.75" customHeight="1">
      <c r="G639" s="90"/>
      <c r="H639" s="90"/>
    </row>
    <row r="640" spans="7:8" ht="15.75" customHeight="1">
      <c r="G640" s="90"/>
      <c r="H640" s="90"/>
    </row>
    <row r="641" spans="7:8" ht="15.75" customHeight="1">
      <c r="G641" s="90"/>
      <c r="H641" s="90"/>
    </row>
    <row r="642" spans="7:8" ht="15.75" customHeight="1">
      <c r="G642" s="90"/>
      <c r="H642" s="90"/>
    </row>
    <row r="643" spans="7:8" ht="15.75" customHeight="1">
      <c r="G643" s="90"/>
      <c r="H643" s="90"/>
    </row>
    <row r="644" spans="7:8" ht="15.75" customHeight="1">
      <c r="G644" s="90"/>
      <c r="H644" s="90"/>
    </row>
    <row r="645" spans="7:8" ht="15.75" customHeight="1">
      <c r="G645" s="90"/>
      <c r="H645" s="90"/>
    </row>
    <row r="646" spans="7:8" ht="15.75" customHeight="1">
      <c r="G646" s="90"/>
      <c r="H646" s="90"/>
    </row>
    <row r="647" spans="7:8" ht="15.75" customHeight="1">
      <c r="G647" s="90"/>
      <c r="H647" s="90"/>
    </row>
    <row r="648" spans="7:8" ht="15.75" customHeight="1">
      <c r="G648" s="90"/>
      <c r="H648" s="90"/>
    </row>
    <row r="649" spans="7:8" ht="15.75" customHeight="1">
      <c r="G649" s="90"/>
      <c r="H649" s="90"/>
    </row>
    <row r="650" spans="7:8" ht="15.75" customHeight="1">
      <c r="G650" s="90"/>
      <c r="H650" s="90"/>
    </row>
    <row r="651" spans="7:8" ht="15.75" customHeight="1">
      <c r="G651" s="90"/>
      <c r="H651" s="90"/>
    </row>
    <row r="652" spans="7:8" ht="15.75" customHeight="1">
      <c r="G652" s="90"/>
      <c r="H652" s="90"/>
    </row>
    <row r="653" spans="7:8" ht="15.75" customHeight="1">
      <c r="G653" s="90"/>
      <c r="H653" s="90"/>
    </row>
    <row r="654" spans="7:8" ht="15.75" customHeight="1">
      <c r="G654" s="90"/>
      <c r="H654" s="90"/>
    </row>
    <row r="655" spans="7:8" ht="15.75" customHeight="1">
      <c r="G655" s="90"/>
      <c r="H655" s="90"/>
    </row>
    <row r="656" spans="7:8" ht="15.75" customHeight="1">
      <c r="G656" s="90"/>
      <c r="H656" s="90"/>
    </row>
    <row r="657" spans="7:8" ht="15.75" customHeight="1">
      <c r="G657" s="90"/>
      <c r="H657" s="90"/>
    </row>
    <row r="658" spans="7:8" ht="15.75" customHeight="1">
      <c r="G658" s="90"/>
      <c r="H658" s="90"/>
    </row>
    <row r="659" spans="7:8" ht="15.75" customHeight="1">
      <c r="G659" s="90"/>
      <c r="H659" s="90"/>
    </row>
    <row r="660" spans="7:8" ht="15.75" customHeight="1">
      <c r="G660" s="90"/>
      <c r="H660" s="90"/>
    </row>
    <row r="661" spans="7:8" ht="15.75" customHeight="1">
      <c r="G661" s="90"/>
      <c r="H661" s="90"/>
    </row>
    <row r="662" spans="7:8" ht="15.75" customHeight="1">
      <c r="G662" s="90"/>
      <c r="H662" s="90"/>
    </row>
    <row r="663" spans="7:8" ht="15.75" customHeight="1">
      <c r="G663" s="90"/>
      <c r="H663" s="90"/>
    </row>
    <row r="664" spans="7:8" ht="15.75" customHeight="1">
      <c r="G664" s="90"/>
      <c r="H664" s="90"/>
    </row>
    <row r="665" spans="7:8" ht="15.75" customHeight="1">
      <c r="G665" s="90"/>
      <c r="H665" s="90"/>
    </row>
    <row r="666" spans="7:8" ht="15.75" customHeight="1">
      <c r="G666" s="90"/>
      <c r="H666" s="90"/>
    </row>
    <row r="667" spans="7:8" ht="15.75" customHeight="1">
      <c r="G667" s="90"/>
      <c r="H667" s="90"/>
    </row>
    <row r="668" spans="7:8" ht="15.75" customHeight="1">
      <c r="G668" s="90"/>
      <c r="H668" s="90"/>
    </row>
    <row r="669" spans="7:8" ht="15.75" customHeight="1">
      <c r="G669" s="90"/>
      <c r="H669" s="90"/>
    </row>
    <row r="670" spans="7:8" ht="15.75" customHeight="1">
      <c r="G670" s="90"/>
      <c r="H670" s="90"/>
    </row>
    <row r="671" spans="7:8" ht="15.75" customHeight="1">
      <c r="G671" s="90"/>
      <c r="H671" s="90"/>
    </row>
    <row r="672" spans="7:8" ht="15.75" customHeight="1">
      <c r="G672" s="90"/>
      <c r="H672" s="90"/>
    </row>
    <row r="673" spans="7:8" ht="15.75" customHeight="1">
      <c r="G673" s="90"/>
      <c r="H673" s="90"/>
    </row>
    <row r="674" spans="7:8" ht="15.75" customHeight="1">
      <c r="G674" s="90"/>
      <c r="H674" s="90"/>
    </row>
    <row r="675" spans="7:8" ht="15.75" customHeight="1">
      <c r="G675" s="90"/>
      <c r="H675" s="90"/>
    </row>
    <row r="676" spans="7:8" ht="15.75" customHeight="1">
      <c r="G676" s="90"/>
      <c r="H676" s="90"/>
    </row>
    <row r="677" spans="7:8" ht="15.75" customHeight="1">
      <c r="G677" s="90"/>
      <c r="H677" s="90"/>
    </row>
    <row r="678" spans="7:8" ht="15.75" customHeight="1">
      <c r="G678" s="90"/>
      <c r="H678" s="90"/>
    </row>
    <row r="679" spans="7:8" ht="15.75" customHeight="1">
      <c r="G679" s="90"/>
      <c r="H679" s="90"/>
    </row>
    <row r="680" spans="7:8" ht="15.75" customHeight="1">
      <c r="G680" s="90"/>
      <c r="H680" s="90"/>
    </row>
    <row r="681" spans="7:8" ht="15.75" customHeight="1">
      <c r="G681" s="90"/>
      <c r="H681" s="90"/>
    </row>
    <row r="682" spans="7:8" ht="15.75" customHeight="1">
      <c r="G682" s="90"/>
      <c r="H682" s="90"/>
    </row>
    <row r="683" spans="7:8" ht="15.75" customHeight="1">
      <c r="G683" s="90"/>
      <c r="H683" s="90"/>
    </row>
    <row r="684" spans="7:8" ht="15.75" customHeight="1">
      <c r="G684" s="90"/>
      <c r="H684" s="90"/>
    </row>
    <row r="685" spans="7:8" ht="15.75" customHeight="1">
      <c r="G685" s="90"/>
      <c r="H685" s="90"/>
    </row>
    <row r="686" spans="7:8" ht="15.75" customHeight="1">
      <c r="G686" s="90"/>
      <c r="H686" s="90"/>
    </row>
    <row r="687" spans="7:8" ht="15.75" customHeight="1">
      <c r="G687" s="90"/>
      <c r="H687" s="90"/>
    </row>
    <row r="688" spans="7:8" ht="15.75" customHeight="1">
      <c r="G688" s="90"/>
      <c r="H688" s="90"/>
    </row>
    <row r="689" spans="7:8" ht="15.75" customHeight="1">
      <c r="G689" s="90"/>
      <c r="H689" s="90"/>
    </row>
    <row r="690" spans="7:8" ht="15.75" customHeight="1">
      <c r="G690" s="90"/>
      <c r="H690" s="90"/>
    </row>
    <row r="691" spans="7:8" ht="15.75" customHeight="1">
      <c r="G691" s="90"/>
      <c r="H691" s="90"/>
    </row>
    <row r="692" spans="7:8" ht="15.75" customHeight="1">
      <c r="G692" s="90"/>
      <c r="H692" s="90"/>
    </row>
    <row r="693" spans="7:8" ht="15.75" customHeight="1">
      <c r="G693" s="90"/>
      <c r="H693" s="90"/>
    </row>
    <row r="694" spans="7:8" ht="15.75" customHeight="1">
      <c r="G694" s="90"/>
      <c r="H694" s="90"/>
    </row>
    <row r="695" spans="7:8" ht="15.75" customHeight="1">
      <c r="G695" s="90"/>
      <c r="H695" s="90"/>
    </row>
    <row r="696" spans="7:8" ht="15.75" customHeight="1">
      <c r="G696" s="90"/>
      <c r="H696" s="90"/>
    </row>
    <row r="697" spans="7:8" ht="15.75" customHeight="1">
      <c r="G697" s="90"/>
      <c r="H697" s="90"/>
    </row>
    <row r="698" spans="7:8" ht="15.75" customHeight="1">
      <c r="G698" s="90"/>
      <c r="H698" s="90"/>
    </row>
    <row r="699" spans="7:8" ht="15.75" customHeight="1">
      <c r="G699" s="90"/>
      <c r="H699" s="90"/>
    </row>
    <row r="700" spans="7:8" ht="15.75" customHeight="1">
      <c r="G700" s="90"/>
      <c r="H700" s="90"/>
    </row>
    <row r="701" spans="7:8" ht="15.75" customHeight="1">
      <c r="G701" s="90"/>
      <c r="H701" s="90"/>
    </row>
    <row r="702" spans="7:8" ht="15.75" customHeight="1">
      <c r="G702" s="90"/>
      <c r="H702" s="90"/>
    </row>
    <row r="703" spans="7:8" ht="15.75" customHeight="1">
      <c r="G703" s="90"/>
      <c r="H703" s="90"/>
    </row>
    <row r="704" spans="7:8" ht="15.75" customHeight="1">
      <c r="G704" s="90"/>
      <c r="H704" s="90"/>
    </row>
    <row r="705" spans="7:8" ht="15.75" customHeight="1">
      <c r="G705" s="90"/>
      <c r="H705" s="90"/>
    </row>
    <row r="706" spans="7:8" ht="15.75" customHeight="1">
      <c r="G706" s="90"/>
      <c r="H706" s="90"/>
    </row>
    <row r="707" spans="7:8" ht="15.75" customHeight="1">
      <c r="G707" s="90"/>
      <c r="H707" s="90"/>
    </row>
    <row r="708" spans="7:8" ht="15.75" customHeight="1">
      <c r="G708" s="90"/>
      <c r="H708" s="90"/>
    </row>
    <row r="709" spans="7:8" ht="15.75" customHeight="1">
      <c r="G709" s="90"/>
      <c r="H709" s="90"/>
    </row>
    <row r="710" spans="7:8" ht="15.75" customHeight="1">
      <c r="G710" s="90"/>
      <c r="H710" s="90"/>
    </row>
    <row r="711" spans="7:8" ht="15.75" customHeight="1">
      <c r="G711" s="90"/>
      <c r="H711" s="90"/>
    </row>
    <row r="712" spans="7:8" ht="15.75" customHeight="1">
      <c r="G712" s="90"/>
      <c r="H712" s="90"/>
    </row>
    <row r="713" spans="7:8" ht="15.75" customHeight="1">
      <c r="G713" s="90"/>
      <c r="H713" s="90"/>
    </row>
    <row r="714" spans="7:8" ht="15.75" customHeight="1">
      <c r="G714" s="90"/>
      <c r="H714" s="90"/>
    </row>
    <row r="715" spans="7:8" ht="15.75" customHeight="1">
      <c r="G715" s="90"/>
      <c r="H715" s="90"/>
    </row>
    <row r="716" spans="7:8" ht="15.75" customHeight="1">
      <c r="G716" s="90"/>
      <c r="H716" s="90"/>
    </row>
    <row r="717" spans="7:8" ht="15.75" customHeight="1">
      <c r="G717" s="90"/>
      <c r="H717" s="90"/>
    </row>
    <row r="718" spans="7:8" ht="15.75" customHeight="1">
      <c r="G718" s="90"/>
      <c r="H718" s="90"/>
    </row>
    <row r="719" spans="7:8" ht="15.75" customHeight="1">
      <c r="G719" s="90"/>
      <c r="H719" s="90"/>
    </row>
    <row r="720" spans="7:8" ht="15.75" customHeight="1">
      <c r="G720" s="90"/>
      <c r="H720" s="90"/>
    </row>
    <row r="721" spans="7:8" ht="15.75" customHeight="1">
      <c r="G721" s="90"/>
      <c r="H721" s="90"/>
    </row>
    <row r="722" spans="7:8" ht="15.75" customHeight="1">
      <c r="G722" s="90"/>
      <c r="H722" s="90"/>
    </row>
    <row r="723" spans="7:8" ht="15.75" customHeight="1">
      <c r="G723" s="90"/>
      <c r="H723" s="90"/>
    </row>
    <row r="724" spans="7:8" ht="15.75" customHeight="1">
      <c r="G724" s="90"/>
      <c r="H724" s="90"/>
    </row>
    <row r="725" spans="7:8" ht="15.75" customHeight="1">
      <c r="G725" s="90"/>
      <c r="H725" s="90"/>
    </row>
    <row r="726" spans="7:8" ht="15.75" customHeight="1">
      <c r="G726" s="90"/>
      <c r="H726" s="90"/>
    </row>
    <row r="727" spans="7:8" ht="15.75" customHeight="1">
      <c r="G727" s="90"/>
      <c r="H727" s="90"/>
    </row>
    <row r="728" spans="7:8" ht="15.75" customHeight="1">
      <c r="G728" s="90"/>
      <c r="H728" s="90"/>
    </row>
    <row r="729" spans="7:8" ht="15.75" customHeight="1">
      <c r="G729" s="90"/>
      <c r="H729" s="90"/>
    </row>
    <row r="730" spans="7:8" ht="15.75" customHeight="1">
      <c r="G730" s="90"/>
      <c r="H730" s="90"/>
    </row>
    <row r="731" spans="7:8" ht="15.75" customHeight="1">
      <c r="G731" s="90"/>
      <c r="H731" s="90"/>
    </row>
    <row r="732" spans="7:8" ht="15.75" customHeight="1">
      <c r="G732" s="90"/>
      <c r="H732" s="90"/>
    </row>
    <row r="733" spans="7:8" ht="15.75" customHeight="1">
      <c r="G733" s="90"/>
      <c r="H733" s="90"/>
    </row>
    <row r="734" spans="7:8" ht="15.75" customHeight="1">
      <c r="G734" s="90"/>
      <c r="H734" s="90"/>
    </row>
    <row r="735" spans="7:8" ht="15.75" customHeight="1">
      <c r="G735" s="90"/>
      <c r="H735" s="90"/>
    </row>
    <row r="736" spans="7:8" ht="15.75" customHeight="1">
      <c r="G736" s="90"/>
      <c r="H736" s="90"/>
    </row>
    <row r="737" spans="7:8" ht="15.75" customHeight="1">
      <c r="G737" s="90"/>
      <c r="H737" s="90"/>
    </row>
    <row r="738" spans="7:8" ht="15.75" customHeight="1">
      <c r="G738" s="90"/>
      <c r="H738" s="90"/>
    </row>
    <row r="739" spans="7:8" ht="15.75" customHeight="1">
      <c r="G739" s="90"/>
      <c r="H739" s="90"/>
    </row>
    <row r="740" spans="7:8" ht="15.75" customHeight="1">
      <c r="G740" s="90"/>
      <c r="H740" s="90"/>
    </row>
    <row r="741" spans="7:8" ht="15.75" customHeight="1">
      <c r="G741" s="90"/>
      <c r="H741" s="90"/>
    </row>
    <row r="742" spans="7:8" ht="15.75" customHeight="1">
      <c r="G742" s="90"/>
      <c r="H742" s="90"/>
    </row>
    <row r="743" spans="7:8" ht="15.75" customHeight="1">
      <c r="G743" s="90"/>
      <c r="H743" s="90"/>
    </row>
    <row r="744" spans="7:8" ht="15.75" customHeight="1">
      <c r="G744" s="90"/>
      <c r="H744" s="90"/>
    </row>
    <row r="745" spans="7:8" ht="15.75" customHeight="1">
      <c r="G745" s="90"/>
      <c r="H745" s="90"/>
    </row>
    <row r="746" spans="7:8" ht="15.75" customHeight="1">
      <c r="G746" s="90"/>
      <c r="H746" s="90"/>
    </row>
    <row r="747" spans="7:8" ht="15.75" customHeight="1">
      <c r="G747" s="90"/>
      <c r="H747" s="90"/>
    </row>
    <row r="748" spans="7:8" ht="15.75" customHeight="1">
      <c r="G748" s="90"/>
      <c r="H748" s="90"/>
    </row>
    <row r="749" spans="7:8" ht="15.75" customHeight="1">
      <c r="G749" s="90"/>
      <c r="H749" s="90"/>
    </row>
    <row r="750" spans="7:8" ht="15.75" customHeight="1">
      <c r="G750" s="90"/>
      <c r="H750" s="90"/>
    </row>
    <row r="751" spans="7:8" ht="15.75" customHeight="1">
      <c r="G751" s="90"/>
      <c r="H751" s="90"/>
    </row>
    <row r="752" spans="7:8" ht="15.75" customHeight="1">
      <c r="G752" s="90"/>
      <c r="H752" s="90"/>
    </row>
    <row r="753" spans="7:8" ht="15.75" customHeight="1">
      <c r="G753" s="90"/>
      <c r="H753" s="90"/>
    </row>
    <row r="754" spans="7:8" ht="15.75" customHeight="1">
      <c r="G754" s="90"/>
      <c r="H754" s="90"/>
    </row>
    <row r="755" spans="7:8" ht="15.75" customHeight="1">
      <c r="G755" s="90"/>
      <c r="H755" s="90"/>
    </row>
    <row r="756" spans="7:8" ht="15.75" customHeight="1">
      <c r="G756" s="90"/>
      <c r="H756" s="90"/>
    </row>
    <row r="757" spans="7:8" ht="15.75" customHeight="1">
      <c r="G757" s="90"/>
      <c r="H757" s="90"/>
    </row>
    <row r="758" spans="7:8" ht="15.75" customHeight="1">
      <c r="G758" s="90"/>
      <c r="H758" s="90"/>
    </row>
    <row r="759" spans="7:8" ht="15.75" customHeight="1">
      <c r="G759" s="90"/>
      <c r="H759" s="90"/>
    </row>
    <row r="760" spans="7:8" ht="15.75" customHeight="1">
      <c r="G760" s="90"/>
      <c r="H760" s="90"/>
    </row>
    <row r="761" spans="7:8" ht="15.75" customHeight="1">
      <c r="G761" s="90"/>
      <c r="H761" s="90"/>
    </row>
    <row r="762" spans="7:8" ht="15.75" customHeight="1">
      <c r="G762" s="90"/>
      <c r="H762" s="90"/>
    </row>
    <row r="763" spans="7:8" ht="15.75" customHeight="1">
      <c r="G763" s="90"/>
      <c r="H763" s="90"/>
    </row>
    <row r="764" spans="7:8" ht="15.75" customHeight="1">
      <c r="G764" s="90"/>
      <c r="H764" s="90"/>
    </row>
    <row r="765" spans="7:8" ht="15.75" customHeight="1">
      <c r="G765" s="90"/>
      <c r="H765" s="90"/>
    </row>
    <row r="766" spans="7:8" ht="15.75" customHeight="1">
      <c r="G766" s="90"/>
      <c r="H766" s="90"/>
    </row>
    <row r="767" spans="7:8" ht="15.75" customHeight="1">
      <c r="G767" s="90"/>
      <c r="H767" s="90"/>
    </row>
    <row r="768" spans="7:8" ht="15.75" customHeight="1">
      <c r="G768" s="90"/>
      <c r="H768" s="90"/>
    </row>
    <row r="769" spans="7:8" ht="15.75" customHeight="1">
      <c r="G769" s="90"/>
      <c r="H769" s="90"/>
    </row>
    <row r="770" spans="7:8" ht="15.75" customHeight="1">
      <c r="G770" s="90"/>
      <c r="H770" s="90"/>
    </row>
    <row r="771" spans="7:8" ht="15.75" customHeight="1">
      <c r="G771" s="90"/>
      <c r="H771" s="90"/>
    </row>
    <row r="772" spans="7:8" ht="15.75" customHeight="1">
      <c r="G772" s="90"/>
      <c r="H772" s="90"/>
    </row>
    <row r="773" spans="7:8" ht="15.75" customHeight="1">
      <c r="G773" s="90"/>
      <c r="H773" s="90"/>
    </row>
    <row r="774" spans="7:8" ht="15.75" customHeight="1">
      <c r="G774" s="90"/>
      <c r="H774" s="90"/>
    </row>
    <row r="775" spans="7:8" ht="15.75" customHeight="1">
      <c r="G775" s="90"/>
      <c r="H775" s="90"/>
    </row>
    <row r="776" spans="7:8" ht="15.75" customHeight="1">
      <c r="G776" s="90"/>
      <c r="H776" s="90"/>
    </row>
    <row r="777" spans="7:8" ht="15.75" customHeight="1">
      <c r="G777" s="90"/>
      <c r="H777" s="90"/>
    </row>
    <row r="778" spans="7:8" ht="15.75" customHeight="1">
      <c r="G778" s="90"/>
      <c r="H778" s="90"/>
    </row>
    <row r="779" spans="7:8" ht="15.75" customHeight="1">
      <c r="G779" s="90"/>
      <c r="H779" s="90"/>
    </row>
    <row r="780" spans="7:8" ht="15.75" customHeight="1">
      <c r="G780" s="90"/>
      <c r="H780" s="90"/>
    </row>
    <row r="781" spans="7:8" ht="15.75" customHeight="1">
      <c r="G781" s="90"/>
      <c r="H781" s="90"/>
    </row>
    <row r="782" spans="7:8" ht="15.75" customHeight="1">
      <c r="G782" s="90"/>
      <c r="H782" s="90"/>
    </row>
    <row r="783" spans="7:8" ht="15.75" customHeight="1">
      <c r="G783" s="90"/>
      <c r="H783" s="90"/>
    </row>
    <row r="784" spans="7:8" ht="15.75" customHeight="1">
      <c r="G784" s="90"/>
      <c r="H784" s="90"/>
    </row>
    <row r="785" spans="7:8" ht="15.75" customHeight="1">
      <c r="G785" s="90"/>
      <c r="H785" s="90"/>
    </row>
    <row r="786" spans="7:8" ht="15.75" customHeight="1">
      <c r="G786" s="90"/>
      <c r="H786" s="90"/>
    </row>
    <row r="787" spans="7:8" ht="15.75" customHeight="1">
      <c r="G787" s="90"/>
      <c r="H787" s="90"/>
    </row>
    <row r="788" spans="7:8" ht="15.75" customHeight="1">
      <c r="G788" s="90"/>
      <c r="H788" s="90"/>
    </row>
    <row r="789" spans="7:8" ht="15.75" customHeight="1">
      <c r="G789" s="90"/>
      <c r="H789" s="90"/>
    </row>
    <row r="790" spans="7:8" ht="15.75" customHeight="1">
      <c r="G790" s="90"/>
      <c r="H790" s="90"/>
    </row>
    <row r="791" spans="7:8" ht="15.75" customHeight="1">
      <c r="G791" s="90"/>
      <c r="H791" s="90"/>
    </row>
    <row r="792" spans="7:8" ht="15.75" customHeight="1">
      <c r="G792" s="90"/>
      <c r="H792" s="90"/>
    </row>
    <row r="793" spans="7:8" ht="15.75" customHeight="1">
      <c r="G793" s="90"/>
      <c r="H793" s="90"/>
    </row>
    <row r="794" spans="7:8" ht="15.75" customHeight="1">
      <c r="G794" s="90"/>
      <c r="H794" s="90"/>
    </row>
    <row r="795" spans="7:8" ht="15.75" customHeight="1">
      <c r="G795" s="90"/>
      <c r="H795" s="90"/>
    </row>
    <row r="796" spans="7:8" ht="15.75" customHeight="1">
      <c r="G796" s="90"/>
      <c r="H796" s="90"/>
    </row>
    <row r="797" spans="7:8" ht="15.75" customHeight="1">
      <c r="G797" s="90"/>
      <c r="H797" s="90"/>
    </row>
    <row r="798" spans="7:8" ht="15.75" customHeight="1">
      <c r="G798" s="90"/>
      <c r="H798" s="90"/>
    </row>
    <row r="799" spans="7:8" ht="15.75" customHeight="1">
      <c r="G799" s="90"/>
      <c r="H799" s="90"/>
    </row>
    <row r="800" spans="7:8" ht="15.75" customHeight="1">
      <c r="G800" s="90"/>
      <c r="H800" s="90"/>
    </row>
    <row r="801" spans="7:8" ht="15.75" customHeight="1">
      <c r="G801" s="90"/>
      <c r="H801" s="90"/>
    </row>
    <row r="802" spans="7:8" ht="15.75" customHeight="1">
      <c r="G802" s="90"/>
      <c r="H802" s="90"/>
    </row>
    <row r="803" spans="7:8" ht="15.75" customHeight="1">
      <c r="G803" s="90"/>
      <c r="H803" s="90"/>
    </row>
    <row r="804" spans="7:8" ht="15.75" customHeight="1">
      <c r="G804" s="90"/>
      <c r="H804" s="90"/>
    </row>
    <row r="805" spans="7:8" ht="15.75" customHeight="1">
      <c r="G805" s="90"/>
      <c r="H805" s="90"/>
    </row>
    <row r="806" spans="7:8" ht="15.75" customHeight="1">
      <c r="G806" s="90"/>
      <c r="H806" s="90"/>
    </row>
    <row r="807" spans="7:8" ht="15.75" customHeight="1">
      <c r="G807" s="90"/>
      <c r="H807" s="90"/>
    </row>
    <row r="808" spans="7:8" ht="15.75" customHeight="1">
      <c r="G808" s="90"/>
      <c r="H808" s="90"/>
    </row>
    <row r="809" spans="7:8" ht="15.75" customHeight="1">
      <c r="G809" s="90"/>
      <c r="H809" s="90"/>
    </row>
    <row r="810" spans="7:8" ht="15.75" customHeight="1">
      <c r="G810" s="90"/>
      <c r="H810" s="90"/>
    </row>
    <row r="811" spans="7:8" ht="15.75" customHeight="1">
      <c r="G811" s="90"/>
      <c r="H811" s="90"/>
    </row>
    <row r="812" spans="7:8" ht="15.75" customHeight="1">
      <c r="G812" s="90"/>
      <c r="H812" s="90"/>
    </row>
    <row r="813" spans="7:8" ht="15.75" customHeight="1">
      <c r="G813" s="90"/>
      <c r="H813" s="90"/>
    </row>
    <row r="814" spans="7:8" ht="15.75" customHeight="1">
      <c r="G814" s="90"/>
      <c r="H814" s="90"/>
    </row>
    <row r="815" spans="7:8" ht="15.75" customHeight="1">
      <c r="G815" s="90"/>
      <c r="H815" s="90"/>
    </row>
    <row r="816" spans="7:8" ht="15.75" customHeight="1">
      <c r="G816" s="90"/>
      <c r="H816" s="90"/>
    </row>
    <row r="817" spans="7:8" ht="15.75" customHeight="1">
      <c r="G817" s="90"/>
      <c r="H817" s="90"/>
    </row>
    <row r="818" spans="7:8" ht="15.75" customHeight="1">
      <c r="G818" s="90"/>
      <c r="H818" s="90"/>
    </row>
    <row r="819" spans="7:8" ht="15.75" customHeight="1">
      <c r="G819" s="90"/>
      <c r="H819" s="90"/>
    </row>
    <row r="820" spans="7:8" ht="15.75" customHeight="1">
      <c r="G820" s="90"/>
      <c r="H820" s="90"/>
    </row>
    <row r="821" spans="7:8" ht="15.75" customHeight="1">
      <c r="G821" s="90"/>
      <c r="H821" s="90"/>
    </row>
    <row r="822" spans="7:8" ht="15.75" customHeight="1">
      <c r="G822" s="90"/>
      <c r="H822" s="90"/>
    </row>
    <row r="823" spans="7:8" ht="15.75" customHeight="1">
      <c r="G823" s="90"/>
      <c r="H823" s="90"/>
    </row>
    <row r="824" spans="7:8" ht="15.75" customHeight="1">
      <c r="G824" s="90"/>
      <c r="H824" s="90"/>
    </row>
    <row r="825" spans="7:8" ht="15.75" customHeight="1">
      <c r="G825" s="90"/>
      <c r="H825" s="90"/>
    </row>
    <row r="826" spans="7:8" ht="15.75" customHeight="1">
      <c r="G826" s="90"/>
      <c r="H826" s="90"/>
    </row>
    <row r="827" spans="7:8" ht="15.75" customHeight="1">
      <c r="G827" s="90"/>
      <c r="H827" s="90"/>
    </row>
    <row r="828" spans="7:8" ht="15.75" customHeight="1">
      <c r="G828" s="90"/>
      <c r="H828" s="90"/>
    </row>
    <row r="829" spans="7:8" ht="15.75" customHeight="1">
      <c r="G829" s="90"/>
      <c r="H829" s="90"/>
    </row>
    <row r="830" spans="7:8" ht="15.75" customHeight="1">
      <c r="G830" s="90"/>
      <c r="H830" s="90"/>
    </row>
    <row r="831" spans="7:8" ht="15.75" customHeight="1">
      <c r="G831" s="90"/>
      <c r="H831" s="90"/>
    </row>
    <row r="832" spans="7:8" ht="15.75" customHeight="1">
      <c r="G832" s="90"/>
      <c r="H832" s="90"/>
    </row>
    <row r="833" spans="7:8" ht="15.75" customHeight="1">
      <c r="G833" s="90"/>
      <c r="H833" s="90"/>
    </row>
    <row r="834" spans="7:8" ht="15.75" customHeight="1">
      <c r="G834" s="90"/>
      <c r="H834" s="90"/>
    </row>
    <row r="835" spans="7:8" ht="15.75" customHeight="1">
      <c r="G835" s="90"/>
      <c r="H835" s="90"/>
    </row>
    <row r="836" spans="7:8" ht="15.75" customHeight="1">
      <c r="G836" s="90"/>
      <c r="H836" s="90"/>
    </row>
    <row r="837" spans="7:8" ht="15.75" customHeight="1">
      <c r="G837" s="90"/>
      <c r="H837" s="90"/>
    </row>
    <row r="838" spans="7:8" ht="15.75" customHeight="1">
      <c r="G838" s="90"/>
      <c r="H838" s="90"/>
    </row>
    <row r="839" spans="7:8" ht="15.75" customHeight="1">
      <c r="G839" s="90"/>
      <c r="H839" s="90"/>
    </row>
    <row r="840" spans="7:8" ht="15.75" customHeight="1">
      <c r="G840" s="90"/>
      <c r="H840" s="90"/>
    </row>
    <row r="841" spans="7:8" ht="15.75" customHeight="1">
      <c r="G841" s="90"/>
      <c r="H841" s="90"/>
    </row>
    <row r="842" spans="7:8" ht="15.75" customHeight="1">
      <c r="G842" s="90"/>
      <c r="H842" s="90"/>
    </row>
    <row r="843" spans="7:8" ht="15.75" customHeight="1">
      <c r="G843" s="90"/>
      <c r="H843" s="90"/>
    </row>
    <row r="844" spans="7:8" ht="15.75" customHeight="1">
      <c r="G844" s="90"/>
      <c r="H844" s="90"/>
    </row>
    <row r="845" spans="7:8" ht="15.75" customHeight="1">
      <c r="G845" s="90"/>
      <c r="H845" s="90"/>
    </row>
    <row r="846" spans="7:8" ht="15.75" customHeight="1">
      <c r="G846" s="90"/>
      <c r="H846" s="90"/>
    </row>
    <row r="847" spans="7:8" ht="15.75" customHeight="1">
      <c r="G847" s="90"/>
      <c r="H847" s="90"/>
    </row>
    <row r="848" spans="7:8" ht="15.75" customHeight="1">
      <c r="G848" s="90"/>
      <c r="H848" s="90"/>
    </row>
    <row r="849" spans="7:8" ht="15.75" customHeight="1">
      <c r="G849" s="90"/>
      <c r="H849" s="90"/>
    </row>
    <row r="850" spans="7:8" ht="15.75" customHeight="1">
      <c r="G850" s="90"/>
      <c r="H850" s="90"/>
    </row>
    <row r="851" spans="7:8" ht="15.75" customHeight="1">
      <c r="G851" s="90"/>
      <c r="H851" s="90"/>
    </row>
    <row r="852" spans="7:8" ht="15.75" customHeight="1">
      <c r="G852" s="90"/>
      <c r="H852" s="90"/>
    </row>
    <row r="853" spans="7:8" ht="15.75" customHeight="1">
      <c r="G853" s="90"/>
      <c r="H853" s="90"/>
    </row>
    <row r="854" spans="7:8" ht="15.75" customHeight="1">
      <c r="G854" s="90"/>
      <c r="H854" s="90"/>
    </row>
    <row r="855" spans="7:8" ht="15.75" customHeight="1">
      <c r="G855" s="90"/>
      <c r="H855" s="90"/>
    </row>
    <row r="856" spans="7:8" ht="15.75" customHeight="1">
      <c r="G856" s="90"/>
      <c r="H856" s="90"/>
    </row>
    <row r="857" spans="7:8" ht="15.75" customHeight="1">
      <c r="G857" s="90"/>
      <c r="H857" s="90"/>
    </row>
    <row r="858" spans="7:8" ht="15.75" customHeight="1">
      <c r="G858" s="90"/>
      <c r="H858" s="90"/>
    </row>
    <row r="859" spans="7:8" ht="15.75" customHeight="1">
      <c r="G859" s="90"/>
      <c r="H859" s="90"/>
    </row>
    <row r="860" spans="7:8" ht="15.75" customHeight="1">
      <c r="G860" s="90"/>
      <c r="H860" s="90"/>
    </row>
    <row r="861" spans="7:8" ht="15.75" customHeight="1">
      <c r="G861" s="90"/>
      <c r="H861" s="90"/>
    </row>
    <row r="862" spans="7:8" ht="15.75" customHeight="1">
      <c r="G862" s="90"/>
      <c r="H862" s="90"/>
    </row>
    <row r="863" spans="7:8" ht="15.75" customHeight="1">
      <c r="G863" s="90"/>
      <c r="H863" s="90"/>
    </row>
    <row r="864" spans="7:8" ht="15.75" customHeight="1">
      <c r="G864" s="90"/>
      <c r="H864" s="90"/>
    </row>
    <row r="865" spans="7:8" ht="15.75" customHeight="1">
      <c r="G865" s="90"/>
      <c r="H865" s="90"/>
    </row>
    <row r="866" spans="7:8" ht="15.75" customHeight="1">
      <c r="G866" s="90"/>
      <c r="H866" s="90"/>
    </row>
    <row r="867" spans="7:8" ht="15.75" customHeight="1">
      <c r="G867" s="90"/>
      <c r="H867" s="90"/>
    </row>
    <row r="868" spans="7:8" ht="15.75" customHeight="1">
      <c r="G868" s="90"/>
      <c r="H868" s="90"/>
    </row>
    <row r="869" spans="7:8" ht="15.75" customHeight="1">
      <c r="G869" s="90"/>
      <c r="H869" s="90"/>
    </row>
    <row r="870" spans="7:8" ht="15.75" customHeight="1">
      <c r="G870" s="90"/>
      <c r="H870" s="90"/>
    </row>
    <row r="871" spans="7:8" ht="15.75" customHeight="1">
      <c r="G871" s="90"/>
      <c r="H871" s="90"/>
    </row>
    <row r="872" spans="7:8" ht="15.75" customHeight="1">
      <c r="G872" s="90"/>
      <c r="H872" s="90"/>
    </row>
    <row r="873" spans="7:8" ht="15.75" customHeight="1">
      <c r="G873" s="90"/>
      <c r="H873" s="90"/>
    </row>
    <row r="874" spans="7:8" ht="15.75" customHeight="1">
      <c r="G874" s="90"/>
      <c r="H874" s="90"/>
    </row>
    <row r="875" spans="7:8" ht="15.75" customHeight="1">
      <c r="G875" s="90"/>
      <c r="H875" s="90"/>
    </row>
    <row r="876" spans="7:8" ht="15.75" customHeight="1">
      <c r="G876" s="90"/>
      <c r="H876" s="90"/>
    </row>
    <row r="877" spans="7:8" ht="15.75" customHeight="1">
      <c r="G877" s="90"/>
      <c r="H877" s="90"/>
    </row>
    <row r="878" spans="7:8" ht="15.75" customHeight="1">
      <c r="G878" s="90"/>
      <c r="H878" s="90"/>
    </row>
    <row r="879" spans="7:8" ht="15.75" customHeight="1">
      <c r="G879" s="90"/>
      <c r="H879" s="90"/>
    </row>
    <row r="880" spans="7:8" ht="15.75" customHeight="1">
      <c r="G880" s="90"/>
      <c r="H880" s="90"/>
    </row>
    <row r="881" spans="7:8" ht="15.75" customHeight="1">
      <c r="G881" s="90"/>
      <c r="H881" s="90"/>
    </row>
    <row r="882" spans="7:8" ht="15.75" customHeight="1">
      <c r="G882" s="90"/>
      <c r="H882" s="90"/>
    </row>
    <row r="883" spans="7:8" ht="15.75" customHeight="1">
      <c r="G883" s="90"/>
      <c r="H883" s="90"/>
    </row>
    <row r="884" spans="7:8" ht="15.75" customHeight="1">
      <c r="G884" s="90"/>
      <c r="H884" s="90"/>
    </row>
    <row r="885" spans="7:8" ht="15.75" customHeight="1">
      <c r="G885" s="90"/>
      <c r="H885" s="90"/>
    </row>
    <row r="886" spans="7:8" ht="15.75" customHeight="1">
      <c r="G886" s="90"/>
      <c r="H886" s="90"/>
    </row>
    <row r="887" spans="7:8" ht="15.75" customHeight="1">
      <c r="G887" s="90"/>
      <c r="H887" s="90"/>
    </row>
    <row r="888" spans="7:8" ht="15.75" customHeight="1">
      <c r="G888" s="90"/>
      <c r="H888" s="90"/>
    </row>
    <row r="889" spans="7:8" ht="15.75" customHeight="1">
      <c r="G889" s="90"/>
      <c r="H889" s="90"/>
    </row>
    <row r="890" spans="7:8" ht="15.75" customHeight="1">
      <c r="G890" s="90"/>
      <c r="H890" s="90"/>
    </row>
    <row r="891" spans="7:8" ht="15.75" customHeight="1">
      <c r="G891" s="90"/>
      <c r="H891" s="90"/>
    </row>
    <row r="892" spans="7:8" ht="15.75" customHeight="1">
      <c r="G892" s="90"/>
      <c r="H892" s="90"/>
    </row>
    <row r="893" spans="7:8" ht="15.75" customHeight="1">
      <c r="G893" s="90"/>
      <c r="H893" s="90"/>
    </row>
    <row r="894" spans="7:8" ht="15.75" customHeight="1">
      <c r="G894" s="90"/>
      <c r="H894" s="90"/>
    </row>
    <row r="895" spans="7:8" ht="15.75" customHeight="1">
      <c r="G895" s="90"/>
      <c r="H895" s="90"/>
    </row>
    <row r="896" spans="7:8" ht="15.75" customHeight="1">
      <c r="G896" s="90"/>
      <c r="H896" s="90"/>
    </row>
    <row r="897" spans="7:8" ht="15.75" customHeight="1">
      <c r="G897" s="90"/>
      <c r="H897" s="90"/>
    </row>
    <row r="898" spans="7:8" ht="15.75" customHeight="1">
      <c r="G898" s="90"/>
      <c r="H898" s="90"/>
    </row>
    <row r="899" spans="7:8" ht="15.75" customHeight="1">
      <c r="G899" s="90"/>
      <c r="H899" s="90"/>
    </row>
    <row r="900" spans="7:8" ht="15.75" customHeight="1">
      <c r="G900" s="90"/>
      <c r="H900" s="90"/>
    </row>
    <row r="901" spans="7:8" ht="15.75" customHeight="1">
      <c r="G901" s="90"/>
      <c r="H901" s="90"/>
    </row>
    <row r="902" spans="7:8" ht="15.75" customHeight="1">
      <c r="G902" s="90"/>
      <c r="H902" s="90"/>
    </row>
    <row r="903" spans="7:8" ht="15.75" customHeight="1">
      <c r="G903" s="90"/>
      <c r="H903" s="90"/>
    </row>
    <row r="904" spans="7:8" ht="15.75" customHeight="1">
      <c r="G904" s="90"/>
      <c r="H904" s="90"/>
    </row>
    <row r="905" spans="7:8" ht="15.75" customHeight="1">
      <c r="G905" s="90"/>
      <c r="H905" s="90"/>
    </row>
    <row r="906" spans="7:8" ht="15.75" customHeight="1">
      <c r="G906" s="90"/>
      <c r="H906" s="90"/>
    </row>
    <row r="907" spans="7:8" ht="15.75" customHeight="1">
      <c r="G907" s="90"/>
      <c r="H907" s="90"/>
    </row>
    <row r="908" spans="7:8" ht="15.75" customHeight="1">
      <c r="G908" s="90"/>
      <c r="H908" s="90"/>
    </row>
    <row r="909" spans="7:8" ht="15.75" customHeight="1">
      <c r="G909" s="90"/>
      <c r="H909" s="90"/>
    </row>
    <row r="910" spans="7:8" ht="15.75" customHeight="1">
      <c r="G910" s="90"/>
      <c r="H910" s="90"/>
    </row>
    <row r="911" spans="7:8" ht="15.75" customHeight="1">
      <c r="G911" s="90"/>
      <c r="H911" s="90"/>
    </row>
    <row r="912" spans="7:8" ht="15.75" customHeight="1">
      <c r="G912" s="90"/>
      <c r="H912" s="90"/>
    </row>
    <row r="913" spans="7:8" ht="15.75" customHeight="1">
      <c r="G913" s="90"/>
      <c r="H913" s="90"/>
    </row>
    <row r="914" spans="7:8" ht="15.75" customHeight="1">
      <c r="G914" s="90"/>
      <c r="H914" s="90"/>
    </row>
    <row r="915" spans="7:8" ht="15.75" customHeight="1">
      <c r="G915" s="90"/>
      <c r="H915" s="90"/>
    </row>
    <row r="916" spans="7:8" ht="15.75" customHeight="1">
      <c r="G916" s="90"/>
      <c r="H916" s="90"/>
    </row>
    <row r="917" spans="7:8" ht="15.75" customHeight="1">
      <c r="G917" s="90"/>
      <c r="H917" s="90"/>
    </row>
    <row r="918" spans="7:8" ht="15.75" customHeight="1">
      <c r="G918" s="90"/>
      <c r="H918" s="90"/>
    </row>
    <row r="919" spans="7:8" ht="15.75" customHeight="1">
      <c r="G919" s="90"/>
      <c r="H919" s="90"/>
    </row>
    <row r="920" spans="7:8" ht="15.75" customHeight="1">
      <c r="G920" s="90"/>
      <c r="H920" s="90"/>
    </row>
    <row r="921" spans="7:8" ht="15.75" customHeight="1">
      <c r="G921" s="90"/>
      <c r="H921" s="90"/>
    </row>
    <row r="922" spans="7:8" ht="15.75" customHeight="1">
      <c r="G922" s="90"/>
      <c r="H922" s="90"/>
    </row>
    <row r="923" spans="7:8" ht="15.75" customHeight="1">
      <c r="G923" s="90"/>
      <c r="H923" s="90"/>
    </row>
    <row r="924" spans="7:8" ht="15.75" customHeight="1">
      <c r="G924" s="90"/>
      <c r="H924" s="90"/>
    </row>
    <row r="925" spans="7:8" ht="15.75" customHeight="1">
      <c r="G925" s="90"/>
      <c r="H925" s="90"/>
    </row>
    <row r="926" spans="7:8" ht="15.75" customHeight="1">
      <c r="G926" s="90"/>
      <c r="H926" s="90"/>
    </row>
    <row r="927" spans="7:8" ht="15.75" customHeight="1">
      <c r="G927" s="90"/>
      <c r="H927" s="90"/>
    </row>
    <row r="928" spans="7:8" ht="15.75" customHeight="1">
      <c r="G928" s="90"/>
      <c r="H928" s="90"/>
    </row>
    <row r="929" spans="7:8" ht="15.75" customHeight="1">
      <c r="G929" s="90"/>
      <c r="H929" s="90"/>
    </row>
    <row r="930" spans="7:8" ht="15.75" customHeight="1">
      <c r="G930" s="90"/>
      <c r="H930" s="90"/>
    </row>
    <row r="931" spans="7:8" ht="15.75" customHeight="1">
      <c r="G931" s="90"/>
      <c r="H931" s="90"/>
    </row>
    <row r="932" spans="7:8" ht="15.75" customHeight="1">
      <c r="G932" s="90"/>
      <c r="H932" s="90"/>
    </row>
    <row r="933" spans="7:8" ht="15.75" customHeight="1">
      <c r="G933" s="90"/>
      <c r="H933" s="90"/>
    </row>
    <row r="934" spans="7:8" ht="15.75" customHeight="1">
      <c r="G934" s="90"/>
      <c r="H934" s="90"/>
    </row>
    <row r="935" spans="7:8" ht="15.75" customHeight="1">
      <c r="G935" s="90"/>
      <c r="H935" s="90"/>
    </row>
    <row r="936" spans="7:8" ht="15.75" customHeight="1">
      <c r="G936" s="90"/>
      <c r="H936" s="90"/>
    </row>
    <row r="937" spans="7:8" ht="15.75" customHeight="1">
      <c r="G937" s="90"/>
      <c r="H937" s="90"/>
    </row>
    <row r="938" spans="7:8" ht="15.75" customHeight="1">
      <c r="G938" s="90"/>
      <c r="H938" s="90"/>
    </row>
    <row r="939" spans="7:8" ht="15.75" customHeight="1">
      <c r="G939" s="90"/>
      <c r="H939" s="90"/>
    </row>
    <row r="940" spans="7:8" ht="15.75" customHeight="1">
      <c r="G940" s="90"/>
      <c r="H940" s="90"/>
    </row>
    <row r="941" spans="7:8" ht="15.75" customHeight="1">
      <c r="G941" s="90"/>
      <c r="H941" s="90"/>
    </row>
    <row r="942" spans="7:8" ht="15.75" customHeight="1">
      <c r="G942" s="90"/>
      <c r="H942" s="90"/>
    </row>
    <row r="943" spans="7:8" ht="15.75" customHeight="1">
      <c r="G943" s="90"/>
      <c r="H943" s="90"/>
    </row>
    <row r="944" spans="7:8" ht="15.75" customHeight="1">
      <c r="G944" s="90"/>
      <c r="H944" s="90"/>
    </row>
    <row r="945" spans="7:8" ht="15.75" customHeight="1">
      <c r="G945" s="90"/>
      <c r="H945" s="90"/>
    </row>
    <row r="946" spans="7:8" ht="15.75" customHeight="1">
      <c r="G946" s="90"/>
      <c r="H946" s="90"/>
    </row>
    <row r="947" spans="7:8" ht="15.75" customHeight="1">
      <c r="G947" s="90"/>
      <c r="H947" s="90"/>
    </row>
    <row r="948" spans="7:8" ht="15.75" customHeight="1">
      <c r="G948" s="90"/>
      <c r="H948" s="90"/>
    </row>
    <row r="949" spans="7:8" ht="15.75" customHeight="1">
      <c r="G949" s="90"/>
      <c r="H949" s="90"/>
    </row>
    <row r="950" spans="7:8" ht="15.75" customHeight="1">
      <c r="G950" s="90"/>
      <c r="H950" s="90"/>
    </row>
    <row r="951" spans="7:8" ht="15.75" customHeight="1">
      <c r="G951" s="90"/>
      <c r="H951" s="90"/>
    </row>
    <row r="952" spans="7:8" ht="15.75" customHeight="1">
      <c r="G952" s="90"/>
      <c r="H952" s="90"/>
    </row>
    <row r="953" spans="7:8" ht="15.75" customHeight="1">
      <c r="G953" s="90"/>
      <c r="H953" s="90"/>
    </row>
    <row r="954" spans="7:8" ht="15.75" customHeight="1">
      <c r="G954" s="90"/>
      <c r="H954" s="90"/>
    </row>
    <row r="955" spans="7:8" ht="15.75" customHeight="1">
      <c r="G955" s="90"/>
      <c r="H955" s="90"/>
    </row>
    <row r="956" spans="7:8" ht="15.75" customHeight="1">
      <c r="G956" s="90"/>
      <c r="H956" s="90"/>
    </row>
    <row r="957" spans="7:8" ht="15.75" customHeight="1">
      <c r="G957" s="90"/>
      <c r="H957" s="90"/>
    </row>
    <row r="958" spans="7:8" ht="15.75" customHeight="1">
      <c r="G958" s="90"/>
      <c r="H958" s="90"/>
    </row>
    <row r="959" spans="7:8" ht="15.75" customHeight="1">
      <c r="G959" s="90"/>
      <c r="H959" s="90"/>
    </row>
    <row r="960" spans="7:8" ht="15.75" customHeight="1">
      <c r="G960" s="90"/>
      <c r="H960" s="90"/>
    </row>
    <row r="961" spans="7:8" ht="15.75" customHeight="1">
      <c r="G961" s="90"/>
      <c r="H961" s="90"/>
    </row>
    <row r="962" spans="7:8" ht="15.75" customHeight="1">
      <c r="G962" s="90"/>
      <c r="H962" s="90"/>
    </row>
    <row r="963" spans="7:8" ht="15.75" customHeight="1">
      <c r="G963" s="90"/>
      <c r="H963" s="90"/>
    </row>
    <row r="964" spans="7:8" ht="15.75" customHeight="1">
      <c r="G964" s="90"/>
      <c r="H964" s="90"/>
    </row>
    <row r="965" spans="7:8" ht="15.75" customHeight="1">
      <c r="G965" s="90"/>
      <c r="H965" s="90"/>
    </row>
    <row r="966" spans="7:8" ht="15.75" customHeight="1">
      <c r="G966" s="90"/>
      <c r="H966" s="90"/>
    </row>
    <row r="967" spans="7:8" ht="15.75" customHeight="1">
      <c r="G967" s="90"/>
      <c r="H967" s="90"/>
    </row>
    <row r="968" spans="7:8" ht="15.75" customHeight="1">
      <c r="G968" s="90"/>
      <c r="H968" s="90"/>
    </row>
    <row r="969" spans="7:8" ht="15.75" customHeight="1">
      <c r="G969" s="90"/>
      <c r="H969" s="90"/>
    </row>
    <row r="970" spans="7:8" ht="15.75" customHeight="1">
      <c r="G970" s="90"/>
      <c r="H970" s="90"/>
    </row>
    <row r="971" spans="7:8" ht="15.75" customHeight="1">
      <c r="G971" s="90"/>
      <c r="H971" s="90"/>
    </row>
    <row r="972" spans="7:8" ht="15.75" customHeight="1">
      <c r="G972" s="90"/>
      <c r="H972" s="90"/>
    </row>
    <row r="973" spans="7:8" ht="15.75" customHeight="1">
      <c r="G973" s="90"/>
      <c r="H973" s="90"/>
    </row>
    <row r="974" spans="7:8" ht="15.75" customHeight="1">
      <c r="G974" s="90"/>
      <c r="H974" s="90"/>
    </row>
    <row r="975" spans="7:8" ht="15.75" customHeight="1">
      <c r="G975" s="90"/>
      <c r="H975" s="90"/>
    </row>
    <row r="976" spans="7:8" ht="15.75" customHeight="1">
      <c r="G976" s="90"/>
      <c r="H976" s="90"/>
    </row>
    <row r="977" spans="7:8" ht="15.75" customHeight="1">
      <c r="G977" s="90"/>
      <c r="H977" s="90"/>
    </row>
    <row r="978" spans="7:8" ht="15.75" customHeight="1">
      <c r="G978" s="90"/>
      <c r="H978" s="90"/>
    </row>
    <row r="979" spans="7:8" ht="15.75" customHeight="1">
      <c r="G979" s="90"/>
      <c r="H979" s="90"/>
    </row>
    <row r="980" spans="7:8" ht="15.75" customHeight="1">
      <c r="G980" s="90"/>
      <c r="H980" s="90"/>
    </row>
    <row r="981" spans="7:8" ht="15.75" customHeight="1">
      <c r="G981" s="90"/>
      <c r="H981" s="90"/>
    </row>
    <row r="982" spans="7:8" ht="15.75" customHeight="1">
      <c r="G982" s="90"/>
      <c r="H982" s="90"/>
    </row>
    <row r="983" spans="7:8" ht="15.75" customHeight="1">
      <c r="G983" s="90"/>
      <c r="H983" s="90"/>
    </row>
    <row r="984" spans="7:8" ht="15.75" customHeight="1">
      <c r="G984" s="90"/>
      <c r="H984" s="90"/>
    </row>
    <row r="985" spans="7:8" ht="15.75" customHeight="1">
      <c r="G985" s="90"/>
      <c r="H985" s="90"/>
    </row>
    <row r="986" spans="7:8" ht="15.75" customHeight="1">
      <c r="G986" s="90"/>
      <c r="H986" s="90"/>
    </row>
    <row r="987" spans="7:8" ht="15.75" customHeight="1">
      <c r="G987" s="90"/>
      <c r="H987" s="90"/>
    </row>
    <row r="988" spans="7:8" ht="15.75" customHeight="1">
      <c r="G988" s="90"/>
      <c r="H988" s="90"/>
    </row>
    <row r="989" spans="7:8" ht="15.75" customHeight="1">
      <c r="G989" s="90"/>
      <c r="H989" s="90"/>
    </row>
    <row r="990" spans="7:8" ht="15.75" customHeight="1">
      <c r="G990" s="90"/>
      <c r="H990" s="90"/>
    </row>
    <row r="991" spans="7:8" ht="15.75" customHeight="1">
      <c r="G991" s="90"/>
      <c r="H991" s="90"/>
    </row>
    <row r="992" spans="7:8" ht="15.75" customHeight="1">
      <c r="G992" s="90"/>
      <c r="H992" s="90"/>
    </row>
    <row r="993" spans="7:8" ht="15.75" customHeight="1">
      <c r="G993" s="90"/>
      <c r="H993" s="90"/>
    </row>
    <row r="994" spans="7:8" ht="15.75" customHeight="1">
      <c r="G994" s="90"/>
      <c r="H994" s="90"/>
    </row>
    <row r="995" spans="7:8" ht="15.75" customHeight="1">
      <c r="G995" s="90"/>
      <c r="H995" s="90"/>
    </row>
    <row r="996" spans="7:8" ht="15.75" customHeight="1">
      <c r="G996" s="90"/>
      <c r="H996" s="90"/>
    </row>
    <row r="997" spans="7:8" ht="15.75" customHeight="1">
      <c r="G997" s="90"/>
      <c r="H997" s="90"/>
    </row>
    <row r="998" spans="7:8" ht="15.75" customHeight="1">
      <c r="G998" s="90"/>
      <c r="H998" s="90"/>
    </row>
    <row r="999" spans="7:8" ht="15.75" customHeight="1">
      <c r="G999" s="90"/>
      <c r="H999" s="90"/>
    </row>
    <row r="1000" spans="7:8" ht="15.75" customHeight="1">
      <c r="G1000" s="90"/>
      <c r="H1000" s="90"/>
    </row>
    <row r="1001" spans="7:8" ht="15.75" customHeight="1">
      <c r="G1001" s="90"/>
      <c r="H1001" s="90"/>
    </row>
    <row r="1002" spans="7:8" ht="15.75" customHeight="1">
      <c r="G1002" s="90"/>
      <c r="H1002" s="90"/>
    </row>
    <row r="1003" spans="7:8" ht="15.75" customHeight="1">
      <c r="G1003" s="90"/>
      <c r="H1003" s="90"/>
    </row>
    <row r="1004" spans="7:8" ht="15.75" customHeight="1">
      <c r="G1004" s="90"/>
      <c r="H1004" s="90"/>
    </row>
    <row r="1005" spans="7:8" ht="15.75" customHeight="1">
      <c r="G1005" s="90"/>
      <c r="H1005" s="90"/>
    </row>
    <row r="1006" spans="7:8" ht="15.75" customHeight="1">
      <c r="G1006" s="90"/>
      <c r="H1006" s="90"/>
    </row>
    <row r="1007" spans="7:8" ht="15.75" customHeight="1">
      <c r="G1007" s="90"/>
      <c r="H1007" s="90"/>
    </row>
    <row r="1008" spans="7:8" ht="15.75" customHeight="1">
      <c r="G1008" s="90"/>
      <c r="H1008" s="90"/>
    </row>
    <row r="1009" spans="7:8" ht="15.75" customHeight="1">
      <c r="G1009" s="90"/>
      <c r="H1009" s="90"/>
    </row>
    <row r="1010" spans="7:8" ht="15.75" customHeight="1">
      <c r="G1010" s="90"/>
      <c r="H1010" s="90"/>
    </row>
    <row r="1011" spans="7:8" ht="15.75" customHeight="1">
      <c r="G1011" s="90"/>
      <c r="H1011" s="90"/>
    </row>
    <row r="1012" spans="7:8" ht="15.75" customHeight="1">
      <c r="G1012" s="90"/>
      <c r="H1012" s="90"/>
    </row>
    <row r="1013" spans="7:8" ht="15.75" customHeight="1">
      <c r="G1013" s="90"/>
      <c r="H1013" s="90"/>
    </row>
    <row r="1014" spans="7:8" ht="15.75" customHeight="1">
      <c r="G1014" s="90"/>
      <c r="H1014" s="90"/>
    </row>
    <row r="1015" spans="7:8" ht="15.75" customHeight="1">
      <c r="G1015" s="90"/>
      <c r="H1015" s="90"/>
    </row>
    <row r="1016" spans="7:8" ht="15.75" customHeight="1">
      <c r="G1016" s="90"/>
      <c r="H1016" s="90"/>
    </row>
    <row r="1017" spans="7:8" ht="15.75" customHeight="1">
      <c r="G1017" s="90"/>
      <c r="H1017" s="90"/>
    </row>
    <row r="1018" spans="7:8" ht="15.75" customHeight="1">
      <c r="G1018" s="90"/>
      <c r="H1018" s="90"/>
    </row>
    <row r="1019" spans="7:8" ht="15.75" customHeight="1">
      <c r="G1019" s="90"/>
      <c r="H1019" s="90"/>
    </row>
    <row r="1020" spans="7:8" ht="15.75" customHeight="1">
      <c r="G1020" s="90"/>
      <c r="H1020" s="90"/>
    </row>
    <row r="1021" spans="7:8" ht="15.75" customHeight="1">
      <c r="G1021" s="90"/>
      <c r="H1021" s="90"/>
    </row>
    <row r="1022" spans="7:8" ht="15.75" customHeight="1">
      <c r="G1022" s="90"/>
      <c r="H1022" s="90"/>
    </row>
    <row r="1023" spans="7:8" ht="15.75" customHeight="1">
      <c r="G1023" s="90"/>
      <c r="H1023" s="90"/>
    </row>
    <row r="1024" spans="7:8" ht="15.75" customHeight="1">
      <c r="G1024" s="90"/>
      <c r="H1024" s="90"/>
    </row>
    <row r="1025" spans="7:8" ht="15.75" customHeight="1">
      <c r="G1025" s="90"/>
      <c r="H1025" s="90"/>
    </row>
    <row r="1026" spans="7:8" ht="15.75" customHeight="1">
      <c r="G1026" s="90"/>
      <c r="H1026" s="90"/>
    </row>
    <row r="1027" spans="7:8" ht="15.75" customHeight="1">
      <c r="G1027" s="90"/>
      <c r="H1027" s="90"/>
    </row>
    <row r="1028" spans="7:8" ht="15.75" customHeight="1">
      <c r="G1028" s="90"/>
      <c r="H1028" s="90"/>
    </row>
    <row r="1029" spans="7:8" ht="15.75" customHeight="1">
      <c r="G1029" s="90"/>
      <c r="H1029" s="90"/>
    </row>
    <row r="1030" spans="7:8" ht="15.75" customHeight="1">
      <c r="G1030" s="90"/>
      <c r="H1030" s="90"/>
    </row>
    <row r="1031" spans="7:8" ht="15.75" customHeight="1">
      <c r="G1031" s="90"/>
      <c r="H1031" s="90"/>
    </row>
    <row r="1032" spans="7:8" ht="15.75" customHeight="1">
      <c r="G1032" s="90"/>
      <c r="H1032" s="90"/>
    </row>
    <row r="1033" spans="7:8" ht="15.75" customHeight="1">
      <c r="G1033" s="90"/>
      <c r="H1033" s="90"/>
    </row>
    <row r="1034" spans="7:8" ht="15.75" customHeight="1">
      <c r="G1034" s="90"/>
      <c r="H1034" s="90"/>
    </row>
    <row r="1035" spans="7:8" ht="15.75" customHeight="1">
      <c r="G1035" s="90"/>
      <c r="H1035" s="90"/>
    </row>
    <row r="1036" spans="7:8" ht="15.75" customHeight="1">
      <c r="G1036" s="90"/>
      <c r="H1036" s="90"/>
    </row>
    <row r="1037" spans="7:8" ht="15.75" customHeight="1">
      <c r="G1037" s="90"/>
      <c r="H1037" s="90"/>
    </row>
    <row r="1038" spans="7:8" ht="15.75" customHeight="1">
      <c r="G1038" s="90"/>
      <c r="H1038" s="90"/>
    </row>
    <row r="1039" spans="7:8" ht="15.75" customHeight="1">
      <c r="G1039" s="90"/>
      <c r="H1039" s="90"/>
    </row>
    <row r="1040" spans="7:8" ht="15.75" customHeight="1">
      <c r="G1040" s="90"/>
      <c r="H1040" s="90"/>
    </row>
    <row r="1041" spans="7:8" ht="15.75" customHeight="1">
      <c r="G1041" s="90"/>
      <c r="H1041" s="90"/>
    </row>
  </sheetData>
  <phoneticPr fontId="20" type="noConversion"/>
  <pageMargins left="0.7" right="0.7" top="0.75" bottom="0.75" header="0" footer="0"/>
  <pageSetup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711EE-F472-4E8A-9A44-B6CC513C2240}">
  <sheetPr codeName="Sheet4"/>
  <dimension ref="A1:AW10"/>
  <sheetViews>
    <sheetView workbookViewId="0">
      <selection activeCell="R10" sqref="R10"/>
    </sheetView>
  </sheetViews>
  <sheetFormatPr defaultRowHeight="15"/>
  <cols>
    <col min="2" max="49" width="5.7109375" customWidth="1"/>
  </cols>
  <sheetData>
    <row r="1" spans="1:49" ht="15.75" thickBot="1">
      <c r="A1" s="38"/>
      <c r="B1" s="216" t="s">
        <v>240</v>
      </c>
      <c r="C1" s="217"/>
      <c r="D1" s="217"/>
      <c r="E1" s="217"/>
      <c r="F1" s="217"/>
      <c r="G1" s="217"/>
      <c r="H1" s="216" t="s">
        <v>246</v>
      </c>
      <c r="I1" s="217"/>
      <c r="J1" s="217"/>
      <c r="K1" s="217"/>
      <c r="L1" s="217"/>
      <c r="M1" s="217"/>
      <c r="N1" s="216" t="s">
        <v>247</v>
      </c>
      <c r="O1" s="217"/>
      <c r="P1" s="217"/>
      <c r="Q1" s="217"/>
      <c r="R1" s="217"/>
      <c r="S1" s="217"/>
      <c r="T1" s="216" t="s">
        <v>248</v>
      </c>
      <c r="U1" s="217"/>
      <c r="V1" s="217"/>
      <c r="W1" s="217"/>
      <c r="X1" s="217"/>
      <c r="Y1" s="217"/>
      <c r="Z1" s="216" t="s">
        <v>249</v>
      </c>
      <c r="AA1" s="217"/>
      <c r="AB1" s="217"/>
      <c r="AC1" s="217"/>
      <c r="AD1" s="217"/>
      <c r="AE1" s="217"/>
      <c r="AF1" s="216" t="s">
        <v>250</v>
      </c>
      <c r="AG1" s="217"/>
      <c r="AH1" s="217"/>
      <c r="AI1" s="217"/>
      <c r="AJ1" s="217"/>
      <c r="AK1" s="217"/>
      <c r="AL1" s="216" t="s">
        <v>251</v>
      </c>
      <c r="AM1" s="217"/>
      <c r="AN1" s="217"/>
      <c r="AO1" s="217"/>
      <c r="AP1" s="217"/>
      <c r="AQ1" s="217"/>
      <c r="AR1" s="216" t="s">
        <v>252</v>
      </c>
      <c r="AS1" s="217"/>
      <c r="AT1" s="217"/>
      <c r="AU1" s="217"/>
      <c r="AV1" s="217"/>
      <c r="AW1" s="217"/>
    </row>
    <row r="2" spans="1:49" ht="15.75" thickBot="1">
      <c r="A2" s="37" t="s">
        <v>239</v>
      </c>
      <c r="B2" s="18" t="s">
        <v>241</v>
      </c>
      <c r="C2" s="19" t="s">
        <v>242</v>
      </c>
      <c r="D2" s="20" t="s">
        <v>243</v>
      </c>
      <c r="E2" s="23" t="s">
        <v>244</v>
      </c>
      <c r="F2" s="22" t="s">
        <v>245</v>
      </c>
      <c r="G2" s="21" t="s">
        <v>231</v>
      </c>
      <c r="H2" s="18" t="s">
        <v>241</v>
      </c>
      <c r="I2" s="19" t="s">
        <v>242</v>
      </c>
      <c r="J2" s="20" t="s">
        <v>243</v>
      </c>
      <c r="K2" s="23" t="s">
        <v>244</v>
      </c>
      <c r="L2" s="22" t="s">
        <v>245</v>
      </c>
      <c r="M2" s="21" t="s">
        <v>231</v>
      </c>
      <c r="N2" s="18" t="s">
        <v>241</v>
      </c>
      <c r="O2" s="19" t="s">
        <v>242</v>
      </c>
      <c r="P2" s="20" t="s">
        <v>243</v>
      </c>
      <c r="Q2" s="23" t="s">
        <v>244</v>
      </c>
      <c r="R2" s="22" t="s">
        <v>245</v>
      </c>
      <c r="S2" s="21" t="s">
        <v>231</v>
      </c>
      <c r="T2" s="18" t="s">
        <v>241</v>
      </c>
      <c r="U2" s="19" t="s">
        <v>242</v>
      </c>
      <c r="V2" s="20" t="s">
        <v>243</v>
      </c>
      <c r="W2" s="23" t="s">
        <v>244</v>
      </c>
      <c r="X2" s="22" t="s">
        <v>245</v>
      </c>
      <c r="Y2" s="21" t="s">
        <v>231</v>
      </c>
      <c r="Z2" s="18" t="s">
        <v>241</v>
      </c>
      <c r="AA2" s="19" t="s">
        <v>242</v>
      </c>
      <c r="AB2" s="20" t="s">
        <v>243</v>
      </c>
      <c r="AC2" s="23" t="s">
        <v>244</v>
      </c>
      <c r="AD2" s="22" t="s">
        <v>245</v>
      </c>
      <c r="AE2" s="21" t="s">
        <v>231</v>
      </c>
      <c r="AF2" s="18" t="s">
        <v>241</v>
      </c>
      <c r="AG2" s="19" t="s">
        <v>242</v>
      </c>
      <c r="AH2" s="20" t="s">
        <v>243</v>
      </c>
      <c r="AI2" s="23" t="s">
        <v>244</v>
      </c>
      <c r="AJ2" s="22" t="s">
        <v>245</v>
      </c>
      <c r="AK2" s="21" t="s">
        <v>231</v>
      </c>
      <c r="AL2" s="18" t="s">
        <v>241</v>
      </c>
      <c r="AM2" s="19" t="s">
        <v>242</v>
      </c>
      <c r="AN2" s="20" t="s">
        <v>243</v>
      </c>
      <c r="AO2" s="23" t="s">
        <v>244</v>
      </c>
      <c r="AP2" s="22" t="s">
        <v>245</v>
      </c>
      <c r="AQ2" s="21" t="s">
        <v>231</v>
      </c>
      <c r="AR2" s="18" t="s">
        <v>241</v>
      </c>
      <c r="AS2" s="19" t="s">
        <v>242</v>
      </c>
      <c r="AT2" s="20" t="s">
        <v>243</v>
      </c>
      <c r="AU2" s="23" t="s">
        <v>244</v>
      </c>
      <c r="AV2" s="22" t="s">
        <v>245</v>
      </c>
      <c r="AW2" s="21" t="s">
        <v>231</v>
      </c>
    </row>
    <row r="3" spans="1:49" ht="15.75" thickBot="1">
      <c r="A3" s="36">
        <v>1</v>
      </c>
      <c r="B3" s="24">
        <v>350</v>
      </c>
      <c r="C3" s="26">
        <v>226</v>
      </c>
      <c r="D3" s="28">
        <v>30</v>
      </c>
      <c r="E3" s="30">
        <v>30</v>
      </c>
      <c r="F3" s="32">
        <v>25</v>
      </c>
      <c r="G3" s="34">
        <v>15</v>
      </c>
      <c r="H3" s="24">
        <v>440</v>
      </c>
      <c r="I3" s="26">
        <v>203</v>
      </c>
      <c r="J3" s="28">
        <v>45</v>
      </c>
      <c r="K3" s="30">
        <v>20</v>
      </c>
      <c r="L3" s="32">
        <v>25</v>
      </c>
      <c r="M3" s="34">
        <v>15</v>
      </c>
      <c r="N3" s="24">
        <v>510</v>
      </c>
      <c r="O3" s="26">
        <v>249</v>
      </c>
      <c r="P3" s="28">
        <v>20</v>
      </c>
      <c r="Q3" s="30">
        <v>20</v>
      </c>
      <c r="R3" s="32">
        <v>40</v>
      </c>
      <c r="S3" s="34">
        <v>15</v>
      </c>
      <c r="T3" s="24">
        <v>220</v>
      </c>
      <c r="U3" s="26">
        <v>203</v>
      </c>
      <c r="V3" s="28">
        <v>45</v>
      </c>
      <c r="W3" s="30">
        <v>45</v>
      </c>
      <c r="X3" s="32">
        <v>20</v>
      </c>
      <c r="Y3" s="34">
        <v>15</v>
      </c>
      <c r="Z3" s="24">
        <v>310</v>
      </c>
      <c r="AA3" s="26">
        <v>190</v>
      </c>
      <c r="AB3" s="28">
        <v>30</v>
      </c>
      <c r="AC3" s="30">
        <v>45</v>
      </c>
      <c r="AD3" s="32">
        <v>25</v>
      </c>
      <c r="AE3" s="34">
        <v>15</v>
      </c>
      <c r="AF3" s="24">
        <v>490</v>
      </c>
      <c r="AG3" s="26">
        <v>231</v>
      </c>
      <c r="AH3" s="28">
        <v>25</v>
      </c>
      <c r="AI3" s="30">
        <v>25</v>
      </c>
      <c r="AJ3" s="32">
        <v>25</v>
      </c>
      <c r="AK3" s="34">
        <v>20</v>
      </c>
      <c r="AL3" s="24">
        <v>330</v>
      </c>
      <c r="AM3" s="26">
        <v>221</v>
      </c>
      <c r="AN3" s="28">
        <v>25</v>
      </c>
      <c r="AO3" s="30">
        <v>25</v>
      </c>
      <c r="AP3" s="32">
        <v>20</v>
      </c>
      <c r="AQ3" s="34">
        <v>15</v>
      </c>
      <c r="AR3" s="24">
        <v>330</v>
      </c>
      <c r="AS3" s="26">
        <v>226</v>
      </c>
      <c r="AT3" s="28">
        <v>25</v>
      </c>
      <c r="AU3" s="30">
        <v>25</v>
      </c>
      <c r="AV3" s="32">
        <v>25</v>
      </c>
      <c r="AW3" s="34">
        <v>30</v>
      </c>
    </row>
    <row r="4" spans="1:49" ht="15.75" thickBot="1">
      <c r="A4" s="36">
        <v>2</v>
      </c>
      <c r="B4" s="24">
        <v>475</v>
      </c>
      <c r="C4" s="26">
        <v>243</v>
      </c>
      <c r="D4" s="28">
        <v>56</v>
      </c>
      <c r="E4" s="30">
        <v>56</v>
      </c>
      <c r="F4" s="32">
        <v>40</v>
      </c>
      <c r="G4" s="34">
        <v>20</v>
      </c>
      <c r="H4" s="24">
        <v>599</v>
      </c>
      <c r="I4" s="26">
        <v>216</v>
      </c>
      <c r="J4" s="28">
        <v>80</v>
      </c>
      <c r="K4" s="30">
        <v>31</v>
      </c>
      <c r="L4" s="32">
        <v>40</v>
      </c>
      <c r="M4" s="34">
        <v>20</v>
      </c>
      <c r="N4" s="24">
        <v>695</v>
      </c>
      <c r="O4" s="26">
        <v>279</v>
      </c>
      <c r="P4" s="28">
        <v>38</v>
      </c>
      <c r="Q4" s="30">
        <v>38</v>
      </c>
      <c r="R4" s="32">
        <v>65</v>
      </c>
      <c r="S4" s="34">
        <v>20</v>
      </c>
      <c r="T4" s="24">
        <v>289</v>
      </c>
      <c r="U4" s="26">
        <v>213</v>
      </c>
      <c r="V4" s="28">
        <v>80</v>
      </c>
      <c r="W4" s="30">
        <v>80</v>
      </c>
      <c r="X4" s="32">
        <v>30</v>
      </c>
      <c r="Y4" s="34">
        <v>20</v>
      </c>
      <c r="Z4" s="24">
        <v>454</v>
      </c>
      <c r="AA4" s="26">
        <v>207</v>
      </c>
      <c r="AB4" s="28">
        <v>56</v>
      </c>
      <c r="AC4" s="30">
        <v>74</v>
      </c>
      <c r="AD4" s="32">
        <v>40</v>
      </c>
      <c r="AE4" s="34">
        <v>20</v>
      </c>
      <c r="AF4" s="24">
        <v>850</v>
      </c>
      <c r="AG4" s="26">
        <v>254</v>
      </c>
      <c r="AH4" s="28">
        <v>45</v>
      </c>
      <c r="AI4" s="30">
        <v>45</v>
      </c>
      <c r="AJ4" s="32">
        <v>39</v>
      </c>
      <c r="AK4" s="34">
        <v>30</v>
      </c>
      <c r="AL4" s="24">
        <v>418</v>
      </c>
      <c r="AM4" s="26">
        <v>231</v>
      </c>
      <c r="AN4" s="28">
        <v>45</v>
      </c>
      <c r="AO4" s="30">
        <v>45</v>
      </c>
      <c r="AP4" s="32">
        <v>30</v>
      </c>
      <c r="AQ4" s="34">
        <v>20</v>
      </c>
      <c r="AR4" s="24">
        <v>418</v>
      </c>
      <c r="AS4" s="26">
        <v>240</v>
      </c>
      <c r="AT4" s="28">
        <v>45</v>
      </c>
      <c r="AU4" s="30">
        <v>45</v>
      </c>
      <c r="AV4" s="32">
        <v>39</v>
      </c>
      <c r="AW4" s="34">
        <v>47</v>
      </c>
    </row>
    <row r="5" spans="1:49" ht="15.75" thickBot="1">
      <c r="A5" s="36">
        <v>3</v>
      </c>
      <c r="B5" s="24">
        <v>918</v>
      </c>
      <c r="C5" s="26">
        <v>262</v>
      </c>
      <c r="D5" s="28">
        <v>86</v>
      </c>
      <c r="E5" s="30">
        <v>86</v>
      </c>
      <c r="F5" s="32">
        <v>58</v>
      </c>
      <c r="G5" s="34">
        <v>26</v>
      </c>
      <c r="H5" s="24">
        <v>1158</v>
      </c>
      <c r="I5" s="26">
        <v>230</v>
      </c>
      <c r="J5" s="28">
        <v>120</v>
      </c>
      <c r="K5" s="30">
        <v>44</v>
      </c>
      <c r="L5" s="32">
        <v>58</v>
      </c>
      <c r="M5" s="34">
        <v>26</v>
      </c>
      <c r="N5" s="24">
        <v>1314</v>
      </c>
      <c r="O5" s="26">
        <v>312</v>
      </c>
      <c r="P5" s="28">
        <v>58</v>
      </c>
      <c r="Q5" s="30">
        <v>58</v>
      </c>
      <c r="R5" s="32">
        <v>95</v>
      </c>
      <c r="S5" s="34">
        <v>26</v>
      </c>
      <c r="T5" s="24">
        <v>538</v>
      </c>
      <c r="U5" s="26">
        <v>223</v>
      </c>
      <c r="V5" s="28">
        <v>120</v>
      </c>
      <c r="W5" s="30">
        <v>120</v>
      </c>
      <c r="X5" s="32">
        <v>42</v>
      </c>
      <c r="Y5" s="34">
        <v>26</v>
      </c>
      <c r="Z5" s="24">
        <v>902</v>
      </c>
      <c r="AA5" s="26">
        <v>226</v>
      </c>
      <c r="AB5" s="28">
        <v>86</v>
      </c>
      <c r="AC5" s="30">
        <v>129</v>
      </c>
      <c r="AD5" s="32">
        <v>58</v>
      </c>
      <c r="AE5" s="34">
        <v>26</v>
      </c>
      <c r="AF5" s="24">
        <v>1320</v>
      </c>
      <c r="AG5" s="26">
        <v>280</v>
      </c>
      <c r="AH5" s="28">
        <v>68</v>
      </c>
      <c r="AI5" s="30">
        <v>68</v>
      </c>
      <c r="AJ5" s="32">
        <v>56</v>
      </c>
      <c r="AK5" s="34">
        <v>42</v>
      </c>
      <c r="AL5" s="24">
        <v>788</v>
      </c>
      <c r="AM5" s="26">
        <v>241</v>
      </c>
      <c r="AN5" s="28">
        <v>68</v>
      </c>
      <c r="AO5" s="30">
        <v>68</v>
      </c>
      <c r="AP5" s="32">
        <v>42</v>
      </c>
      <c r="AQ5" s="34">
        <v>26</v>
      </c>
      <c r="AR5" s="24">
        <v>788</v>
      </c>
      <c r="AS5" s="26">
        <v>255</v>
      </c>
      <c r="AT5" s="28">
        <v>68</v>
      </c>
      <c r="AU5" s="30">
        <v>68</v>
      </c>
      <c r="AV5" s="32">
        <v>56</v>
      </c>
      <c r="AW5" s="34">
        <v>68</v>
      </c>
    </row>
    <row r="6" spans="1:49" ht="15.75" thickBot="1">
      <c r="A6" s="36">
        <v>4</v>
      </c>
      <c r="B6" s="24">
        <v>2695</v>
      </c>
      <c r="C6" s="26">
        <v>281</v>
      </c>
      <c r="D6" s="28">
        <v>116</v>
      </c>
      <c r="E6" s="30">
        <v>116</v>
      </c>
      <c r="F6" s="32">
        <v>76</v>
      </c>
      <c r="G6" s="34">
        <v>32</v>
      </c>
      <c r="H6" s="24">
        <v>2780</v>
      </c>
      <c r="I6" s="26">
        <v>244</v>
      </c>
      <c r="J6" s="28">
        <v>160</v>
      </c>
      <c r="K6" s="30">
        <v>57</v>
      </c>
      <c r="L6" s="32">
        <v>76</v>
      </c>
      <c r="M6" s="34">
        <v>32</v>
      </c>
      <c r="N6" s="24">
        <v>3140</v>
      </c>
      <c r="O6" s="26">
        <v>345</v>
      </c>
      <c r="P6" s="28">
        <v>78</v>
      </c>
      <c r="Q6" s="30">
        <v>78</v>
      </c>
      <c r="R6" s="32">
        <v>125</v>
      </c>
      <c r="S6" s="34">
        <v>32</v>
      </c>
      <c r="T6" s="24">
        <v>1157</v>
      </c>
      <c r="U6" s="26">
        <v>234</v>
      </c>
      <c r="V6" s="28">
        <v>160</v>
      </c>
      <c r="W6" s="30">
        <v>160</v>
      </c>
      <c r="X6" s="32">
        <v>54</v>
      </c>
      <c r="Y6" s="34">
        <v>32</v>
      </c>
      <c r="Z6" s="24">
        <v>2180</v>
      </c>
      <c r="AA6" s="26">
        <v>245</v>
      </c>
      <c r="AB6" s="28">
        <v>116</v>
      </c>
      <c r="AC6" s="30">
        <v>174</v>
      </c>
      <c r="AD6" s="32">
        <v>76</v>
      </c>
      <c r="AE6" s="34">
        <v>32</v>
      </c>
      <c r="AF6" s="24">
        <v>3040</v>
      </c>
      <c r="AG6" s="26">
        <v>306</v>
      </c>
      <c r="AH6" s="28">
        <v>91</v>
      </c>
      <c r="AI6" s="30">
        <v>91</v>
      </c>
      <c r="AJ6" s="32">
        <v>73</v>
      </c>
      <c r="AK6" s="34">
        <v>54</v>
      </c>
      <c r="AL6" s="24">
        <v>1900</v>
      </c>
      <c r="AM6" s="26">
        <v>252</v>
      </c>
      <c r="AN6" s="28">
        <v>91</v>
      </c>
      <c r="AO6" s="30">
        <v>91</v>
      </c>
      <c r="AP6" s="32">
        <v>54</v>
      </c>
      <c r="AQ6" s="34">
        <v>32</v>
      </c>
      <c r="AR6" s="24">
        <v>1900</v>
      </c>
      <c r="AS6" s="26">
        <v>271</v>
      </c>
      <c r="AT6" s="28">
        <v>91</v>
      </c>
      <c r="AU6" s="30">
        <v>91</v>
      </c>
      <c r="AV6" s="32">
        <v>73</v>
      </c>
      <c r="AW6" s="34">
        <v>89</v>
      </c>
    </row>
    <row r="7" spans="1:49" ht="15.75" thickBot="1">
      <c r="A7" s="36">
        <v>5</v>
      </c>
      <c r="B7" s="24">
        <v>9240</v>
      </c>
      <c r="C7" s="26">
        <v>300</v>
      </c>
      <c r="D7" s="28">
        <v>146</v>
      </c>
      <c r="E7" s="30">
        <v>146</v>
      </c>
      <c r="F7" s="32">
        <v>94</v>
      </c>
      <c r="G7" s="34">
        <v>38</v>
      </c>
      <c r="H7" s="24">
        <v>11850</v>
      </c>
      <c r="I7" s="26">
        <v>258</v>
      </c>
      <c r="J7" s="28">
        <v>200</v>
      </c>
      <c r="K7" s="30">
        <v>70</v>
      </c>
      <c r="L7" s="32">
        <v>94</v>
      </c>
      <c r="M7" s="34">
        <v>38</v>
      </c>
      <c r="N7" s="24">
        <v>13260</v>
      </c>
      <c r="O7" s="26">
        <v>378</v>
      </c>
      <c r="P7" s="28">
        <v>98</v>
      </c>
      <c r="Q7" s="30">
        <v>98</v>
      </c>
      <c r="R7" s="32">
        <v>155</v>
      </c>
      <c r="S7" s="34">
        <v>38</v>
      </c>
      <c r="T7" s="24">
        <v>5550</v>
      </c>
      <c r="U7" s="26">
        <v>244</v>
      </c>
      <c r="V7" s="28">
        <v>200</v>
      </c>
      <c r="W7" s="30">
        <v>200</v>
      </c>
      <c r="X7" s="32">
        <v>66</v>
      </c>
      <c r="Y7" s="34">
        <v>38</v>
      </c>
      <c r="Z7" s="24">
        <v>9030</v>
      </c>
      <c r="AA7" s="26">
        <v>264</v>
      </c>
      <c r="AB7" s="28">
        <v>146</v>
      </c>
      <c r="AC7" s="30">
        <v>219</v>
      </c>
      <c r="AD7" s="32">
        <v>94</v>
      </c>
      <c r="AE7" s="34">
        <v>38</v>
      </c>
      <c r="AF7" s="24">
        <v>11280</v>
      </c>
      <c r="AG7" s="26">
        <v>332</v>
      </c>
      <c r="AH7" s="28">
        <v>114</v>
      </c>
      <c r="AI7" s="30">
        <v>114</v>
      </c>
      <c r="AJ7" s="32">
        <v>90</v>
      </c>
      <c r="AK7" s="34">
        <v>66</v>
      </c>
      <c r="AL7" s="24">
        <v>7800</v>
      </c>
      <c r="AM7" s="26">
        <v>262</v>
      </c>
      <c r="AN7" s="28">
        <v>114</v>
      </c>
      <c r="AO7" s="30">
        <v>114</v>
      </c>
      <c r="AP7" s="32">
        <v>66</v>
      </c>
      <c r="AQ7" s="34">
        <v>38</v>
      </c>
      <c r="AR7" s="24">
        <v>7800</v>
      </c>
      <c r="AS7" s="26">
        <v>286</v>
      </c>
      <c r="AT7" s="28">
        <v>114</v>
      </c>
      <c r="AU7" s="30">
        <v>114</v>
      </c>
      <c r="AV7" s="32">
        <v>90</v>
      </c>
      <c r="AW7" s="34">
        <v>110</v>
      </c>
    </row>
    <row r="8" spans="1:49" ht="15.75" thickBot="1">
      <c r="A8" s="36">
        <v>6</v>
      </c>
      <c r="B8" s="24">
        <v>11790</v>
      </c>
      <c r="C8" s="26">
        <v>310</v>
      </c>
      <c r="D8" s="28">
        <v>204</v>
      </c>
      <c r="E8" s="30">
        <v>204</v>
      </c>
      <c r="F8" s="32">
        <v>119</v>
      </c>
      <c r="G8" s="34">
        <v>43</v>
      </c>
      <c r="H8" s="24">
        <v>13775</v>
      </c>
      <c r="I8" s="26">
        <v>274</v>
      </c>
      <c r="J8" s="28">
        <v>280</v>
      </c>
      <c r="K8" s="30">
        <v>98</v>
      </c>
      <c r="L8" s="32">
        <v>89</v>
      </c>
      <c r="M8" s="34">
        <v>43</v>
      </c>
      <c r="N8" s="24">
        <v>16310</v>
      </c>
      <c r="O8" s="26">
        <v>388</v>
      </c>
      <c r="P8" s="28">
        <v>137</v>
      </c>
      <c r="Q8" s="30">
        <v>137</v>
      </c>
      <c r="R8" s="32">
        <v>154</v>
      </c>
      <c r="S8" s="34">
        <v>43</v>
      </c>
      <c r="T8" s="24">
        <v>7075</v>
      </c>
      <c r="U8" s="26">
        <v>239</v>
      </c>
      <c r="V8" s="28">
        <v>280</v>
      </c>
      <c r="W8" s="30">
        <v>280</v>
      </c>
      <c r="X8" s="32">
        <v>74</v>
      </c>
      <c r="Y8" s="34">
        <v>43</v>
      </c>
      <c r="Z8" s="24">
        <v>11145</v>
      </c>
      <c r="AA8" s="26">
        <v>267</v>
      </c>
      <c r="AB8" s="28">
        <v>146</v>
      </c>
      <c r="AC8" s="30">
        <v>300</v>
      </c>
      <c r="AD8" s="32">
        <v>94</v>
      </c>
      <c r="AE8" s="34">
        <v>43</v>
      </c>
      <c r="AF8" s="24">
        <v>13400</v>
      </c>
      <c r="AG8" s="26">
        <v>275</v>
      </c>
      <c r="AH8" s="28">
        <v>160</v>
      </c>
      <c r="AI8" s="30">
        <v>160</v>
      </c>
      <c r="AJ8" s="32">
        <v>89</v>
      </c>
      <c r="AK8" s="34">
        <v>68</v>
      </c>
      <c r="AL8" s="24">
        <v>9750</v>
      </c>
      <c r="AM8" s="26">
        <v>283</v>
      </c>
      <c r="AN8" s="28">
        <v>160</v>
      </c>
      <c r="AO8" s="30">
        <v>160</v>
      </c>
      <c r="AP8" s="32">
        <v>84</v>
      </c>
      <c r="AQ8" s="34">
        <v>43</v>
      </c>
      <c r="AR8" s="24">
        <v>9740</v>
      </c>
      <c r="AS8" s="26">
        <v>303</v>
      </c>
      <c r="AT8" s="28">
        <v>160</v>
      </c>
      <c r="AU8" s="30">
        <v>160</v>
      </c>
      <c r="AV8" s="32">
        <v>117</v>
      </c>
      <c r="AW8" s="34">
        <v>110</v>
      </c>
    </row>
    <row r="9" spans="1:49" ht="15.75" thickBot="1">
      <c r="A9" s="36">
        <v>7</v>
      </c>
      <c r="B9" s="24">
        <v>16440</v>
      </c>
      <c r="C9" s="26">
        <v>320</v>
      </c>
      <c r="D9" s="28">
        <v>294</v>
      </c>
      <c r="E9" s="30">
        <v>294</v>
      </c>
      <c r="F9" s="32">
        <v>159</v>
      </c>
      <c r="G9" s="34">
        <v>48</v>
      </c>
      <c r="H9" s="24">
        <v>19400</v>
      </c>
      <c r="I9" s="26">
        <v>279</v>
      </c>
      <c r="J9" s="28">
        <v>400</v>
      </c>
      <c r="K9" s="30">
        <v>128</v>
      </c>
      <c r="L9" s="32">
        <v>129</v>
      </c>
      <c r="M9" s="34">
        <v>48</v>
      </c>
      <c r="N9" s="24">
        <v>22910</v>
      </c>
      <c r="O9" s="26">
        <v>398</v>
      </c>
      <c r="P9" s="28">
        <v>167</v>
      </c>
      <c r="Q9" s="30">
        <v>167</v>
      </c>
      <c r="R9" s="32">
        <v>194</v>
      </c>
      <c r="S9" s="34">
        <v>48</v>
      </c>
      <c r="T9" s="24">
        <v>9700</v>
      </c>
      <c r="U9" s="26">
        <v>244</v>
      </c>
      <c r="V9" s="28">
        <v>400</v>
      </c>
      <c r="W9" s="30">
        <v>400</v>
      </c>
      <c r="X9" s="32">
        <v>114</v>
      </c>
      <c r="Y9" s="34">
        <v>48</v>
      </c>
      <c r="Z9" s="24">
        <v>15720</v>
      </c>
      <c r="AA9" s="26">
        <v>272</v>
      </c>
      <c r="AB9" s="28">
        <v>176</v>
      </c>
      <c r="AC9" s="30">
        <v>420</v>
      </c>
      <c r="AD9" s="32">
        <v>134</v>
      </c>
      <c r="AE9" s="34">
        <v>48</v>
      </c>
      <c r="AF9" s="24">
        <v>19400</v>
      </c>
      <c r="AG9" s="26">
        <v>285</v>
      </c>
      <c r="AH9" s="28">
        <v>220</v>
      </c>
      <c r="AI9" s="30">
        <v>220</v>
      </c>
      <c r="AJ9" s="32">
        <v>129</v>
      </c>
      <c r="AK9" s="34">
        <v>78</v>
      </c>
      <c r="AL9" s="24">
        <v>13500</v>
      </c>
      <c r="AM9" s="26">
        <v>288</v>
      </c>
      <c r="AN9" s="28">
        <v>220</v>
      </c>
      <c r="AO9" s="30">
        <v>220</v>
      </c>
      <c r="AP9" s="32">
        <v>124</v>
      </c>
      <c r="AQ9" s="34">
        <v>48</v>
      </c>
      <c r="AR9" s="24">
        <v>13640</v>
      </c>
      <c r="AS9" s="26">
        <v>308</v>
      </c>
      <c r="AT9" s="28">
        <v>220</v>
      </c>
      <c r="AU9" s="30">
        <v>220</v>
      </c>
      <c r="AV9" s="32">
        <v>197</v>
      </c>
      <c r="AW9" s="34">
        <v>120</v>
      </c>
    </row>
    <row r="10" spans="1:49" ht="15.75" thickBot="1">
      <c r="A10" s="36">
        <v>8</v>
      </c>
      <c r="B10" s="25">
        <v>21090</v>
      </c>
      <c r="C10" s="27">
        <v>330</v>
      </c>
      <c r="D10" s="29">
        <v>384</v>
      </c>
      <c r="E10" s="31">
        <v>384</v>
      </c>
      <c r="F10" s="33">
        <v>199</v>
      </c>
      <c r="G10" s="35">
        <v>53</v>
      </c>
      <c r="H10" s="25">
        <v>25025</v>
      </c>
      <c r="I10" s="27">
        <v>284</v>
      </c>
      <c r="J10" s="29">
        <v>520</v>
      </c>
      <c r="K10" s="31">
        <v>158</v>
      </c>
      <c r="L10" s="33">
        <v>169</v>
      </c>
      <c r="M10" s="35">
        <v>53</v>
      </c>
      <c r="N10" s="25">
        <v>29510</v>
      </c>
      <c r="O10" s="27">
        <v>408</v>
      </c>
      <c r="P10" s="29">
        <v>197</v>
      </c>
      <c r="Q10" s="31">
        <v>197</v>
      </c>
      <c r="R10" s="33">
        <v>234</v>
      </c>
      <c r="S10" s="35">
        <v>53</v>
      </c>
      <c r="T10" s="25">
        <v>12325</v>
      </c>
      <c r="U10" s="27">
        <v>249</v>
      </c>
      <c r="V10" s="29">
        <v>520</v>
      </c>
      <c r="W10" s="31">
        <v>520</v>
      </c>
      <c r="X10" s="33">
        <v>154</v>
      </c>
      <c r="Y10" s="35">
        <v>53</v>
      </c>
      <c r="Z10" s="25">
        <v>20295</v>
      </c>
      <c r="AA10" s="27">
        <v>282</v>
      </c>
      <c r="AB10" s="29">
        <v>206</v>
      </c>
      <c r="AC10" s="31">
        <v>540</v>
      </c>
      <c r="AD10" s="33">
        <v>174</v>
      </c>
      <c r="AE10" s="35">
        <v>53</v>
      </c>
      <c r="AF10" s="25">
        <v>25400</v>
      </c>
      <c r="AG10" s="27">
        <v>295</v>
      </c>
      <c r="AH10" s="29">
        <v>280</v>
      </c>
      <c r="AI10" s="31">
        <v>280</v>
      </c>
      <c r="AJ10" s="33">
        <v>169</v>
      </c>
      <c r="AK10" s="35">
        <v>88</v>
      </c>
      <c r="AL10" s="25">
        <v>17250</v>
      </c>
      <c r="AM10" s="27">
        <v>293</v>
      </c>
      <c r="AN10" s="29">
        <v>280</v>
      </c>
      <c r="AO10" s="31">
        <v>280</v>
      </c>
      <c r="AP10" s="33">
        <v>164</v>
      </c>
      <c r="AQ10" s="35">
        <v>53</v>
      </c>
      <c r="AR10" s="25">
        <v>17540</v>
      </c>
      <c r="AS10" s="27">
        <v>313</v>
      </c>
      <c r="AT10" s="29">
        <v>280</v>
      </c>
      <c r="AU10" s="31">
        <v>280</v>
      </c>
      <c r="AV10" s="33">
        <v>277</v>
      </c>
      <c r="AW10" s="35">
        <v>130</v>
      </c>
    </row>
  </sheetData>
  <mergeCells count="8">
    <mergeCell ref="AL1:AQ1"/>
    <mergeCell ref="AR1:AW1"/>
    <mergeCell ref="B1:G1"/>
    <mergeCell ref="H1:M1"/>
    <mergeCell ref="N1:S1"/>
    <mergeCell ref="T1:Y1"/>
    <mergeCell ref="Z1:AE1"/>
    <mergeCell ref="AF1:AK1"/>
  </mergeCells>
  <phoneticPr fontId="2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CB6D8-997B-4FCB-A6B5-1FEF853D3B30}">
  <sheetPr codeName="Sheet5"/>
  <dimension ref="A1:AX74"/>
  <sheetViews>
    <sheetView workbookViewId="0">
      <selection activeCell="P40" sqref="P40:AX40"/>
    </sheetView>
  </sheetViews>
  <sheetFormatPr defaultRowHeight="15"/>
  <cols>
    <col min="1" max="1" width="19.85546875" style="47" bestFit="1" customWidth="1"/>
    <col min="2" max="2" width="19.42578125" style="47" bestFit="1" customWidth="1"/>
    <col min="3" max="3" width="11.28515625" style="47" bestFit="1" customWidth="1"/>
    <col min="4" max="4" width="9" style="47" bestFit="1" customWidth="1"/>
    <col min="5" max="5" width="8.28515625" style="47" bestFit="1" customWidth="1"/>
    <col min="6" max="6" width="17.28515625" style="47" bestFit="1" customWidth="1"/>
    <col min="7" max="7" width="11.28515625" style="47" bestFit="1" customWidth="1"/>
    <col min="8" max="8" width="7.140625" style="47" bestFit="1" customWidth="1"/>
    <col min="9" max="9" width="12.42578125" style="47" bestFit="1" customWidth="1"/>
    <col min="10" max="10" width="9.5703125" style="47" bestFit="1" customWidth="1"/>
    <col min="11" max="11" width="9.28515625" style="47" bestFit="1" customWidth="1"/>
    <col min="12" max="12" width="6.42578125" style="47" bestFit="1" customWidth="1"/>
    <col min="13" max="13" width="8.7109375" style="47" bestFit="1" customWidth="1"/>
    <col min="14" max="14" width="9" style="47" bestFit="1" customWidth="1"/>
    <col min="15" max="15" width="13.42578125" style="47" bestFit="1" customWidth="1"/>
    <col min="16" max="22" width="7.28515625" style="47" bestFit="1" customWidth="1"/>
    <col min="23" max="23" width="8.28515625" style="47" bestFit="1" customWidth="1"/>
    <col min="25" max="16384" width="9.140625" style="47"/>
  </cols>
  <sheetData>
    <row r="1" spans="1:50">
      <c r="A1" s="47" t="s">
        <v>22</v>
      </c>
      <c r="B1" s="47" t="s">
        <v>336</v>
      </c>
      <c r="C1" s="47" t="s">
        <v>340</v>
      </c>
      <c r="D1" s="47" t="s">
        <v>263</v>
      </c>
      <c r="E1" s="47" t="s">
        <v>300</v>
      </c>
      <c r="F1" s="47" t="s">
        <v>301</v>
      </c>
      <c r="G1" s="47" t="s">
        <v>302</v>
      </c>
      <c r="H1" s="47" t="s">
        <v>264</v>
      </c>
      <c r="I1" s="47" t="s">
        <v>2</v>
      </c>
      <c r="J1" s="47" t="s">
        <v>303</v>
      </c>
      <c r="K1" s="47" t="s">
        <v>304</v>
      </c>
      <c r="L1" s="47" t="s">
        <v>305</v>
      </c>
      <c r="M1" s="47" t="s">
        <v>307</v>
      </c>
      <c r="N1" s="47" t="s">
        <v>306</v>
      </c>
      <c r="O1" s="47" t="s">
        <v>319</v>
      </c>
      <c r="P1" s="47" t="s">
        <v>965</v>
      </c>
      <c r="Q1" s="47" t="s">
        <v>966</v>
      </c>
      <c r="R1" s="47" t="s">
        <v>967</v>
      </c>
      <c r="S1" s="47" t="s">
        <v>968</v>
      </c>
      <c r="T1" s="47" t="s">
        <v>969</v>
      </c>
      <c r="U1" s="47" t="s">
        <v>970</v>
      </c>
      <c r="V1" s="47" t="s">
        <v>971</v>
      </c>
      <c r="W1" s="47" t="s">
        <v>972</v>
      </c>
      <c r="X1" s="47" t="s">
        <v>973</v>
      </c>
      <c r="Y1" s="47" t="s">
        <v>974</v>
      </c>
      <c r="Z1" s="47" t="s">
        <v>975</v>
      </c>
      <c r="AA1" s="47" t="s">
        <v>976</v>
      </c>
      <c r="AB1" s="47" t="s">
        <v>977</v>
      </c>
      <c r="AC1" s="47" t="s">
        <v>978</v>
      </c>
      <c r="AD1" s="47" t="s">
        <v>979</v>
      </c>
      <c r="AE1" s="47" t="s">
        <v>980</v>
      </c>
      <c r="AF1" s="47" t="s">
        <v>981</v>
      </c>
      <c r="AG1" s="47" t="s">
        <v>982</v>
      </c>
      <c r="AH1" s="47" t="s">
        <v>983</v>
      </c>
      <c r="AI1" s="47" t="s">
        <v>984</v>
      </c>
      <c r="AJ1" s="219" t="s">
        <v>986</v>
      </c>
      <c r="AK1" s="219" t="s">
        <v>987</v>
      </c>
      <c r="AL1" s="219" t="s">
        <v>988</v>
      </c>
      <c r="AM1" s="219" t="s">
        <v>989</v>
      </c>
      <c r="AN1" s="219" t="s">
        <v>990</v>
      </c>
      <c r="AO1" s="219" t="s">
        <v>991</v>
      </c>
      <c r="AP1" s="219" t="s">
        <v>992</v>
      </c>
      <c r="AQ1" s="219" t="s">
        <v>985</v>
      </c>
      <c r="AR1" s="219" t="s">
        <v>993</v>
      </c>
      <c r="AS1" s="219" t="s">
        <v>994</v>
      </c>
      <c r="AT1" s="219" t="s">
        <v>995</v>
      </c>
      <c r="AU1" s="47" t="s">
        <v>996</v>
      </c>
      <c r="AV1" s="47" t="s">
        <v>997</v>
      </c>
      <c r="AW1" s="47" t="s">
        <v>998</v>
      </c>
      <c r="AX1" s="47" t="s">
        <v>999</v>
      </c>
    </row>
    <row r="2" spans="1:50">
      <c r="A2" s="47" t="s">
        <v>311</v>
      </c>
      <c r="B2" s="47" t="s">
        <v>73</v>
      </c>
      <c r="C2" s="47" t="s">
        <v>37</v>
      </c>
      <c r="D2" s="47">
        <v>1</v>
      </c>
      <c r="E2" s="47">
        <v>1</v>
      </c>
      <c r="F2" s="47" t="s">
        <v>269</v>
      </c>
      <c r="G2" s="47" t="s">
        <v>269</v>
      </c>
      <c r="H2" s="48" t="s">
        <v>243</v>
      </c>
      <c r="I2" s="48" t="s">
        <v>45</v>
      </c>
      <c r="J2" s="48">
        <v>50</v>
      </c>
      <c r="K2" s="48" t="s">
        <v>51</v>
      </c>
      <c r="L2" s="48">
        <v>50</v>
      </c>
      <c r="M2" s="47">
        <v>90</v>
      </c>
      <c r="N2" s="47">
        <v>10</v>
      </c>
      <c r="O2" s="47">
        <v>1</v>
      </c>
      <c r="P2" s="47">
        <v>42</v>
      </c>
      <c r="Q2" s="47">
        <v>108</v>
      </c>
      <c r="R2" s="47">
        <v>640</v>
      </c>
      <c r="S2" s="47">
        <v>3501</v>
      </c>
      <c r="T2" s="47">
        <v>4052</v>
      </c>
      <c r="V2" s="47">
        <v>4698</v>
      </c>
      <c r="W2" s="47">
        <v>5446</v>
      </c>
      <c r="X2" s="47"/>
    </row>
    <row r="3" spans="1:50">
      <c r="A3" s="47" t="s">
        <v>90</v>
      </c>
      <c r="B3" s="47" t="s">
        <v>90</v>
      </c>
      <c r="C3" s="47" t="s">
        <v>37</v>
      </c>
      <c r="D3" s="47">
        <v>1</v>
      </c>
      <c r="E3" s="47">
        <v>1</v>
      </c>
      <c r="F3" s="47" t="s">
        <v>270</v>
      </c>
      <c r="G3" s="47" t="s">
        <v>271</v>
      </c>
      <c r="H3" s="48" t="s">
        <v>231</v>
      </c>
      <c r="I3" s="48" t="s">
        <v>45</v>
      </c>
      <c r="J3" s="48">
        <v>100</v>
      </c>
      <c r="K3" s="48"/>
      <c r="L3" s="48"/>
      <c r="M3" s="47">
        <v>80</v>
      </c>
      <c r="N3" s="47">
        <v>20</v>
      </c>
      <c r="O3" s="47">
        <v>1</v>
      </c>
      <c r="P3" s="47">
        <v>38</v>
      </c>
      <c r="Q3" s="47">
        <v>97</v>
      </c>
      <c r="R3" s="47">
        <v>576</v>
      </c>
      <c r="S3" s="47">
        <v>1975</v>
      </c>
      <c r="T3" s="47">
        <v>2287</v>
      </c>
      <c r="V3" s="47">
        <v>2651</v>
      </c>
      <c r="W3" s="47">
        <v>3073</v>
      </c>
      <c r="X3" s="47"/>
    </row>
    <row r="4" spans="1:50">
      <c r="A4" s="47" t="s">
        <v>60</v>
      </c>
      <c r="B4" s="47" t="s">
        <v>60</v>
      </c>
      <c r="C4" s="47" t="s">
        <v>37</v>
      </c>
      <c r="D4" s="47">
        <v>1</v>
      </c>
      <c r="E4" s="47">
        <v>2</v>
      </c>
      <c r="F4" s="47" t="s">
        <v>270</v>
      </c>
      <c r="G4" s="47" t="s">
        <v>269</v>
      </c>
      <c r="H4" s="48" t="s">
        <v>242</v>
      </c>
      <c r="I4" s="48" t="s">
        <v>47</v>
      </c>
      <c r="J4" s="48">
        <v>100</v>
      </c>
      <c r="K4" s="48"/>
      <c r="L4" s="48"/>
      <c r="M4" s="47">
        <v>100</v>
      </c>
      <c r="N4" s="47">
        <v>0</v>
      </c>
      <c r="O4" s="47">
        <v>1</v>
      </c>
      <c r="P4" s="47">
        <v>31</v>
      </c>
      <c r="Q4" s="47">
        <v>79</v>
      </c>
      <c r="R4" s="47">
        <v>467</v>
      </c>
      <c r="S4" s="47">
        <v>1854</v>
      </c>
      <c r="T4" s="47">
        <v>2147</v>
      </c>
      <c r="V4" s="47">
        <v>2489</v>
      </c>
      <c r="W4" s="47">
        <v>2886</v>
      </c>
      <c r="X4" s="47"/>
    </row>
    <row r="5" spans="1:50">
      <c r="A5" s="47" t="s">
        <v>123</v>
      </c>
      <c r="B5" s="47" t="s">
        <v>123</v>
      </c>
      <c r="C5" s="47" t="s">
        <v>37</v>
      </c>
      <c r="D5" s="47">
        <v>2</v>
      </c>
      <c r="E5" s="47">
        <v>1</v>
      </c>
      <c r="F5" s="47" t="s">
        <v>269</v>
      </c>
      <c r="G5" s="47" t="s">
        <v>270</v>
      </c>
      <c r="H5" s="48" t="s">
        <v>242</v>
      </c>
      <c r="I5" s="48" t="s">
        <v>45</v>
      </c>
      <c r="J5" s="48">
        <v>100</v>
      </c>
      <c r="K5" s="48"/>
      <c r="L5" s="48"/>
      <c r="M5" s="47">
        <v>100</v>
      </c>
      <c r="N5" s="47">
        <v>0</v>
      </c>
      <c r="O5" s="47">
        <v>1</v>
      </c>
      <c r="P5" s="47">
        <v>40</v>
      </c>
      <c r="Q5" s="47">
        <v>104</v>
      </c>
      <c r="R5" s="47">
        <v>617</v>
      </c>
      <c r="S5" s="47">
        <v>3219</v>
      </c>
      <c r="T5" s="47">
        <v>3727</v>
      </c>
      <c r="V5" s="47">
        <v>4321</v>
      </c>
      <c r="W5" s="47">
        <v>5009</v>
      </c>
      <c r="X5" s="47"/>
    </row>
    <row r="6" spans="1:50">
      <c r="A6" s="47" t="s">
        <v>149</v>
      </c>
      <c r="B6" s="47" t="s">
        <v>149</v>
      </c>
      <c r="C6" s="47" t="s">
        <v>37</v>
      </c>
      <c r="D6" s="47">
        <v>1</v>
      </c>
      <c r="E6" s="47">
        <v>2</v>
      </c>
      <c r="F6" s="47" t="s">
        <v>270</v>
      </c>
      <c r="G6" s="47" t="s">
        <v>272</v>
      </c>
      <c r="H6" s="48" t="s">
        <v>245</v>
      </c>
      <c r="I6" s="48" t="s">
        <v>3</v>
      </c>
      <c r="J6" s="48">
        <v>100</v>
      </c>
      <c r="K6" s="48"/>
      <c r="L6" s="48"/>
      <c r="M6" s="47">
        <v>0</v>
      </c>
      <c r="N6" s="47">
        <v>100</v>
      </c>
      <c r="O6" s="47">
        <v>1</v>
      </c>
      <c r="P6" s="47">
        <v>53</v>
      </c>
      <c r="Q6" s="47">
        <v>136</v>
      </c>
      <c r="R6" s="47">
        <v>373</v>
      </c>
      <c r="S6" s="47">
        <v>1736</v>
      </c>
      <c r="T6" s="47">
        <v>2011</v>
      </c>
      <c r="V6" s="47">
        <v>2331</v>
      </c>
      <c r="W6" s="47">
        <v>2702</v>
      </c>
      <c r="X6" s="47"/>
    </row>
    <row r="7" spans="1:50">
      <c r="A7" s="47" t="s">
        <v>145</v>
      </c>
      <c r="B7" s="47" t="s">
        <v>145</v>
      </c>
      <c r="C7" s="47" t="s">
        <v>37</v>
      </c>
      <c r="D7" s="47">
        <v>1</v>
      </c>
      <c r="E7" s="47">
        <v>1</v>
      </c>
      <c r="F7" s="47" t="s">
        <v>270</v>
      </c>
      <c r="G7" s="47" t="s">
        <v>272</v>
      </c>
      <c r="H7" s="48" t="s">
        <v>245</v>
      </c>
      <c r="I7" s="48" t="s">
        <v>3</v>
      </c>
      <c r="J7" s="48">
        <v>50</v>
      </c>
      <c r="K7" s="48" t="s">
        <v>49</v>
      </c>
      <c r="L7" s="48">
        <v>50</v>
      </c>
      <c r="M7" s="47">
        <v>10</v>
      </c>
      <c r="N7" s="47">
        <v>90</v>
      </c>
      <c r="O7" s="47">
        <v>1</v>
      </c>
      <c r="P7" s="47">
        <v>146</v>
      </c>
      <c r="Q7" s="47">
        <v>420</v>
      </c>
      <c r="R7" s="47">
        <v>475</v>
      </c>
      <c r="S7" s="47">
        <v>2294</v>
      </c>
      <c r="T7" s="47">
        <v>2656</v>
      </c>
      <c r="V7" s="47">
        <v>3079</v>
      </c>
      <c r="W7" s="47">
        <v>3569</v>
      </c>
      <c r="X7" s="47"/>
    </row>
    <row r="8" spans="1:50">
      <c r="A8" s="47" t="s">
        <v>137</v>
      </c>
      <c r="B8" s="47" t="s">
        <v>137</v>
      </c>
      <c r="C8" s="47" t="s">
        <v>37</v>
      </c>
      <c r="D8" s="47">
        <v>1</v>
      </c>
      <c r="E8" s="47">
        <v>1</v>
      </c>
      <c r="F8" s="47" t="s">
        <v>269</v>
      </c>
      <c r="G8" s="47" t="s">
        <v>273</v>
      </c>
      <c r="H8" s="48" t="s">
        <v>241</v>
      </c>
      <c r="I8" s="48" t="s">
        <v>45</v>
      </c>
      <c r="J8" s="48">
        <v>100</v>
      </c>
      <c r="K8" s="48"/>
      <c r="L8" s="48"/>
      <c r="M8" s="47">
        <v>100</v>
      </c>
      <c r="N8" s="47">
        <v>0</v>
      </c>
      <c r="O8" s="47">
        <v>1</v>
      </c>
      <c r="P8" s="47">
        <v>470</v>
      </c>
      <c r="Q8" s="47">
        <v>870</v>
      </c>
      <c r="R8" s="47">
        <v>1098</v>
      </c>
      <c r="S8" s="47">
        <v>2248</v>
      </c>
      <c r="T8" s="47">
        <v>2603</v>
      </c>
      <c r="V8" s="47">
        <v>3017</v>
      </c>
      <c r="W8" s="47">
        <v>3498</v>
      </c>
      <c r="X8" s="47"/>
    </row>
    <row r="9" spans="1:50">
      <c r="A9" s="47" t="s">
        <v>69</v>
      </c>
      <c r="B9" s="47" t="s">
        <v>69</v>
      </c>
      <c r="C9" s="47" t="s">
        <v>37</v>
      </c>
      <c r="D9" s="47">
        <v>1</v>
      </c>
      <c r="E9" s="47">
        <v>1</v>
      </c>
      <c r="F9" s="47" t="s">
        <v>270</v>
      </c>
      <c r="G9" s="47" t="s">
        <v>272</v>
      </c>
      <c r="H9" s="48" t="s">
        <v>231</v>
      </c>
      <c r="I9" s="48" t="s">
        <v>47</v>
      </c>
      <c r="J9" s="48">
        <v>50</v>
      </c>
      <c r="K9" s="48" t="s">
        <v>49</v>
      </c>
      <c r="L9" s="48">
        <v>50</v>
      </c>
      <c r="M9" s="47">
        <v>100</v>
      </c>
      <c r="N9" s="47">
        <v>0</v>
      </c>
      <c r="O9" s="47">
        <v>1</v>
      </c>
      <c r="P9" s="47">
        <v>42</v>
      </c>
      <c r="Q9" s="47">
        <v>107</v>
      </c>
      <c r="R9" s="47">
        <v>711</v>
      </c>
      <c r="S9" s="47">
        <v>1521</v>
      </c>
      <c r="T9" s="47">
        <v>1761</v>
      </c>
      <c r="V9" s="47">
        <v>2041</v>
      </c>
      <c r="W9" s="47">
        <v>2367</v>
      </c>
      <c r="X9" s="47"/>
    </row>
    <row r="10" spans="1:50">
      <c r="A10" s="47" t="s">
        <v>98</v>
      </c>
      <c r="B10" s="47" t="s">
        <v>98</v>
      </c>
      <c r="C10" s="47" t="s">
        <v>37</v>
      </c>
      <c r="D10" s="47">
        <v>1</v>
      </c>
      <c r="E10" s="47">
        <v>1</v>
      </c>
      <c r="F10" s="47" t="s">
        <v>270</v>
      </c>
      <c r="G10" s="47" t="s">
        <v>269</v>
      </c>
      <c r="H10" s="48" t="s">
        <v>243</v>
      </c>
      <c r="I10" s="48" t="s">
        <v>45</v>
      </c>
      <c r="J10" s="48">
        <v>100</v>
      </c>
      <c r="K10" s="48"/>
      <c r="L10" s="48"/>
      <c r="M10" s="47">
        <v>90</v>
      </c>
      <c r="N10" s="47">
        <v>10</v>
      </c>
      <c r="O10" s="47">
        <v>1</v>
      </c>
      <c r="P10" s="47">
        <v>635</v>
      </c>
      <c r="Q10" s="47">
        <v>1174</v>
      </c>
      <c r="R10" s="47">
        <v>1482</v>
      </c>
      <c r="S10" s="47">
        <v>3752</v>
      </c>
      <c r="T10" s="47">
        <v>4343</v>
      </c>
      <c r="V10" s="47">
        <v>5035</v>
      </c>
      <c r="W10" s="47">
        <v>5837</v>
      </c>
      <c r="X10" s="47"/>
    </row>
    <row r="11" spans="1:50">
      <c r="A11" s="47" t="s">
        <v>66</v>
      </c>
      <c r="B11" s="47" t="s">
        <v>66</v>
      </c>
      <c r="C11" s="47" t="s">
        <v>37</v>
      </c>
      <c r="D11" s="47">
        <v>1</v>
      </c>
      <c r="E11" s="47">
        <v>2</v>
      </c>
      <c r="F11" s="47" t="s">
        <v>270</v>
      </c>
      <c r="G11" s="47" t="s">
        <v>272</v>
      </c>
      <c r="H11" s="48" t="s">
        <v>241</v>
      </c>
      <c r="I11" s="48" t="s">
        <v>3</v>
      </c>
      <c r="J11" s="48">
        <v>10</v>
      </c>
      <c r="K11" s="48" t="s">
        <v>49</v>
      </c>
      <c r="L11" s="48">
        <v>90</v>
      </c>
      <c r="M11" s="47">
        <v>0</v>
      </c>
      <c r="N11" s="47">
        <v>100</v>
      </c>
      <c r="O11" s="47">
        <v>1</v>
      </c>
      <c r="P11" s="47">
        <v>28</v>
      </c>
      <c r="Q11" s="47">
        <v>71</v>
      </c>
      <c r="R11" s="47">
        <v>425</v>
      </c>
      <c r="S11" s="47">
        <v>2877</v>
      </c>
      <c r="T11" s="47">
        <v>3330</v>
      </c>
      <c r="V11" s="47">
        <v>3860</v>
      </c>
      <c r="W11" s="47">
        <v>4475</v>
      </c>
      <c r="X11" s="47"/>
    </row>
    <row r="12" spans="1:50">
      <c r="A12" s="47" t="s">
        <v>105</v>
      </c>
      <c r="B12" s="47" t="s">
        <v>105</v>
      </c>
      <c r="C12" s="47" t="s">
        <v>37</v>
      </c>
      <c r="D12" s="47">
        <v>2</v>
      </c>
      <c r="E12" s="47">
        <v>3</v>
      </c>
      <c r="F12" s="47" t="s">
        <v>269</v>
      </c>
      <c r="G12" s="47" t="s">
        <v>270</v>
      </c>
      <c r="H12" s="48" t="s">
        <v>241</v>
      </c>
      <c r="I12" s="48" t="s">
        <v>45</v>
      </c>
      <c r="J12" s="48">
        <v>100</v>
      </c>
      <c r="K12" s="48"/>
      <c r="L12" s="48"/>
      <c r="M12" s="47">
        <v>100</v>
      </c>
      <c r="N12" s="47">
        <v>0</v>
      </c>
      <c r="O12" s="47">
        <v>1</v>
      </c>
      <c r="P12" s="47">
        <v>77</v>
      </c>
      <c r="Q12" s="47">
        <v>244</v>
      </c>
      <c r="R12" s="47">
        <v>804</v>
      </c>
      <c r="S12" s="47">
        <v>1072</v>
      </c>
      <c r="T12" s="47">
        <v>1241</v>
      </c>
      <c r="V12" s="47">
        <v>1439</v>
      </c>
      <c r="W12" s="47">
        <v>1668</v>
      </c>
      <c r="X12" s="47"/>
    </row>
    <row r="13" spans="1:50">
      <c r="A13" s="47" t="s">
        <v>274</v>
      </c>
      <c r="B13" s="47" t="s">
        <v>274</v>
      </c>
      <c r="C13" s="47" t="s">
        <v>37</v>
      </c>
      <c r="D13" s="47">
        <v>1</v>
      </c>
      <c r="E13" s="47">
        <v>3</v>
      </c>
      <c r="F13" s="47" t="s">
        <v>269</v>
      </c>
      <c r="G13" s="47" t="s">
        <v>270</v>
      </c>
      <c r="H13" s="48" t="s">
        <v>243</v>
      </c>
      <c r="I13" s="48" t="s">
        <v>47</v>
      </c>
      <c r="J13" s="48">
        <v>100</v>
      </c>
      <c r="K13" s="48"/>
      <c r="L13" s="48"/>
      <c r="M13" s="47">
        <v>100</v>
      </c>
      <c r="N13" s="47">
        <v>0</v>
      </c>
      <c r="O13" s="47">
        <v>1</v>
      </c>
      <c r="S13" s="47">
        <v>2377</v>
      </c>
      <c r="T13" s="47">
        <v>2572</v>
      </c>
      <c r="V13" s="47">
        <v>2703</v>
      </c>
      <c r="W13" s="47">
        <v>2841</v>
      </c>
      <c r="X13" s="47"/>
    </row>
    <row r="14" spans="1:50">
      <c r="A14" s="47" t="s">
        <v>275</v>
      </c>
      <c r="B14" s="47" t="s">
        <v>274</v>
      </c>
      <c r="C14" s="47" t="s">
        <v>37</v>
      </c>
      <c r="D14" s="47">
        <v>1</v>
      </c>
      <c r="E14" s="47">
        <v>3</v>
      </c>
      <c r="F14" s="47" t="s">
        <v>269</v>
      </c>
      <c r="G14" s="47" t="s">
        <v>270</v>
      </c>
      <c r="H14" s="48" t="s">
        <v>243</v>
      </c>
      <c r="I14" s="48" t="s">
        <v>47</v>
      </c>
      <c r="J14" s="48">
        <v>40</v>
      </c>
      <c r="K14" s="48" t="s">
        <v>53</v>
      </c>
      <c r="L14" s="48">
        <v>60</v>
      </c>
      <c r="M14" s="47">
        <v>100</v>
      </c>
      <c r="N14" s="47">
        <v>0</v>
      </c>
      <c r="O14" s="47">
        <v>1</v>
      </c>
      <c r="S14" s="47">
        <v>3556</v>
      </c>
      <c r="X14" s="47"/>
    </row>
    <row r="15" spans="1:50">
      <c r="A15" s="47" t="s">
        <v>276</v>
      </c>
      <c r="B15" s="47" t="s">
        <v>276</v>
      </c>
      <c r="C15" s="47" t="s">
        <v>37</v>
      </c>
      <c r="D15" s="47">
        <v>1</v>
      </c>
      <c r="E15" s="47">
        <v>2</v>
      </c>
      <c r="F15" s="47" t="s">
        <v>270</v>
      </c>
      <c r="G15" s="47" t="s">
        <v>272</v>
      </c>
      <c r="H15" s="48" t="s">
        <v>244</v>
      </c>
      <c r="I15" s="48" t="s">
        <v>3</v>
      </c>
      <c r="J15" s="48">
        <v>10</v>
      </c>
      <c r="K15" s="48" t="s">
        <v>51</v>
      </c>
      <c r="L15" s="48">
        <v>90</v>
      </c>
      <c r="M15" s="47">
        <v>40</v>
      </c>
      <c r="N15" s="47">
        <v>60</v>
      </c>
      <c r="O15" s="47">
        <v>1</v>
      </c>
      <c r="S15" s="47">
        <v>2824</v>
      </c>
      <c r="T15" s="47">
        <v>3056</v>
      </c>
      <c r="V15" s="47">
        <v>3212</v>
      </c>
      <c r="W15" s="47">
        <v>3376</v>
      </c>
      <c r="X15" s="47"/>
    </row>
    <row r="16" spans="1:50">
      <c r="A16" s="47" t="s">
        <v>277</v>
      </c>
      <c r="B16" s="47" t="s">
        <v>276</v>
      </c>
      <c r="C16" s="47" t="s">
        <v>37</v>
      </c>
      <c r="D16" s="47">
        <v>1</v>
      </c>
      <c r="E16" s="47">
        <v>2</v>
      </c>
      <c r="F16" s="47" t="s">
        <v>270</v>
      </c>
      <c r="G16" s="47" t="s">
        <v>272</v>
      </c>
      <c r="H16" s="48" t="s">
        <v>244</v>
      </c>
      <c r="I16" s="48" t="s">
        <v>3</v>
      </c>
      <c r="J16" s="48">
        <v>10</v>
      </c>
      <c r="K16" s="48" t="s">
        <v>53</v>
      </c>
      <c r="L16" s="48">
        <v>90</v>
      </c>
      <c r="M16" s="47">
        <v>40</v>
      </c>
      <c r="N16" s="47">
        <v>60</v>
      </c>
      <c r="O16" s="47">
        <v>1</v>
      </c>
      <c r="S16" s="47">
        <v>3760</v>
      </c>
      <c r="X16" s="47"/>
    </row>
    <row r="17" spans="1:24">
      <c r="A17" s="47" t="s">
        <v>196</v>
      </c>
      <c r="B17" s="47" t="s">
        <v>196</v>
      </c>
      <c r="C17" s="47" t="s">
        <v>37</v>
      </c>
      <c r="D17" s="47">
        <v>2</v>
      </c>
      <c r="E17" s="47">
        <v>3</v>
      </c>
      <c r="F17" s="47" t="s">
        <v>269</v>
      </c>
      <c r="G17" s="47" t="s">
        <v>272</v>
      </c>
      <c r="H17" s="48" t="s">
        <v>241</v>
      </c>
      <c r="I17" s="48" t="s">
        <v>47</v>
      </c>
      <c r="J17" s="48">
        <v>100</v>
      </c>
      <c r="K17" s="48"/>
      <c r="L17" s="48"/>
      <c r="M17" s="47">
        <v>100</v>
      </c>
      <c r="N17" s="47">
        <v>0</v>
      </c>
      <c r="O17" s="47">
        <v>1</v>
      </c>
      <c r="P17" s="47">
        <v>450</v>
      </c>
      <c r="Q17" s="47">
        <v>1242</v>
      </c>
      <c r="R17" s="47">
        <v>1628</v>
      </c>
      <c r="S17" s="47">
        <v>3080</v>
      </c>
      <c r="T17" s="47">
        <v>3564</v>
      </c>
      <c r="V17" s="47">
        <v>4132</v>
      </c>
      <c r="W17" s="47">
        <v>4790</v>
      </c>
      <c r="X17" s="47"/>
    </row>
    <row r="18" spans="1:24">
      <c r="A18" s="47" t="s">
        <v>62</v>
      </c>
      <c r="B18" s="47" t="s">
        <v>62</v>
      </c>
      <c r="C18" s="47" t="s">
        <v>39</v>
      </c>
      <c r="D18" s="47">
        <v>1</v>
      </c>
      <c r="E18" s="47">
        <v>1</v>
      </c>
      <c r="F18" s="47" t="s">
        <v>269</v>
      </c>
      <c r="G18" s="47" t="s">
        <v>269</v>
      </c>
      <c r="H18" s="48" t="s">
        <v>243</v>
      </c>
      <c r="I18" s="48" t="s">
        <v>45</v>
      </c>
      <c r="J18" s="48">
        <v>50</v>
      </c>
      <c r="K18" s="48" t="s">
        <v>49</v>
      </c>
      <c r="L18" s="48">
        <v>50</v>
      </c>
      <c r="M18" s="47">
        <v>90</v>
      </c>
      <c r="N18" s="47">
        <v>10</v>
      </c>
      <c r="O18" s="47">
        <v>1</v>
      </c>
      <c r="P18" s="47">
        <v>32</v>
      </c>
      <c r="Q18" s="47">
        <v>83</v>
      </c>
      <c r="R18" s="47">
        <v>492</v>
      </c>
      <c r="S18" s="47">
        <v>2693</v>
      </c>
      <c r="T18" s="47">
        <v>3117</v>
      </c>
      <c r="V18" s="47">
        <v>3614</v>
      </c>
      <c r="W18" s="47">
        <v>4189</v>
      </c>
      <c r="X18" s="47"/>
    </row>
    <row r="19" spans="1:24">
      <c r="A19" s="47" t="s">
        <v>102</v>
      </c>
      <c r="B19" s="47" t="s">
        <v>102</v>
      </c>
      <c r="C19" s="47" t="s">
        <v>39</v>
      </c>
      <c r="D19" s="47">
        <v>1</v>
      </c>
      <c r="E19" s="47">
        <v>1</v>
      </c>
      <c r="F19" s="47" t="s">
        <v>270</v>
      </c>
      <c r="G19" s="47" t="s">
        <v>271</v>
      </c>
      <c r="H19" s="48" t="s">
        <v>244</v>
      </c>
      <c r="I19" s="48" t="s">
        <v>45</v>
      </c>
      <c r="J19" s="48">
        <v>100</v>
      </c>
      <c r="K19" s="48"/>
      <c r="L19" s="48"/>
      <c r="M19" s="47">
        <v>90</v>
      </c>
      <c r="N19" s="47">
        <v>10</v>
      </c>
      <c r="O19" s="47">
        <v>1</v>
      </c>
      <c r="P19" s="47">
        <v>71</v>
      </c>
      <c r="Q19" s="47">
        <v>184</v>
      </c>
      <c r="R19" s="47">
        <v>453</v>
      </c>
      <c r="S19" s="47">
        <v>2790</v>
      </c>
      <c r="T19" s="47">
        <v>3230</v>
      </c>
      <c r="V19" s="47">
        <v>3744</v>
      </c>
      <c r="W19" s="47">
        <v>4341</v>
      </c>
      <c r="X19" s="47"/>
    </row>
    <row r="20" spans="1:24">
      <c r="A20" s="47" t="s">
        <v>152</v>
      </c>
      <c r="B20" s="47" t="s">
        <v>152</v>
      </c>
      <c r="C20" s="47" t="s">
        <v>39</v>
      </c>
      <c r="D20" s="47">
        <v>1</v>
      </c>
      <c r="E20" s="47">
        <v>2</v>
      </c>
      <c r="F20" s="47" t="s">
        <v>270</v>
      </c>
      <c r="G20" s="47" t="s">
        <v>272</v>
      </c>
      <c r="H20" s="48" t="s">
        <v>242</v>
      </c>
      <c r="I20" s="48" t="s">
        <v>3</v>
      </c>
      <c r="J20" s="48">
        <v>20</v>
      </c>
      <c r="K20" s="48" t="s">
        <v>49</v>
      </c>
      <c r="L20" s="48">
        <v>80</v>
      </c>
      <c r="M20" s="47">
        <v>0</v>
      </c>
      <c r="N20" s="47">
        <v>100</v>
      </c>
      <c r="O20" s="47">
        <v>1</v>
      </c>
      <c r="P20" s="47">
        <v>266</v>
      </c>
      <c r="Q20" s="47">
        <v>763</v>
      </c>
      <c r="R20" s="47">
        <v>863</v>
      </c>
      <c r="S20" s="47">
        <v>3561</v>
      </c>
      <c r="T20" s="47">
        <v>4122</v>
      </c>
      <c r="V20" s="47">
        <v>4779</v>
      </c>
      <c r="W20" s="47">
        <v>5540</v>
      </c>
      <c r="X20" s="47"/>
    </row>
    <row r="21" spans="1:24">
      <c r="A21" s="47" t="s">
        <v>92</v>
      </c>
      <c r="B21" s="47" t="s">
        <v>92</v>
      </c>
      <c r="C21" s="47" t="s">
        <v>39</v>
      </c>
      <c r="D21" s="47">
        <v>2</v>
      </c>
      <c r="E21" s="47">
        <v>2</v>
      </c>
      <c r="F21" s="47" t="s">
        <v>270</v>
      </c>
      <c r="G21" s="47" t="s">
        <v>272</v>
      </c>
      <c r="H21" s="48" t="s">
        <v>244</v>
      </c>
      <c r="I21" s="48" t="s">
        <v>3</v>
      </c>
      <c r="J21" s="48">
        <v>100</v>
      </c>
      <c r="K21" s="48"/>
      <c r="L21" s="48"/>
      <c r="M21" s="47">
        <v>30</v>
      </c>
      <c r="N21" s="47">
        <v>70</v>
      </c>
      <c r="O21" s="47">
        <v>2.38</v>
      </c>
      <c r="P21" s="47">
        <v>42</v>
      </c>
      <c r="Q21" s="47">
        <v>107</v>
      </c>
      <c r="R21" s="47">
        <v>634</v>
      </c>
      <c r="S21" s="47">
        <v>3066</v>
      </c>
      <c r="T21" s="47">
        <v>3549</v>
      </c>
      <c r="V21" s="47">
        <v>4115</v>
      </c>
      <c r="W21" s="47">
        <v>4770</v>
      </c>
      <c r="X21" s="47"/>
    </row>
    <row r="22" spans="1:24">
      <c r="A22" s="47" t="s">
        <v>312</v>
      </c>
      <c r="B22" s="47" t="s">
        <v>92</v>
      </c>
      <c r="C22" s="47" t="s">
        <v>39</v>
      </c>
      <c r="D22" s="47">
        <v>2</v>
      </c>
      <c r="E22" s="47">
        <v>2</v>
      </c>
      <c r="F22" s="47" t="s">
        <v>270</v>
      </c>
      <c r="G22" s="47" t="s">
        <v>272</v>
      </c>
      <c r="H22" s="48" t="s">
        <v>244</v>
      </c>
      <c r="I22" s="48" t="s">
        <v>3</v>
      </c>
      <c r="J22" s="48">
        <v>100</v>
      </c>
      <c r="K22" s="48"/>
      <c r="L22" s="48"/>
      <c r="M22" s="47">
        <v>30</v>
      </c>
      <c r="N22" s="47">
        <v>70</v>
      </c>
      <c r="O22" s="47">
        <v>1</v>
      </c>
      <c r="P22" s="47">
        <v>42</v>
      </c>
      <c r="Q22" s="47">
        <v>107</v>
      </c>
      <c r="R22" s="47">
        <v>634</v>
      </c>
      <c r="S22" s="47">
        <v>3066</v>
      </c>
      <c r="T22" s="47">
        <v>3549</v>
      </c>
      <c r="V22" s="47">
        <v>4115</v>
      </c>
      <c r="W22" s="47">
        <v>4770</v>
      </c>
      <c r="X22" s="47"/>
    </row>
    <row r="23" spans="1:24">
      <c r="A23" s="47" t="s">
        <v>157</v>
      </c>
      <c r="B23" s="47" t="s">
        <v>157</v>
      </c>
      <c r="C23" s="47" t="s">
        <v>39</v>
      </c>
      <c r="D23" s="47">
        <v>1</v>
      </c>
      <c r="E23" s="47">
        <v>3</v>
      </c>
      <c r="F23" s="47" t="s">
        <v>270</v>
      </c>
      <c r="G23" s="47" t="s">
        <v>269</v>
      </c>
      <c r="H23" s="48" t="s">
        <v>245</v>
      </c>
      <c r="I23" s="48" t="s">
        <v>47</v>
      </c>
      <c r="J23" s="48">
        <v>50</v>
      </c>
      <c r="K23" s="48" t="s">
        <v>51</v>
      </c>
      <c r="L23" s="48">
        <v>50</v>
      </c>
      <c r="M23" s="47">
        <v>20</v>
      </c>
      <c r="N23" s="47">
        <v>80</v>
      </c>
      <c r="O23" s="47">
        <v>1</v>
      </c>
      <c r="P23" s="47">
        <v>108</v>
      </c>
      <c r="Q23" s="47">
        <v>278</v>
      </c>
      <c r="R23" s="47">
        <v>764</v>
      </c>
      <c r="S23" s="47">
        <v>1966</v>
      </c>
      <c r="T23" s="47">
        <v>2276</v>
      </c>
      <c r="V23" s="47">
        <v>2639</v>
      </c>
      <c r="W23" s="47">
        <v>3059</v>
      </c>
      <c r="X23" s="47"/>
    </row>
    <row r="24" spans="1:24">
      <c r="A24" s="47" t="s">
        <v>127</v>
      </c>
      <c r="B24" s="47" t="s">
        <v>127</v>
      </c>
      <c r="C24" s="47" t="s">
        <v>39</v>
      </c>
      <c r="D24" s="47">
        <v>1</v>
      </c>
      <c r="E24" s="47">
        <v>1</v>
      </c>
      <c r="F24" s="47" t="s">
        <v>270</v>
      </c>
      <c r="G24" s="47" t="s">
        <v>272</v>
      </c>
      <c r="H24" s="48" t="s">
        <v>242</v>
      </c>
      <c r="I24" s="48" t="s">
        <v>3</v>
      </c>
      <c r="J24" s="48">
        <v>100</v>
      </c>
      <c r="K24" s="48"/>
      <c r="L24" s="48"/>
      <c r="M24" s="47">
        <v>20</v>
      </c>
      <c r="N24" s="47">
        <v>80</v>
      </c>
      <c r="O24" s="47">
        <v>1</v>
      </c>
      <c r="P24" s="47">
        <v>59</v>
      </c>
      <c r="Q24" s="47">
        <v>153</v>
      </c>
      <c r="R24" s="47">
        <v>422</v>
      </c>
      <c r="S24" s="47">
        <v>2235</v>
      </c>
      <c r="T24" s="47">
        <v>2587</v>
      </c>
      <c r="V24" s="47">
        <v>2999</v>
      </c>
      <c r="W24" s="47">
        <v>3477</v>
      </c>
      <c r="X24" s="47"/>
    </row>
    <row r="25" spans="1:24">
      <c r="A25" s="47" t="s">
        <v>87</v>
      </c>
      <c r="B25" s="47" t="s">
        <v>87</v>
      </c>
      <c r="C25" s="47" t="s">
        <v>39</v>
      </c>
      <c r="D25" s="47">
        <v>2</v>
      </c>
      <c r="E25" s="47">
        <v>3</v>
      </c>
      <c r="F25" s="47" t="s">
        <v>270</v>
      </c>
      <c r="G25" s="47" t="s">
        <v>272</v>
      </c>
      <c r="H25" s="48" t="s">
        <v>231</v>
      </c>
      <c r="I25" s="48" t="s">
        <v>3</v>
      </c>
      <c r="J25" s="48">
        <v>100</v>
      </c>
      <c r="K25" s="48"/>
      <c r="L25" s="48"/>
      <c r="M25" s="47">
        <v>20</v>
      </c>
      <c r="N25" s="47">
        <v>80</v>
      </c>
      <c r="O25" s="47">
        <v>2.5</v>
      </c>
      <c r="P25" s="47">
        <v>131</v>
      </c>
      <c r="Q25" s="47">
        <v>338</v>
      </c>
      <c r="R25" s="47">
        <v>928</v>
      </c>
      <c r="S25" s="47">
        <v>1999</v>
      </c>
      <c r="T25" s="47">
        <v>2315</v>
      </c>
      <c r="V25" s="47">
        <v>2683</v>
      </c>
      <c r="W25" s="47">
        <v>3111</v>
      </c>
      <c r="X25" s="47"/>
    </row>
    <row r="26" spans="1:24">
      <c r="A26" s="47" t="s">
        <v>313</v>
      </c>
      <c r="B26" s="47" t="s">
        <v>313</v>
      </c>
      <c r="C26" s="47" t="s">
        <v>39</v>
      </c>
      <c r="D26" s="47">
        <v>2</v>
      </c>
      <c r="E26" s="47">
        <v>3</v>
      </c>
      <c r="F26" s="47" t="s">
        <v>270</v>
      </c>
      <c r="G26" s="47" t="s">
        <v>272</v>
      </c>
      <c r="H26" s="48" t="s">
        <v>231</v>
      </c>
      <c r="I26" s="48" t="s">
        <v>3</v>
      </c>
      <c r="J26" s="48">
        <v>100</v>
      </c>
      <c r="K26" s="48"/>
      <c r="L26" s="48"/>
      <c r="M26" s="47">
        <v>20</v>
      </c>
      <c r="N26" s="47">
        <v>80</v>
      </c>
      <c r="O26" s="47">
        <v>1</v>
      </c>
      <c r="P26" s="47">
        <v>136</v>
      </c>
      <c r="Q26" s="47">
        <v>349</v>
      </c>
      <c r="R26" s="47">
        <v>956</v>
      </c>
      <c r="S26" s="47">
        <v>2060</v>
      </c>
      <c r="T26" s="47">
        <v>2384</v>
      </c>
      <c r="V26" s="47">
        <v>2764</v>
      </c>
      <c r="W26" s="47">
        <v>3205</v>
      </c>
      <c r="X26" s="47"/>
    </row>
    <row r="27" spans="1:24">
      <c r="A27" s="47" t="s">
        <v>1</v>
      </c>
      <c r="B27" s="47" t="s">
        <v>1</v>
      </c>
      <c r="C27" s="47" t="s">
        <v>39</v>
      </c>
      <c r="D27" s="47">
        <v>2</v>
      </c>
      <c r="E27" s="47">
        <v>1</v>
      </c>
      <c r="F27" s="47" t="s">
        <v>270</v>
      </c>
      <c r="G27" s="47" t="s">
        <v>272</v>
      </c>
      <c r="H27" s="48" t="s">
        <v>244</v>
      </c>
      <c r="I27" s="48" t="s">
        <v>3</v>
      </c>
      <c r="J27" s="48">
        <v>100</v>
      </c>
      <c r="K27" s="48"/>
      <c r="L27" s="48"/>
      <c r="M27" s="47">
        <v>0</v>
      </c>
      <c r="N27" s="47">
        <v>100</v>
      </c>
      <c r="O27" s="47">
        <v>1.5</v>
      </c>
      <c r="P27" s="47">
        <v>62</v>
      </c>
      <c r="Q27" s="47">
        <v>159</v>
      </c>
      <c r="R27" s="47">
        <v>391</v>
      </c>
      <c r="S27" s="47">
        <v>2394</v>
      </c>
      <c r="T27" s="47">
        <v>2772</v>
      </c>
      <c r="V27" s="47">
        <v>3213</v>
      </c>
      <c r="W27" s="47">
        <v>3725</v>
      </c>
      <c r="X27" s="47"/>
    </row>
    <row r="28" spans="1:24">
      <c r="A28" s="47" t="s">
        <v>314</v>
      </c>
      <c r="B28" s="47" t="s">
        <v>1</v>
      </c>
      <c r="C28" s="47" t="s">
        <v>39</v>
      </c>
      <c r="D28" s="47">
        <v>2</v>
      </c>
      <c r="E28" s="47">
        <v>1</v>
      </c>
      <c r="F28" s="47" t="s">
        <v>270</v>
      </c>
      <c r="G28" s="47" t="s">
        <v>272</v>
      </c>
      <c r="H28" s="48" t="s">
        <v>244</v>
      </c>
      <c r="I28" s="48" t="s">
        <v>3</v>
      </c>
      <c r="J28" s="48">
        <v>100</v>
      </c>
      <c r="K28" s="48"/>
      <c r="L28" s="48"/>
      <c r="M28" s="47">
        <v>0</v>
      </c>
      <c r="N28" s="47">
        <v>100</v>
      </c>
      <c r="O28" s="47">
        <v>1.5</v>
      </c>
      <c r="P28" s="47">
        <v>64</v>
      </c>
      <c r="Q28" s="47">
        <v>159</v>
      </c>
      <c r="R28" s="47">
        <v>391</v>
      </c>
      <c r="S28" s="47">
        <v>2394</v>
      </c>
      <c r="T28" s="47">
        <v>2772</v>
      </c>
      <c r="V28" s="47">
        <v>3213</v>
      </c>
      <c r="W28" s="47">
        <v>3725</v>
      </c>
      <c r="X28" s="47"/>
    </row>
    <row r="29" spans="1:24">
      <c r="A29" s="47" t="s">
        <v>278</v>
      </c>
      <c r="B29" s="47" t="s">
        <v>1</v>
      </c>
      <c r="C29" s="47" t="s">
        <v>39</v>
      </c>
      <c r="D29" s="47">
        <v>2</v>
      </c>
      <c r="E29" s="47">
        <v>1</v>
      </c>
      <c r="F29" s="47" t="s">
        <v>270</v>
      </c>
      <c r="G29" s="47" t="s">
        <v>272</v>
      </c>
      <c r="H29" s="48" t="s">
        <v>244</v>
      </c>
      <c r="I29" s="48" t="s">
        <v>3</v>
      </c>
      <c r="J29" s="48">
        <v>100</v>
      </c>
      <c r="K29" s="48"/>
      <c r="L29" s="48"/>
      <c r="M29" s="47">
        <v>0</v>
      </c>
      <c r="N29" s="47">
        <v>100</v>
      </c>
      <c r="O29" s="47">
        <v>1.5</v>
      </c>
      <c r="P29" s="47">
        <v>71</v>
      </c>
      <c r="Q29" s="47">
        <v>183</v>
      </c>
      <c r="R29" s="47">
        <v>449</v>
      </c>
      <c r="S29" s="47">
        <v>2754</v>
      </c>
      <c r="T29" s="47">
        <v>3187</v>
      </c>
      <c r="V29" s="47">
        <v>3695</v>
      </c>
      <c r="W29" s="47">
        <v>4283</v>
      </c>
      <c r="X29" s="47"/>
    </row>
    <row r="30" spans="1:24">
      <c r="A30" s="47" t="s">
        <v>130</v>
      </c>
      <c r="B30" s="47" t="s">
        <v>130</v>
      </c>
      <c r="C30" s="47" t="s">
        <v>39</v>
      </c>
      <c r="D30" s="47">
        <v>1</v>
      </c>
      <c r="E30" s="47">
        <v>3</v>
      </c>
      <c r="F30" s="47" t="s">
        <v>269</v>
      </c>
      <c r="G30" s="47" t="s">
        <v>273</v>
      </c>
      <c r="H30" s="48" t="s">
        <v>242</v>
      </c>
      <c r="I30" s="48" t="s">
        <v>45</v>
      </c>
      <c r="J30" s="48">
        <v>100</v>
      </c>
      <c r="K30" s="48"/>
      <c r="L30" s="48"/>
      <c r="M30" s="47">
        <v>100</v>
      </c>
      <c r="N30" s="47">
        <v>0</v>
      </c>
      <c r="O30" s="47">
        <v>1</v>
      </c>
      <c r="P30" s="47">
        <v>734</v>
      </c>
      <c r="Q30" s="47">
        <v>2100</v>
      </c>
      <c r="R30" s="47">
        <v>2654</v>
      </c>
      <c r="S30" s="47">
        <v>5934</v>
      </c>
      <c r="T30" s="47">
        <v>7214</v>
      </c>
      <c r="V30" s="47">
        <v>8363</v>
      </c>
      <c r="W30" s="47">
        <v>9695</v>
      </c>
      <c r="X30" s="47"/>
    </row>
    <row r="31" spans="1:24">
      <c r="A31" s="47" t="s">
        <v>114</v>
      </c>
      <c r="B31" s="47" t="s">
        <v>114</v>
      </c>
      <c r="C31" s="47" t="s">
        <v>39</v>
      </c>
      <c r="D31" s="47">
        <v>2</v>
      </c>
      <c r="E31" s="47">
        <v>1</v>
      </c>
      <c r="F31" s="47" t="s">
        <v>270</v>
      </c>
      <c r="G31" s="47" t="s">
        <v>272</v>
      </c>
      <c r="H31" s="48" t="s">
        <v>241</v>
      </c>
      <c r="I31" s="48" t="s">
        <v>3</v>
      </c>
      <c r="J31" s="48">
        <v>80</v>
      </c>
      <c r="K31" s="48" t="s">
        <v>49</v>
      </c>
      <c r="L31" s="48">
        <v>20</v>
      </c>
      <c r="M31" s="47">
        <v>0</v>
      </c>
      <c r="N31" s="47">
        <v>100</v>
      </c>
      <c r="O31" s="47">
        <v>1</v>
      </c>
      <c r="P31" s="47">
        <v>1118</v>
      </c>
      <c r="Q31" s="47">
        <v>2625</v>
      </c>
      <c r="R31" s="47">
        <v>3311</v>
      </c>
      <c r="S31" s="47">
        <v>6009</v>
      </c>
      <c r="T31" s="47">
        <v>6955</v>
      </c>
      <c r="V31" s="47">
        <v>8063</v>
      </c>
      <c r="W31" s="47">
        <v>9347</v>
      </c>
      <c r="X31" s="47"/>
    </row>
    <row r="32" spans="1:24">
      <c r="A32" s="47" t="s">
        <v>279</v>
      </c>
      <c r="B32" s="47" t="s">
        <v>279</v>
      </c>
      <c r="C32" s="47" t="s">
        <v>39</v>
      </c>
      <c r="D32" s="47">
        <v>2</v>
      </c>
      <c r="E32" s="47">
        <v>3</v>
      </c>
      <c r="F32" s="47" t="s">
        <v>270</v>
      </c>
      <c r="G32" s="47" t="s">
        <v>272</v>
      </c>
      <c r="H32" s="48" t="s">
        <v>244</v>
      </c>
      <c r="I32" s="48" t="s">
        <v>3</v>
      </c>
      <c r="J32" s="48">
        <v>100</v>
      </c>
      <c r="K32" s="48"/>
      <c r="L32" s="48"/>
      <c r="M32" s="47">
        <v>70</v>
      </c>
      <c r="N32" s="47">
        <v>30</v>
      </c>
      <c r="O32" s="47">
        <v>2.5499999999999998</v>
      </c>
      <c r="S32" s="47">
        <v>3303</v>
      </c>
      <c r="T32" s="47">
        <v>3574</v>
      </c>
      <c r="V32" s="47">
        <v>3756</v>
      </c>
      <c r="W32" s="47">
        <v>3948</v>
      </c>
      <c r="X32" s="47"/>
    </row>
    <row r="33" spans="1:50">
      <c r="A33" s="47" t="s">
        <v>280</v>
      </c>
      <c r="B33" s="47" t="s">
        <v>279</v>
      </c>
      <c r="C33" s="47" t="s">
        <v>39</v>
      </c>
      <c r="D33" s="47">
        <v>2</v>
      </c>
      <c r="E33" s="47">
        <v>3</v>
      </c>
      <c r="F33" s="47" t="s">
        <v>270</v>
      </c>
      <c r="G33" s="47" t="s">
        <v>272</v>
      </c>
      <c r="H33" s="48" t="s">
        <v>244</v>
      </c>
      <c r="I33" s="48" t="s">
        <v>3</v>
      </c>
      <c r="J33" s="48">
        <v>70</v>
      </c>
      <c r="K33" s="48" t="s">
        <v>49</v>
      </c>
      <c r="L33" s="48">
        <v>30</v>
      </c>
      <c r="M33" s="47">
        <v>70</v>
      </c>
      <c r="N33" s="47">
        <v>30</v>
      </c>
      <c r="O33" s="47">
        <v>2.5499999999999998</v>
      </c>
      <c r="S33" s="47">
        <v>4208</v>
      </c>
      <c r="X33" s="47"/>
    </row>
    <row r="34" spans="1:50">
      <c r="A34" s="47" t="s">
        <v>199</v>
      </c>
      <c r="B34" s="47" t="s">
        <v>199</v>
      </c>
      <c r="C34" s="47" t="s">
        <v>39</v>
      </c>
      <c r="D34" s="47">
        <v>1</v>
      </c>
      <c r="E34" s="47">
        <v>2</v>
      </c>
      <c r="F34" s="47" t="s">
        <v>270</v>
      </c>
      <c r="G34" s="47" t="s">
        <v>272</v>
      </c>
      <c r="H34" s="48" t="s">
        <v>231</v>
      </c>
      <c r="I34" s="48" t="s">
        <v>3</v>
      </c>
      <c r="J34" s="48">
        <v>1</v>
      </c>
      <c r="K34" s="48" t="s">
        <v>51</v>
      </c>
      <c r="L34" s="48">
        <v>99</v>
      </c>
      <c r="M34" s="47">
        <v>0</v>
      </c>
      <c r="N34" s="47">
        <v>100</v>
      </c>
      <c r="O34" s="47">
        <v>1</v>
      </c>
      <c r="P34" s="47">
        <v>141</v>
      </c>
      <c r="Q34" s="47">
        <v>405</v>
      </c>
      <c r="R34" s="47">
        <v>512</v>
      </c>
      <c r="S34" s="47">
        <v>1914</v>
      </c>
      <c r="T34" s="47">
        <v>2216</v>
      </c>
      <c r="V34" s="47">
        <v>2569</v>
      </c>
      <c r="W34" s="47">
        <v>2978</v>
      </c>
      <c r="X34" s="47"/>
    </row>
    <row r="35" spans="1:50">
      <c r="A35" s="47" t="s">
        <v>125</v>
      </c>
      <c r="B35" s="47" t="s">
        <v>125</v>
      </c>
      <c r="C35" s="47" t="s">
        <v>41</v>
      </c>
      <c r="D35" s="47">
        <v>2</v>
      </c>
      <c r="E35" s="47">
        <v>2</v>
      </c>
      <c r="F35" s="47" t="s">
        <v>271</v>
      </c>
      <c r="G35" s="47" t="s">
        <v>273</v>
      </c>
      <c r="H35" s="48" t="s">
        <v>243</v>
      </c>
      <c r="I35" s="48" t="s">
        <v>45</v>
      </c>
      <c r="J35" s="48">
        <v>100</v>
      </c>
      <c r="K35" s="48"/>
      <c r="L35" s="48"/>
      <c r="M35" s="47">
        <v>100</v>
      </c>
      <c r="N35" s="47">
        <v>0</v>
      </c>
      <c r="O35" s="47">
        <v>1</v>
      </c>
      <c r="P35" s="47">
        <v>131</v>
      </c>
      <c r="Q35" s="47">
        <v>338</v>
      </c>
      <c r="R35" s="47">
        <v>928</v>
      </c>
      <c r="S35" s="47">
        <v>3693</v>
      </c>
      <c r="T35" s="47">
        <v>4275</v>
      </c>
      <c r="V35" s="47">
        <v>4956</v>
      </c>
      <c r="W35" s="47">
        <v>5746</v>
      </c>
      <c r="X35" s="47"/>
    </row>
    <row r="36" spans="1:50">
      <c r="A36" s="47" t="s">
        <v>71</v>
      </c>
      <c r="B36" s="47" t="s">
        <v>71</v>
      </c>
      <c r="C36" s="47" t="s">
        <v>41</v>
      </c>
      <c r="D36" s="47">
        <v>1</v>
      </c>
      <c r="E36" s="47">
        <v>2</v>
      </c>
      <c r="F36" s="47" t="s">
        <v>270</v>
      </c>
      <c r="G36" s="47" t="s">
        <v>272</v>
      </c>
      <c r="H36" s="48" t="s">
        <v>244</v>
      </c>
      <c r="I36" s="48" t="s">
        <v>3</v>
      </c>
      <c r="J36" s="48">
        <v>100</v>
      </c>
      <c r="K36" s="48"/>
      <c r="L36" s="48"/>
      <c r="M36" s="47">
        <v>0</v>
      </c>
      <c r="N36" s="47">
        <v>100</v>
      </c>
      <c r="O36" s="47">
        <v>1</v>
      </c>
      <c r="P36" s="47">
        <v>21</v>
      </c>
      <c r="Q36" s="47">
        <v>53</v>
      </c>
      <c r="R36" s="47">
        <v>317</v>
      </c>
      <c r="S36" s="47">
        <v>1469</v>
      </c>
      <c r="T36" s="47">
        <v>1701</v>
      </c>
      <c r="V36" s="47">
        <v>1972</v>
      </c>
      <c r="W36" s="47">
        <v>2287</v>
      </c>
      <c r="X36" s="47"/>
    </row>
    <row r="37" spans="1:50">
      <c r="A37" s="47" t="s">
        <v>174</v>
      </c>
      <c r="B37" s="47" t="s">
        <v>174</v>
      </c>
      <c r="C37" s="47" t="s">
        <v>41</v>
      </c>
      <c r="D37" s="47">
        <v>2</v>
      </c>
      <c r="E37" s="47">
        <v>2</v>
      </c>
      <c r="F37" s="47" t="s">
        <v>269</v>
      </c>
      <c r="G37" s="47" t="s">
        <v>270</v>
      </c>
      <c r="H37" s="48" t="s">
        <v>242</v>
      </c>
      <c r="I37" s="48" t="s">
        <v>45</v>
      </c>
      <c r="J37" s="48">
        <v>100</v>
      </c>
      <c r="K37" s="48"/>
      <c r="L37" s="48"/>
      <c r="M37" s="47">
        <v>100</v>
      </c>
      <c r="N37" s="47">
        <v>0</v>
      </c>
      <c r="O37" s="47">
        <v>1</v>
      </c>
      <c r="P37" s="47">
        <v>310</v>
      </c>
      <c r="Q37" s="47">
        <v>887</v>
      </c>
      <c r="R37" s="47">
        <v>1120</v>
      </c>
      <c r="S37" s="47">
        <v>4272</v>
      </c>
      <c r="T37" s="47">
        <v>4945</v>
      </c>
      <c r="V37" s="47">
        <v>5733</v>
      </c>
      <c r="W37" s="47">
        <v>6646</v>
      </c>
      <c r="X37" s="47"/>
    </row>
    <row r="38" spans="1:50">
      <c r="A38" s="47" t="s">
        <v>73</v>
      </c>
      <c r="B38" s="47" t="s">
        <v>73</v>
      </c>
      <c r="C38" s="47" t="s">
        <v>41</v>
      </c>
      <c r="D38" s="47">
        <v>2</v>
      </c>
      <c r="E38" s="47">
        <v>3</v>
      </c>
      <c r="F38" s="47" t="s">
        <v>269</v>
      </c>
      <c r="G38" s="47" t="s">
        <v>270</v>
      </c>
      <c r="H38" s="48" t="s">
        <v>244</v>
      </c>
      <c r="I38" s="48" t="s">
        <v>45</v>
      </c>
      <c r="J38" s="48">
        <v>100</v>
      </c>
      <c r="K38" s="48"/>
      <c r="L38" s="48"/>
      <c r="M38" s="47">
        <v>60</v>
      </c>
      <c r="N38" s="47">
        <v>40</v>
      </c>
      <c r="O38" s="47">
        <v>1</v>
      </c>
      <c r="P38" s="47">
        <v>659</v>
      </c>
      <c r="Q38" s="47">
        <v>1217</v>
      </c>
      <c r="R38" s="47">
        <v>1536</v>
      </c>
      <c r="S38" s="47">
        <v>2940</v>
      </c>
      <c r="T38" s="47">
        <v>3403</v>
      </c>
      <c r="V38" s="47">
        <v>3945</v>
      </c>
      <c r="W38" s="47">
        <v>4574</v>
      </c>
      <c r="X38" s="47"/>
    </row>
    <row r="39" spans="1:50">
      <c r="A39" s="47" t="s">
        <v>94</v>
      </c>
      <c r="B39" s="47" t="s">
        <v>94</v>
      </c>
      <c r="C39" s="47" t="s">
        <v>41</v>
      </c>
      <c r="D39" s="47">
        <v>1</v>
      </c>
      <c r="E39" s="47">
        <v>2</v>
      </c>
      <c r="F39" s="47" t="s">
        <v>269</v>
      </c>
      <c r="G39" s="47" t="s">
        <v>269</v>
      </c>
      <c r="H39" s="48" t="s">
        <v>243</v>
      </c>
      <c r="I39" s="48" t="s">
        <v>45</v>
      </c>
      <c r="J39" s="48">
        <v>50</v>
      </c>
      <c r="K39" s="48" t="s">
        <v>49</v>
      </c>
      <c r="L39" s="48">
        <v>50</v>
      </c>
      <c r="M39" s="47">
        <v>90</v>
      </c>
      <c r="N39" s="47">
        <v>10</v>
      </c>
      <c r="O39" s="47">
        <v>1</v>
      </c>
      <c r="P39" s="47">
        <v>97</v>
      </c>
      <c r="Q39" s="47">
        <v>175</v>
      </c>
      <c r="R39" s="47">
        <v>800</v>
      </c>
      <c r="S39" s="47">
        <v>2489</v>
      </c>
      <c r="T39" s="47">
        <v>2881</v>
      </c>
      <c r="V39" s="47">
        <v>3340</v>
      </c>
      <c r="W39" s="47">
        <v>3872</v>
      </c>
      <c r="X39" s="47"/>
    </row>
    <row r="40" spans="1:50">
      <c r="A40" s="47" t="s">
        <v>281</v>
      </c>
      <c r="B40" s="47" t="s">
        <v>94</v>
      </c>
      <c r="C40" s="47" t="s">
        <v>41</v>
      </c>
      <c r="D40" s="47">
        <v>1</v>
      </c>
      <c r="E40" s="47">
        <v>2</v>
      </c>
      <c r="F40" s="47" t="s">
        <v>269</v>
      </c>
      <c r="G40" s="47" t="s">
        <v>269</v>
      </c>
      <c r="H40" s="48" t="s">
        <v>243</v>
      </c>
      <c r="I40" s="48" t="s">
        <v>45</v>
      </c>
      <c r="J40" s="48">
        <v>50</v>
      </c>
      <c r="K40" s="48" t="s">
        <v>49</v>
      </c>
      <c r="L40" s="48">
        <v>50</v>
      </c>
      <c r="M40" s="47">
        <v>90</v>
      </c>
      <c r="N40" s="47">
        <v>10</v>
      </c>
      <c r="O40" s="47">
        <v>1</v>
      </c>
      <c r="P40" s="47">
        <v>83</v>
      </c>
      <c r="Q40" s="47">
        <v>89</v>
      </c>
      <c r="R40" s="47">
        <v>96</v>
      </c>
      <c r="S40" s="47">
        <v>104</v>
      </c>
      <c r="T40" s="47">
        <v>112</v>
      </c>
      <c r="U40" s="47">
        <v>149</v>
      </c>
      <c r="V40" s="47">
        <v>160</v>
      </c>
      <c r="W40" s="47">
        <v>173</v>
      </c>
      <c r="X40" s="47">
        <v>187</v>
      </c>
      <c r="Y40" s="47">
        <v>202</v>
      </c>
      <c r="Z40" s="47">
        <v>703</v>
      </c>
      <c r="AA40" s="47">
        <v>752</v>
      </c>
      <c r="AB40" s="47">
        <v>804</v>
      </c>
      <c r="AC40" s="47">
        <v>861</v>
      </c>
      <c r="AD40" s="47">
        <v>921</v>
      </c>
      <c r="AE40" s="47">
        <v>2356</v>
      </c>
      <c r="AF40" s="47">
        <v>2473</v>
      </c>
      <c r="AG40" s="47">
        <v>2597</v>
      </c>
      <c r="AH40" s="47">
        <v>2727</v>
      </c>
      <c r="AI40" s="47">
        <v>2863</v>
      </c>
      <c r="AJ40" s="47">
        <v>2944</v>
      </c>
      <c r="AK40" s="47">
        <v>3032</v>
      </c>
      <c r="AL40" s="47">
        <v>3123</v>
      </c>
      <c r="AM40" s="47">
        <v>3216</v>
      </c>
      <c r="AN40" s="47">
        <v>3313</v>
      </c>
      <c r="AO40" s="47">
        <v>3412</v>
      </c>
      <c r="AP40" s="47">
        <v>3515</v>
      </c>
      <c r="AQ40" s="47">
        <v>3620</v>
      </c>
      <c r="AR40" s="47">
        <v>3729</v>
      </c>
      <c r="AS40" s="47">
        <v>3841</v>
      </c>
      <c r="AT40" s="47">
        <v>3956</v>
      </c>
      <c r="AU40" s="47">
        <v>4075</v>
      </c>
      <c r="AV40" s="47">
        <v>4197</v>
      </c>
      <c r="AW40" s="47">
        <v>4323</v>
      </c>
      <c r="AX40" s="47">
        <v>4453</v>
      </c>
    </row>
    <row r="41" spans="1:50">
      <c r="A41" s="47" t="s">
        <v>282</v>
      </c>
      <c r="B41" s="47" t="s">
        <v>282</v>
      </c>
      <c r="C41" s="47" t="s">
        <v>41</v>
      </c>
      <c r="D41" s="47">
        <v>1</v>
      </c>
      <c r="E41" s="47">
        <v>1</v>
      </c>
      <c r="F41" s="47" t="s">
        <v>270</v>
      </c>
      <c r="G41" s="47" t="s">
        <v>271</v>
      </c>
      <c r="H41" s="48" t="s">
        <v>231</v>
      </c>
      <c r="I41" s="48" t="s">
        <v>45</v>
      </c>
      <c r="J41" s="48">
        <v>50</v>
      </c>
      <c r="K41" s="48" t="s">
        <v>53</v>
      </c>
      <c r="L41" s="48">
        <v>50</v>
      </c>
      <c r="M41" s="47">
        <v>100</v>
      </c>
      <c r="N41" s="47">
        <v>0</v>
      </c>
      <c r="O41" s="47">
        <v>1</v>
      </c>
      <c r="P41" s="47">
        <v>62</v>
      </c>
      <c r="Q41" s="47">
        <v>160</v>
      </c>
      <c r="R41" s="47">
        <v>440</v>
      </c>
      <c r="S41" s="47">
        <v>1743</v>
      </c>
      <c r="T41" s="47">
        <v>2018</v>
      </c>
      <c r="V41" s="47">
        <v>2339</v>
      </c>
      <c r="W41" s="47">
        <v>2712</v>
      </c>
      <c r="X41" s="47"/>
    </row>
    <row r="42" spans="1:50">
      <c r="A42" s="47" t="s">
        <v>182</v>
      </c>
      <c r="B42" s="47" t="s">
        <v>182</v>
      </c>
      <c r="C42" s="47" t="s">
        <v>41</v>
      </c>
      <c r="D42" s="47">
        <v>1</v>
      </c>
      <c r="E42" s="47">
        <v>1</v>
      </c>
      <c r="F42" s="47" t="s">
        <v>269</v>
      </c>
      <c r="G42" s="47" t="s">
        <v>273</v>
      </c>
      <c r="H42" s="48" t="s">
        <v>243</v>
      </c>
      <c r="I42" s="48" t="s">
        <v>47</v>
      </c>
      <c r="J42" s="48">
        <v>100</v>
      </c>
      <c r="K42" s="48"/>
      <c r="L42" s="48"/>
      <c r="M42" s="47">
        <v>80</v>
      </c>
      <c r="N42" s="47">
        <v>20</v>
      </c>
      <c r="O42" s="47">
        <v>1</v>
      </c>
      <c r="P42" s="47">
        <v>564</v>
      </c>
      <c r="Q42" s="47">
        <v>1044</v>
      </c>
      <c r="R42" s="47">
        <v>1317</v>
      </c>
      <c r="S42" s="47">
        <v>5752</v>
      </c>
      <c r="T42" s="47">
        <v>6659</v>
      </c>
      <c r="U42" s="47">
        <v>7277</v>
      </c>
      <c r="V42" s="47">
        <v>7720</v>
      </c>
      <c r="W42" s="47">
        <v>8949</v>
      </c>
      <c r="X42" s="47"/>
    </row>
    <row r="43" spans="1:50">
      <c r="A43" s="47" t="s">
        <v>142</v>
      </c>
      <c r="B43" s="47" t="s">
        <v>142</v>
      </c>
      <c r="C43" s="47" t="s">
        <v>41</v>
      </c>
      <c r="D43" s="47">
        <v>1</v>
      </c>
      <c r="E43" s="47">
        <v>2</v>
      </c>
      <c r="F43" s="47" t="s">
        <v>269</v>
      </c>
      <c r="G43" s="47" t="s">
        <v>272</v>
      </c>
      <c r="H43" s="48" t="s">
        <v>241</v>
      </c>
      <c r="I43" s="48" t="s">
        <v>3</v>
      </c>
      <c r="J43" s="48">
        <v>30</v>
      </c>
      <c r="K43" s="48" t="s">
        <v>49</v>
      </c>
      <c r="L43" s="48">
        <v>70</v>
      </c>
      <c r="M43" s="47">
        <v>10</v>
      </c>
      <c r="N43" s="47">
        <v>90</v>
      </c>
      <c r="O43" s="47">
        <v>1</v>
      </c>
      <c r="P43" s="47">
        <v>133</v>
      </c>
      <c r="Q43" s="47">
        <v>382</v>
      </c>
      <c r="R43" s="47">
        <v>242</v>
      </c>
      <c r="S43" s="47">
        <v>2316</v>
      </c>
      <c r="T43" s="47">
        <v>2682</v>
      </c>
      <c r="V43" s="47">
        <v>3109</v>
      </c>
      <c r="W43" s="47">
        <v>3604</v>
      </c>
      <c r="X43" s="47"/>
    </row>
    <row r="44" spans="1:50">
      <c r="A44" s="47" t="s">
        <v>159</v>
      </c>
      <c r="B44" s="47" t="s">
        <v>159</v>
      </c>
      <c r="C44" s="47" t="s">
        <v>41</v>
      </c>
      <c r="D44" s="47">
        <v>1</v>
      </c>
      <c r="E44" s="47">
        <v>1</v>
      </c>
      <c r="F44" s="47" t="s">
        <v>270</v>
      </c>
      <c r="G44" s="47" t="s">
        <v>271</v>
      </c>
      <c r="H44" s="48" t="s">
        <v>243</v>
      </c>
      <c r="I44" s="48" t="s">
        <v>3</v>
      </c>
      <c r="J44" s="48">
        <v>20</v>
      </c>
      <c r="K44" s="48" t="s">
        <v>53</v>
      </c>
      <c r="L44" s="48">
        <v>80</v>
      </c>
      <c r="M44" s="47">
        <v>10</v>
      </c>
      <c r="N44" s="47">
        <v>90</v>
      </c>
      <c r="O44" s="47">
        <v>1</v>
      </c>
      <c r="P44" s="47">
        <v>168</v>
      </c>
      <c r="Q44" s="47">
        <v>482</v>
      </c>
      <c r="R44" s="47">
        <v>610</v>
      </c>
      <c r="S44" s="47">
        <v>1862</v>
      </c>
      <c r="T44" s="47">
        <v>2155</v>
      </c>
      <c r="V44" s="47">
        <v>2498</v>
      </c>
      <c r="W44" s="47">
        <v>2896</v>
      </c>
      <c r="X44" s="47"/>
    </row>
    <row r="45" spans="1:50">
      <c r="A45" s="47" t="s">
        <v>283</v>
      </c>
      <c r="B45" s="47" t="s">
        <v>326</v>
      </c>
      <c r="C45" s="47" t="s">
        <v>41</v>
      </c>
      <c r="D45" s="47">
        <v>2</v>
      </c>
      <c r="E45" s="47">
        <v>3</v>
      </c>
      <c r="F45" s="47" t="s">
        <v>269</v>
      </c>
      <c r="G45" s="47" t="s">
        <v>270</v>
      </c>
      <c r="H45" s="48" t="s">
        <v>241</v>
      </c>
      <c r="I45" s="48" t="s">
        <v>45</v>
      </c>
      <c r="J45" s="48">
        <v>100</v>
      </c>
      <c r="K45" s="48"/>
      <c r="L45" s="48"/>
      <c r="M45" s="47">
        <v>80</v>
      </c>
      <c r="N45" s="47">
        <v>20</v>
      </c>
      <c r="O45" s="47">
        <v>1</v>
      </c>
      <c r="R45" s="47">
        <v>486</v>
      </c>
      <c r="T45" s="47">
        <v>2750</v>
      </c>
      <c r="V45" s="47">
        <v>3188</v>
      </c>
      <c r="W45" s="47">
        <v>3696</v>
      </c>
      <c r="X45" s="47"/>
    </row>
    <row r="46" spans="1:50">
      <c r="A46" s="47" t="s">
        <v>298</v>
      </c>
      <c r="B46" s="47" t="s">
        <v>326</v>
      </c>
      <c r="C46" s="47" t="s">
        <v>41</v>
      </c>
      <c r="D46" s="47">
        <v>2</v>
      </c>
      <c r="E46" s="47">
        <v>3</v>
      </c>
      <c r="F46" s="47" t="s">
        <v>269</v>
      </c>
      <c r="G46" s="47" t="s">
        <v>270</v>
      </c>
      <c r="H46" s="48" t="s">
        <v>241</v>
      </c>
      <c r="I46" s="48" t="s">
        <v>45</v>
      </c>
      <c r="J46" s="48">
        <v>100</v>
      </c>
      <c r="K46" s="48"/>
      <c r="L46" s="48"/>
      <c r="M46" s="47">
        <v>80</v>
      </c>
      <c r="N46" s="47">
        <v>20</v>
      </c>
      <c r="O46" s="47">
        <v>1</v>
      </c>
      <c r="P46" s="47">
        <v>51</v>
      </c>
      <c r="Q46" s="47">
        <v>131</v>
      </c>
      <c r="R46" s="47">
        <v>388</v>
      </c>
      <c r="T46" s="47">
        <v>2200</v>
      </c>
      <c r="V46" s="47">
        <v>2550</v>
      </c>
      <c r="W46" s="47">
        <v>2957</v>
      </c>
      <c r="X46" s="47"/>
    </row>
    <row r="47" spans="1:50">
      <c r="A47" s="47" t="s">
        <v>161</v>
      </c>
      <c r="B47" s="47" t="s">
        <v>161</v>
      </c>
      <c r="C47" s="47" t="s">
        <v>41</v>
      </c>
      <c r="D47" s="47">
        <v>1</v>
      </c>
      <c r="E47" s="47">
        <v>1</v>
      </c>
      <c r="F47" s="47" t="s">
        <v>270</v>
      </c>
      <c r="G47" s="47" t="s">
        <v>272</v>
      </c>
      <c r="H47" s="48" t="s">
        <v>241</v>
      </c>
      <c r="I47" s="48" t="s">
        <v>3</v>
      </c>
      <c r="J47" s="48">
        <v>10</v>
      </c>
      <c r="K47" s="48" t="s">
        <v>51</v>
      </c>
      <c r="L47" s="48">
        <v>90</v>
      </c>
      <c r="M47" s="47">
        <v>10</v>
      </c>
      <c r="N47" s="47">
        <v>90</v>
      </c>
      <c r="O47" s="47">
        <v>1</v>
      </c>
      <c r="P47" s="47">
        <v>588</v>
      </c>
      <c r="Q47" s="47">
        <v>1087</v>
      </c>
      <c r="R47" s="47">
        <v>1373</v>
      </c>
      <c r="S47" s="47">
        <v>2066</v>
      </c>
      <c r="T47" s="47">
        <v>2391</v>
      </c>
      <c r="V47" s="47">
        <v>2772</v>
      </c>
      <c r="W47" s="47">
        <v>3214</v>
      </c>
      <c r="X47" s="47"/>
    </row>
    <row r="48" spans="1:50">
      <c r="A48" s="47" t="s">
        <v>284</v>
      </c>
      <c r="B48" s="47" t="s">
        <v>284</v>
      </c>
      <c r="C48" s="47" t="s">
        <v>41</v>
      </c>
      <c r="D48" s="47">
        <v>1</v>
      </c>
      <c r="E48" s="47">
        <v>3</v>
      </c>
      <c r="F48" s="47" t="s">
        <v>269</v>
      </c>
      <c r="G48" s="47" t="s">
        <v>269</v>
      </c>
      <c r="H48" s="48" t="s">
        <v>242</v>
      </c>
      <c r="I48" s="48" t="s">
        <v>45</v>
      </c>
      <c r="J48" s="48">
        <v>100</v>
      </c>
      <c r="K48" s="48"/>
      <c r="L48" s="48"/>
      <c r="M48" s="47">
        <v>50</v>
      </c>
      <c r="N48" s="47">
        <v>50</v>
      </c>
      <c r="O48" s="47">
        <v>1</v>
      </c>
      <c r="S48" s="47">
        <v>2741</v>
      </c>
      <c r="T48" s="47">
        <v>2966</v>
      </c>
      <c r="V48" s="47">
        <v>3118</v>
      </c>
      <c r="W48" s="47">
        <v>3277</v>
      </c>
      <c r="X48" s="47"/>
    </row>
    <row r="49" spans="1:24">
      <c r="A49" s="47" t="s">
        <v>285</v>
      </c>
      <c r="B49" s="47" t="s">
        <v>284</v>
      </c>
      <c r="C49" s="47" t="s">
        <v>41</v>
      </c>
      <c r="D49" s="47">
        <v>1</v>
      </c>
      <c r="E49" s="47">
        <v>3</v>
      </c>
      <c r="F49" s="47" t="s">
        <v>269</v>
      </c>
      <c r="G49" s="47" t="s">
        <v>269</v>
      </c>
      <c r="H49" s="48" t="s">
        <v>242</v>
      </c>
      <c r="I49" s="48" t="s">
        <v>45</v>
      </c>
      <c r="J49" s="48">
        <v>20</v>
      </c>
      <c r="K49" s="48" t="s">
        <v>51</v>
      </c>
      <c r="L49" s="48">
        <v>80</v>
      </c>
      <c r="M49" s="47">
        <v>50</v>
      </c>
      <c r="N49" s="47">
        <v>50</v>
      </c>
      <c r="O49" s="47">
        <v>1</v>
      </c>
      <c r="S49" s="47">
        <v>4801</v>
      </c>
      <c r="X49" s="47"/>
    </row>
    <row r="50" spans="1:24">
      <c r="A50" s="47" t="s">
        <v>286</v>
      </c>
      <c r="B50" s="47" t="s">
        <v>286</v>
      </c>
      <c r="C50" s="47" t="s">
        <v>41</v>
      </c>
      <c r="D50" s="47">
        <v>1</v>
      </c>
      <c r="E50" s="47">
        <v>3</v>
      </c>
      <c r="F50" s="47" t="s">
        <v>270</v>
      </c>
      <c r="G50" s="47" t="s">
        <v>271</v>
      </c>
      <c r="H50" s="48" t="s">
        <v>245</v>
      </c>
      <c r="I50" s="48" t="s">
        <v>3</v>
      </c>
      <c r="J50" s="48">
        <v>40</v>
      </c>
      <c r="K50" s="48" t="s">
        <v>53</v>
      </c>
      <c r="L50" s="48">
        <v>60</v>
      </c>
      <c r="M50" s="47">
        <v>100</v>
      </c>
      <c r="N50" s="47">
        <v>0</v>
      </c>
      <c r="O50" s="47">
        <v>1</v>
      </c>
      <c r="S50" s="47">
        <v>2506</v>
      </c>
      <c r="T50" s="47">
        <v>2711</v>
      </c>
      <c r="V50" s="47">
        <v>2850</v>
      </c>
      <c r="W50" s="47">
        <v>2995</v>
      </c>
      <c r="X50" s="47"/>
    </row>
    <row r="51" spans="1:24">
      <c r="A51" s="47" t="s">
        <v>287</v>
      </c>
      <c r="B51" s="47" t="s">
        <v>287</v>
      </c>
      <c r="C51" s="47" t="s">
        <v>41</v>
      </c>
      <c r="D51" s="47">
        <v>1</v>
      </c>
      <c r="E51" s="47">
        <v>3</v>
      </c>
      <c r="F51" s="47" t="s">
        <v>270</v>
      </c>
      <c r="G51" s="47" t="s">
        <v>271</v>
      </c>
      <c r="H51" s="48" t="s">
        <v>245</v>
      </c>
      <c r="I51" s="48" t="s">
        <v>3</v>
      </c>
      <c r="J51" s="48">
        <v>40</v>
      </c>
      <c r="K51" s="48" t="s">
        <v>51</v>
      </c>
      <c r="L51" s="48">
        <v>60</v>
      </c>
      <c r="M51" s="47">
        <v>100</v>
      </c>
      <c r="N51" s="47">
        <v>0</v>
      </c>
      <c r="O51" s="47">
        <v>1</v>
      </c>
      <c r="S51" s="47">
        <v>3283</v>
      </c>
      <c r="X51" s="47"/>
    </row>
    <row r="52" spans="1:24">
      <c r="A52" s="47" t="s">
        <v>315</v>
      </c>
      <c r="B52" s="47" t="s">
        <v>315</v>
      </c>
      <c r="C52" s="47" t="s">
        <v>41</v>
      </c>
      <c r="D52" s="47">
        <v>1</v>
      </c>
      <c r="E52" s="47">
        <v>1</v>
      </c>
      <c r="F52" s="47" t="s">
        <v>271</v>
      </c>
      <c r="G52" s="47" t="s">
        <v>272</v>
      </c>
      <c r="H52" s="48" t="s">
        <v>243</v>
      </c>
      <c r="I52" s="48" t="s">
        <v>45</v>
      </c>
      <c r="J52" s="48">
        <v>100</v>
      </c>
      <c r="K52" s="48"/>
      <c r="L52" s="48"/>
      <c r="M52" s="47">
        <v>20</v>
      </c>
      <c r="N52" s="47">
        <v>80</v>
      </c>
      <c r="O52" s="47">
        <v>1</v>
      </c>
      <c r="P52" s="47">
        <v>200</v>
      </c>
      <c r="Q52" s="47">
        <v>575</v>
      </c>
      <c r="R52" s="47">
        <v>755</v>
      </c>
      <c r="S52" s="47">
        <v>3572</v>
      </c>
      <c r="T52" s="47">
        <v>4132</v>
      </c>
      <c r="V52" s="47">
        <v>4791</v>
      </c>
      <c r="W52" s="47">
        <v>5554</v>
      </c>
      <c r="X52" s="47"/>
    </row>
    <row r="53" spans="1:24">
      <c r="A53" s="47" t="s">
        <v>109</v>
      </c>
      <c r="B53" s="47" t="s">
        <v>109</v>
      </c>
      <c r="C53" s="47" t="s">
        <v>43</v>
      </c>
      <c r="D53" s="47">
        <v>1</v>
      </c>
      <c r="E53" s="47">
        <v>1</v>
      </c>
      <c r="F53" s="47" t="s">
        <v>269</v>
      </c>
      <c r="G53" s="47" t="s">
        <v>271</v>
      </c>
      <c r="H53" s="48" t="s">
        <v>242</v>
      </c>
      <c r="I53" s="48" t="s">
        <v>47</v>
      </c>
      <c r="J53" s="48">
        <v>50</v>
      </c>
      <c r="K53" s="48" t="s">
        <v>53</v>
      </c>
      <c r="L53" s="48">
        <v>50</v>
      </c>
      <c r="M53" s="47">
        <v>100</v>
      </c>
      <c r="N53" s="47">
        <v>0</v>
      </c>
      <c r="O53" s="47">
        <v>1</v>
      </c>
      <c r="P53" s="47">
        <v>28</v>
      </c>
      <c r="Q53" s="47">
        <v>71</v>
      </c>
      <c r="R53" s="47">
        <v>425</v>
      </c>
      <c r="S53" s="47">
        <v>2214</v>
      </c>
      <c r="T53" s="47">
        <v>2563</v>
      </c>
      <c r="V53" s="47">
        <v>2972</v>
      </c>
      <c r="W53" s="47">
        <v>3445</v>
      </c>
      <c r="X53" s="47"/>
    </row>
    <row r="54" spans="1:24">
      <c r="A54" s="47" t="s">
        <v>64</v>
      </c>
      <c r="B54" s="47" t="s">
        <v>64</v>
      </c>
      <c r="C54" s="47" t="s">
        <v>43</v>
      </c>
      <c r="D54" s="47">
        <v>1</v>
      </c>
      <c r="E54" s="47">
        <v>1</v>
      </c>
      <c r="F54" s="47" t="s">
        <v>270</v>
      </c>
      <c r="G54" s="47" t="s">
        <v>269</v>
      </c>
      <c r="H54" s="48" t="s">
        <v>244</v>
      </c>
      <c r="I54" s="48" t="s">
        <v>45</v>
      </c>
      <c r="J54" s="48">
        <v>50</v>
      </c>
      <c r="K54" s="48" t="s">
        <v>51</v>
      </c>
      <c r="L54" s="48">
        <v>50</v>
      </c>
      <c r="M54" s="47">
        <v>70</v>
      </c>
      <c r="N54" s="47">
        <v>30</v>
      </c>
      <c r="O54" s="47">
        <v>1</v>
      </c>
      <c r="P54" s="47">
        <v>257</v>
      </c>
      <c r="Q54" s="47">
        <v>736</v>
      </c>
      <c r="R54" s="47">
        <v>930</v>
      </c>
      <c r="S54" s="47">
        <v>3492</v>
      </c>
      <c r="T54" s="47">
        <v>4042</v>
      </c>
      <c r="V54" s="47">
        <v>4686</v>
      </c>
      <c r="W54" s="47">
        <v>5433</v>
      </c>
      <c r="X54" s="47"/>
    </row>
    <row r="55" spans="1:24">
      <c r="A55" s="47" t="s">
        <v>187</v>
      </c>
      <c r="B55" s="47" t="s">
        <v>187</v>
      </c>
      <c r="C55" s="47" t="s">
        <v>43</v>
      </c>
      <c r="D55" s="47">
        <v>1</v>
      </c>
      <c r="E55" s="47">
        <v>2</v>
      </c>
      <c r="F55" s="47" t="s">
        <v>270</v>
      </c>
      <c r="G55" s="47" t="s">
        <v>272</v>
      </c>
      <c r="H55" s="48" t="s">
        <v>243</v>
      </c>
      <c r="I55" s="48" t="s">
        <v>47</v>
      </c>
      <c r="J55" s="48">
        <v>100</v>
      </c>
      <c r="K55" s="48"/>
      <c r="L55" s="48"/>
      <c r="M55" s="47">
        <v>20</v>
      </c>
      <c r="N55" s="47">
        <v>80</v>
      </c>
      <c r="O55" s="47">
        <v>1</v>
      </c>
      <c r="P55" s="47">
        <v>141</v>
      </c>
      <c r="Q55" s="47">
        <v>405</v>
      </c>
      <c r="R55" s="47">
        <v>512</v>
      </c>
      <c r="S55" s="47">
        <v>1632</v>
      </c>
      <c r="T55" s="47">
        <v>1889</v>
      </c>
      <c r="V55" s="47">
        <v>2190</v>
      </c>
      <c r="W55" s="47">
        <v>2539</v>
      </c>
      <c r="X55" s="47"/>
    </row>
    <row r="56" spans="1:24">
      <c r="A56" s="47" t="s">
        <v>132</v>
      </c>
      <c r="B56" s="47" t="s">
        <v>132</v>
      </c>
      <c r="C56" s="47" t="s">
        <v>43</v>
      </c>
      <c r="D56" s="47">
        <v>1</v>
      </c>
      <c r="E56" s="47">
        <v>1</v>
      </c>
      <c r="F56" s="47" t="s">
        <v>270</v>
      </c>
      <c r="G56" s="47" t="s">
        <v>271</v>
      </c>
      <c r="H56" s="48" t="s">
        <v>241</v>
      </c>
      <c r="I56" s="48" t="s">
        <v>47</v>
      </c>
      <c r="J56" s="48">
        <v>100</v>
      </c>
      <c r="K56" s="48"/>
      <c r="L56" s="48"/>
      <c r="M56" s="47">
        <v>80</v>
      </c>
      <c r="N56" s="47">
        <v>20</v>
      </c>
      <c r="O56" s="47">
        <v>1</v>
      </c>
      <c r="P56" s="47">
        <v>46</v>
      </c>
      <c r="Q56" s="47">
        <v>118</v>
      </c>
      <c r="R56" s="47">
        <v>325</v>
      </c>
      <c r="S56" s="47">
        <v>887</v>
      </c>
      <c r="T56" s="47">
        <v>1027</v>
      </c>
      <c r="V56" s="47">
        <v>1191</v>
      </c>
      <c r="W56" s="47">
        <v>1380</v>
      </c>
      <c r="X56" s="47"/>
    </row>
    <row r="57" spans="1:24">
      <c r="A57" s="47" t="s">
        <v>207</v>
      </c>
      <c r="B57" s="47" t="s">
        <v>207</v>
      </c>
      <c r="C57" s="47" t="s">
        <v>43</v>
      </c>
      <c r="D57" s="47">
        <v>1</v>
      </c>
      <c r="E57" s="47">
        <v>1</v>
      </c>
      <c r="F57" s="47" t="s">
        <v>270</v>
      </c>
      <c r="G57" s="47" t="s">
        <v>269</v>
      </c>
      <c r="H57" s="48" t="s">
        <v>231</v>
      </c>
      <c r="I57" s="48" t="s">
        <v>45</v>
      </c>
      <c r="J57" s="48">
        <v>100</v>
      </c>
      <c r="K57" s="48"/>
      <c r="L57" s="48"/>
      <c r="M57" s="47">
        <v>70</v>
      </c>
      <c r="N57" s="47">
        <v>30</v>
      </c>
      <c r="O57" s="47">
        <v>1</v>
      </c>
      <c r="P57" s="47">
        <v>406</v>
      </c>
      <c r="Q57" s="47">
        <v>1163</v>
      </c>
      <c r="R57" s="47">
        <v>1469</v>
      </c>
      <c r="S57" s="47">
        <v>2939</v>
      </c>
      <c r="T57" s="47">
        <v>3402</v>
      </c>
      <c r="V57" s="47">
        <v>3944</v>
      </c>
      <c r="W57" s="47">
        <v>4572</v>
      </c>
      <c r="X57" s="47"/>
    </row>
    <row r="58" spans="1:24">
      <c r="A58" s="47" t="s">
        <v>111</v>
      </c>
      <c r="B58" s="47" t="s">
        <v>111</v>
      </c>
      <c r="C58" s="47" t="s">
        <v>43</v>
      </c>
      <c r="D58" s="47">
        <v>1</v>
      </c>
      <c r="E58" s="47">
        <v>1</v>
      </c>
      <c r="F58" s="47" t="s">
        <v>269</v>
      </c>
      <c r="G58" s="47" t="s">
        <v>269</v>
      </c>
      <c r="H58" s="48" t="s">
        <v>243</v>
      </c>
      <c r="I58" s="48" t="s">
        <v>47</v>
      </c>
      <c r="J58" s="48">
        <v>100</v>
      </c>
      <c r="K58" s="48"/>
      <c r="L58" s="48"/>
      <c r="M58" s="47">
        <v>100</v>
      </c>
      <c r="N58" s="47">
        <v>0</v>
      </c>
      <c r="O58" s="47">
        <v>1</v>
      </c>
      <c r="P58" s="47">
        <v>436</v>
      </c>
      <c r="Q58" s="47">
        <v>807</v>
      </c>
      <c r="R58" s="47">
        <v>1018</v>
      </c>
      <c r="S58" s="47">
        <v>4057</v>
      </c>
      <c r="T58" s="47">
        <v>4696</v>
      </c>
      <c r="V58" s="47">
        <v>5444</v>
      </c>
      <c r="W58" s="47">
        <v>6312</v>
      </c>
      <c r="X58" s="47"/>
    </row>
    <row r="59" spans="1:24">
      <c r="A59" s="47" t="s">
        <v>135</v>
      </c>
      <c r="B59" s="47" t="s">
        <v>135</v>
      </c>
      <c r="C59" s="47" t="s">
        <v>43</v>
      </c>
      <c r="D59" s="47">
        <v>1</v>
      </c>
      <c r="E59" s="47">
        <v>3</v>
      </c>
      <c r="F59" s="47" t="s">
        <v>270</v>
      </c>
      <c r="G59" s="47" t="s">
        <v>269</v>
      </c>
      <c r="H59" s="48" t="s">
        <v>241</v>
      </c>
      <c r="I59" s="48" t="s">
        <v>47</v>
      </c>
      <c r="J59" s="48">
        <v>20</v>
      </c>
      <c r="K59" s="48" t="s">
        <v>49</v>
      </c>
      <c r="L59" s="48">
        <v>80</v>
      </c>
      <c r="M59" s="47">
        <v>60</v>
      </c>
      <c r="N59" s="47">
        <v>40</v>
      </c>
      <c r="O59" s="47">
        <v>1</v>
      </c>
      <c r="P59" s="47">
        <v>365</v>
      </c>
      <c r="Q59" s="47">
        <v>676</v>
      </c>
      <c r="R59" s="47">
        <v>853</v>
      </c>
      <c r="S59" s="47">
        <v>3269</v>
      </c>
      <c r="T59" s="47">
        <v>3785</v>
      </c>
      <c r="V59" s="47">
        <v>4387</v>
      </c>
      <c r="W59" s="47">
        <v>5086</v>
      </c>
      <c r="X59" s="47"/>
    </row>
    <row r="60" spans="1:24">
      <c r="A60" s="47" t="s">
        <v>139</v>
      </c>
      <c r="B60" s="47" t="s">
        <v>139</v>
      </c>
      <c r="C60" s="47" t="s">
        <v>43</v>
      </c>
      <c r="D60" s="47">
        <v>1</v>
      </c>
      <c r="E60" s="47">
        <v>1</v>
      </c>
      <c r="F60" s="47" t="s">
        <v>270</v>
      </c>
      <c r="G60" s="47" t="s">
        <v>273</v>
      </c>
      <c r="H60" s="48" t="s">
        <v>242</v>
      </c>
      <c r="I60" s="48" t="s">
        <v>45</v>
      </c>
      <c r="J60" s="48">
        <v>100</v>
      </c>
      <c r="K60" s="48"/>
      <c r="L60" s="48"/>
      <c r="M60" s="47">
        <v>100</v>
      </c>
      <c r="N60" s="47">
        <v>0</v>
      </c>
      <c r="O60" s="47">
        <v>1</v>
      </c>
      <c r="P60" s="47">
        <v>575</v>
      </c>
      <c r="Q60" s="47">
        <v>1646</v>
      </c>
      <c r="R60" s="47">
        <v>2080</v>
      </c>
      <c r="S60" s="47">
        <v>4910</v>
      </c>
      <c r="T60" s="47">
        <v>5683</v>
      </c>
      <c r="V60" s="47">
        <v>6589</v>
      </c>
      <c r="W60" s="47">
        <v>7638</v>
      </c>
      <c r="X60" s="47"/>
    </row>
    <row r="61" spans="1:24">
      <c r="A61" s="47" t="s">
        <v>316</v>
      </c>
      <c r="B61" s="47" t="s">
        <v>139</v>
      </c>
      <c r="C61" s="47" t="s">
        <v>43</v>
      </c>
      <c r="D61" s="47">
        <v>1</v>
      </c>
      <c r="E61" s="47">
        <v>1</v>
      </c>
      <c r="F61" s="47" t="s">
        <v>270</v>
      </c>
      <c r="G61" s="47" t="s">
        <v>273</v>
      </c>
      <c r="H61" s="48" t="s">
        <v>242</v>
      </c>
      <c r="I61" s="48" t="s">
        <v>45</v>
      </c>
      <c r="J61" s="48">
        <v>100</v>
      </c>
      <c r="K61" s="48"/>
      <c r="L61" s="48"/>
      <c r="M61" s="47">
        <v>100</v>
      </c>
      <c r="N61" s="47">
        <v>0</v>
      </c>
      <c r="O61" s="47">
        <v>1</v>
      </c>
      <c r="R61" s="47">
        <v>2310</v>
      </c>
      <c r="S61" s="47">
        <v>5156</v>
      </c>
      <c r="T61" s="47">
        <v>5968</v>
      </c>
      <c r="V61" s="47">
        <v>6919</v>
      </c>
      <c r="W61" s="47">
        <v>8021</v>
      </c>
      <c r="X61" s="47"/>
    </row>
    <row r="62" spans="1:24">
      <c r="A62" s="47" t="s">
        <v>75</v>
      </c>
      <c r="B62" s="47" t="s">
        <v>75</v>
      </c>
      <c r="C62" s="47" t="s">
        <v>43</v>
      </c>
      <c r="D62" s="47">
        <v>2</v>
      </c>
      <c r="E62" s="47">
        <v>1</v>
      </c>
      <c r="F62" s="47" t="s">
        <v>269</v>
      </c>
      <c r="G62" s="47" t="s">
        <v>269</v>
      </c>
      <c r="H62" s="48" t="s">
        <v>243</v>
      </c>
      <c r="I62" s="48" t="s">
        <v>45</v>
      </c>
      <c r="J62" s="48">
        <v>100</v>
      </c>
      <c r="K62" s="48"/>
      <c r="L62" s="48"/>
      <c r="M62" s="47">
        <v>90</v>
      </c>
      <c r="N62" s="47">
        <v>10</v>
      </c>
      <c r="O62" s="47">
        <v>1</v>
      </c>
      <c r="P62" s="47">
        <v>33</v>
      </c>
      <c r="Q62" s="47">
        <v>86</v>
      </c>
      <c r="R62" s="47">
        <v>509</v>
      </c>
      <c r="S62" s="47">
        <v>2321</v>
      </c>
      <c r="T62" s="47">
        <v>2687</v>
      </c>
      <c r="V62" s="47">
        <v>3115</v>
      </c>
      <c r="W62" s="47">
        <v>3612</v>
      </c>
      <c r="X62" s="47"/>
    </row>
    <row r="63" spans="1:24">
      <c r="A63" s="47" t="s">
        <v>189</v>
      </c>
      <c r="B63" s="47" t="s">
        <v>189</v>
      </c>
      <c r="C63" s="47" t="s">
        <v>43</v>
      </c>
      <c r="D63" s="47">
        <v>2</v>
      </c>
      <c r="E63" s="47">
        <v>2</v>
      </c>
      <c r="F63" s="47" t="s">
        <v>270</v>
      </c>
      <c r="G63" s="47" t="s">
        <v>272</v>
      </c>
      <c r="H63" s="48" t="s">
        <v>244</v>
      </c>
      <c r="I63" s="48" t="s">
        <v>3</v>
      </c>
      <c r="J63" s="48">
        <v>50</v>
      </c>
      <c r="K63" s="48" t="s">
        <v>53</v>
      </c>
      <c r="L63" s="48">
        <v>50</v>
      </c>
      <c r="M63" s="47">
        <v>40</v>
      </c>
      <c r="N63" s="47">
        <v>60</v>
      </c>
      <c r="O63" s="47">
        <v>28</v>
      </c>
      <c r="P63" s="47">
        <v>530</v>
      </c>
      <c r="Q63" s="47">
        <v>980</v>
      </c>
      <c r="R63" s="47">
        <v>1236</v>
      </c>
      <c r="S63" s="47">
        <v>4730</v>
      </c>
      <c r="T63" s="47">
        <v>5475</v>
      </c>
      <c r="V63" s="47">
        <v>6347</v>
      </c>
      <c r="W63" s="47">
        <v>7358</v>
      </c>
      <c r="X63" s="47"/>
    </row>
    <row r="64" spans="1:24">
      <c r="A64" s="47" t="s">
        <v>288</v>
      </c>
      <c r="B64" s="47" t="s">
        <v>327</v>
      </c>
      <c r="C64" s="47" t="s">
        <v>43</v>
      </c>
      <c r="D64" s="47">
        <v>2</v>
      </c>
      <c r="E64" s="47">
        <v>3</v>
      </c>
      <c r="F64" s="47" t="s">
        <v>269</v>
      </c>
      <c r="G64" s="47" t="s">
        <v>272</v>
      </c>
      <c r="H64" s="48" t="s">
        <v>243</v>
      </c>
      <c r="I64" s="48" t="s">
        <v>47</v>
      </c>
      <c r="J64" s="48">
        <v>100</v>
      </c>
      <c r="K64" s="48"/>
      <c r="L64" s="48"/>
      <c r="M64" s="47">
        <v>65</v>
      </c>
      <c r="N64" s="47">
        <v>35</v>
      </c>
      <c r="O64" s="47">
        <v>1</v>
      </c>
      <c r="S64" s="47">
        <v>3091</v>
      </c>
      <c r="T64" s="47">
        <v>3345</v>
      </c>
      <c r="V64" s="47">
        <v>3516</v>
      </c>
      <c r="W64" s="47">
        <v>3695</v>
      </c>
      <c r="X64" s="47"/>
    </row>
    <row r="65" spans="1:24">
      <c r="A65" s="47" t="s">
        <v>289</v>
      </c>
      <c r="B65" s="47" t="s">
        <v>327</v>
      </c>
      <c r="C65" s="47" t="s">
        <v>43</v>
      </c>
      <c r="D65" s="47">
        <v>2</v>
      </c>
      <c r="E65" s="47">
        <v>3</v>
      </c>
      <c r="F65" s="47" t="s">
        <v>269</v>
      </c>
      <c r="G65" s="47" t="s">
        <v>272</v>
      </c>
      <c r="H65" s="48" t="s">
        <v>243</v>
      </c>
      <c r="I65" s="48" t="s">
        <v>47</v>
      </c>
      <c r="J65" s="48">
        <v>100</v>
      </c>
      <c r="K65" s="48"/>
      <c r="L65" s="48"/>
      <c r="M65" s="47">
        <v>65</v>
      </c>
      <c r="N65" s="47">
        <v>35</v>
      </c>
      <c r="O65" s="47">
        <v>1</v>
      </c>
      <c r="S65" s="47">
        <v>4490</v>
      </c>
      <c r="X65" s="47"/>
    </row>
    <row r="66" spans="1:24">
      <c r="A66" s="47" t="s">
        <v>317</v>
      </c>
      <c r="B66" s="47" t="s">
        <v>102</v>
      </c>
      <c r="C66" s="47" t="s">
        <v>37</v>
      </c>
      <c r="D66" s="47">
        <v>1</v>
      </c>
      <c r="E66" s="47">
        <v>1</v>
      </c>
      <c r="F66" s="47" t="s">
        <v>270</v>
      </c>
      <c r="G66" s="47" t="s">
        <v>271</v>
      </c>
      <c r="H66" s="48" t="s">
        <v>244</v>
      </c>
      <c r="I66" s="48" t="s">
        <v>45</v>
      </c>
      <c r="J66" s="48">
        <v>100</v>
      </c>
      <c r="K66" s="48"/>
      <c r="L66" s="48"/>
      <c r="M66" s="47">
        <v>90</v>
      </c>
      <c r="N66" s="47">
        <v>10</v>
      </c>
      <c r="O66" s="47">
        <v>1</v>
      </c>
      <c r="P66" s="47">
        <v>68</v>
      </c>
      <c r="Q66" s="47">
        <v>175</v>
      </c>
      <c r="R66" s="47">
        <v>498</v>
      </c>
      <c r="T66" s="47">
        <v>3553</v>
      </c>
      <c r="V66" s="47">
        <v>4119</v>
      </c>
      <c r="W66" s="47">
        <v>4775</v>
      </c>
      <c r="X66" s="47"/>
    </row>
    <row r="67" spans="1:24">
      <c r="A67" s="47" t="s">
        <v>318</v>
      </c>
      <c r="B67" s="47" t="s">
        <v>102</v>
      </c>
      <c r="C67" s="47" t="s">
        <v>37</v>
      </c>
      <c r="D67" s="47">
        <v>1</v>
      </c>
      <c r="E67" s="47">
        <v>1</v>
      </c>
      <c r="F67" s="47" t="s">
        <v>270</v>
      </c>
      <c r="G67" s="47" t="s">
        <v>271</v>
      </c>
      <c r="H67" s="48" t="s">
        <v>244</v>
      </c>
      <c r="I67" s="48" t="s">
        <v>45</v>
      </c>
      <c r="J67" s="48">
        <v>100</v>
      </c>
      <c r="K67" s="48"/>
      <c r="L67" s="48"/>
      <c r="M67" s="47">
        <v>90</v>
      </c>
      <c r="N67" s="47">
        <v>10</v>
      </c>
      <c r="O67" s="47">
        <v>1</v>
      </c>
      <c r="P67" s="47">
        <v>68</v>
      </c>
      <c r="Q67" s="47">
        <v>175</v>
      </c>
      <c r="R67" s="47">
        <v>498</v>
      </c>
      <c r="T67" s="47">
        <v>3553</v>
      </c>
      <c r="V67" s="47">
        <v>4119</v>
      </c>
      <c r="W67" s="47">
        <v>4775</v>
      </c>
      <c r="X67" s="47"/>
    </row>
    <row r="68" spans="1:24">
      <c r="A68" s="47" t="s">
        <v>290</v>
      </c>
      <c r="B68" s="47" t="s">
        <v>290</v>
      </c>
      <c r="C68" s="47" t="s">
        <v>37</v>
      </c>
      <c r="D68" s="47">
        <v>1</v>
      </c>
      <c r="E68" s="47">
        <v>3</v>
      </c>
      <c r="F68" s="47" t="s">
        <v>270</v>
      </c>
      <c r="G68" s="47" t="s">
        <v>269</v>
      </c>
      <c r="H68" s="48" t="s">
        <v>243</v>
      </c>
      <c r="I68" s="48" t="s">
        <v>45</v>
      </c>
      <c r="J68" s="48">
        <v>100</v>
      </c>
      <c r="K68" s="48"/>
      <c r="L68" s="48"/>
      <c r="M68" s="47">
        <v>90</v>
      </c>
      <c r="N68" s="47">
        <v>10</v>
      </c>
      <c r="O68" s="47">
        <v>1</v>
      </c>
      <c r="R68" s="47">
        <v>524</v>
      </c>
      <c r="S68" s="47">
        <v>3148</v>
      </c>
      <c r="T68" s="47">
        <v>4502</v>
      </c>
      <c r="V68" s="47">
        <v>5219</v>
      </c>
      <c r="W68" s="47">
        <v>6050</v>
      </c>
      <c r="X68" s="47"/>
    </row>
    <row r="69" spans="1:24">
      <c r="A69" s="47" t="s">
        <v>291</v>
      </c>
      <c r="B69" s="47" t="s">
        <v>290</v>
      </c>
      <c r="C69" s="47" t="s">
        <v>37</v>
      </c>
      <c r="D69" s="47">
        <v>1</v>
      </c>
      <c r="E69" s="47">
        <v>3</v>
      </c>
      <c r="F69" s="47" t="s">
        <v>270</v>
      </c>
      <c r="G69" s="47" t="s">
        <v>269</v>
      </c>
      <c r="H69" s="48" t="s">
        <v>243</v>
      </c>
      <c r="I69" s="48" t="s">
        <v>45</v>
      </c>
      <c r="J69" s="48">
        <v>100</v>
      </c>
      <c r="K69" s="48"/>
      <c r="L69" s="48"/>
      <c r="M69" s="47">
        <v>90</v>
      </c>
      <c r="N69" s="47">
        <v>10</v>
      </c>
      <c r="O69" s="47">
        <v>1</v>
      </c>
      <c r="S69" s="47">
        <v>5348</v>
      </c>
      <c r="T69" s="47">
        <v>5619</v>
      </c>
      <c r="V69" s="47">
        <v>5905</v>
      </c>
      <c r="W69" s="47">
        <v>6207</v>
      </c>
      <c r="X69" s="47"/>
    </row>
    <row r="70" spans="1:24">
      <c r="A70" s="47" t="s">
        <v>292</v>
      </c>
      <c r="B70" s="47" t="s">
        <v>292</v>
      </c>
      <c r="C70" s="47" t="s">
        <v>39</v>
      </c>
      <c r="D70" s="47">
        <v>1</v>
      </c>
      <c r="E70" s="47">
        <v>3</v>
      </c>
      <c r="F70" s="47" t="s">
        <v>270</v>
      </c>
      <c r="G70" s="47" t="s">
        <v>272</v>
      </c>
      <c r="H70" s="48" t="s">
        <v>244</v>
      </c>
      <c r="I70" s="48" t="s">
        <v>3</v>
      </c>
      <c r="J70" s="48">
        <v>100</v>
      </c>
      <c r="K70" s="48"/>
      <c r="L70" s="48"/>
      <c r="M70" s="47">
        <v>0</v>
      </c>
      <c r="N70" s="47">
        <v>100</v>
      </c>
      <c r="O70" s="47">
        <v>1</v>
      </c>
      <c r="R70" s="47">
        <v>437</v>
      </c>
      <c r="S70" s="47">
        <v>1399</v>
      </c>
      <c r="T70" s="47">
        <v>1625</v>
      </c>
      <c r="V70" s="47">
        <v>1884</v>
      </c>
      <c r="W70" s="47">
        <v>2184</v>
      </c>
      <c r="X70" s="47"/>
    </row>
    <row r="71" spans="1:24">
      <c r="A71" s="47" t="s">
        <v>293</v>
      </c>
      <c r="B71" s="47" t="s">
        <v>292</v>
      </c>
      <c r="C71" s="47" t="s">
        <v>39</v>
      </c>
      <c r="D71" s="47">
        <v>1</v>
      </c>
      <c r="E71" s="47">
        <v>3</v>
      </c>
      <c r="F71" s="47" t="s">
        <v>270</v>
      </c>
      <c r="G71" s="47" t="s">
        <v>272</v>
      </c>
      <c r="H71" s="48" t="s">
        <v>244</v>
      </c>
      <c r="I71" s="48" t="s">
        <v>3</v>
      </c>
      <c r="J71" s="48">
        <v>100</v>
      </c>
      <c r="K71" s="48"/>
      <c r="L71" s="48"/>
      <c r="M71" s="47">
        <v>0</v>
      </c>
      <c r="N71" s="47">
        <v>100</v>
      </c>
      <c r="O71" s="47">
        <v>1</v>
      </c>
      <c r="S71" s="47">
        <v>2187</v>
      </c>
      <c r="T71" s="47">
        <v>2289</v>
      </c>
      <c r="V71" s="47">
        <v>2406</v>
      </c>
      <c r="W71" s="47">
        <v>2528</v>
      </c>
      <c r="X71" s="47"/>
    </row>
    <row r="72" spans="1:24">
      <c r="A72" s="47" t="s">
        <v>294</v>
      </c>
      <c r="B72" s="47" t="s">
        <v>207</v>
      </c>
      <c r="C72" s="47" t="s">
        <v>43</v>
      </c>
      <c r="D72" s="47">
        <v>1</v>
      </c>
      <c r="E72" s="47">
        <v>3</v>
      </c>
      <c r="F72" s="47" t="s">
        <v>270</v>
      </c>
      <c r="G72" s="47" t="s">
        <v>269</v>
      </c>
      <c r="H72" s="48" t="s">
        <v>231</v>
      </c>
      <c r="I72" s="48" t="s">
        <v>45</v>
      </c>
      <c r="J72" s="48">
        <v>100</v>
      </c>
      <c r="K72" s="48"/>
      <c r="L72" s="48"/>
      <c r="M72" s="47">
        <v>70</v>
      </c>
      <c r="N72" s="47">
        <v>30</v>
      </c>
      <c r="O72" s="47">
        <v>1</v>
      </c>
      <c r="R72" s="47">
        <v>874</v>
      </c>
      <c r="S72" s="47">
        <v>3847</v>
      </c>
      <c r="T72" s="47">
        <v>4727</v>
      </c>
      <c r="V72" s="47">
        <v>5480</v>
      </c>
      <c r="W72" s="47">
        <v>6352</v>
      </c>
      <c r="X72" s="47"/>
    </row>
    <row r="73" spans="1:24">
      <c r="A73" s="47" t="s">
        <v>295</v>
      </c>
      <c r="B73" s="47" t="s">
        <v>207</v>
      </c>
      <c r="C73" s="47" t="s">
        <v>43</v>
      </c>
      <c r="D73" s="47">
        <v>1</v>
      </c>
      <c r="E73" s="47">
        <v>3</v>
      </c>
      <c r="F73" s="47" t="s">
        <v>270</v>
      </c>
      <c r="G73" s="47" t="s">
        <v>269</v>
      </c>
      <c r="H73" s="48" t="s">
        <v>231</v>
      </c>
      <c r="I73" s="48" t="s">
        <v>47</v>
      </c>
      <c r="J73" s="48">
        <v>100</v>
      </c>
      <c r="K73" s="48"/>
      <c r="L73" s="48"/>
      <c r="M73" s="47">
        <v>70</v>
      </c>
      <c r="N73" s="47">
        <v>30</v>
      </c>
      <c r="O73" s="47">
        <v>1</v>
      </c>
      <c r="S73" s="47">
        <v>5591</v>
      </c>
      <c r="T73" s="47">
        <v>5827</v>
      </c>
      <c r="V73" s="47">
        <v>6124</v>
      </c>
      <c r="W73" s="47">
        <v>6437</v>
      </c>
      <c r="X73" s="47"/>
    </row>
    <row r="74" spans="1:24">
      <c r="A74" s="47" t="s">
        <v>296</v>
      </c>
      <c r="B74" s="47" t="s">
        <v>296</v>
      </c>
      <c r="C74" s="47" t="s">
        <v>299</v>
      </c>
      <c r="D74" s="47" t="s">
        <v>297</v>
      </c>
      <c r="E74" s="47">
        <v>1</v>
      </c>
      <c r="F74" s="47" t="s">
        <v>270</v>
      </c>
      <c r="G74" s="47" t="s">
        <v>271</v>
      </c>
      <c r="I74" s="48" t="s">
        <v>47</v>
      </c>
      <c r="J74" s="48">
        <v>100</v>
      </c>
      <c r="K74" s="48"/>
      <c r="L74" s="48"/>
      <c r="M74" s="47">
        <v>90</v>
      </c>
      <c r="N74" s="47">
        <v>10</v>
      </c>
      <c r="O74" s="47">
        <v>1</v>
      </c>
      <c r="P74" s="47">
        <v>10</v>
      </c>
      <c r="Q74" s="47">
        <v>10</v>
      </c>
      <c r="R74" s="47">
        <v>10</v>
      </c>
      <c r="S74" s="47">
        <v>10</v>
      </c>
      <c r="T74" s="47">
        <v>10</v>
      </c>
      <c r="V74" s="47">
        <v>10</v>
      </c>
      <c r="W74" s="47">
        <v>10</v>
      </c>
      <c r="X74" s="47"/>
    </row>
  </sheetData>
  <phoneticPr fontId="20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83C08-37FB-4A11-8266-361BC236A2AA}">
  <sheetPr codeName="Sheet6"/>
  <dimension ref="A1:AO75"/>
  <sheetViews>
    <sheetView topLeftCell="S1" workbookViewId="0">
      <selection activeCell="M65" sqref="M65"/>
    </sheetView>
  </sheetViews>
  <sheetFormatPr defaultRowHeight="15"/>
  <cols>
    <col min="1" max="1" width="19.85546875" bestFit="1" customWidth="1"/>
    <col min="2" max="2" width="8.85546875" bestFit="1" customWidth="1"/>
    <col min="3" max="3" width="10.5703125" bestFit="1" customWidth="1"/>
    <col min="4" max="4" width="9.85546875" bestFit="1" customWidth="1"/>
    <col min="5" max="5" width="11.5703125" bestFit="1" customWidth="1"/>
    <col min="6" max="6" width="9.85546875" bestFit="1" customWidth="1"/>
    <col min="7" max="7" width="11.5703125" bestFit="1" customWidth="1"/>
    <col min="8" max="8" width="9.85546875" bestFit="1" customWidth="1"/>
    <col min="9" max="9" width="11.5703125" bestFit="1" customWidth="1"/>
    <col min="10" max="10" width="9.85546875" bestFit="1" customWidth="1"/>
    <col min="11" max="11" width="11.5703125" bestFit="1" customWidth="1"/>
    <col min="12" max="12" width="10.85546875" bestFit="1" customWidth="1"/>
    <col min="13" max="13" width="12.5703125" bestFit="1" customWidth="1"/>
    <col min="14" max="14" width="10.85546875" bestFit="1" customWidth="1"/>
    <col min="15" max="15" width="12.5703125" bestFit="1" customWidth="1"/>
    <col min="16" max="16" width="10.85546875" bestFit="1" customWidth="1"/>
    <col min="17" max="17" width="12.5703125" bestFit="1" customWidth="1"/>
    <col min="18" max="18" width="10.85546875" bestFit="1" customWidth="1"/>
    <col min="19" max="19" width="12.5703125" bestFit="1" customWidth="1"/>
    <col min="20" max="20" width="10.85546875" bestFit="1" customWidth="1"/>
    <col min="21" max="21" width="12.5703125" bestFit="1" customWidth="1"/>
    <col min="22" max="22" width="10.85546875" bestFit="1" customWidth="1"/>
    <col min="23" max="23" width="12.5703125" bestFit="1" customWidth="1"/>
    <col min="24" max="24" width="10.85546875" bestFit="1" customWidth="1"/>
    <col min="25" max="25" width="12.5703125" bestFit="1" customWidth="1"/>
    <col min="26" max="26" width="10.85546875" bestFit="1" customWidth="1"/>
    <col min="27" max="27" width="12.5703125" bestFit="1" customWidth="1"/>
    <col min="28" max="28" width="10.85546875" bestFit="1" customWidth="1"/>
    <col min="29" max="29" width="12.5703125" bestFit="1" customWidth="1"/>
    <col min="30" max="30" width="10.85546875" bestFit="1" customWidth="1"/>
    <col min="31" max="31" width="12.5703125" bestFit="1" customWidth="1"/>
    <col min="32" max="32" width="10.85546875" bestFit="1" customWidth="1"/>
    <col min="33" max="33" width="12.5703125" bestFit="1" customWidth="1"/>
    <col min="34" max="34" width="10.85546875" bestFit="1" customWidth="1"/>
    <col min="35" max="35" width="12.5703125" bestFit="1" customWidth="1"/>
    <col min="36" max="36" width="10.85546875" bestFit="1" customWidth="1"/>
    <col min="37" max="37" width="12.5703125" bestFit="1" customWidth="1"/>
    <col min="38" max="38" width="10.85546875" bestFit="1" customWidth="1"/>
    <col min="39" max="39" width="12.5703125" bestFit="1" customWidth="1"/>
    <col min="40" max="40" width="10.85546875" bestFit="1" customWidth="1"/>
    <col min="41" max="41" width="12.5703125" bestFit="1" customWidth="1"/>
  </cols>
  <sheetData>
    <row r="1" spans="1:41" ht="15.75" thickBot="1">
      <c r="B1" s="218">
        <v>1</v>
      </c>
      <c r="C1" s="218"/>
      <c r="D1" s="218">
        <v>2</v>
      </c>
      <c r="E1" s="218"/>
      <c r="F1" s="218">
        <v>3</v>
      </c>
      <c r="G1" s="218"/>
      <c r="H1" s="218">
        <v>4</v>
      </c>
      <c r="I1" s="218"/>
      <c r="J1" s="218">
        <v>5</v>
      </c>
      <c r="K1" s="218"/>
      <c r="L1" s="218">
        <v>6</v>
      </c>
      <c r="M1" s="218"/>
      <c r="N1" s="218">
        <v>7</v>
      </c>
      <c r="O1" s="218"/>
      <c r="P1" s="218">
        <v>8</v>
      </c>
      <c r="Q1" s="218"/>
      <c r="R1" s="218">
        <v>9</v>
      </c>
      <c r="S1" s="218"/>
      <c r="T1" s="218">
        <v>10</v>
      </c>
      <c r="U1" s="218"/>
      <c r="V1" s="218">
        <v>11</v>
      </c>
      <c r="W1" s="218"/>
      <c r="X1" s="218">
        <v>12</v>
      </c>
      <c r="Y1" s="218"/>
      <c r="Z1" s="218">
        <v>13</v>
      </c>
      <c r="AA1" s="218"/>
      <c r="AB1" s="218">
        <v>14</v>
      </c>
      <c r="AC1" s="218"/>
      <c r="AD1" s="218">
        <v>15</v>
      </c>
      <c r="AE1" s="218"/>
      <c r="AF1" s="218">
        <v>16</v>
      </c>
      <c r="AG1" s="218"/>
      <c r="AH1" s="218">
        <v>17</v>
      </c>
      <c r="AI1" s="218"/>
      <c r="AJ1" s="218">
        <v>18</v>
      </c>
      <c r="AK1" s="218"/>
      <c r="AL1" s="218">
        <v>19</v>
      </c>
      <c r="AM1" s="218"/>
      <c r="AN1" s="218">
        <v>20</v>
      </c>
      <c r="AO1" s="218"/>
    </row>
    <row r="2" spans="1:41" s="53" customFormat="1">
      <c r="A2" s="53" t="s">
        <v>22</v>
      </c>
      <c r="B2" s="53" t="s">
        <v>0</v>
      </c>
      <c r="C2" s="53" t="s">
        <v>300</v>
      </c>
      <c r="D2" s="53" t="s">
        <v>920</v>
      </c>
      <c r="E2" s="53" t="s">
        <v>921</v>
      </c>
      <c r="F2" s="53" t="s">
        <v>922</v>
      </c>
      <c r="G2" s="53" t="s">
        <v>923</v>
      </c>
      <c r="H2" s="53" t="s">
        <v>924</v>
      </c>
      <c r="I2" s="53" t="s">
        <v>925</v>
      </c>
      <c r="J2" s="53" t="s">
        <v>926</v>
      </c>
      <c r="K2" s="53" t="s">
        <v>927</v>
      </c>
      <c r="L2" s="53" t="s">
        <v>928</v>
      </c>
      <c r="M2" s="53" t="s">
        <v>929</v>
      </c>
      <c r="N2" s="53" t="s">
        <v>930</v>
      </c>
      <c r="O2" s="53" t="s">
        <v>931</v>
      </c>
      <c r="P2" s="53" t="s">
        <v>932</v>
      </c>
      <c r="Q2" s="53" t="s">
        <v>933</v>
      </c>
      <c r="R2" s="53" t="s">
        <v>934</v>
      </c>
      <c r="S2" s="53" t="s">
        <v>935</v>
      </c>
      <c r="T2" s="53" t="s">
        <v>936</v>
      </c>
      <c r="U2" s="53" t="s">
        <v>937</v>
      </c>
      <c r="V2" s="53" t="s">
        <v>938</v>
      </c>
      <c r="W2" s="53" t="s">
        <v>939</v>
      </c>
      <c r="X2" s="53" t="s">
        <v>940</v>
      </c>
      <c r="Y2" s="53" t="s">
        <v>941</v>
      </c>
      <c r="Z2" s="53" t="s">
        <v>942</v>
      </c>
      <c r="AA2" s="53" t="s">
        <v>943</v>
      </c>
      <c r="AB2" s="53" t="s">
        <v>944</v>
      </c>
      <c r="AC2" s="53" t="s">
        <v>945</v>
      </c>
      <c r="AD2" s="53" t="s">
        <v>946</v>
      </c>
      <c r="AE2" s="53" t="s">
        <v>947</v>
      </c>
      <c r="AF2" s="53" t="s">
        <v>948</v>
      </c>
      <c r="AG2" s="53" t="s">
        <v>949</v>
      </c>
      <c r="AH2" s="53" t="s">
        <v>950</v>
      </c>
      <c r="AI2" s="53" t="s">
        <v>951</v>
      </c>
      <c r="AJ2" s="53" t="s">
        <v>952</v>
      </c>
      <c r="AK2" s="53" t="s">
        <v>953</v>
      </c>
      <c r="AL2" s="53" t="s">
        <v>954</v>
      </c>
      <c r="AM2" s="53" t="s">
        <v>955</v>
      </c>
      <c r="AN2" s="53" t="s">
        <v>956</v>
      </c>
      <c r="AO2" s="53" t="s">
        <v>957</v>
      </c>
    </row>
    <row r="3" spans="1:41">
      <c r="A3" s="146" t="s">
        <v>311</v>
      </c>
      <c r="B3">
        <v>0</v>
      </c>
      <c r="C3">
        <v>0</v>
      </c>
      <c r="D3">
        <v>5</v>
      </c>
      <c r="E3">
        <v>0</v>
      </c>
      <c r="F3">
        <v>10</v>
      </c>
      <c r="G3">
        <v>0</v>
      </c>
      <c r="H3">
        <v>10</v>
      </c>
      <c r="I3">
        <v>10</v>
      </c>
      <c r="J3">
        <v>10</v>
      </c>
      <c r="K3">
        <v>10</v>
      </c>
      <c r="L3">
        <v>10</v>
      </c>
      <c r="M3">
        <v>10</v>
      </c>
      <c r="N3">
        <v>17</v>
      </c>
      <c r="O3">
        <v>10</v>
      </c>
      <c r="P3">
        <v>17</v>
      </c>
      <c r="Q3">
        <v>10</v>
      </c>
      <c r="R3">
        <v>24</v>
      </c>
      <c r="S3">
        <v>10</v>
      </c>
      <c r="T3">
        <v>24</v>
      </c>
      <c r="U3">
        <v>10</v>
      </c>
      <c r="V3">
        <v>24</v>
      </c>
      <c r="W3">
        <v>25</v>
      </c>
      <c r="X3">
        <v>31</v>
      </c>
      <c r="Y3">
        <v>25</v>
      </c>
      <c r="Z3">
        <v>31</v>
      </c>
      <c r="AA3">
        <v>25</v>
      </c>
      <c r="AB3">
        <v>31</v>
      </c>
      <c r="AC3">
        <v>25</v>
      </c>
      <c r="AD3">
        <v>41</v>
      </c>
      <c r="AE3">
        <v>25</v>
      </c>
      <c r="AF3">
        <v>41</v>
      </c>
      <c r="AG3">
        <v>25</v>
      </c>
      <c r="AH3">
        <v>41</v>
      </c>
      <c r="AI3">
        <v>25</v>
      </c>
      <c r="AJ3">
        <v>41</v>
      </c>
      <c r="AK3">
        <v>45</v>
      </c>
      <c r="AL3">
        <v>51</v>
      </c>
      <c r="AM3">
        <v>45</v>
      </c>
      <c r="AN3">
        <v>61</v>
      </c>
      <c r="AO3">
        <v>45</v>
      </c>
    </row>
    <row r="4" spans="1:41">
      <c r="A4" s="147" t="s">
        <v>90</v>
      </c>
      <c r="B4">
        <v>0</v>
      </c>
      <c r="C4">
        <v>0</v>
      </c>
      <c r="D4">
        <v>5</v>
      </c>
      <c r="E4">
        <v>0</v>
      </c>
      <c r="F4">
        <v>10</v>
      </c>
      <c r="G4">
        <v>0</v>
      </c>
      <c r="H4">
        <v>10</v>
      </c>
      <c r="I4">
        <v>10</v>
      </c>
      <c r="J4">
        <v>10</v>
      </c>
      <c r="K4">
        <v>10</v>
      </c>
      <c r="L4">
        <v>10</v>
      </c>
      <c r="M4">
        <v>10</v>
      </c>
      <c r="N4">
        <v>17</v>
      </c>
      <c r="O4">
        <v>10</v>
      </c>
      <c r="P4">
        <v>17</v>
      </c>
      <c r="Q4">
        <v>10</v>
      </c>
      <c r="R4">
        <v>24</v>
      </c>
      <c r="S4">
        <v>10</v>
      </c>
      <c r="T4">
        <v>24</v>
      </c>
      <c r="U4">
        <v>10</v>
      </c>
      <c r="V4">
        <v>24</v>
      </c>
      <c r="W4">
        <v>25</v>
      </c>
      <c r="X4">
        <v>31</v>
      </c>
      <c r="Y4">
        <v>25</v>
      </c>
      <c r="Z4">
        <v>31</v>
      </c>
      <c r="AA4">
        <v>25</v>
      </c>
      <c r="AB4">
        <v>31</v>
      </c>
      <c r="AC4">
        <v>25</v>
      </c>
      <c r="AD4">
        <v>41</v>
      </c>
      <c r="AE4">
        <v>25</v>
      </c>
      <c r="AF4">
        <v>41</v>
      </c>
      <c r="AG4">
        <v>25</v>
      </c>
      <c r="AH4">
        <v>41</v>
      </c>
      <c r="AI4">
        <v>25</v>
      </c>
      <c r="AJ4">
        <v>41</v>
      </c>
      <c r="AK4">
        <v>45</v>
      </c>
      <c r="AL4">
        <v>51</v>
      </c>
      <c r="AM4">
        <v>45</v>
      </c>
      <c r="AN4">
        <v>61</v>
      </c>
      <c r="AO4">
        <v>45</v>
      </c>
    </row>
    <row r="5" spans="1:41">
      <c r="A5" s="146" t="s">
        <v>60</v>
      </c>
      <c r="B5">
        <v>0</v>
      </c>
      <c r="C5">
        <v>0</v>
      </c>
      <c r="D5">
        <v>5</v>
      </c>
      <c r="E5">
        <v>0</v>
      </c>
      <c r="F5">
        <v>10</v>
      </c>
      <c r="G5">
        <v>0</v>
      </c>
      <c r="H5">
        <v>10</v>
      </c>
      <c r="I5">
        <v>10</v>
      </c>
      <c r="J5">
        <v>10</v>
      </c>
      <c r="K5">
        <v>10</v>
      </c>
      <c r="L5">
        <v>10</v>
      </c>
      <c r="M5">
        <v>10</v>
      </c>
      <c r="N5">
        <v>17</v>
      </c>
      <c r="O5">
        <v>10</v>
      </c>
      <c r="P5">
        <v>17</v>
      </c>
      <c r="Q5">
        <v>10</v>
      </c>
      <c r="R5">
        <v>24</v>
      </c>
      <c r="S5">
        <v>10</v>
      </c>
      <c r="T5">
        <v>24</v>
      </c>
      <c r="U5">
        <v>10</v>
      </c>
      <c r="V5">
        <v>24</v>
      </c>
      <c r="W5">
        <v>25</v>
      </c>
      <c r="X5">
        <v>31</v>
      </c>
      <c r="Y5">
        <v>25</v>
      </c>
      <c r="Z5">
        <v>31</v>
      </c>
      <c r="AA5">
        <v>25</v>
      </c>
      <c r="AB5">
        <v>31</v>
      </c>
      <c r="AC5">
        <v>25</v>
      </c>
      <c r="AD5">
        <v>41</v>
      </c>
      <c r="AE5">
        <v>25</v>
      </c>
      <c r="AF5">
        <v>41</v>
      </c>
      <c r="AG5">
        <v>25</v>
      </c>
      <c r="AH5">
        <v>41</v>
      </c>
      <c r="AI5">
        <v>25</v>
      </c>
      <c r="AJ5">
        <v>41</v>
      </c>
      <c r="AK5">
        <v>45</v>
      </c>
      <c r="AL5">
        <v>51</v>
      </c>
      <c r="AM5">
        <v>45</v>
      </c>
      <c r="AN5">
        <v>61</v>
      </c>
      <c r="AO5">
        <v>45</v>
      </c>
    </row>
    <row r="6" spans="1:41">
      <c r="A6" s="147" t="s">
        <v>123</v>
      </c>
      <c r="B6">
        <v>0</v>
      </c>
      <c r="C6">
        <v>0</v>
      </c>
      <c r="D6">
        <v>5</v>
      </c>
      <c r="E6">
        <v>0</v>
      </c>
      <c r="F6">
        <v>10</v>
      </c>
      <c r="G6">
        <v>0</v>
      </c>
      <c r="H6">
        <v>10</v>
      </c>
      <c r="I6">
        <v>10</v>
      </c>
      <c r="J6">
        <v>10</v>
      </c>
      <c r="K6">
        <v>10</v>
      </c>
      <c r="L6">
        <v>10</v>
      </c>
      <c r="M6">
        <v>10</v>
      </c>
      <c r="N6">
        <v>17</v>
      </c>
      <c r="O6">
        <v>10</v>
      </c>
      <c r="P6">
        <v>17</v>
      </c>
      <c r="Q6">
        <v>10</v>
      </c>
      <c r="R6">
        <v>24</v>
      </c>
      <c r="S6">
        <v>10</v>
      </c>
      <c r="T6">
        <v>24</v>
      </c>
      <c r="U6">
        <v>10</v>
      </c>
      <c r="V6">
        <v>24</v>
      </c>
      <c r="W6">
        <v>25</v>
      </c>
      <c r="X6">
        <v>31</v>
      </c>
      <c r="Y6">
        <v>25</v>
      </c>
      <c r="Z6">
        <v>31</v>
      </c>
      <c r="AA6">
        <v>25</v>
      </c>
      <c r="AB6">
        <v>31</v>
      </c>
      <c r="AC6">
        <v>25</v>
      </c>
      <c r="AD6">
        <v>41</v>
      </c>
      <c r="AE6">
        <v>25</v>
      </c>
      <c r="AF6">
        <v>41</v>
      </c>
      <c r="AG6">
        <v>25</v>
      </c>
      <c r="AH6">
        <v>41</v>
      </c>
      <c r="AI6">
        <v>25</v>
      </c>
      <c r="AJ6">
        <v>41</v>
      </c>
      <c r="AK6">
        <v>45</v>
      </c>
      <c r="AL6">
        <v>51</v>
      </c>
      <c r="AM6">
        <v>45</v>
      </c>
      <c r="AN6">
        <v>61</v>
      </c>
      <c r="AO6">
        <v>45</v>
      </c>
    </row>
    <row r="7" spans="1:41">
      <c r="A7" s="146" t="s">
        <v>149</v>
      </c>
      <c r="B7">
        <v>0</v>
      </c>
      <c r="C7">
        <v>0</v>
      </c>
      <c r="D7">
        <v>5</v>
      </c>
      <c r="E7">
        <v>0</v>
      </c>
      <c r="F7">
        <v>10</v>
      </c>
      <c r="G7">
        <v>0</v>
      </c>
      <c r="H7">
        <v>10</v>
      </c>
      <c r="I7">
        <v>10</v>
      </c>
      <c r="J7">
        <v>10</v>
      </c>
      <c r="K7">
        <v>10</v>
      </c>
      <c r="L7">
        <v>10</v>
      </c>
      <c r="M7">
        <v>10</v>
      </c>
      <c r="N7">
        <v>17</v>
      </c>
      <c r="O7">
        <v>10</v>
      </c>
      <c r="P7">
        <v>17</v>
      </c>
      <c r="Q7">
        <v>10</v>
      </c>
      <c r="R7">
        <v>24</v>
      </c>
      <c r="S7">
        <v>10</v>
      </c>
      <c r="T7">
        <v>24</v>
      </c>
      <c r="U7">
        <v>10</v>
      </c>
      <c r="V7">
        <v>24</v>
      </c>
      <c r="W7">
        <v>25</v>
      </c>
      <c r="X7">
        <v>31</v>
      </c>
      <c r="Y7">
        <v>25</v>
      </c>
      <c r="Z7">
        <v>31</v>
      </c>
      <c r="AA7">
        <v>25</v>
      </c>
      <c r="AB7">
        <v>31</v>
      </c>
      <c r="AC7">
        <v>25</v>
      </c>
      <c r="AD7">
        <v>41</v>
      </c>
      <c r="AE7">
        <v>25</v>
      </c>
      <c r="AF7">
        <v>41</v>
      </c>
      <c r="AG7">
        <v>25</v>
      </c>
      <c r="AH7">
        <v>41</v>
      </c>
      <c r="AI7">
        <v>25</v>
      </c>
      <c r="AJ7">
        <v>41</v>
      </c>
      <c r="AK7">
        <v>45</v>
      </c>
      <c r="AL7">
        <v>51</v>
      </c>
      <c r="AM7">
        <v>45</v>
      </c>
      <c r="AN7">
        <v>61</v>
      </c>
      <c r="AO7">
        <v>45</v>
      </c>
    </row>
    <row r="8" spans="1:41">
      <c r="A8" s="147" t="s">
        <v>145</v>
      </c>
      <c r="B8">
        <v>0</v>
      </c>
      <c r="C8">
        <v>0</v>
      </c>
      <c r="D8">
        <v>5</v>
      </c>
      <c r="E8">
        <v>0</v>
      </c>
      <c r="F8">
        <v>10</v>
      </c>
      <c r="G8">
        <v>0</v>
      </c>
      <c r="H8">
        <v>10</v>
      </c>
      <c r="I8">
        <v>10</v>
      </c>
      <c r="J8">
        <v>10</v>
      </c>
      <c r="K8">
        <v>10</v>
      </c>
      <c r="L8">
        <v>10</v>
      </c>
      <c r="M8">
        <v>10</v>
      </c>
      <c r="N8">
        <v>17</v>
      </c>
      <c r="O8">
        <v>10</v>
      </c>
      <c r="P8">
        <v>17</v>
      </c>
      <c r="Q8">
        <v>10</v>
      </c>
      <c r="R8">
        <v>24</v>
      </c>
      <c r="S8">
        <v>10</v>
      </c>
      <c r="T8">
        <v>24</v>
      </c>
      <c r="U8">
        <v>10</v>
      </c>
      <c r="V8">
        <v>24</v>
      </c>
      <c r="W8">
        <v>25</v>
      </c>
      <c r="X8">
        <v>31</v>
      </c>
      <c r="Y8">
        <v>25</v>
      </c>
      <c r="Z8">
        <v>31</v>
      </c>
      <c r="AA8">
        <v>25</v>
      </c>
      <c r="AB8">
        <v>31</v>
      </c>
      <c r="AC8">
        <v>25</v>
      </c>
      <c r="AD8">
        <v>41</v>
      </c>
      <c r="AE8">
        <v>25</v>
      </c>
      <c r="AF8">
        <v>41</v>
      </c>
      <c r="AG8">
        <v>25</v>
      </c>
      <c r="AH8">
        <v>41</v>
      </c>
      <c r="AI8">
        <v>25</v>
      </c>
      <c r="AJ8">
        <v>41</v>
      </c>
      <c r="AK8">
        <v>45</v>
      </c>
      <c r="AL8">
        <v>51</v>
      </c>
      <c r="AM8">
        <v>45</v>
      </c>
      <c r="AN8">
        <v>61</v>
      </c>
      <c r="AO8">
        <v>45</v>
      </c>
    </row>
    <row r="9" spans="1:41">
      <c r="A9" s="146" t="s">
        <v>137</v>
      </c>
      <c r="B9">
        <v>0</v>
      </c>
      <c r="C9">
        <v>0</v>
      </c>
      <c r="D9">
        <v>5</v>
      </c>
      <c r="E9">
        <v>0</v>
      </c>
      <c r="F9">
        <v>10</v>
      </c>
      <c r="G9">
        <v>0</v>
      </c>
      <c r="H9">
        <v>10</v>
      </c>
      <c r="I9">
        <v>10</v>
      </c>
      <c r="J9">
        <v>10</v>
      </c>
      <c r="K9">
        <v>10</v>
      </c>
      <c r="L9">
        <v>10</v>
      </c>
      <c r="M9">
        <v>10</v>
      </c>
      <c r="N9">
        <v>17</v>
      </c>
      <c r="O9">
        <v>10</v>
      </c>
      <c r="P9">
        <v>17</v>
      </c>
      <c r="Q9">
        <v>10</v>
      </c>
      <c r="R9">
        <v>24</v>
      </c>
      <c r="S9">
        <v>10</v>
      </c>
      <c r="T9">
        <v>24</v>
      </c>
      <c r="U9">
        <v>10</v>
      </c>
      <c r="V9">
        <v>24</v>
      </c>
      <c r="W9">
        <v>25</v>
      </c>
      <c r="X9">
        <v>31</v>
      </c>
      <c r="Y9">
        <v>25</v>
      </c>
      <c r="Z9">
        <v>31</v>
      </c>
      <c r="AA9">
        <v>25</v>
      </c>
      <c r="AB9">
        <v>31</v>
      </c>
      <c r="AC9">
        <v>25</v>
      </c>
      <c r="AD9">
        <v>41</v>
      </c>
      <c r="AE9">
        <v>25</v>
      </c>
      <c r="AF9">
        <v>41</v>
      </c>
      <c r="AG9">
        <v>25</v>
      </c>
      <c r="AH9">
        <v>41</v>
      </c>
      <c r="AI9">
        <v>25</v>
      </c>
      <c r="AJ9">
        <v>41</v>
      </c>
      <c r="AK9">
        <v>45</v>
      </c>
      <c r="AL9">
        <v>51</v>
      </c>
      <c r="AM9">
        <v>45</v>
      </c>
      <c r="AN9">
        <v>61</v>
      </c>
      <c r="AO9">
        <v>45</v>
      </c>
    </row>
    <row r="10" spans="1:41">
      <c r="A10" s="147" t="s">
        <v>69</v>
      </c>
      <c r="B10">
        <v>0</v>
      </c>
      <c r="C10">
        <v>0</v>
      </c>
      <c r="D10">
        <v>5</v>
      </c>
      <c r="E10">
        <v>0</v>
      </c>
      <c r="F10">
        <v>10</v>
      </c>
      <c r="G10">
        <v>0</v>
      </c>
      <c r="H10">
        <v>10</v>
      </c>
      <c r="I10">
        <v>10</v>
      </c>
      <c r="J10">
        <v>10</v>
      </c>
      <c r="K10">
        <v>10</v>
      </c>
      <c r="L10">
        <v>10</v>
      </c>
      <c r="M10">
        <v>10</v>
      </c>
      <c r="N10">
        <v>17</v>
      </c>
      <c r="O10">
        <v>10</v>
      </c>
      <c r="P10">
        <v>17</v>
      </c>
      <c r="Q10">
        <v>10</v>
      </c>
      <c r="R10">
        <v>24</v>
      </c>
      <c r="S10">
        <v>10</v>
      </c>
      <c r="T10">
        <v>24</v>
      </c>
      <c r="U10">
        <v>10</v>
      </c>
      <c r="V10">
        <v>24</v>
      </c>
      <c r="W10">
        <v>25</v>
      </c>
      <c r="X10">
        <v>31</v>
      </c>
      <c r="Y10">
        <v>25</v>
      </c>
      <c r="Z10">
        <v>31</v>
      </c>
      <c r="AA10">
        <v>25</v>
      </c>
      <c r="AB10">
        <v>31</v>
      </c>
      <c r="AC10">
        <v>25</v>
      </c>
      <c r="AD10">
        <v>41</v>
      </c>
      <c r="AE10">
        <v>25</v>
      </c>
      <c r="AF10">
        <v>41</v>
      </c>
      <c r="AG10">
        <v>25</v>
      </c>
      <c r="AH10">
        <v>41</v>
      </c>
      <c r="AI10">
        <v>25</v>
      </c>
      <c r="AJ10">
        <v>41</v>
      </c>
      <c r="AK10">
        <v>45</v>
      </c>
      <c r="AL10">
        <v>51</v>
      </c>
      <c r="AM10">
        <v>45</v>
      </c>
      <c r="AN10">
        <v>61</v>
      </c>
      <c r="AO10">
        <v>45</v>
      </c>
    </row>
    <row r="11" spans="1:41">
      <c r="A11" s="146" t="s">
        <v>98</v>
      </c>
      <c r="B11">
        <v>0</v>
      </c>
      <c r="C11">
        <v>0</v>
      </c>
      <c r="D11">
        <v>5</v>
      </c>
      <c r="E11">
        <v>0</v>
      </c>
      <c r="F11">
        <v>10</v>
      </c>
      <c r="G11">
        <v>0</v>
      </c>
      <c r="H11">
        <v>10</v>
      </c>
      <c r="I11">
        <v>10</v>
      </c>
      <c r="J11">
        <v>10</v>
      </c>
      <c r="K11">
        <v>10</v>
      </c>
      <c r="L11">
        <v>10</v>
      </c>
      <c r="M11">
        <v>10</v>
      </c>
      <c r="N11">
        <v>17</v>
      </c>
      <c r="O11">
        <v>10</v>
      </c>
      <c r="P11">
        <v>17</v>
      </c>
      <c r="Q11">
        <v>10</v>
      </c>
      <c r="R11">
        <v>24</v>
      </c>
      <c r="S11">
        <v>10</v>
      </c>
      <c r="T11">
        <v>24</v>
      </c>
      <c r="U11">
        <v>10</v>
      </c>
      <c r="V11">
        <v>24</v>
      </c>
      <c r="W11">
        <v>25</v>
      </c>
      <c r="X11">
        <v>31</v>
      </c>
      <c r="Y11">
        <v>25</v>
      </c>
      <c r="Z11">
        <v>31</v>
      </c>
      <c r="AA11">
        <v>25</v>
      </c>
      <c r="AB11">
        <v>31</v>
      </c>
      <c r="AC11">
        <v>25</v>
      </c>
      <c r="AD11">
        <v>41</v>
      </c>
      <c r="AE11">
        <v>25</v>
      </c>
      <c r="AF11">
        <v>41</v>
      </c>
      <c r="AG11">
        <v>25</v>
      </c>
      <c r="AH11">
        <v>41</v>
      </c>
      <c r="AI11">
        <v>25</v>
      </c>
      <c r="AJ11">
        <v>41</v>
      </c>
      <c r="AK11">
        <v>45</v>
      </c>
      <c r="AL11">
        <v>51</v>
      </c>
      <c r="AM11">
        <v>45</v>
      </c>
      <c r="AN11">
        <v>61</v>
      </c>
      <c r="AO11">
        <v>45</v>
      </c>
    </row>
    <row r="12" spans="1:41">
      <c r="A12" s="147" t="s">
        <v>66</v>
      </c>
      <c r="B12">
        <v>0</v>
      </c>
      <c r="C12">
        <v>0</v>
      </c>
      <c r="D12">
        <v>5</v>
      </c>
      <c r="E12">
        <v>0</v>
      </c>
      <c r="F12">
        <v>10</v>
      </c>
      <c r="G12">
        <v>0</v>
      </c>
      <c r="H12">
        <v>10</v>
      </c>
      <c r="I12">
        <v>10</v>
      </c>
      <c r="J12">
        <v>10</v>
      </c>
      <c r="K12">
        <v>10</v>
      </c>
      <c r="L12">
        <v>10</v>
      </c>
      <c r="M12">
        <v>10</v>
      </c>
      <c r="N12">
        <v>17</v>
      </c>
      <c r="O12">
        <v>10</v>
      </c>
      <c r="P12">
        <v>17</v>
      </c>
      <c r="Q12">
        <v>10</v>
      </c>
      <c r="R12">
        <v>24</v>
      </c>
      <c r="S12">
        <v>10</v>
      </c>
      <c r="T12">
        <v>24</v>
      </c>
      <c r="U12">
        <v>10</v>
      </c>
      <c r="V12">
        <v>24</v>
      </c>
      <c r="W12">
        <v>25</v>
      </c>
      <c r="X12">
        <v>31</v>
      </c>
      <c r="Y12">
        <v>25</v>
      </c>
      <c r="Z12">
        <v>31</v>
      </c>
      <c r="AA12">
        <v>25</v>
      </c>
      <c r="AB12">
        <v>31</v>
      </c>
      <c r="AC12">
        <v>25</v>
      </c>
      <c r="AD12">
        <v>41</v>
      </c>
      <c r="AE12">
        <v>25</v>
      </c>
      <c r="AF12">
        <v>41</v>
      </c>
      <c r="AG12">
        <v>25</v>
      </c>
      <c r="AH12">
        <v>41</v>
      </c>
      <c r="AI12">
        <v>25</v>
      </c>
      <c r="AJ12">
        <v>41</v>
      </c>
      <c r="AK12">
        <v>45</v>
      </c>
      <c r="AL12">
        <v>51</v>
      </c>
      <c r="AM12">
        <v>45</v>
      </c>
      <c r="AN12">
        <v>61</v>
      </c>
      <c r="AO12">
        <v>45</v>
      </c>
    </row>
    <row r="13" spans="1:41">
      <c r="A13" s="146" t="s">
        <v>105</v>
      </c>
      <c r="B13">
        <v>0</v>
      </c>
      <c r="C13">
        <v>0</v>
      </c>
      <c r="D13">
        <v>5</v>
      </c>
      <c r="E13">
        <v>0</v>
      </c>
      <c r="F13">
        <v>10</v>
      </c>
      <c r="G13">
        <v>0</v>
      </c>
      <c r="H13">
        <v>10</v>
      </c>
      <c r="I13">
        <v>10</v>
      </c>
      <c r="J13">
        <v>10</v>
      </c>
      <c r="K13">
        <v>10</v>
      </c>
      <c r="L13">
        <v>10</v>
      </c>
      <c r="M13">
        <v>10</v>
      </c>
      <c r="N13">
        <v>17</v>
      </c>
      <c r="O13">
        <v>10</v>
      </c>
      <c r="P13">
        <v>17</v>
      </c>
      <c r="Q13">
        <v>10</v>
      </c>
      <c r="R13">
        <v>24</v>
      </c>
      <c r="S13">
        <v>10</v>
      </c>
      <c r="T13">
        <v>24</v>
      </c>
      <c r="U13">
        <v>10</v>
      </c>
      <c r="V13">
        <v>24</v>
      </c>
      <c r="W13">
        <v>25</v>
      </c>
      <c r="X13">
        <v>31</v>
      </c>
      <c r="Y13">
        <v>25</v>
      </c>
      <c r="Z13">
        <v>31</v>
      </c>
      <c r="AA13">
        <v>25</v>
      </c>
      <c r="AB13">
        <v>31</v>
      </c>
      <c r="AC13">
        <v>25</v>
      </c>
      <c r="AD13">
        <v>41</v>
      </c>
      <c r="AE13">
        <v>25</v>
      </c>
      <c r="AF13">
        <v>41</v>
      </c>
      <c r="AG13">
        <v>25</v>
      </c>
      <c r="AH13">
        <v>41</v>
      </c>
      <c r="AI13">
        <v>25</v>
      </c>
      <c r="AJ13">
        <v>41</v>
      </c>
      <c r="AK13">
        <v>45</v>
      </c>
      <c r="AL13">
        <v>51</v>
      </c>
      <c r="AM13">
        <v>45</v>
      </c>
      <c r="AN13">
        <v>61</v>
      </c>
      <c r="AO13">
        <v>45</v>
      </c>
    </row>
    <row r="14" spans="1:41">
      <c r="A14" s="147" t="s">
        <v>274</v>
      </c>
      <c r="B14">
        <v>0</v>
      </c>
      <c r="C14">
        <v>0</v>
      </c>
      <c r="D14">
        <v>5</v>
      </c>
      <c r="E14">
        <v>0</v>
      </c>
      <c r="F14">
        <v>10</v>
      </c>
      <c r="G14">
        <v>0</v>
      </c>
      <c r="H14">
        <v>10</v>
      </c>
      <c r="I14">
        <v>10</v>
      </c>
      <c r="J14">
        <v>10</v>
      </c>
      <c r="K14">
        <v>10</v>
      </c>
      <c r="L14">
        <v>10</v>
      </c>
      <c r="M14">
        <v>10</v>
      </c>
      <c r="N14">
        <v>17</v>
      </c>
      <c r="O14">
        <v>10</v>
      </c>
      <c r="P14">
        <v>17</v>
      </c>
      <c r="Q14">
        <v>10</v>
      </c>
      <c r="R14">
        <v>24</v>
      </c>
      <c r="S14">
        <v>10</v>
      </c>
      <c r="T14">
        <v>24</v>
      </c>
      <c r="U14">
        <v>10</v>
      </c>
      <c r="V14">
        <v>24</v>
      </c>
      <c r="W14">
        <v>25</v>
      </c>
      <c r="X14">
        <v>31</v>
      </c>
      <c r="Y14">
        <v>25</v>
      </c>
      <c r="Z14">
        <v>31</v>
      </c>
      <c r="AA14">
        <v>25</v>
      </c>
      <c r="AB14">
        <v>31</v>
      </c>
      <c r="AC14">
        <v>25</v>
      </c>
      <c r="AD14">
        <v>41</v>
      </c>
      <c r="AE14">
        <v>25</v>
      </c>
      <c r="AF14">
        <v>41</v>
      </c>
      <c r="AG14">
        <v>25</v>
      </c>
      <c r="AH14">
        <v>41</v>
      </c>
      <c r="AI14">
        <v>25</v>
      </c>
      <c r="AJ14">
        <v>41</v>
      </c>
      <c r="AK14">
        <v>45</v>
      </c>
      <c r="AL14">
        <v>51</v>
      </c>
      <c r="AM14">
        <v>45</v>
      </c>
      <c r="AN14">
        <v>61</v>
      </c>
      <c r="AO14">
        <v>45</v>
      </c>
    </row>
    <row r="15" spans="1:41">
      <c r="A15" s="146" t="s">
        <v>275</v>
      </c>
      <c r="B15">
        <v>0</v>
      </c>
      <c r="C15">
        <v>0</v>
      </c>
      <c r="D15">
        <v>5</v>
      </c>
      <c r="E15">
        <v>0</v>
      </c>
      <c r="F15">
        <v>10</v>
      </c>
      <c r="G15">
        <v>0</v>
      </c>
      <c r="H15">
        <v>10</v>
      </c>
      <c r="I15">
        <v>10</v>
      </c>
      <c r="J15">
        <v>10</v>
      </c>
      <c r="K15">
        <v>10</v>
      </c>
      <c r="L15">
        <v>10</v>
      </c>
      <c r="M15">
        <v>10</v>
      </c>
      <c r="N15">
        <v>17</v>
      </c>
      <c r="O15">
        <v>10</v>
      </c>
      <c r="P15">
        <v>17</v>
      </c>
      <c r="Q15">
        <v>10</v>
      </c>
      <c r="R15">
        <v>24</v>
      </c>
      <c r="S15">
        <v>10</v>
      </c>
      <c r="T15">
        <v>24</v>
      </c>
      <c r="U15">
        <v>10</v>
      </c>
      <c r="V15">
        <v>24</v>
      </c>
      <c r="W15">
        <v>25</v>
      </c>
      <c r="X15">
        <v>31</v>
      </c>
      <c r="Y15">
        <v>25</v>
      </c>
      <c r="Z15">
        <v>31</v>
      </c>
      <c r="AA15">
        <v>25</v>
      </c>
      <c r="AB15">
        <v>31</v>
      </c>
      <c r="AC15">
        <v>25</v>
      </c>
      <c r="AD15">
        <v>41</v>
      </c>
      <c r="AE15">
        <v>25</v>
      </c>
      <c r="AF15">
        <v>41</v>
      </c>
      <c r="AG15">
        <v>25</v>
      </c>
      <c r="AH15">
        <v>41</v>
      </c>
      <c r="AI15">
        <v>25</v>
      </c>
      <c r="AJ15">
        <v>41</v>
      </c>
      <c r="AK15">
        <v>45</v>
      </c>
      <c r="AL15">
        <v>51</v>
      </c>
      <c r="AM15">
        <v>45</v>
      </c>
      <c r="AN15">
        <v>61</v>
      </c>
      <c r="AO15">
        <v>45</v>
      </c>
    </row>
    <row r="16" spans="1:41">
      <c r="A16" s="147" t="s">
        <v>276</v>
      </c>
      <c r="B16">
        <v>0</v>
      </c>
      <c r="C16">
        <v>0</v>
      </c>
      <c r="D16">
        <v>5</v>
      </c>
      <c r="E16">
        <v>0</v>
      </c>
      <c r="F16">
        <v>10</v>
      </c>
      <c r="G16">
        <v>0</v>
      </c>
      <c r="H16">
        <v>10</v>
      </c>
      <c r="I16">
        <v>10</v>
      </c>
      <c r="J16">
        <v>10</v>
      </c>
      <c r="K16">
        <v>10</v>
      </c>
      <c r="L16">
        <v>10</v>
      </c>
      <c r="M16">
        <v>10</v>
      </c>
      <c r="N16">
        <v>17</v>
      </c>
      <c r="O16">
        <v>10</v>
      </c>
      <c r="P16">
        <v>17</v>
      </c>
      <c r="Q16">
        <v>10</v>
      </c>
      <c r="R16">
        <v>24</v>
      </c>
      <c r="S16">
        <v>10</v>
      </c>
      <c r="T16">
        <v>24</v>
      </c>
      <c r="U16">
        <v>10</v>
      </c>
      <c r="V16">
        <v>24</v>
      </c>
      <c r="W16">
        <v>25</v>
      </c>
      <c r="X16">
        <v>31</v>
      </c>
      <c r="Y16">
        <v>25</v>
      </c>
      <c r="Z16">
        <v>31</v>
      </c>
      <c r="AA16">
        <v>25</v>
      </c>
      <c r="AB16">
        <v>31</v>
      </c>
      <c r="AC16">
        <v>25</v>
      </c>
      <c r="AD16">
        <v>41</v>
      </c>
      <c r="AE16">
        <v>25</v>
      </c>
      <c r="AF16">
        <v>41</v>
      </c>
      <c r="AG16">
        <v>25</v>
      </c>
      <c r="AH16">
        <v>41</v>
      </c>
      <c r="AI16">
        <v>25</v>
      </c>
      <c r="AJ16">
        <v>41</v>
      </c>
      <c r="AK16">
        <v>45</v>
      </c>
      <c r="AL16">
        <v>51</v>
      </c>
      <c r="AM16">
        <v>45</v>
      </c>
      <c r="AN16">
        <v>61</v>
      </c>
      <c r="AO16">
        <v>45</v>
      </c>
    </row>
    <row r="17" spans="1:41">
      <c r="A17" s="146" t="s">
        <v>277</v>
      </c>
      <c r="B17">
        <v>0</v>
      </c>
      <c r="C17">
        <v>0</v>
      </c>
      <c r="D17">
        <v>5</v>
      </c>
      <c r="E17">
        <v>0</v>
      </c>
      <c r="F17">
        <v>10</v>
      </c>
      <c r="G17">
        <v>0</v>
      </c>
      <c r="H17">
        <v>10</v>
      </c>
      <c r="I17">
        <v>10</v>
      </c>
      <c r="J17">
        <v>10</v>
      </c>
      <c r="K17">
        <v>10</v>
      </c>
      <c r="L17">
        <v>10</v>
      </c>
      <c r="M17">
        <v>10</v>
      </c>
      <c r="N17">
        <v>17</v>
      </c>
      <c r="O17">
        <v>10</v>
      </c>
      <c r="P17">
        <v>17</v>
      </c>
      <c r="Q17">
        <v>10</v>
      </c>
      <c r="R17">
        <v>24</v>
      </c>
      <c r="S17">
        <v>10</v>
      </c>
      <c r="T17">
        <v>24</v>
      </c>
      <c r="U17">
        <v>10</v>
      </c>
      <c r="V17">
        <v>24</v>
      </c>
      <c r="W17">
        <v>25</v>
      </c>
      <c r="X17">
        <v>31</v>
      </c>
      <c r="Y17">
        <v>25</v>
      </c>
      <c r="Z17">
        <v>31</v>
      </c>
      <c r="AA17">
        <v>25</v>
      </c>
      <c r="AB17">
        <v>31</v>
      </c>
      <c r="AC17">
        <v>25</v>
      </c>
      <c r="AD17">
        <v>41</v>
      </c>
      <c r="AE17">
        <v>25</v>
      </c>
      <c r="AF17">
        <v>41</v>
      </c>
      <c r="AG17">
        <v>25</v>
      </c>
      <c r="AH17">
        <v>41</v>
      </c>
      <c r="AI17">
        <v>25</v>
      </c>
      <c r="AJ17">
        <v>41</v>
      </c>
      <c r="AK17">
        <v>45</v>
      </c>
      <c r="AL17">
        <v>51</v>
      </c>
      <c r="AM17">
        <v>45</v>
      </c>
      <c r="AN17">
        <v>61</v>
      </c>
      <c r="AO17">
        <v>45</v>
      </c>
    </row>
    <row r="18" spans="1:41">
      <c r="A18" s="147" t="s">
        <v>196</v>
      </c>
      <c r="B18">
        <v>0</v>
      </c>
      <c r="C18">
        <v>0</v>
      </c>
      <c r="D18">
        <v>5</v>
      </c>
      <c r="E18">
        <v>0</v>
      </c>
      <c r="F18">
        <v>10</v>
      </c>
      <c r="G18">
        <v>0</v>
      </c>
      <c r="H18">
        <v>10</v>
      </c>
      <c r="I18">
        <v>10</v>
      </c>
      <c r="J18">
        <v>10</v>
      </c>
      <c r="K18">
        <v>10</v>
      </c>
      <c r="L18">
        <v>10</v>
      </c>
      <c r="M18">
        <v>10</v>
      </c>
      <c r="N18">
        <v>17</v>
      </c>
      <c r="O18">
        <v>10</v>
      </c>
      <c r="P18">
        <v>17</v>
      </c>
      <c r="Q18">
        <v>10</v>
      </c>
      <c r="R18">
        <v>24</v>
      </c>
      <c r="S18">
        <v>10</v>
      </c>
      <c r="T18">
        <v>24</v>
      </c>
      <c r="U18">
        <v>10</v>
      </c>
      <c r="V18">
        <v>24</v>
      </c>
      <c r="W18">
        <v>25</v>
      </c>
      <c r="X18">
        <v>31</v>
      </c>
      <c r="Y18">
        <v>25</v>
      </c>
      <c r="Z18">
        <v>31</v>
      </c>
      <c r="AA18">
        <v>25</v>
      </c>
      <c r="AB18">
        <v>31</v>
      </c>
      <c r="AC18">
        <v>25</v>
      </c>
      <c r="AD18">
        <v>41</v>
      </c>
      <c r="AE18">
        <v>25</v>
      </c>
      <c r="AF18">
        <v>41</v>
      </c>
      <c r="AG18">
        <v>25</v>
      </c>
      <c r="AH18">
        <v>41</v>
      </c>
      <c r="AI18">
        <v>25</v>
      </c>
      <c r="AJ18">
        <v>41</v>
      </c>
      <c r="AK18">
        <v>45</v>
      </c>
      <c r="AL18">
        <v>51</v>
      </c>
      <c r="AM18">
        <v>45</v>
      </c>
      <c r="AN18">
        <v>61</v>
      </c>
      <c r="AO18">
        <v>45</v>
      </c>
    </row>
    <row r="19" spans="1:41">
      <c r="A19" s="146" t="s">
        <v>62</v>
      </c>
      <c r="B19">
        <v>0</v>
      </c>
      <c r="C19">
        <v>0</v>
      </c>
      <c r="D19">
        <v>5</v>
      </c>
      <c r="E19">
        <v>0</v>
      </c>
      <c r="F19">
        <v>10</v>
      </c>
      <c r="G19">
        <v>0</v>
      </c>
      <c r="H19">
        <v>10</v>
      </c>
      <c r="I19">
        <v>10</v>
      </c>
      <c r="J19">
        <v>10</v>
      </c>
      <c r="K19">
        <v>10</v>
      </c>
      <c r="L19">
        <v>10</v>
      </c>
      <c r="M19">
        <v>10</v>
      </c>
      <c r="N19">
        <v>17</v>
      </c>
      <c r="O19">
        <v>10</v>
      </c>
      <c r="P19">
        <v>17</v>
      </c>
      <c r="Q19">
        <v>10</v>
      </c>
      <c r="R19">
        <v>24</v>
      </c>
      <c r="S19">
        <v>10</v>
      </c>
      <c r="T19">
        <v>24</v>
      </c>
      <c r="U19">
        <v>10</v>
      </c>
      <c r="V19">
        <v>24</v>
      </c>
      <c r="W19">
        <v>25</v>
      </c>
      <c r="X19">
        <v>31</v>
      </c>
      <c r="Y19">
        <v>25</v>
      </c>
      <c r="Z19">
        <v>31</v>
      </c>
      <c r="AA19">
        <v>25</v>
      </c>
      <c r="AB19">
        <v>31</v>
      </c>
      <c r="AC19">
        <v>25</v>
      </c>
      <c r="AD19">
        <v>41</v>
      </c>
      <c r="AE19">
        <v>25</v>
      </c>
      <c r="AF19">
        <v>41</v>
      </c>
      <c r="AG19">
        <v>25</v>
      </c>
      <c r="AH19">
        <v>41</v>
      </c>
      <c r="AI19">
        <v>25</v>
      </c>
      <c r="AJ19">
        <v>41</v>
      </c>
      <c r="AK19">
        <v>45</v>
      </c>
      <c r="AL19">
        <v>51</v>
      </c>
      <c r="AM19">
        <v>45</v>
      </c>
      <c r="AN19">
        <v>61</v>
      </c>
      <c r="AO19">
        <v>45</v>
      </c>
    </row>
    <row r="20" spans="1:41">
      <c r="A20" s="147" t="s">
        <v>102</v>
      </c>
      <c r="B20">
        <v>0</v>
      </c>
      <c r="C20">
        <v>0</v>
      </c>
      <c r="D20">
        <v>5</v>
      </c>
      <c r="E20">
        <v>0</v>
      </c>
      <c r="F20">
        <v>10</v>
      </c>
      <c r="G20">
        <v>0</v>
      </c>
      <c r="H20">
        <v>10</v>
      </c>
      <c r="I20">
        <v>10</v>
      </c>
      <c r="J20">
        <v>10</v>
      </c>
      <c r="K20">
        <v>10</v>
      </c>
      <c r="L20">
        <v>10</v>
      </c>
      <c r="M20">
        <v>10</v>
      </c>
      <c r="N20">
        <v>17</v>
      </c>
      <c r="O20">
        <v>10</v>
      </c>
      <c r="P20">
        <v>17</v>
      </c>
      <c r="Q20">
        <v>10</v>
      </c>
      <c r="R20">
        <v>24</v>
      </c>
      <c r="S20">
        <v>10</v>
      </c>
      <c r="T20">
        <v>24</v>
      </c>
      <c r="U20">
        <v>10</v>
      </c>
      <c r="V20">
        <v>24</v>
      </c>
      <c r="W20">
        <v>25</v>
      </c>
      <c r="X20">
        <v>31</v>
      </c>
      <c r="Y20">
        <v>25</v>
      </c>
      <c r="Z20">
        <v>31</v>
      </c>
      <c r="AA20">
        <v>25</v>
      </c>
      <c r="AB20">
        <v>31</v>
      </c>
      <c r="AC20">
        <v>25</v>
      </c>
      <c r="AD20">
        <v>41</v>
      </c>
      <c r="AE20">
        <v>25</v>
      </c>
      <c r="AF20">
        <v>41</v>
      </c>
      <c r="AG20">
        <v>25</v>
      </c>
      <c r="AH20">
        <v>41</v>
      </c>
      <c r="AI20">
        <v>25</v>
      </c>
      <c r="AJ20">
        <v>41</v>
      </c>
      <c r="AK20">
        <v>45</v>
      </c>
      <c r="AL20">
        <v>51</v>
      </c>
      <c r="AM20">
        <v>45</v>
      </c>
      <c r="AN20">
        <v>61</v>
      </c>
      <c r="AO20">
        <v>45</v>
      </c>
    </row>
    <row r="21" spans="1:41">
      <c r="A21" s="146" t="s">
        <v>152</v>
      </c>
      <c r="B21">
        <v>0</v>
      </c>
      <c r="C21">
        <v>0</v>
      </c>
      <c r="D21">
        <v>5</v>
      </c>
      <c r="E21">
        <v>0</v>
      </c>
      <c r="F21">
        <v>10</v>
      </c>
      <c r="G21">
        <v>0</v>
      </c>
      <c r="H21">
        <v>10</v>
      </c>
      <c r="I21">
        <v>10</v>
      </c>
      <c r="J21">
        <v>10</v>
      </c>
      <c r="K21">
        <v>10</v>
      </c>
      <c r="L21">
        <v>10</v>
      </c>
      <c r="M21">
        <v>10</v>
      </c>
      <c r="N21">
        <v>17</v>
      </c>
      <c r="O21">
        <v>10</v>
      </c>
      <c r="P21">
        <v>17</v>
      </c>
      <c r="Q21">
        <v>10</v>
      </c>
      <c r="R21">
        <v>24</v>
      </c>
      <c r="S21">
        <v>10</v>
      </c>
      <c r="T21">
        <v>24</v>
      </c>
      <c r="U21">
        <v>10</v>
      </c>
      <c r="V21">
        <v>24</v>
      </c>
      <c r="W21">
        <v>25</v>
      </c>
      <c r="X21">
        <v>31</v>
      </c>
      <c r="Y21">
        <v>25</v>
      </c>
      <c r="Z21">
        <v>31</v>
      </c>
      <c r="AA21">
        <v>25</v>
      </c>
      <c r="AB21">
        <v>31</v>
      </c>
      <c r="AC21">
        <v>25</v>
      </c>
      <c r="AD21">
        <v>41</v>
      </c>
      <c r="AE21">
        <v>25</v>
      </c>
      <c r="AF21">
        <v>41</v>
      </c>
      <c r="AG21">
        <v>25</v>
      </c>
      <c r="AH21">
        <v>41</v>
      </c>
      <c r="AI21">
        <v>25</v>
      </c>
      <c r="AJ21">
        <v>41</v>
      </c>
      <c r="AK21">
        <v>45</v>
      </c>
      <c r="AL21">
        <v>51</v>
      </c>
      <c r="AM21">
        <v>45</v>
      </c>
      <c r="AN21">
        <v>61</v>
      </c>
      <c r="AO21">
        <v>45</v>
      </c>
    </row>
    <row r="22" spans="1:41">
      <c r="A22" s="147" t="s">
        <v>92</v>
      </c>
      <c r="B22">
        <v>0</v>
      </c>
      <c r="C22">
        <v>0</v>
      </c>
      <c r="D22">
        <v>5</v>
      </c>
      <c r="E22">
        <v>0</v>
      </c>
      <c r="F22">
        <v>10</v>
      </c>
      <c r="G22">
        <v>0</v>
      </c>
      <c r="H22">
        <v>10</v>
      </c>
      <c r="I22">
        <v>10</v>
      </c>
      <c r="J22">
        <v>10</v>
      </c>
      <c r="K22">
        <v>10</v>
      </c>
      <c r="L22">
        <v>10</v>
      </c>
      <c r="M22">
        <v>10</v>
      </c>
      <c r="N22">
        <v>17</v>
      </c>
      <c r="O22">
        <v>10</v>
      </c>
      <c r="P22">
        <v>17</v>
      </c>
      <c r="Q22">
        <v>10</v>
      </c>
      <c r="R22">
        <v>24</v>
      </c>
      <c r="S22">
        <v>10</v>
      </c>
      <c r="T22">
        <v>24</v>
      </c>
      <c r="U22">
        <v>10</v>
      </c>
      <c r="V22">
        <v>24</v>
      </c>
      <c r="W22">
        <v>25</v>
      </c>
      <c r="X22">
        <v>31</v>
      </c>
      <c r="Y22">
        <v>25</v>
      </c>
      <c r="Z22">
        <v>31</v>
      </c>
      <c r="AA22">
        <v>25</v>
      </c>
      <c r="AB22">
        <v>31</v>
      </c>
      <c r="AC22">
        <v>25</v>
      </c>
      <c r="AD22">
        <v>41</v>
      </c>
      <c r="AE22">
        <v>25</v>
      </c>
      <c r="AF22">
        <v>41</v>
      </c>
      <c r="AG22">
        <v>25</v>
      </c>
      <c r="AH22">
        <v>41</v>
      </c>
      <c r="AI22">
        <v>25</v>
      </c>
      <c r="AJ22">
        <v>41</v>
      </c>
      <c r="AK22">
        <v>45</v>
      </c>
      <c r="AL22">
        <v>51</v>
      </c>
      <c r="AM22">
        <v>45</v>
      </c>
      <c r="AN22">
        <v>61</v>
      </c>
      <c r="AO22">
        <v>45</v>
      </c>
    </row>
    <row r="23" spans="1:41">
      <c r="A23" s="146" t="s">
        <v>312</v>
      </c>
      <c r="B23">
        <v>0</v>
      </c>
      <c r="C23">
        <v>0</v>
      </c>
      <c r="D23">
        <v>5</v>
      </c>
      <c r="E23">
        <v>0</v>
      </c>
      <c r="F23">
        <v>10</v>
      </c>
      <c r="G23">
        <v>0</v>
      </c>
      <c r="H23">
        <v>10</v>
      </c>
      <c r="I23">
        <v>10</v>
      </c>
      <c r="J23">
        <v>10</v>
      </c>
      <c r="K23">
        <v>10</v>
      </c>
      <c r="L23">
        <v>10</v>
      </c>
      <c r="M23">
        <v>10</v>
      </c>
      <c r="N23">
        <v>17</v>
      </c>
      <c r="O23">
        <v>10</v>
      </c>
      <c r="P23">
        <v>17</v>
      </c>
      <c r="Q23">
        <v>10</v>
      </c>
      <c r="R23">
        <v>24</v>
      </c>
      <c r="S23">
        <v>10</v>
      </c>
      <c r="T23">
        <v>24</v>
      </c>
      <c r="U23">
        <v>10</v>
      </c>
      <c r="V23">
        <v>24</v>
      </c>
      <c r="W23">
        <v>25</v>
      </c>
      <c r="X23">
        <v>31</v>
      </c>
      <c r="Y23">
        <v>25</v>
      </c>
      <c r="Z23">
        <v>31</v>
      </c>
      <c r="AA23">
        <v>25</v>
      </c>
      <c r="AB23">
        <v>31</v>
      </c>
      <c r="AC23">
        <v>25</v>
      </c>
      <c r="AD23">
        <v>41</v>
      </c>
      <c r="AE23">
        <v>25</v>
      </c>
      <c r="AF23">
        <v>41</v>
      </c>
      <c r="AG23">
        <v>25</v>
      </c>
      <c r="AH23">
        <v>41</v>
      </c>
      <c r="AI23">
        <v>25</v>
      </c>
      <c r="AJ23">
        <v>41</v>
      </c>
      <c r="AK23">
        <v>45</v>
      </c>
      <c r="AL23">
        <v>51</v>
      </c>
      <c r="AM23">
        <v>45</v>
      </c>
      <c r="AN23">
        <v>61</v>
      </c>
      <c r="AO23">
        <v>45</v>
      </c>
    </row>
    <row r="24" spans="1:41">
      <c r="A24" s="147" t="s">
        <v>157</v>
      </c>
      <c r="B24">
        <v>0</v>
      </c>
      <c r="C24">
        <v>0</v>
      </c>
      <c r="D24">
        <v>5</v>
      </c>
      <c r="E24">
        <v>0</v>
      </c>
      <c r="F24">
        <v>10</v>
      </c>
      <c r="G24">
        <v>0</v>
      </c>
      <c r="H24">
        <v>10</v>
      </c>
      <c r="I24">
        <v>10</v>
      </c>
      <c r="J24">
        <v>10</v>
      </c>
      <c r="K24">
        <v>10</v>
      </c>
      <c r="L24">
        <v>10</v>
      </c>
      <c r="M24">
        <v>10</v>
      </c>
      <c r="N24">
        <v>17</v>
      </c>
      <c r="O24">
        <v>10</v>
      </c>
      <c r="P24">
        <v>17</v>
      </c>
      <c r="Q24">
        <v>10</v>
      </c>
      <c r="R24">
        <v>24</v>
      </c>
      <c r="S24">
        <v>10</v>
      </c>
      <c r="T24">
        <v>24</v>
      </c>
      <c r="U24">
        <v>10</v>
      </c>
      <c r="V24">
        <v>24</v>
      </c>
      <c r="W24">
        <v>25</v>
      </c>
      <c r="X24">
        <v>31</v>
      </c>
      <c r="Y24">
        <v>25</v>
      </c>
      <c r="Z24">
        <v>31</v>
      </c>
      <c r="AA24">
        <v>25</v>
      </c>
      <c r="AB24">
        <v>31</v>
      </c>
      <c r="AC24">
        <v>25</v>
      </c>
      <c r="AD24">
        <v>41</v>
      </c>
      <c r="AE24">
        <v>25</v>
      </c>
      <c r="AF24">
        <v>41</v>
      </c>
      <c r="AG24">
        <v>25</v>
      </c>
      <c r="AH24">
        <v>41</v>
      </c>
      <c r="AI24">
        <v>25</v>
      </c>
      <c r="AJ24">
        <v>41</v>
      </c>
      <c r="AK24">
        <v>45</v>
      </c>
      <c r="AL24">
        <v>51</v>
      </c>
      <c r="AM24">
        <v>45</v>
      </c>
      <c r="AN24">
        <v>61</v>
      </c>
      <c r="AO24">
        <v>45</v>
      </c>
    </row>
    <row r="25" spans="1:41">
      <c r="A25" s="146" t="s">
        <v>127</v>
      </c>
      <c r="B25">
        <v>0</v>
      </c>
      <c r="C25">
        <v>0</v>
      </c>
      <c r="D25">
        <v>5</v>
      </c>
      <c r="E25">
        <v>0</v>
      </c>
      <c r="F25">
        <v>10</v>
      </c>
      <c r="G25">
        <v>0</v>
      </c>
      <c r="H25">
        <v>10</v>
      </c>
      <c r="I25">
        <v>10</v>
      </c>
      <c r="J25">
        <v>10</v>
      </c>
      <c r="K25">
        <v>10</v>
      </c>
      <c r="L25">
        <v>10</v>
      </c>
      <c r="M25">
        <v>10</v>
      </c>
      <c r="N25">
        <v>17</v>
      </c>
      <c r="O25">
        <v>10</v>
      </c>
      <c r="P25">
        <v>17</v>
      </c>
      <c r="Q25">
        <v>10</v>
      </c>
      <c r="R25">
        <v>24</v>
      </c>
      <c r="S25">
        <v>10</v>
      </c>
      <c r="T25">
        <v>24</v>
      </c>
      <c r="U25">
        <v>10</v>
      </c>
      <c r="V25">
        <v>24</v>
      </c>
      <c r="W25">
        <v>25</v>
      </c>
      <c r="X25">
        <v>31</v>
      </c>
      <c r="Y25">
        <v>25</v>
      </c>
      <c r="Z25">
        <v>31</v>
      </c>
      <c r="AA25">
        <v>25</v>
      </c>
      <c r="AB25">
        <v>31</v>
      </c>
      <c r="AC25">
        <v>25</v>
      </c>
      <c r="AD25">
        <v>41</v>
      </c>
      <c r="AE25">
        <v>25</v>
      </c>
      <c r="AF25">
        <v>41</v>
      </c>
      <c r="AG25">
        <v>25</v>
      </c>
      <c r="AH25">
        <v>41</v>
      </c>
      <c r="AI25">
        <v>25</v>
      </c>
      <c r="AJ25">
        <v>41</v>
      </c>
      <c r="AK25">
        <v>45</v>
      </c>
      <c r="AL25">
        <v>51</v>
      </c>
      <c r="AM25">
        <v>45</v>
      </c>
      <c r="AN25">
        <v>61</v>
      </c>
      <c r="AO25">
        <v>45</v>
      </c>
    </row>
    <row r="26" spans="1:41">
      <c r="A26" s="147" t="s">
        <v>87</v>
      </c>
      <c r="B26">
        <v>0</v>
      </c>
      <c r="C26">
        <v>0</v>
      </c>
      <c r="D26">
        <v>5</v>
      </c>
      <c r="E26">
        <v>0</v>
      </c>
      <c r="F26">
        <v>10</v>
      </c>
      <c r="G26">
        <v>0</v>
      </c>
      <c r="H26">
        <v>10</v>
      </c>
      <c r="I26">
        <v>10</v>
      </c>
      <c r="J26">
        <v>10</v>
      </c>
      <c r="K26">
        <v>10</v>
      </c>
      <c r="L26">
        <v>10</v>
      </c>
      <c r="M26">
        <v>10</v>
      </c>
      <c r="N26">
        <v>17</v>
      </c>
      <c r="O26">
        <v>10</v>
      </c>
      <c r="P26">
        <v>17</v>
      </c>
      <c r="Q26">
        <v>10</v>
      </c>
      <c r="R26">
        <v>24</v>
      </c>
      <c r="S26">
        <v>10</v>
      </c>
      <c r="T26">
        <v>24</v>
      </c>
      <c r="U26">
        <v>10</v>
      </c>
      <c r="V26">
        <v>24</v>
      </c>
      <c r="W26">
        <v>25</v>
      </c>
      <c r="X26">
        <v>31</v>
      </c>
      <c r="Y26">
        <v>25</v>
      </c>
      <c r="Z26">
        <v>31</v>
      </c>
      <c r="AA26">
        <v>25</v>
      </c>
      <c r="AB26">
        <v>31</v>
      </c>
      <c r="AC26">
        <v>25</v>
      </c>
      <c r="AD26">
        <v>41</v>
      </c>
      <c r="AE26">
        <v>25</v>
      </c>
      <c r="AF26">
        <v>41</v>
      </c>
      <c r="AG26">
        <v>25</v>
      </c>
      <c r="AH26">
        <v>41</v>
      </c>
      <c r="AI26">
        <v>25</v>
      </c>
      <c r="AJ26">
        <v>41</v>
      </c>
      <c r="AK26">
        <v>45</v>
      </c>
      <c r="AL26">
        <v>51</v>
      </c>
      <c r="AM26">
        <v>45</v>
      </c>
      <c r="AN26">
        <v>61</v>
      </c>
      <c r="AO26">
        <v>45</v>
      </c>
    </row>
    <row r="27" spans="1:41">
      <c r="A27" s="146" t="s">
        <v>313</v>
      </c>
      <c r="B27">
        <v>0</v>
      </c>
      <c r="C27">
        <v>0</v>
      </c>
      <c r="D27">
        <v>5</v>
      </c>
      <c r="E27">
        <v>0</v>
      </c>
      <c r="F27">
        <v>10</v>
      </c>
      <c r="G27">
        <v>0</v>
      </c>
      <c r="H27">
        <v>10</v>
      </c>
      <c r="I27">
        <v>10</v>
      </c>
      <c r="J27">
        <v>10</v>
      </c>
      <c r="K27">
        <v>10</v>
      </c>
      <c r="L27">
        <v>10</v>
      </c>
      <c r="M27">
        <v>10</v>
      </c>
      <c r="N27">
        <v>17</v>
      </c>
      <c r="O27">
        <v>10</v>
      </c>
      <c r="P27">
        <v>17</v>
      </c>
      <c r="Q27">
        <v>10</v>
      </c>
      <c r="R27">
        <v>24</v>
      </c>
      <c r="S27">
        <v>10</v>
      </c>
      <c r="T27">
        <v>24</v>
      </c>
      <c r="U27">
        <v>10</v>
      </c>
      <c r="V27">
        <v>24</v>
      </c>
      <c r="W27">
        <v>25</v>
      </c>
      <c r="X27">
        <v>31</v>
      </c>
      <c r="Y27">
        <v>25</v>
      </c>
      <c r="Z27">
        <v>31</v>
      </c>
      <c r="AA27">
        <v>25</v>
      </c>
      <c r="AB27">
        <v>31</v>
      </c>
      <c r="AC27">
        <v>25</v>
      </c>
      <c r="AD27">
        <v>41</v>
      </c>
      <c r="AE27">
        <v>25</v>
      </c>
      <c r="AF27">
        <v>41</v>
      </c>
      <c r="AG27">
        <v>25</v>
      </c>
      <c r="AH27">
        <v>41</v>
      </c>
      <c r="AI27">
        <v>25</v>
      </c>
      <c r="AJ27">
        <v>41</v>
      </c>
      <c r="AK27">
        <v>45</v>
      </c>
      <c r="AL27">
        <v>51</v>
      </c>
      <c r="AM27">
        <v>45</v>
      </c>
      <c r="AN27">
        <v>61</v>
      </c>
      <c r="AO27">
        <v>45</v>
      </c>
    </row>
    <row r="28" spans="1:41">
      <c r="A28" s="147" t="s">
        <v>1</v>
      </c>
      <c r="B28">
        <v>0</v>
      </c>
      <c r="C28">
        <v>0</v>
      </c>
      <c r="D28">
        <v>5</v>
      </c>
      <c r="E28">
        <v>0</v>
      </c>
      <c r="F28">
        <v>10</v>
      </c>
      <c r="G28">
        <v>0</v>
      </c>
      <c r="H28">
        <v>10</v>
      </c>
      <c r="I28">
        <v>10</v>
      </c>
      <c r="J28">
        <v>10</v>
      </c>
      <c r="K28">
        <v>10</v>
      </c>
      <c r="L28">
        <v>10</v>
      </c>
      <c r="M28">
        <v>10</v>
      </c>
      <c r="N28">
        <v>17</v>
      </c>
      <c r="O28">
        <v>10</v>
      </c>
      <c r="P28">
        <v>17</v>
      </c>
      <c r="Q28">
        <v>10</v>
      </c>
      <c r="R28">
        <v>24</v>
      </c>
      <c r="S28">
        <v>10</v>
      </c>
      <c r="T28">
        <v>24</v>
      </c>
      <c r="U28">
        <v>10</v>
      </c>
      <c r="V28">
        <v>24</v>
      </c>
      <c r="W28">
        <v>25</v>
      </c>
      <c r="X28">
        <v>31</v>
      </c>
      <c r="Y28">
        <v>25</v>
      </c>
      <c r="Z28">
        <v>31</v>
      </c>
      <c r="AA28">
        <v>25</v>
      </c>
      <c r="AB28">
        <v>31</v>
      </c>
      <c r="AC28">
        <v>25</v>
      </c>
      <c r="AD28">
        <v>41</v>
      </c>
      <c r="AE28">
        <v>25</v>
      </c>
      <c r="AF28">
        <v>41</v>
      </c>
      <c r="AG28">
        <v>25</v>
      </c>
      <c r="AH28">
        <v>41</v>
      </c>
      <c r="AI28">
        <v>25</v>
      </c>
      <c r="AJ28">
        <v>41</v>
      </c>
      <c r="AK28">
        <v>45</v>
      </c>
      <c r="AL28">
        <v>51</v>
      </c>
      <c r="AM28">
        <v>45</v>
      </c>
      <c r="AN28">
        <v>61</v>
      </c>
      <c r="AO28">
        <v>45</v>
      </c>
    </row>
    <row r="29" spans="1:41">
      <c r="A29" s="146" t="s">
        <v>314</v>
      </c>
      <c r="B29">
        <v>0</v>
      </c>
      <c r="C29">
        <v>0</v>
      </c>
      <c r="D29">
        <v>5</v>
      </c>
      <c r="E29">
        <v>0</v>
      </c>
      <c r="F29">
        <v>10</v>
      </c>
      <c r="G29">
        <v>0</v>
      </c>
      <c r="H29">
        <v>10</v>
      </c>
      <c r="I29">
        <v>10</v>
      </c>
      <c r="J29">
        <v>10</v>
      </c>
      <c r="K29">
        <v>10</v>
      </c>
      <c r="L29">
        <v>10</v>
      </c>
      <c r="M29">
        <v>10</v>
      </c>
      <c r="N29">
        <v>17</v>
      </c>
      <c r="O29">
        <v>10</v>
      </c>
      <c r="P29">
        <v>17</v>
      </c>
      <c r="Q29">
        <v>10</v>
      </c>
      <c r="R29">
        <v>24</v>
      </c>
      <c r="S29">
        <v>10</v>
      </c>
      <c r="T29">
        <v>24</v>
      </c>
      <c r="U29">
        <v>10</v>
      </c>
      <c r="V29">
        <v>24</v>
      </c>
      <c r="W29">
        <v>25</v>
      </c>
      <c r="X29">
        <v>31</v>
      </c>
      <c r="Y29">
        <v>25</v>
      </c>
      <c r="Z29">
        <v>31</v>
      </c>
      <c r="AA29">
        <v>25</v>
      </c>
      <c r="AB29">
        <v>31</v>
      </c>
      <c r="AC29">
        <v>25</v>
      </c>
      <c r="AD29">
        <v>41</v>
      </c>
      <c r="AE29">
        <v>25</v>
      </c>
      <c r="AF29">
        <v>41</v>
      </c>
      <c r="AG29">
        <v>25</v>
      </c>
      <c r="AH29">
        <v>41</v>
      </c>
      <c r="AI29">
        <v>25</v>
      </c>
      <c r="AJ29">
        <v>41</v>
      </c>
      <c r="AK29">
        <v>45</v>
      </c>
      <c r="AL29">
        <v>51</v>
      </c>
      <c r="AM29">
        <v>45</v>
      </c>
      <c r="AN29">
        <v>61</v>
      </c>
      <c r="AO29">
        <v>45</v>
      </c>
    </row>
    <row r="30" spans="1:41">
      <c r="A30" s="147" t="s">
        <v>278</v>
      </c>
      <c r="B30">
        <v>0</v>
      </c>
      <c r="C30">
        <v>0</v>
      </c>
      <c r="D30">
        <v>5</v>
      </c>
      <c r="E30">
        <v>0</v>
      </c>
      <c r="F30">
        <v>10</v>
      </c>
      <c r="G30">
        <v>0</v>
      </c>
      <c r="H30">
        <v>10</v>
      </c>
      <c r="I30">
        <v>10</v>
      </c>
      <c r="J30">
        <v>10</v>
      </c>
      <c r="K30">
        <v>10</v>
      </c>
      <c r="L30">
        <v>10</v>
      </c>
      <c r="M30">
        <v>10</v>
      </c>
      <c r="N30">
        <v>17</v>
      </c>
      <c r="O30">
        <v>10</v>
      </c>
      <c r="P30">
        <v>17</v>
      </c>
      <c r="Q30">
        <v>10</v>
      </c>
      <c r="R30">
        <v>24</v>
      </c>
      <c r="S30">
        <v>10</v>
      </c>
      <c r="T30">
        <v>24</v>
      </c>
      <c r="U30">
        <v>10</v>
      </c>
      <c r="V30">
        <v>24</v>
      </c>
      <c r="W30">
        <v>25</v>
      </c>
      <c r="X30">
        <v>31</v>
      </c>
      <c r="Y30">
        <v>25</v>
      </c>
      <c r="Z30">
        <v>31</v>
      </c>
      <c r="AA30">
        <v>25</v>
      </c>
      <c r="AB30">
        <v>31</v>
      </c>
      <c r="AC30">
        <v>25</v>
      </c>
      <c r="AD30">
        <v>41</v>
      </c>
      <c r="AE30">
        <v>25</v>
      </c>
      <c r="AF30">
        <v>41</v>
      </c>
      <c r="AG30">
        <v>25</v>
      </c>
      <c r="AH30">
        <v>41</v>
      </c>
      <c r="AI30">
        <v>25</v>
      </c>
      <c r="AJ30">
        <v>41</v>
      </c>
      <c r="AK30">
        <v>45</v>
      </c>
      <c r="AL30">
        <v>51</v>
      </c>
      <c r="AM30">
        <v>45</v>
      </c>
      <c r="AN30">
        <v>61</v>
      </c>
      <c r="AO30">
        <v>45</v>
      </c>
    </row>
    <row r="31" spans="1:41">
      <c r="A31" s="146" t="s">
        <v>130</v>
      </c>
      <c r="B31">
        <v>0</v>
      </c>
      <c r="C31">
        <v>0</v>
      </c>
      <c r="D31">
        <v>5</v>
      </c>
      <c r="E31">
        <v>0</v>
      </c>
      <c r="F31">
        <v>10</v>
      </c>
      <c r="G31">
        <v>0</v>
      </c>
      <c r="H31">
        <v>10</v>
      </c>
      <c r="I31">
        <v>10</v>
      </c>
      <c r="J31">
        <v>10</v>
      </c>
      <c r="K31">
        <v>10</v>
      </c>
      <c r="L31">
        <v>10</v>
      </c>
      <c r="M31">
        <v>10</v>
      </c>
      <c r="N31">
        <v>17</v>
      </c>
      <c r="O31">
        <v>10</v>
      </c>
      <c r="P31">
        <v>17</v>
      </c>
      <c r="Q31">
        <v>10</v>
      </c>
      <c r="R31">
        <v>24</v>
      </c>
      <c r="S31">
        <v>10</v>
      </c>
      <c r="T31">
        <v>24</v>
      </c>
      <c r="U31">
        <v>10</v>
      </c>
      <c r="V31">
        <v>24</v>
      </c>
      <c r="W31">
        <v>25</v>
      </c>
      <c r="X31">
        <v>31</v>
      </c>
      <c r="Y31">
        <v>25</v>
      </c>
      <c r="Z31">
        <v>31</v>
      </c>
      <c r="AA31">
        <v>25</v>
      </c>
      <c r="AB31">
        <v>31</v>
      </c>
      <c r="AC31">
        <v>25</v>
      </c>
      <c r="AD31">
        <v>41</v>
      </c>
      <c r="AE31">
        <v>25</v>
      </c>
      <c r="AF31">
        <v>41</v>
      </c>
      <c r="AG31">
        <v>25</v>
      </c>
      <c r="AH31">
        <v>41</v>
      </c>
      <c r="AI31">
        <v>25</v>
      </c>
      <c r="AJ31">
        <v>41</v>
      </c>
      <c r="AK31">
        <v>45</v>
      </c>
      <c r="AL31">
        <v>51</v>
      </c>
      <c r="AM31">
        <v>45</v>
      </c>
      <c r="AN31">
        <v>61</v>
      </c>
      <c r="AO31">
        <v>45</v>
      </c>
    </row>
    <row r="32" spans="1:41">
      <c r="A32" s="147" t="s">
        <v>114</v>
      </c>
      <c r="B32">
        <v>0</v>
      </c>
      <c r="C32">
        <v>0</v>
      </c>
      <c r="D32">
        <v>5</v>
      </c>
      <c r="E32">
        <v>0</v>
      </c>
      <c r="F32">
        <v>10</v>
      </c>
      <c r="G32">
        <v>0</v>
      </c>
      <c r="H32">
        <v>10</v>
      </c>
      <c r="I32">
        <v>10</v>
      </c>
      <c r="J32">
        <v>10</v>
      </c>
      <c r="K32">
        <v>10</v>
      </c>
      <c r="L32">
        <v>10</v>
      </c>
      <c r="M32">
        <v>10</v>
      </c>
      <c r="N32">
        <v>17</v>
      </c>
      <c r="O32">
        <v>10</v>
      </c>
      <c r="P32">
        <v>17</v>
      </c>
      <c r="Q32">
        <v>10</v>
      </c>
      <c r="R32">
        <v>24</v>
      </c>
      <c r="S32">
        <v>10</v>
      </c>
      <c r="T32">
        <v>24</v>
      </c>
      <c r="U32">
        <v>10</v>
      </c>
      <c r="V32">
        <v>24</v>
      </c>
      <c r="W32">
        <v>25</v>
      </c>
      <c r="X32">
        <v>31</v>
      </c>
      <c r="Y32">
        <v>25</v>
      </c>
      <c r="Z32">
        <v>31</v>
      </c>
      <c r="AA32">
        <v>25</v>
      </c>
      <c r="AB32">
        <v>31</v>
      </c>
      <c r="AC32">
        <v>25</v>
      </c>
      <c r="AD32">
        <v>41</v>
      </c>
      <c r="AE32">
        <v>25</v>
      </c>
      <c r="AF32">
        <v>41</v>
      </c>
      <c r="AG32">
        <v>25</v>
      </c>
      <c r="AH32">
        <v>41</v>
      </c>
      <c r="AI32">
        <v>25</v>
      </c>
      <c r="AJ32">
        <v>41</v>
      </c>
      <c r="AK32">
        <v>45</v>
      </c>
      <c r="AL32">
        <v>51</v>
      </c>
      <c r="AM32">
        <v>45</v>
      </c>
      <c r="AN32">
        <v>61</v>
      </c>
      <c r="AO32">
        <v>45</v>
      </c>
    </row>
    <row r="33" spans="1:41">
      <c r="A33" s="146" t="s">
        <v>279</v>
      </c>
      <c r="B33">
        <v>0</v>
      </c>
      <c r="C33">
        <v>0</v>
      </c>
      <c r="D33">
        <v>5</v>
      </c>
      <c r="E33">
        <v>0</v>
      </c>
      <c r="F33">
        <v>10</v>
      </c>
      <c r="G33">
        <v>0</v>
      </c>
      <c r="H33">
        <v>10</v>
      </c>
      <c r="I33">
        <v>10</v>
      </c>
      <c r="J33">
        <v>10</v>
      </c>
      <c r="K33">
        <v>10</v>
      </c>
      <c r="L33">
        <v>10</v>
      </c>
      <c r="M33">
        <v>10</v>
      </c>
      <c r="N33">
        <v>17</v>
      </c>
      <c r="O33">
        <v>10</v>
      </c>
      <c r="P33">
        <v>17</v>
      </c>
      <c r="Q33">
        <v>10</v>
      </c>
      <c r="R33">
        <v>24</v>
      </c>
      <c r="S33">
        <v>10</v>
      </c>
      <c r="T33">
        <v>24</v>
      </c>
      <c r="U33">
        <v>10</v>
      </c>
      <c r="V33">
        <v>24</v>
      </c>
      <c r="W33">
        <v>25</v>
      </c>
      <c r="X33">
        <v>31</v>
      </c>
      <c r="Y33">
        <v>25</v>
      </c>
      <c r="Z33">
        <v>31</v>
      </c>
      <c r="AA33">
        <v>25</v>
      </c>
      <c r="AB33">
        <v>31</v>
      </c>
      <c r="AC33">
        <v>25</v>
      </c>
      <c r="AD33">
        <v>41</v>
      </c>
      <c r="AE33">
        <v>25</v>
      </c>
      <c r="AF33">
        <v>41</v>
      </c>
      <c r="AG33">
        <v>25</v>
      </c>
      <c r="AH33">
        <v>41</v>
      </c>
      <c r="AI33">
        <v>25</v>
      </c>
      <c r="AJ33">
        <v>41</v>
      </c>
      <c r="AK33">
        <v>45</v>
      </c>
      <c r="AL33">
        <v>51</v>
      </c>
      <c r="AM33">
        <v>45</v>
      </c>
      <c r="AN33">
        <v>61</v>
      </c>
      <c r="AO33">
        <v>45</v>
      </c>
    </row>
    <row r="34" spans="1:41">
      <c r="A34" s="147" t="s">
        <v>280</v>
      </c>
      <c r="B34">
        <v>0</v>
      </c>
      <c r="C34">
        <v>0</v>
      </c>
      <c r="D34">
        <v>5</v>
      </c>
      <c r="E34">
        <v>0</v>
      </c>
      <c r="F34">
        <v>10</v>
      </c>
      <c r="G34">
        <v>0</v>
      </c>
      <c r="H34">
        <v>10</v>
      </c>
      <c r="I34">
        <v>10</v>
      </c>
      <c r="J34">
        <v>10</v>
      </c>
      <c r="K34">
        <v>10</v>
      </c>
      <c r="L34">
        <v>10</v>
      </c>
      <c r="M34">
        <v>10</v>
      </c>
      <c r="N34">
        <v>17</v>
      </c>
      <c r="O34">
        <v>10</v>
      </c>
      <c r="P34">
        <v>17</v>
      </c>
      <c r="Q34">
        <v>10</v>
      </c>
      <c r="R34">
        <v>24</v>
      </c>
      <c r="S34">
        <v>10</v>
      </c>
      <c r="T34">
        <v>24</v>
      </c>
      <c r="U34">
        <v>10</v>
      </c>
      <c r="V34">
        <v>24</v>
      </c>
      <c r="W34">
        <v>25</v>
      </c>
      <c r="X34">
        <v>31</v>
      </c>
      <c r="Y34">
        <v>25</v>
      </c>
      <c r="Z34">
        <v>31</v>
      </c>
      <c r="AA34">
        <v>25</v>
      </c>
      <c r="AB34">
        <v>31</v>
      </c>
      <c r="AC34">
        <v>25</v>
      </c>
      <c r="AD34">
        <v>41</v>
      </c>
      <c r="AE34">
        <v>25</v>
      </c>
      <c r="AF34">
        <v>41</v>
      </c>
      <c r="AG34">
        <v>25</v>
      </c>
      <c r="AH34">
        <v>41</v>
      </c>
      <c r="AI34">
        <v>25</v>
      </c>
      <c r="AJ34">
        <v>41</v>
      </c>
      <c r="AK34">
        <v>45</v>
      </c>
      <c r="AL34">
        <v>51</v>
      </c>
      <c r="AM34">
        <v>45</v>
      </c>
      <c r="AN34">
        <v>61</v>
      </c>
      <c r="AO34">
        <v>45</v>
      </c>
    </row>
    <row r="35" spans="1:41">
      <c r="A35" s="146" t="s">
        <v>199</v>
      </c>
      <c r="B35">
        <v>0</v>
      </c>
      <c r="C35">
        <v>0</v>
      </c>
      <c r="D35">
        <v>5</v>
      </c>
      <c r="E35">
        <v>0</v>
      </c>
      <c r="F35">
        <v>10</v>
      </c>
      <c r="G35">
        <v>0</v>
      </c>
      <c r="H35">
        <v>10</v>
      </c>
      <c r="I35">
        <v>10</v>
      </c>
      <c r="J35">
        <v>10</v>
      </c>
      <c r="K35">
        <v>10</v>
      </c>
      <c r="L35">
        <v>10</v>
      </c>
      <c r="M35">
        <v>10</v>
      </c>
      <c r="N35">
        <v>17</v>
      </c>
      <c r="O35">
        <v>10</v>
      </c>
      <c r="P35">
        <v>17</v>
      </c>
      <c r="Q35">
        <v>10</v>
      </c>
      <c r="R35">
        <v>24</v>
      </c>
      <c r="S35">
        <v>10</v>
      </c>
      <c r="T35">
        <v>24</v>
      </c>
      <c r="U35">
        <v>10</v>
      </c>
      <c r="V35">
        <v>24</v>
      </c>
      <c r="W35">
        <v>25</v>
      </c>
      <c r="X35">
        <v>31</v>
      </c>
      <c r="Y35">
        <v>25</v>
      </c>
      <c r="Z35">
        <v>31</v>
      </c>
      <c r="AA35">
        <v>25</v>
      </c>
      <c r="AB35">
        <v>31</v>
      </c>
      <c r="AC35">
        <v>25</v>
      </c>
      <c r="AD35">
        <v>41</v>
      </c>
      <c r="AE35">
        <v>25</v>
      </c>
      <c r="AF35">
        <v>41</v>
      </c>
      <c r="AG35">
        <v>25</v>
      </c>
      <c r="AH35">
        <v>41</v>
      </c>
      <c r="AI35">
        <v>25</v>
      </c>
      <c r="AJ35">
        <v>41</v>
      </c>
      <c r="AK35">
        <v>45</v>
      </c>
      <c r="AL35">
        <v>51</v>
      </c>
      <c r="AM35">
        <v>45</v>
      </c>
      <c r="AN35">
        <v>61</v>
      </c>
      <c r="AO35">
        <v>45</v>
      </c>
    </row>
    <row r="36" spans="1:41">
      <c r="A36" s="147" t="s">
        <v>125</v>
      </c>
      <c r="B36">
        <v>0</v>
      </c>
      <c r="C36">
        <v>0</v>
      </c>
      <c r="D36">
        <v>5</v>
      </c>
      <c r="E36">
        <v>0</v>
      </c>
      <c r="F36">
        <v>10</v>
      </c>
      <c r="G36">
        <v>0</v>
      </c>
      <c r="H36">
        <v>10</v>
      </c>
      <c r="I36">
        <v>10</v>
      </c>
      <c r="J36">
        <v>10</v>
      </c>
      <c r="K36">
        <v>10</v>
      </c>
      <c r="L36">
        <v>10</v>
      </c>
      <c r="M36">
        <v>10</v>
      </c>
      <c r="N36">
        <v>17</v>
      </c>
      <c r="O36">
        <v>10</v>
      </c>
      <c r="P36">
        <v>17</v>
      </c>
      <c r="Q36">
        <v>10</v>
      </c>
      <c r="R36">
        <v>24</v>
      </c>
      <c r="S36">
        <v>10</v>
      </c>
      <c r="T36">
        <v>24</v>
      </c>
      <c r="U36">
        <v>10</v>
      </c>
      <c r="V36">
        <v>24</v>
      </c>
      <c r="W36">
        <v>25</v>
      </c>
      <c r="X36">
        <v>31</v>
      </c>
      <c r="Y36">
        <v>25</v>
      </c>
      <c r="Z36">
        <v>31</v>
      </c>
      <c r="AA36">
        <v>25</v>
      </c>
      <c r="AB36">
        <v>31</v>
      </c>
      <c r="AC36">
        <v>25</v>
      </c>
      <c r="AD36">
        <v>41</v>
      </c>
      <c r="AE36">
        <v>25</v>
      </c>
      <c r="AF36">
        <v>41</v>
      </c>
      <c r="AG36">
        <v>25</v>
      </c>
      <c r="AH36">
        <v>41</v>
      </c>
      <c r="AI36">
        <v>25</v>
      </c>
      <c r="AJ36">
        <v>41</v>
      </c>
      <c r="AK36">
        <v>45</v>
      </c>
      <c r="AL36">
        <v>51</v>
      </c>
      <c r="AM36">
        <v>45</v>
      </c>
      <c r="AN36">
        <v>61</v>
      </c>
      <c r="AO36">
        <v>45</v>
      </c>
    </row>
    <row r="37" spans="1:41">
      <c r="A37" s="146" t="s">
        <v>71</v>
      </c>
      <c r="B37">
        <v>0</v>
      </c>
      <c r="C37">
        <v>0</v>
      </c>
      <c r="D37">
        <v>5</v>
      </c>
      <c r="E37">
        <v>0</v>
      </c>
      <c r="F37">
        <v>10</v>
      </c>
      <c r="G37">
        <v>0</v>
      </c>
      <c r="H37">
        <v>10</v>
      </c>
      <c r="I37">
        <v>10</v>
      </c>
      <c r="J37">
        <v>10</v>
      </c>
      <c r="K37">
        <v>10</v>
      </c>
      <c r="L37">
        <v>10</v>
      </c>
      <c r="M37">
        <v>10</v>
      </c>
      <c r="N37">
        <v>17</v>
      </c>
      <c r="O37">
        <v>10</v>
      </c>
      <c r="P37">
        <v>17</v>
      </c>
      <c r="Q37">
        <v>10</v>
      </c>
      <c r="R37">
        <v>24</v>
      </c>
      <c r="S37">
        <v>10</v>
      </c>
      <c r="T37">
        <v>24</v>
      </c>
      <c r="U37">
        <v>10</v>
      </c>
      <c r="V37">
        <v>24</v>
      </c>
      <c r="W37">
        <v>25</v>
      </c>
      <c r="X37">
        <v>31</v>
      </c>
      <c r="Y37">
        <v>25</v>
      </c>
      <c r="Z37">
        <v>31</v>
      </c>
      <c r="AA37">
        <v>25</v>
      </c>
      <c r="AB37">
        <v>31</v>
      </c>
      <c r="AC37">
        <v>25</v>
      </c>
      <c r="AD37">
        <v>41</v>
      </c>
      <c r="AE37">
        <v>25</v>
      </c>
      <c r="AF37">
        <v>41</v>
      </c>
      <c r="AG37">
        <v>25</v>
      </c>
      <c r="AH37">
        <v>41</v>
      </c>
      <c r="AI37">
        <v>25</v>
      </c>
      <c r="AJ37">
        <v>41</v>
      </c>
      <c r="AK37">
        <v>45</v>
      </c>
      <c r="AL37">
        <v>51</v>
      </c>
      <c r="AM37">
        <v>45</v>
      </c>
      <c r="AN37">
        <v>61</v>
      </c>
      <c r="AO37">
        <v>45</v>
      </c>
    </row>
    <row r="38" spans="1:41">
      <c r="A38" s="147" t="s">
        <v>174</v>
      </c>
      <c r="B38">
        <v>0</v>
      </c>
      <c r="C38">
        <v>0</v>
      </c>
      <c r="D38">
        <v>5</v>
      </c>
      <c r="E38">
        <v>0</v>
      </c>
      <c r="F38">
        <v>10</v>
      </c>
      <c r="G38">
        <v>0</v>
      </c>
      <c r="H38">
        <v>10</v>
      </c>
      <c r="I38">
        <v>10</v>
      </c>
      <c r="J38">
        <v>10</v>
      </c>
      <c r="K38">
        <v>10</v>
      </c>
      <c r="L38">
        <v>10</v>
      </c>
      <c r="M38">
        <v>10</v>
      </c>
      <c r="N38">
        <v>17</v>
      </c>
      <c r="O38">
        <v>10</v>
      </c>
      <c r="P38">
        <v>17</v>
      </c>
      <c r="Q38">
        <v>10</v>
      </c>
      <c r="R38">
        <v>24</v>
      </c>
      <c r="S38">
        <v>10</v>
      </c>
      <c r="T38">
        <v>24</v>
      </c>
      <c r="U38">
        <v>10</v>
      </c>
      <c r="V38">
        <v>24</v>
      </c>
      <c r="W38">
        <v>25</v>
      </c>
      <c r="X38">
        <v>31</v>
      </c>
      <c r="Y38">
        <v>25</v>
      </c>
      <c r="Z38">
        <v>31</v>
      </c>
      <c r="AA38">
        <v>25</v>
      </c>
      <c r="AB38">
        <v>31</v>
      </c>
      <c r="AC38">
        <v>25</v>
      </c>
      <c r="AD38">
        <v>41</v>
      </c>
      <c r="AE38">
        <v>25</v>
      </c>
      <c r="AF38">
        <v>41</v>
      </c>
      <c r="AG38">
        <v>25</v>
      </c>
      <c r="AH38">
        <v>41</v>
      </c>
      <c r="AI38">
        <v>25</v>
      </c>
      <c r="AJ38">
        <v>41</v>
      </c>
      <c r="AK38">
        <v>45</v>
      </c>
      <c r="AL38">
        <v>51</v>
      </c>
      <c r="AM38">
        <v>45</v>
      </c>
      <c r="AN38">
        <v>61</v>
      </c>
      <c r="AO38">
        <v>45</v>
      </c>
    </row>
    <row r="39" spans="1:41">
      <c r="A39" s="146" t="s">
        <v>73</v>
      </c>
      <c r="B39">
        <v>0</v>
      </c>
      <c r="C39">
        <v>0</v>
      </c>
      <c r="D39">
        <v>5</v>
      </c>
      <c r="E39">
        <v>0</v>
      </c>
      <c r="F39">
        <v>10</v>
      </c>
      <c r="G39">
        <v>0</v>
      </c>
      <c r="H39">
        <v>10</v>
      </c>
      <c r="I39">
        <v>10</v>
      </c>
      <c r="J39">
        <v>10</v>
      </c>
      <c r="K39">
        <v>10</v>
      </c>
      <c r="L39">
        <v>10</v>
      </c>
      <c r="M39">
        <v>10</v>
      </c>
      <c r="N39">
        <v>17</v>
      </c>
      <c r="O39">
        <v>10</v>
      </c>
      <c r="P39">
        <v>17</v>
      </c>
      <c r="Q39">
        <v>10</v>
      </c>
      <c r="R39">
        <v>24</v>
      </c>
      <c r="S39">
        <v>10</v>
      </c>
      <c r="T39">
        <v>24</v>
      </c>
      <c r="U39">
        <v>10</v>
      </c>
      <c r="V39">
        <v>24</v>
      </c>
      <c r="W39">
        <v>25</v>
      </c>
      <c r="X39">
        <v>31</v>
      </c>
      <c r="Y39">
        <v>25</v>
      </c>
      <c r="Z39">
        <v>31</v>
      </c>
      <c r="AA39">
        <v>25</v>
      </c>
      <c r="AB39">
        <v>31</v>
      </c>
      <c r="AC39">
        <v>25</v>
      </c>
      <c r="AD39">
        <v>41</v>
      </c>
      <c r="AE39">
        <v>25</v>
      </c>
      <c r="AF39">
        <v>41</v>
      </c>
      <c r="AG39">
        <v>25</v>
      </c>
      <c r="AH39">
        <v>41</v>
      </c>
      <c r="AI39">
        <v>25</v>
      </c>
      <c r="AJ39">
        <v>41</v>
      </c>
      <c r="AK39">
        <v>45</v>
      </c>
      <c r="AL39">
        <v>51</v>
      </c>
      <c r="AM39">
        <v>45</v>
      </c>
      <c r="AN39">
        <v>61</v>
      </c>
      <c r="AO39">
        <v>45</v>
      </c>
    </row>
    <row r="40" spans="1:41">
      <c r="A40" s="147" t="s">
        <v>94</v>
      </c>
      <c r="B40">
        <v>0</v>
      </c>
      <c r="C40">
        <v>0</v>
      </c>
      <c r="D40">
        <v>5</v>
      </c>
      <c r="E40">
        <v>0</v>
      </c>
      <c r="F40">
        <v>10</v>
      </c>
      <c r="G40">
        <v>0</v>
      </c>
      <c r="H40">
        <v>10</v>
      </c>
      <c r="I40">
        <v>10</v>
      </c>
      <c r="J40">
        <v>10</v>
      </c>
      <c r="K40">
        <v>10</v>
      </c>
      <c r="L40">
        <v>10</v>
      </c>
      <c r="M40">
        <v>10</v>
      </c>
      <c r="N40">
        <v>17</v>
      </c>
      <c r="O40">
        <v>10</v>
      </c>
      <c r="P40">
        <v>17</v>
      </c>
      <c r="Q40">
        <v>10</v>
      </c>
      <c r="R40">
        <v>24</v>
      </c>
      <c r="S40">
        <v>10</v>
      </c>
      <c r="T40">
        <v>24</v>
      </c>
      <c r="U40">
        <v>10</v>
      </c>
      <c r="V40">
        <v>24</v>
      </c>
      <c r="W40">
        <v>25</v>
      </c>
      <c r="X40">
        <v>31</v>
      </c>
      <c r="Y40">
        <v>25</v>
      </c>
      <c r="Z40">
        <v>31</v>
      </c>
      <c r="AA40">
        <v>25</v>
      </c>
      <c r="AB40">
        <v>31</v>
      </c>
      <c r="AC40">
        <v>25</v>
      </c>
      <c r="AD40">
        <v>41</v>
      </c>
      <c r="AE40">
        <v>25</v>
      </c>
      <c r="AF40">
        <v>41</v>
      </c>
      <c r="AG40">
        <v>25</v>
      </c>
      <c r="AH40">
        <v>41</v>
      </c>
      <c r="AI40">
        <v>25</v>
      </c>
      <c r="AJ40">
        <v>41</v>
      </c>
      <c r="AK40">
        <v>45</v>
      </c>
      <c r="AL40">
        <v>51</v>
      </c>
      <c r="AM40">
        <v>45</v>
      </c>
      <c r="AN40">
        <v>61</v>
      </c>
      <c r="AO40">
        <v>45</v>
      </c>
    </row>
    <row r="41" spans="1:41">
      <c r="A41" s="146" t="s">
        <v>281</v>
      </c>
      <c r="B41">
        <v>0</v>
      </c>
      <c r="C41">
        <v>0</v>
      </c>
      <c r="D41">
        <v>5</v>
      </c>
      <c r="E41">
        <v>0</v>
      </c>
      <c r="F41">
        <v>10</v>
      </c>
      <c r="G41">
        <v>0</v>
      </c>
      <c r="H41">
        <v>10</v>
      </c>
      <c r="I41">
        <v>10</v>
      </c>
      <c r="J41">
        <v>10</v>
      </c>
      <c r="K41">
        <v>10</v>
      </c>
      <c r="L41">
        <v>10</v>
      </c>
      <c r="M41">
        <v>10</v>
      </c>
      <c r="N41">
        <v>17</v>
      </c>
      <c r="O41">
        <v>10</v>
      </c>
      <c r="P41">
        <v>17</v>
      </c>
      <c r="Q41">
        <v>10</v>
      </c>
      <c r="R41">
        <v>24</v>
      </c>
      <c r="S41">
        <v>10</v>
      </c>
      <c r="T41">
        <v>24</v>
      </c>
      <c r="U41">
        <v>10</v>
      </c>
      <c r="V41">
        <v>24</v>
      </c>
      <c r="W41">
        <v>25</v>
      </c>
      <c r="X41">
        <v>31</v>
      </c>
      <c r="Y41">
        <v>25</v>
      </c>
      <c r="Z41">
        <v>31</v>
      </c>
      <c r="AA41">
        <v>25</v>
      </c>
      <c r="AB41">
        <v>31</v>
      </c>
      <c r="AC41">
        <v>25</v>
      </c>
      <c r="AD41">
        <v>41</v>
      </c>
      <c r="AE41">
        <v>25</v>
      </c>
      <c r="AF41">
        <v>41</v>
      </c>
      <c r="AG41">
        <v>25</v>
      </c>
      <c r="AH41">
        <v>41</v>
      </c>
      <c r="AI41">
        <v>25</v>
      </c>
      <c r="AJ41">
        <v>41</v>
      </c>
      <c r="AK41">
        <v>45</v>
      </c>
      <c r="AL41">
        <v>51</v>
      </c>
      <c r="AM41">
        <v>45</v>
      </c>
      <c r="AN41">
        <v>61</v>
      </c>
      <c r="AO41">
        <v>45</v>
      </c>
    </row>
    <row r="42" spans="1:41">
      <c r="A42" s="147" t="s">
        <v>282</v>
      </c>
      <c r="B42">
        <v>0</v>
      </c>
      <c r="C42">
        <v>0</v>
      </c>
      <c r="D42">
        <v>5</v>
      </c>
      <c r="E42">
        <v>0</v>
      </c>
      <c r="F42">
        <v>10</v>
      </c>
      <c r="G42">
        <v>0</v>
      </c>
      <c r="H42">
        <v>10</v>
      </c>
      <c r="I42">
        <v>10</v>
      </c>
      <c r="J42">
        <v>10</v>
      </c>
      <c r="K42">
        <v>10</v>
      </c>
      <c r="L42">
        <v>10</v>
      </c>
      <c r="M42">
        <v>10</v>
      </c>
      <c r="N42">
        <v>17</v>
      </c>
      <c r="O42">
        <v>10</v>
      </c>
      <c r="P42">
        <v>17</v>
      </c>
      <c r="Q42">
        <v>10</v>
      </c>
      <c r="R42">
        <v>24</v>
      </c>
      <c r="S42">
        <v>10</v>
      </c>
      <c r="T42">
        <v>24</v>
      </c>
      <c r="U42">
        <v>10</v>
      </c>
      <c r="V42">
        <v>24</v>
      </c>
      <c r="W42">
        <v>25</v>
      </c>
      <c r="X42">
        <v>31</v>
      </c>
      <c r="Y42">
        <v>25</v>
      </c>
      <c r="Z42">
        <v>31</v>
      </c>
      <c r="AA42">
        <v>25</v>
      </c>
      <c r="AB42">
        <v>31</v>
      </c>
      <c r="AC42">
        <v>25</v>
      </c>
      <c r="AD42">
        <v>41</v>
      </c>
      <c r="AE42">
        <v>25</v>
      </c>
      <c r="AF42">
        <v>41</v>
      </c>
      <c r="AG42">
        <v>25</v>
      </c>
      <c r="AH42">
        <v>41</v>
      </c>
      <c r="AI42">
        <v>25</v>
      </c>
      <c r="AJ42">
        <v>41</v>
      </c>
      <c r="AK42">
        <v>45</v>
      </c>
      <c r="AL42">
        <v>51</v>
      </c>
      <c r="AM42">
        <v>45</v>
      </c>
      <c r="AN42">
        <v>61</v>
      </c>
      <c r="AO42">
        <v>45</v>
      </c>
    </row>
    <row r="43" spans="1:41">
      <c r="A43" s="146" t="s">
        <v>182</v>
      </c>
      <c r="B43">
        <v>0</v>
      </c>
      <c r="C43">
        <v>0</v>
      </c>
      <c r="D43">
        <v>5</v>
      </c>
      <c r="E43">
        <v>0</v>
      </c>
      <c r="F43">
        <v>10</v>
      </c>
      <c r="G43">
        <v>0</v>
      </c>
      <c r="H43">
        <v>10</v>
      </c>
      <c r="I43">
        <v>10</v>
      </c>
      <c r="J43">
        <v>10</v>
      </c>
      <c r="K43">
        <v>10</v>
      </c>
      <c r="L43">
        <v>10</v>
      </c>
      <c r="M43">
        <v>10</v>
      </c>
      <c r="N43">
        <v>17</v>
      </c>
      <c r="O43">
        <v>10</v>
      </c>
      <c r="P43">
        <v>17</v>
      </c>
      <c r="Q43">
        <v>10</v>
      </c>
      <c r="R43">
        <v>24</v>
      </c>
      <c r="S43">
        <v>10</v>
      </c>
      <c r="T43">
        <v>24</v>
      </c>
      <c r="U43">
        <v>10</v>
      </c>
      <c r="V43">
        <v>24</v>
      </c>
      <c r="W43">
        <v>25</v>
      </c>
      <c r="X43">
        <v>31</v>
      </c>
      <c r="Y43">
        <v>25</v>
      </c>
      <c r="Z43">
        <v>31</v>
      </c>
      <c r="AA43">
        <v>25</v>
      </c>
      <c r="AB43">
        <v>31</v>
      </c>
      <c r="AC43">
        <v>25</v>
      </c>
      <c r="AD43">
        <v>41</v>
      </c>
      <c r="AE43">
        <v>25</v>
      </c>
      <c r="AF43">
        <v>41</v>
      </c>
      <c r="AG43">
        <v>25</v>
      </c>
      <c r="AH43">
        <v>41</v>
      </c>
      <c r="AI43">
        <v>25</v>
      </c>
      <c r="AJ43">
        <v>41</v>
      </c>
      <c r="AK43">
        <v>45</v>
      </c>
      <c r="AL43">
        <v>51</v>
      </c>
      <c r="AM43">
        <v>45</v>
      </c>
      <c r="AN43">
        <v>61</v>
      </c>
      <c r="AO43">
        <v>45</v>
      </c>
    </row>
    <row r="44" spans="1:41">
      <c r="A44" s="147" t="s">
        <v>142</v>
      </c>
      <c r="B44">
        <v>0</v>
      </c>
      <c r="C44">
        <v>0</v>
      </c>
      <c r="D44">
        <v>5</v>
      </c>
      <c r="E44">
        <v>0</v>
      </c>
      <c r="F44">
        <v>10</v>
      </c>
      <c r="G44">
        <v>0</v>
      </c>
      <c r="H44">
        <v>10</v>
      </c>
      <c r="I44">
        <v>10</v>
      </c>
      <c r="J44">
        <v>10</v>
      </c>
      <c r="K44">
        <v>10</v>
      </c>
      <c r="L44">
        <v>10</v>
      </c>
      <c r="M44">
        <v>10</v>
      </c>
      <c r="N44">
        <v>17</v>
      </c>
      <c r="O44">
        <v>10</v>
      </c>
      <c r="P44">
        <v>17</v>
      </c>
      <c r="Q44">
        <v>10</v>
      </c>
      <c r="R44">
        <v>24</v>
      </c>
      <c r="S44">
        <v>10</v>
      </c>
      <c r="T44">
        <v>24</v>
      </c>
      <c r="U44">
        <v>10</v>
      </c>
      <c r="V44">
        <v>24</v>
      </c>
      <c r="W44">
        <v>25</v>
      </c>
      <c r="X44">
        <v>31</v>
      </c>
      <c r="Y44">
        <v>25</v>
      </c>
      <c r="Z44">
        <v>31</v>
      </c>
      <c r="AA44">
        <v>25</v>
      </c>
      <c r="AB44">
        <v>31</v>
      </c>
      <c r="AC44">
        <v>25</v>
      </c>
      <c r="AD44">
        <v>41</v>
      </c>
      <c r="AE44">
        <v>25</v>
      </c>
      <c r="AF44">
        <v>41</v>
      </c>
      <c r="AG44">
        <v>25</v>
      </c>
      <c r="AH44">
        <v>41</v>
      </c>
      <c r="AI44">
        <v>25</v>
      </c>
      <c r="AJ44">
        <v>41</v>
      </c>
      <c r="AK44">
        <v>45</v>
      </c>
      <c r="AL44">
        <v>51</v>
      </c>
      <c r="AM44">
        <v>45</v>
      </c>
      <c r="AN44">
        <v>61</v>
      </c>
      <c r="AO44">
        <v>45</v>
      </c>
    </row>
    <row r="45" spans="1:41">
      <c r="A45" s="146" t="s">
        <v>159</v>
      </c>
      <c r="B45">
        <v>0</v>
      </c>
      <c r="C45">
        <v>0</v>
      </c>
      <c r="D45">
        <v>5</v>
      </c>
      <c r="E45">
        <v>0</v>
      </c>
      <c r="F45">
        <v>10</v>
      </c>
      <c r="G45">
        <v>0</v>
      </c>
      <c r="H45">
        <v>10</v>
      </c>
      <c r="I45">
        <v>10</v>
      </c>
      <c r="J45">
        <v>10</v>
      </c>
      <c r="K45">
        <v>10</v>
      </c>
      <c r="L45">
        <v>10</v>
      </c>
      <c r="M45">
        <v>10</v>
      </c>
      <c r="N45">
        <v>17</v>
      </c>
      <c r="O45">
        <v>10</v>
      </c>
      <c r="P45">
        <v>17</v>
      </c>
      <c r="Q45">
        <v>10</v>
      </c>
      <c r="R45">
        <v>24</v>
      </c>
      <c r="S45">
        <v>10</v>
      </c>
      <c r="T45">
        <v>24</v>
      </c>
      <c r="U45">
        <v>10</v>
      </c>
      <c r="V45">
        <v>24</v>
      </c>
      <c r="W45">
        <v>25</v>
      </c>
      <c r="X45">
        <v>31</v>
      </c>
      <c r="Y45">
        <v>25</v>
      </c>
      <c r="Z45">
        <v>31</v>
      </c>
      <c r="AA45">
        <v>25</v>
      </c>
      <c r="AB45">
        <v>31</v>
      </c>
      <c r="AC45">
        <v>25</v>
      </c>
      <c r="AD45">
        <v>41</v>
      </c>
      <c r="AE45">
        <v>25</v>
      </c>
      <c r="AF45">
        <v>41</v>
      </c>
      <c r="AG45">
        <v>25</v>
      </c>
      <c r="AH45">
        <v>41</v>
      </c>
      <c r="AI45">
        <v>25</v>
      </c>
      <c r="AJ45">
        <v>41</v>
      </c>
      <c r="AK45">
        <v>45</v>
      </c>
      <c r="AL45">
        <v>51</v>
      </c>
      <c r="AM45">
        <v>45</v>
      </c>
      <c r="AN45">
        <v>61</v>
      </c>
      <c r="AO45">
        <v>45</v>
      </c>
    </row>
    <row r="46" spans="1:41">
      <c r="A46" s="147" t="s">
        <v>283</v>
      </c>
      <c r="B46">
        <v>0</v>
      </c>
      <c r="C46">
        <v>0</v>
      </c>
      <c r="D46">
        <v>5</v>
      </c>
      <c r="E46">
        <v>0</v>
      </c>
      <c r="F46">
        <v>10</v>
      </c>
      <c r="G46">
        <v>0</v>
      </c>
      <c r="H46">
        <v>10</v>
      </c>
      <c r="I46">
        <v>10</v>
      </c>
      <c r="J46">
        <v>10</v>
      </c>
      <c r="K46">
        <v>10</v>
      </c>
      <c r="L46">
        <v>10</v>
      </c>
      <c r="M46">
        <v>10</v>
      </c>
      <c r="N46">
        <v>17</v>
      </c>
      <c r="O46">
        <v>10</v>
      </c>
      <c r="P46">
        <v>17</v>
      </c>
      <c r="Q46">
        <v>10</v>
      </c>
      <c r="R46">
        <v>24</v>
      </c>
      <c r="S46">
        <v>10</v>
      </c>
      <c r="T46">
        <v>24</v>
      </c>
      <c r="U46">
        <v>10</v>
      </c>
      <c r="V46">
        <v>24</v>
      </c>
      <c r="W46">
        <v>25</v>
      </c>
      <c r="X46">
        <v>31</v>
      </c>
      <c r="Y46">
        <v>25</v>
      </c>
      <c r="Z46">
        <v>31</v>
      </c>
      <c r="AA46">
        <v>25</v>
      </c>
      <c r="AB46">
        <v>31</v>
      </c>
      <c r="AC46">
        <v>25</v>
      </c>
      <c r="AD46">
        <v>41</v>
      </c>
      <c r="AE46">
        <v>25</v>
      </c>
      <c r="AF46">
        <v>41</v>
      </c>
      <c r="AG46">
        <v>25</v>
      </c>
      <c r="AH46">
        <v>41</v>
      </c>
      <c r="AI46">
        <v>25</v>
      </c>
      <c r="AJ46">
        <v>41</v>
      </c>
      <c r="AK46">
        <v>45</v>
      </c>
      <c r="AL46">
        <v>51</v>
      </c>
      <c r="AM46">
        <v>45</v>
      </c>
      <c r="AN46">
        <v>61</v>
      </c>
      <c r="AO46">
        <v>45</v>
      </c>
    </row>
    <row r="47" spans="1:41">
      <c r="A47" s="146" t="s">
        <v>298</v>
      </c>
      <c r="B47">
        <v>0</v>
      </c>
      <c r="C47">
        <v>0</v>
      </c>
      <c r="D47">
        <v>5</v>
      </c>
      <c r="E47">
        <v>0</v>
      </c>
      <c r="F47">
        <v>10</v>
      </c>
      <c r="G47">
        <v>0</v>
      </c>
      <c r="H47">
        <v>10</v>
      </c>
      <c r="I47">
        <v>10</v>
      </c>
      <c r="J47">
        <v>10</v>
      </c>
      <c r="K47">
        <v>10</v>
      </c>
      <c r="L47">
        <v>10</v>
      </c>
      <c r="M47">
        <v>10</v>
      </c>
      <c r="N47">
        <v>17</v>
      </c>
      <c r="O47">
        <v>10</v>
      </c>
      <c r="P47">
        <v>17</v>
      </c>
      <c r="Q47">
        <v>10</v>
      </c>
      <c r="R47">
        <v>24</v>
      </c>
      <c r="S47">
        <v>10</v>
      </c>
      <c r="T47">
        <v>24</v>
      </c>
      <c r="U47">
        <v>10</v>
      </c>
      <c r="V47">
        <v>24</v>
      </c>
      <c r="W47">
        <v>25</v>
      </c>
      <c r="X47">
        <v>31</v>
      </c>
      <c r="Y47">
        <v>25</v>
      </c>
      <c r="Z47">
        <v>31</v>
      </c>
      <c r="AA47">
        <v>25</v>
      </c>
      <c r="AB47">
        <v>31</v>
      </c>
      <c r="AC47">
        <v>25</v>
      </c>
      <c r="AD47">
        <v>41</v>
      </c>
      <c r="AE47">
        <v>25</v>
      </c>
      <c r="AF47">
        <v>41</v>
      </c>
      <c r="AG47">
        <v>25</v>
      </c>
      <c r="AH47">
        <v>41</v>
      </c>
      <c r="AI47">
        <v>25</v>
      </c>
      <c r="AJ47">
        <v>41</v>
      </c>
      <c r="AK47">
        <v>45</v>
      </c>
      <c r="AL47">
        <v>51</v>
      </c>
      <c r="AM47">
        <v>45</v>
      </c>
      <c r="AN47">
        <v>61</v>
      </c>
      <c r="AO47">
        <v>45</v>
      </c>
    </row>
    <row r="48" spans="1:41">
      <c r="A48" s="147" t="s">
        <v>161</v>
      </c>
      <c r="B48">
        <v>0</v>
      </c>
      <c r="C48">
        <v>0</v>
      </c>
      <c r="D48">
        <v>5</v>
      </c>
      <c r="E48">
        <v>0</v>
      </c>
      <c r="F48">
        <v>10</v>
      </c>
      <c r="G48">
        <v>0</v>
      </c>
      <c r="H48">
        <v>10</v>
      </c>
      <c r="I48">
        <v>10</v>
      </c>
      <c r="J48">
        <v>10</v>
      </c>
      <c r="K48">
        <v>10</v>
      </c>
      <c r="L48">
        <v>10</v>
      </c>
      <c r="M48">
        <v>10</v>
      </c>
      <c r="N48">
        <v>17</v>
      </c>
      <c r="O48">
        <v>10</v>
      </c>
      <c r="P48">
        <v>17</v>
      </c>
      <c r="Q48">
        <v>10</v>
      </c>
      <c r="R48">
        <v>24</v>
      </c>
      <c r="S48">
        <v>10</v>
      </c>
      <c r="T48">
        <v>24</v>
      </c>
      <c r="U48">
        <v>10</v>
      </c>
      <c r="V48">
        <v>24</v>
      </c>
      <c r="W48">
        <v>25</v>
      </c>
      <c r="X48">
        <v>31</v>
      </c>
      <c r="Y48">
        <v>25</v>
      </c>
      <c r="Z48">
        <v>31</v>
      </c>
      <c r="AA48">
        <v>25</v>
      </c>
      <c r="AB48">
        <v>31</v>
      </c>
      <c r="AC48">
        <v>25</v>
      </c>
      <c r="AD48">
        <v>41</v>
      </c>
      <c r="AE48">
        <v>25</v>
      </c>
      <c r="AF48">
        <v>41</v>
      </c>
      <c r="AG48">
        <v>25</v>
      </c>
      <c r="AH48">
        <v>41</v>
      </c>
      <c r="AI48">
        <v>25</v>
      </c>
      <c r="AJ48">
        <v>41</v>
      </c>
      <c r="AK48">
        <v>45</v>
      </c>
      <c r="AL48">
        <v>51</v>
      </c>
      <c r="AM48">
        <v>45</v>
      </c>
      <c r="AN48">
        <v>61</v>
      </c>
      <c r="AO48">
        <v>45</v>
      </c>
    </row>
    <row r="49" spans="1:41">
      <c r="A49" s="146" t="s">
        <v>284</v>
      </c>
      <c r="B49">
        <v>0</v>
      </c>
      <c r="C49">
        <v>0</v>
      </c>
      <c r="D49">
        <v>5</v>
      </c>
      <c r="E49">
        <v>0</v>
      </c>
      <c r="F49">
        <v>10</v>
      </c>
      <c r="G49">
        <v>0</v>
      </c>
      <c r="H49">
        <v>10</v>
      </c>
      <c r="I49">
        <v>10</v>
      </c>
      <c r="J49">
        <v>10</v>
      </c>
      <c r="K49">
        <v>10</v>
      </c>
      <c r="L49">
        <v>10</v>
      </c>
      <c r="M49">
        <v>10</v>
      </c>
      <c r="N49">
        <v>17</v>
      </c>
      <c r="O49">
        <v>10</v>
      </c>
      <c r="P49">
        <v>17</v>
      </c>
      <c r="Q49">
        <v>10</v>
      </c>
      <c r="R49">
        <v>24</v>
      </c>
      <c r="S49">
        <v>10</v>
      </c>
      <c r="T49">
        <v>24</v>
      </c>
      <c r="U49">
        <v>10</v>
      </c>
      <c r="V49">
        <v>24</v>
      </c>
      <c r="W49">
        <v>25</v>
      </c>
      <c r="X49">
        <v>31</v>
      </c>
      <c r="Y49">
        <v>25</v>
      </c>
      <c r="Z49">
        <v>31</v>
      </c>
      <c r="AA49">
        <v>25</v>
      </c>
      <c r="AB49">
        <v>31</v>
      </c>
      <c r="AC49">
        <v>25</v>
      </c>
      <c r="AD49">
        <v>41</v>
      </c>
      <c r="AE49">
        <v>25</v>
      </c>
      <c r="AF49">
        <v>41</v>
      </c>
      <c r="AG49">
        <v>25</v>
      </c>
      <c r="AH49">
        <v>41</v>
      </c>
      <c r="AI49">
        <v>25</v>
      </c>
      <c r="AJ49">
        <v>41</v>
      </c>
      <c r="AK49">
        <v>45</v>
      </c>
      <c r="AL49">
        <v>51</v>
      </c>
      <c r="AM49">
        <v>45</v>
      </c>
      <c r="AN49">
        <v>61</v>
      </c>
      <c r="AO49">
        <v>45</v>
      </c>
    </row>
    <row r="50" spans="1:41">
      <c r="A50" s="147" t="s">
        <v>285</v>
      </c>
      <c r="B50">
        <v>0</v>
      </c>
      <c r="C50">
        <v>0</v>
      </c>
      <c r="D50">
        <v>5</v>
      </c>
      <c r="E50">
        <v>0</v>
      </c>
      <c r="F50">
        <v>10</v>
      </c>
      <c r="G50">
        <v>0</v>
      </c>
      <c r="H50">
        <v>10</v>
      </c>
      <c r="I50">
        <v>10</v>
      </c>
      <c r="J50">
        <v>10</v>
      </c>
      <c r="K50">
        <v>10</v>
      </c>
      <c r="L50">
        <v>10</v>
      </c>
      <c r="M50">
        <v>10</v>
      </c>
      <c r="N50">
        <v>17</v>
      </c>
      <c r="O50">
        <v>10</v>
      </c>
      <c r="P50">
        <v>17</v>
      </c>
      <c r="Q50">
        <v>10</v>
      </c>
      <c r="R50">
        <v>24</v>
      </c>
      <c r="S50">
        <v>10</v>
      </c>
      <c r="T50">
        <v>24</v>
      </c>
      <c r="U50">
        <v>10</v>
      </c>
      <c r="V50">
        <v>24</v>
      </c>
      <c r="W50">
        <v>25</v>
      </c>
      <c r="X50">
        <v>31</v>
      </c>
      <c r="Y50">
        <v>25</v>
      </c>
      <c r="Z50">
        <v>31</v>
      </c>
      <c r="AA50">
        <v>25</v>
      </c>
      <c r="AB50">
        <v>31</v>
      </c>
      <c r="AC50">
        <v>25</v>
      </c>
      <c r="AD50">
        <v>41</v>
      </c>
      <c r="AE50">
        <v>25</v>
      </c>
      <c r="AF50">
        <v>41</v>
      </c>
      <c r="AG50">
        <v>25</v>
      </c>
      <c r="AH50">
        <v>41</v>
      </c>
      <c r="AI50">
        <v>25</v>
      </c>
      <c r="AJ50">
        <v>41</v>
      </c>
      <c r="AK50">
        <v>45</v>
      </c>
      <c r="AL50">
        <v>51</v>
      </c>
      <c r="AM50">
        <v>45</v>
      </c>
      <c r="AN50">
        <v>61</v>
      </c>
      <c r="AO50">
        <v>45</v>
      </c>
    </row>
    <row r="51" spans="1:41">
      <c r="A51" s="146" t="s">
        <v>286</v>
      </c>
      <c r="B51">
        <v>0</v>
      </c>
      <c r="C51">
        <v>0</v>
      </c>
      <c r="D51">
        <v>5</v>
      </c>
      <c r="E51">
        <v>0</v>
      </c>
      <c r="F51">
        <v>10</v>
      </c>
      <c r="G51">
        <v>0</v>
      </c>
      <c r="H51">
        <v>10</v>
      </c>
      <c r="I51">
        <v>10</v>
      </c>
      <c r="J51">
        <v>10</v>
      </c>
      <c r="K51">
        <v>10</v>
      </c>
      <c r="L51">
        <v>10</v>
      </c>
      <c r="M51">
        <v>10</v>
      </c>
      <c r="N51">
        <v>17</v>
      </c>
      <c r="O51">
        <v>10</v>
      </c>
      <c r="P51">
        <v>17</v>
      </c>
      <c r="Q51">
        <v>10</v>
      </c>
      <c r="R51">
        <v>24</v>
      </c>
      <c r="S51">
        <v>10</v>
      </c>
      <c r="T51">
        <v>24</v>
      </c>
      <c r="U51">
        <v>10</v>
      </c>
      <c r="V51">
        <v>24</v>
      </c>
      <c r="W51">
        <v>25</v>
      </c>
      <c r="X51">
        <v>31</v>
      </c>
      <c r="Y51">
        <v>25</v>
      </c>
      <c r="Z51">
        <v>31</v>
      </c>
      <c r="AA51">
        <v>25</v>
      </c>
      <c r="AB51">
        <v>31</v>
      </c>
      <c r="AC51">
        <v>25</v>
      </c>
      <c r="AD51">
        <v>41</v>
      </c>
      <c r="AE51">
        <v>25</v>
      </c>
      <c r="AF51">
        <v>41</v>
      </c>
      <c r="AG51">
        <v>25</v>
      </c>
      <c r="AH51">
        <v>41</v>
      </c>
      <c r="AI51">
        <v>25</v>
      </c>
      <c r="AJ51">
        <v>41</v>
      </c>
      <c r="AK51">
        <v>45</v>
      </c>
      <c r="AL51">
        <v>51</v>
      </c>
      <c r="AM51">
        <v>45</v>
      </c>
      <c r="AN51">
        <v>61</v>
      </c>
      <c r="AO51">
        <v>45</v>
      </c>
    </row>
    <row r="52" spans="1:41">
      <c r="A52" s="147" t="s">
        <v>287</v>
      </c>
      <c r="B52">
        <v>0</v>
      </c>
      <c r="C52">
        <v>0</v>
      </c>
      <c r="D52">
        <v>5</v>
      </c>
      <c r="E52">
        <v>0</v>
      </c>
      <c r="F52">
        <v>10</v>
      </c>
      <c r="G52">
        <v>0</v>
      </c>
      <c r="H52">
        <v>10</v>
      </c>
      <c r="I52">
        <v>10</v>
      </c>
      <c r="J52">
        <v>10</v>
      </c>
      <c r="K52">
        <v>10</v>
      </c>
      <c r="L52">
        <v>10</v>
      </c>
      <c r="M52">
        <v>10</v>
      </c>
      <c r="N52">
        <v>17</v>
      </c>
      <c r="O52">
        <v>10</v>
      </c>
      <c r="P52">
        <v>17</v>
      </c>
      <c r="Q52">
        <v>10</v>
      </c>
      <c r="R52">
        <v>24</v>
      </c>
      <c r="S52">
        <v>10</v>
      </c>
      <c r="T52">
        <v>24</v>
      </c>
      <c r="U52">
        <v>10</v>
      </c>
      <c r="V52">
        <v>24</v>
      </c>
      <c r="W52">
        <v>25</v>
      </c>
      <c r="X52">
        <v>31</v>
      </c>
      <c r="Y52">
        <v>25</v>
      </c>
      <c r="Z52">
        <v>31</v>
      </c>
      <c r="AA52">
        <v>25</v>
      </c>
      <c r="AB52">
        <v>31</v>
      </c>
      <c r="AC52">
        <v>25</v>
      </c>
      <c r="AD52">
        <v>41</v>
      </c>
      <c r="AE52">
        <v>25</v>
      </c>
      <c r="AF52">
        <v>41</v>
      </c>
      <c r="AG52">
        <v>25</v>
      </c>
      <c r="AH52">
        <v>41</v>
      </c>
      <c r="AI52">
        <v>25</v>
      </c>
      <c r="AJ52">
        <v>41</v>
      </c>
      <c r="AK52">
        <v>45</v>
      </c>
      <c r="AL52">
        <v>51</v>
      </c>
      <c r="AM52">
        <v>45</v>
      </c>
      <c r="AN52">
        <v>61</v>
      </c>
      <c r="AO52">
        <v>45</v>
      </c>
    </row>
    <row r="53" spans="1:41">
      <c r="A53" s="146" t="s">
        <v>315</v>
      </c>
      <c r="B53">
        <v>0</v>
      </c>
      <c r="C53">
        <v>0</v>
      </c>
      <c r="D53">
        <v>5</v>
      </c>
      <c r="E53">
        <v>0</v>
      </c>
      <c r="F53">
        <v>10</v>
      </c>
      <c r="G53">
        <v>0</v>
      </c>
      <c r="H53">
        <v>10</v>
      </c>
      <c r="I53">
        <v>10</v>
      </c>
      <c r="J53">
        <v>10</v>
      </c>
      <c r="K53">
        <v>10</v>
      </c>
      <c r="L53">
        <v>10</v>
      </c>
      <c r="M53">
        <v>10</v>
      </c>
      <c r="N53">
        <v>17</v>
      </c>
      <c r="O53">
        <v>10</v>
      </c>
      <c r="P53">
        <v>17</v>
      </c>
      <c r="Q53">
        <v>10</v>
      </c>
      <c r="R53">
        <v>24</v>
      </c>
      <c r="S53">
        <v>10</v>
      </c>
      <c r="T53">
        <v>24</v>
      </c>
      <c r="U53">
        <v>10</v>
      </c>
      <c r="V53">
        <v>24</v>
      </c>
      <c r="W53">
        <v>25</v>
      </c>
      <c r="X53">
        <v>31</v>
      </c>
      <c r="Y53">
        <v>25</v>
      </c>
      <c r="Z53">
        <v>31</v>
      </c>
      <c r="AA53">
        <v>25</v>
      </c>
      <c r="AB53">
        <v>31</v>
      </c>
      <c r="AC53">
        <v>25</v>
      </c>
      <c r="AD53">
        <v>41</v>
      </c>
      <c r="AE53">
        <v>25</v>
      </c>
      <c r="AF53">
        <v>41</v>
      </c>
      <c r="AG53">
        <v>25</v>
      </c>
      <c r="AH53">
        <v>41</v>
      </c>
      <c r="AI53">
        <v>25</v>
      </c>
      <c r="AJ53">
        <v>41</v>
      </c>
      <c r="AK53">
        <v>45</v>
      </c>
      <c r="AL53">
        <v>51</v>
      </c>
      <c r="AM53">
        <v>45</v>
      </c>
      <c r="AN53">
        <v>61</v>
      </c>
      <c r="AO53">
        <v>45</v>
      </c>
    </row>
    <row r="54" spans="1:41">
      <c r="A54" s="147" t="s">
        <v>109</v>
      </c>
      <c r="B54">
        <v>0</v>
      </c>
      <c r="C54">
        <v>0</v>
      </c>
      <c r="D54">
        <v>5</v>
      </c>
      <c r="E54">
        <v>0</v>
      </c>
      <c r="F54">
        <v>10</v>
      </c>
      <c r="G54">
        <v>0</v>
      </c>
      <c r="H54">
        <v>10</v>
      </c>
      <c r="I54">
        <v>10</v>
      </c>
      <c r="J54">
        <v>10</v>
      </c>
      <c r="K54">
        <v>10</v>
      </c>
      <c r="L54">
        <v>10</v>
      </c>
      <c r="M54">
        <v>10</v>
      </c>
      <c r="N54">
        <v>17</v>
      </c>
      <c r="O54">
        <v>10</v>
      </c>
      <c r="P54">
        <v>17</v>
      </c>
      <c r="Q54">
        <v>10</v>
      </c>
      <c r="R54">
        <v>24</v>
      </c>
      <c r="S54">
        <v>10</v>
      </c>
      <c r="T54">
        <v>24</v>
      </c>
      <c r="U54">
        <v>10</v>
      </c>
      <c r="V54">
        <v>24</v>
      </c>
      <c r="W54">
        <v>25</v>
      </c>
      <c r="X54">
        <v>31</v>
      </c>
      <c r="Y54">
        <v>25</v>
      </c>
      <c r="Z54">
        <v>31</v>
      </c>
      <c r="AA54">
        <v>25</v>
      </c>
      <c r="AB54">
        <v>31</v>
      </c>
      <c r="AC54">
        <v>25</v>
      </c>
      <c r="AD54">
        <v>41</v>
      </c>
      <c r="AE54">
        <v>25</v>
      </c>
      <c r="AF54">
        <v>41</v>
      </c>
      <c r="AG54">
        <v>25</v>
      </c>
      <c r="AH54">
        <v>41</v>
      </c>
      <c r="AI54">
        <v>25</v>
      </c>
      <c r="AJ54">
        <v>41</v>
      </c>
      <c r="AK54">
        <v>45</v>
      </c>
      <c r="AL54">
        <v>51</v>
      </c>
      <c r="AM54">
        <v>45</v>
      </c>
      <c r="AN54">
        <v>61</v>
      </c>
      <c r="AO54">
        <v>45</v>
      </c>
    </row>
    <row r="55" spans="1:41">
      <c r="A55" s="146" t="s">
        <v>64</v>
      </c>
      <c r="B55">
        <v>0</v>
      </c>
      <c r="C55">
        <v>0</v>
      </c>
      <c r="D55">
        <v>5</v>
      </c>
      <c r="E55">
        <v>0</v>
      </c>
      <c r="F55">
        <v>10</v>
      </c>
      <c r="G55">
        <v>0</v>
      </c>
      <c r="H55">
        <v>10</v>
      </c>
      <c r="I55">
        <v>10</v>
      </c>
      <c r="J55">
        <v>10</v>
      </c>
      <c r="K55">
        <v>10</v>
      </c>
      <c r="L55">
        <v>10</v>
      </c>
      <c r="M55">
        <v>10</v>
      </c>
      <c r="N55">
        <v>17</v>
      </c>
      <c r="O55">
        <v>10</v>
      </c>
      <c r="P55">
        <v>17</v>
      </c>
      <c r="Q55">
        <v>10</v>
      </c>
      <c r="R55">
        <v>24</v>
      </c>
      <c r="S55">
        <v>10</v>
      </c>
      <c r="T55">
        <v>24</v>
      </c>
      <c r="U55">
        <v>10</v>
      </c>
      <c r="V55">
        <v>24</v>
      </c>
      <c r="W55">
        <v>25</v>
      </c>
      <c r="X55">
        <v>31</v>
      </c>
      <c r="Y55">
        <v>25</v>
      </c>
      <c r="Z55">
        <v>31</v>
      </c>
      <c r="AA55">
        <v>25</v>
      </c>
      <c r="AB55">
        <v>31</v>
      </c>
      <c r="AC55">
        <v>25</v>
      </c>
      <c r="AD55">
        <v>41</v>
      </c>
      <c r="AE55">
        <v>25</v>
      </c>
      <c r="AF55">
        <v>41</v>
      </c>
      <c r="AG55">
        <v>25</v>
      </c>
      <c r="AH55">
        <v>41</v>
      </c>
      <c r="AI55">
        <v>25</v>
      </c>
      <c r="AJ55">
        <v>41</v>
      </c>
      <c r="AK55">
        <v>45</v>
      </c>
      <c r="AL55">
        <v>51</v>
      </c>
      <c r="AM55">
        <v>45</v>
      </c>
      <c r="AN55">
        <v>61</v>
      </c>
      <c r="AO55">
        <v>45</v>
      </c>
    </row>
    <row r="56" spans="1:41">
      <c r="A56" s="147" t="s">
        <v>187</v>
      </c>
      <c r="B56">
        <v>0</v>
      </c>
      <c r="C56">
        <v>0</v>
      </c>
      <c r="D56">
        <v>5</v>
      </c>
      <c r="E56">
        <v>0</v>
      </c>
      <c r="F56">
        <v>10</v>
      </c>
      <c r="G56">
        <v>0</v>
      </c>
      <c r="H56">
        <v>10</v>
      </c>
      <c r="I56">
        <v>10</v>
      </c>
      <c r="J56">
        <v>10</v>
      </c>
      <c r="K56">
        <v>10</v>
      </c>
      <c r="L56">
        <v>10</v>
      </c>
      <c r="M56">
        <v>10</v>
      </c>
      <c r="N56">
        <v>17</v>
      </c>
      <c r="O56">
        <v>10</v>
      </c>
      <c r="P56">
        <v>17</v>
      </c>
      <c r="Q56">
        <v>10</v>
      </c>
      <c r="R56">
        <v>24</v>
      </c>
      <c r="S56">
        <v>10</v>
      </c>
      <c r="T56">
        <v>24</v>
      </c>
      <c r="U56">
        <v>10</v>
      </c>
      <c r="V56">
        <v>24</v>
      </c>
      <c r="W56">
        <v>25</v>
      </c>
      <c r="X56">
        <v>31</v>
      </c>
      <c r="Y56">
        <v>25</v>
      </c>
      <c r="Z56">
        <v>31</v>
      </c>
      <c r="AA56">
        <v>25</v>
      </c>
      <c r="AB56">
        <v>31</v>
      </c>
      <c r="AC56">
        <v>25</v>
      </c>
      <c r="AD56">
        <v>41</v>
      </c>
      <c r="AE56">
        <v>25</v>
      </c>
      <c r="AF56">
        <v>41</v>
      </c>
      <c r="AG56">
        <v>25</v>
      </c>
      <c r="AH56">
        <v>41</v>
      </c>
      <c r="AI56">
        <v>25</v>
      </c>
      <c r="AJ56">
        <v>41</v>
      </c>
      <c r="AK56">
        <v>45</v>
      </c>
      <c r="AL56">
        <v>51</v>
      </c>
      <c r="AM56">
        <v>45</v>
      </c>
      <c r="AN56">
        <v>61</v>
      </c>
      <c r="AO56">
        <v>45</v>
      </c>
    </row>
    <row r="57" spans="1:41">
      <c r="A57" s="146" t="s">
        <v>132</v>
      </c>
      <c r="B57">
        <v>0</v>
      </c>
      <c r="C57">
        <v>0</v>
      </c>
      <c r="D57">
        <v>5</v>
      </c>
      <c r="E57">
        <v>0</v>
      </c>
      <c r="F57">
        <v>10</v>
      </c>
      <c r="G57">
        <v>0</v>
      </c>
      <c r="H57">
        <v>10</v>
      </c>
      <c r="I57">
        <v>10</v>
      </c>
      <c r="J57">
        <v>10</v>
      </c>
      <c r="K57">
        <v>10</v>
      </c>
      <c r="L57">
        <v>10</v>
      </c>
      <c r="M57">
        <v>10</v>
      </c>
      <c r="N57">
        <v>17</v>
      </c>
      <c r="O57">
        <v>10</v>
      </c>
      <c r="P57">
        <v>17</v>
      </c>
      <c r="Q57">
        <v>10</v>
      </c>
      <c r="R57">
        <v>24</v>
      </c>
      <c r="S57">
        <v>10</v>
      </c>
      <c r="T57">
        <v>24</v>
      </c>
      <c r="U57">
        <v>10</v>
      </c>
      <c r="V57">
        <v>24</v>
      </c>
      <c r="W57">
        <v>25</v>
      </c>
      <c r="X57">
        <v>31</v>
      </c>
      <c r="Y57">
        <v>25</v>
      </c>
      <c r="Z57">
        <v>31</v>
      </c>
      <c r="AA57">
        <v>25</v>
      </c>
      <c r="AB57">
        <v>31</v>
      </c>
      <c r="AC57">
        <v>25</v>
      </c>
      <c r="AD57">
        <v>41</v>
      </c>
      <c r="AE57">
        <v>25</v>
      </c>
      <c r="AF57">
        <v>41</v>
      </c>
      <c r="AG57">
        <v>25</v>
      </c>
      <c r="AH57">
        <v>41</v>
      </c>
      <c r="AI57">
        <v>25</v>
      </c>
      <c r="AJ57">
        <v>41</v>
      </c>
      <c r="AK57">
        <v>45</v>
      </c>
      <c r="AL57">
        <v>51</v>
      </c>
      <c r="AM57">
        <v>45</v>
      </c>
      <c r="AN57">
        <v>61</v>
      </c>
      <c r="AO57">
        <v>45</v>
      </c>
    </row>
    <row r="58" spans="1:41">
      <c r="A58" s="147" t="s">
        <v>207</v>
      </c>
      <c r="B58">
        <v>0</v>
      </c>
      <c r="C58">
        <v>0</v>
      </c>
      <c r="D58">
        <v>5</v>
      </c>
      <c r="E58">
        <v>0</v>
      </c>
      <c r="F58">
        <v>10</v>
      </c>
      <c r="G58">
        <v>0</v>
      </c>
      <c r="H58">
        <v>10</v>
      </c>
      <c r="I58">
        <v>10</v>
      </c>
      <c r="J58">
        <v>10</v>
      </c>
      <c r="K58">
        <v>10</v>
      </c>
      <c r="L58">
        <v>10</v>
      </c>
      <c r="M58">
        <v>10</v>
      </c>
      <c r="N58">
        <v>17</v>
      </c>
      <c r="O58">
        <v>10</v>
      </c>
      <c r="P58">
        <v>17</v>
      </c>
      <c r="Q58">
        <v>10</v>
      </c>
      <c r="R58">
        <v>24</v>
      </c>
      <c r="S58">
        <v>10</v>
      </c>
      <c r="T58">
        <v>24</v>
      </c>
      <c r="U58">
        <v>10</v>
      </c>
      <c r="V58">
        <v>24</v>
      </c>
      <c r="W58">
        <v>25</v>
      </c>
      <c r="X58">
        <v>31</v>
      </c>
      <c r="Y58">
        <v>25</v>
      </c>
      <c r="Z58">
        <v>31</v>
      </c>
      <c r="AA58">
        <v>25</v>
      </c>
      <c r="AB58">
        <v>31</v>
      </c>
      <c r="AC58">
        <v>25</v>
      </c>
      <c r="AD58">
        <v>41</v>
      </c>
      <c r="AE58">
        <v>25</v>
      </c>
      <c r="AF58">
        <v>41</v>
      </c>
      <c r="AG58">
        <v>25</v>
      </c>
      <c r="AH58">
        <v>41</v>
      </c>
      <c r="AI58">
        <v>25</v>
      </c>
      <c r="AJ58">
        <v>41</v>
      </c>
      <c r="AK58">
        <v>45</v>
      </c>
      <c r="AL58">
        <v>51</v>
      </c>
      <c r="AM58">
        <v>45</v>
      </c>
      <c r="AN58">
        <v>61</v>
      </c>
      <c r="AO58">
        <v>45</v>
      </c>
    </row>
    <row r="59" spans="1:41">
      <c r="A59" s="146" t="s">
        <v>111</v>
      </c>
      <c r="B59">
        <v>0</v>
      </c>
      <c r="C59">
        <v>0</v>
      </c>
      <c r="D59">
        <v>5</v>
      </c>
      <c r="E59">
        <v>0</v>
      </c>
      <c r="F59">
        <v>10</v>
      </c>
      <c r="G59">
        <v>0</v>
      </c>
      <c r="H59">
        <v>10</v>
      </c>
      <c r="I59">
        <v>10</v>
      </c>
      <c r="J59">
        <v>10</v>
      </c>
      <c r="K59">
        <v>10</v>
      </c>
      <c r="L59">
        <v>10</v>
      </c>
      <c r="M59">
        <v>10</v>
      </c>
      <c r="N59">
        <v>17</v>
      </c>
      <c r="O59">
        <v>10</v>
      </c>
      <c r="P59">
        <v>17</v>
      </c>
      <c r="Q59">
        <v>10</v>
      </c>
      <c r="R59">
        <v>24</v>
      </c>
      <c r="S59">
        <v>10</v>
      </c>
      <c r="T59">
        <v>24</v>
      </c>
      <c r="U59">
        <v>10</v>
      </c>
      <c r="V59">
        <v>24</v>
      </c>
      <c r="W59">
        <v>25</v>
      </c>
      <c r="X59">
        <v>31</v>
      </c>
      <c r="Y59">
        <v>25</v>
      </c>
      <c r="Z59">
        <v>31</v>
      </c>
      <c r="AA59">
        <v>25</v>
      </c>
      <c r="AB59">
        <v>31</v>
      </c>
      <c r="AC59">
        <v>25</v>
      </c>
      <c r="AD59">
        <v>41</v>
      </c>
      <c r="AE59">
        <v>25</v>
      </c>
      <c r="AF59">
        <v>41</v>
      </c>
      <c r="AG59">
        <v>25</v>
      </c>
      <c r="AH59">
        <v>41</v>
      </c>
      <c r="AI59">
        <v>25</v>
      </c>
      <c r="AJ59">
        <v>41</v>
      </c>
      <c r="AK59">
        <v>45</v>
      </c>
      <c r="AL59">
        <v>51</v>
      </c>
      <c r="AM59">
        <v>45</v>
      </c>
      <c r="AN59">
        <v>61</v>
      </c>
      <c r="AO59">
        <v>45</v>
      </c>
    </row>
    <row r="60" spans="1:41">
      <c r="A60" s="147" t="s">
        <v>135</v>
      </c>
      <c r="B60">
        <v>0</v>
      </c>
      <c r="C60">
        <v>0</v>
      </c>
      <c r="D60">
        <v>5</v>
      </c>
      <c r="E60">
        <v>0</v>
      </c>
      <c r="F60">
        <v>10</v>
      </c>
      <c r="G60">
        <v>0</v>
      </c>
      <c r="H60">
        <v>10</v>
      </c>
      <c r="I60">
        <v>10</v>
      </c>
      <c r="J60">
        <v>10</v>
      </c>
      <c r="K60">
        <v>10</v>
      </c>
      <c r="L60">
        <v>10</v>
      </c>
      <c r="M60">
        <v>10</v>
      </c>
      <c r="N60">
        <v>17</v>
      </c>
      <c r="O60">
        <v>10</v>
      </c>
      <c r="P60">
        <v>17</v>
      </c>
      <c r="Q60">
        <v>10</v>
      </c>
      <c r="R60">
        <v>24</v>
      </c>
      <c r="S60">
        <v>10</v>
      </c>
      <c r="T60">
        <v>24</v>
      </c>
      <c r="U60">
        <v>10</v>
      </c>
      <c r="V60">
        <v>24</v>
      </c>
      <c r="W60">
        <v>25</v>
      </c>
      <c r="X60">
        <v>31</v>
      </c>
      <c r="Y60">
        <v>25</v>
      </c>
      <c r="Z60">
        <v>31</v>
      </c>
      <c r="AA60">
        <v>25</v>
      </c>
      <c r="AB60">
        <v>31</v>
      </c>
      <c r="AC60">
        <v>25</v>
      </c>
      <c r="AD60">
        <v>41</v>
      </c>
      <c r="AE60">
        <v>25</v>
      </c>
      <c r="AF60">
        <v>41</v>
      </c>
      <c r="AG60">
        <v>25</v>
      </c>
      <c r="AH60">
        <v>41</v>
      </c>
      <c r="AI60">
        <v>25</v>
      </c>
      <c r="AJ60">
        <v>41</v>
      </c>
      <c r="AK60">
        <v>45</v>
      </c>
      <c r="AL60">
        <v>51</v>
      </c>
      <c r="AM60">
        <v>45</v>
      </c>
      <c r="AN60">
        <v>61</v>
      </c>
      <c r="AO60">
        <v>45</v>
      </c>
    </row>
    <row r="61" spans="1:41">
      <c r="A61" s="146" t="s">
        <v>139</v>
      </c>
      <c r="B61">
        <v>0</v>
      </c>
      <c r="C61">
        <v>0</v>
      </c>
      <c r="D61">
        <v>5</v>
      </c>
      <c r="E61">
        <v>0</v>
      </c>
      <c r="F61">
        <v>10</v>
      </c>
      <c r="G61">
        <v>0</v>
      </c>
      <c r="H61">
        <v>10</v>
      </c>
      <c r="I61">
        <v>10</v>
      </c>
      <c r="J61">
        <v>10</v>
      </c>
      <c r="K61">
        <v>10</v>
      </c>
      <c r="L61">
        <v>10</v>
      </c>
      <c r="M61">
        <v>10</v>
      </c>
      <c r="N61">
        <v>17</v>
      </c>
      <c r="O61">
        <v>10</v>
      </c>
      <c r="P61">
        <v>17</v>
      </c>
      <c r="Q61">
        <v>10</v>
      </c>
      <c r="R61">
        <v>24</v>
      </c>
      <c r="S61">
        <v>10</v>
      </c>
      <c r="T61">
        <v>24</v>
      </c>
      <c r="U61">
        <v>10</v>
      </c>
      <c r="V61">
        <v>24</v>
      </c>
      <c r="W61">
        <v>25</v>
      </c>
      <c r="X61">
        <v>31</v>
      </c>
      <c r="Y61">
        <v>25</v>
      </c>
      <c r="Z61">
        <v>31</v>
      </c>
      <c r="AA61">
        <v>25</v>
      </c>
      <c r="AB61">
        <v>31</v>
      </c>
      <c r="AC61">
        <v>25</v>
      </c>
      <c r="AD61">
        <v>41</v>
      </c>
      <c r="AE61">
        <v>25</v>
      </c>
      <c r="AF61">
        <v>41</v>
      </c>
      <c r="AG61">
        <v>25</v>
      </c>
      <c r="AH61">
        <v>41</v>
      </c>
      <c r="AI61">
        <v>25</v>
      </c>
      <c r="AJ61">
        <v>41</v>
      </c>
      <c r="AK61">
        <v>45</v>
      </c>
      <c r="AL61">
        <v>51</v>
      </c>
      <c r="AM61">
        <v>45</v>
      </c>
      <c r="AN61">
        <v>61</v>
      </c>
      <c r="AO61">
        <v>45</v>
      </c>
    </row>
    <row r="62" spans="1:41">
      <c r="A62" s="147" t="s">
        <v>316</v>
      </c>
      <c r="B62">
        <v>0</v>
      </c>
      <c r="C62">
        <v>0</v>
      </c>
      <c r="D62">
        <v>5</v>
      </c>
      <c r="E62">
        <v>0</v>
      </c>
      <c r="F62">
        <v>10</v>
      </c>
      <c r="G62">
        <v>0</v>
      </c>
      <c r="H62">
        <v>10</v>
      </c>
      <c r="I62">
        <v>10</v>
      </c>
      <c r="J62">
        <v>10</v>
      </c>
      <c r="K62">
        <v>10</v>
      </c>
      <c r="L62">
        <v>10</v>
      </c>
      <c r="M62">
        <v>10</v>
      </c>
      <c r="N62">
        <v>17</v>
      </c>
      <c r="O62">
        <v>10</v>
      </c>
      <c r="P62">
        <v>17</v>
      </c>
      <c r="Q62">
        <v>10</v>
      </c>
      <c r="R62">
        <v>24</v>
      </c>
      <c r="S62">
        <v>10</v>
      </c>
      <c r="T62">
        <v>24</v>
      </c>
      <c r="U62">
        <v>10</v>
      </c>
      <c r="V62">
        <v>24</v>
      </c>
      <c r="W62">
        <v>25</v>
      </c>
      <c r="X62">
        <v>31</v>
      </c>
      <c r="Y62">
        <v>25</v>
      </c>
      <c r="Z62">
        <v>31</v>
      </c>
      <c r="AA62">
        <v>25</v>
      </c>
      <c r="AB62">
        <v>31</v>
      </c>
      <c r="AC62">
        <v>25</v>
      </c>
      <c r="AD62">
        <v>41</v>
      </c>
      <c r="AE62">
        <v>25</v>
      </c>
      <c r="AF62">
        <v>41</v>
      </c>
      <c r="AG62">
        <v>25</v>
      </c>
      <c r="AH62">
        <v>41</v>
      </c>
      <c r="AI62">
        <v>25</v>
      </c>
      <c r="AJ62">
        <v>41</v>
      </c>
      <c r="AK62">
        <v>45</v>
      </c>
      <c r="AL62">
        <v>51</v>
      </c>
      <c r="AM62">
        <v>45</v>
      </c>
      <c r="AN62">
        <v>61</v>
      </c>
      <c r="AO62">
        <v>45</v>
      </c>
    </row>
    <row r="63" spans="1:41">
      <c r="A63" s="146" t="s">
        <v>75</v>
      </c>
      <c r="B63">
        <v>0</v>
      </c>
      <c r="C63">
        <v>0</v>
      </c>
      <c r="D63">
        <v>5</v>
      </c>
      <c r="E63">
        <v>0</v>
      </c>
      <c r="F63">
        <v>10</v>
      </c>
      <c r="G63">
        <v>0</v>
      </c>
      <c r="H63">
        <v>10</v>
      </c>
      <c r="I63">
        <v>10</v>
      </c>
      <c r="J63">
        <v>10</v>
      </c>
      <c r="K63">
        <v>10</v>
      </c>
      <c r="L63">
        <v>10</v>
      </c>
      <c r="M63">
        <v>10</v>
      </c>
      <c r="N63">
        <v>17</v>
      </c>
      <c r="O63">
        <v>10</v>
      </c>
      <c r="P63">
        <v>17</v>
      </c>
      <c r="Q63">
        <v>10</v>
      </c>
      <c r="R63">
        <v>24</v>
      </c>
      <c r="S63">
        <v>10</v>
      </c>
      <c r="T63">
        <v>24</v>
      </c>
      <c r="U63">
        <v>10</v>
      </c>
      <c r="V63">
        <v>24</v>
      </c>
      <c r="W63">
        <v>25</v>
      </c>
      <c r="X63">
        <v>31</v>
      </c>
      <c r="Y63">
        <v>25</v>
      </c>
      <c r="Z63">
        <v>31</v>
      </c>
      <c r="AA63">
        <v>25</v>
      </c>
      <c r="AB63">
        <v>31</v>
      </c>
      <c r="AC63">
        <v>25</v>
      </c>
      <c r="AD63">
        <v>41</v>
      </c>
      <c r="AE63">
        <v>25</v>
      </c>
      <c r="AF63">
        <v>41</v>
      </c>
      <c r="AG63">
        <v>25</v>
      </c>
      <c r="AH63">
        <v>41</v>
      </c>
      <c r="AI63">
        <v>25</v>
      </c>
      <c r="AJ63">
        <v>41</v>
      </c>
      <c r="AK63">
        <v>45</v>
      </c>
      <c r="AL63">
        <v>51</v>
      </c>
      <c r="AM63">
        <v>45</v>
      </c>
      <c r="AN63">
        <v>61</v>
      </c>
      <c r="AO63">
        <v>45</v>
      </c>
    </row>
    <row r="64" spans="1:41">
      <c r="A64" s="147" t="s">
        <v>189</v>
      </c>
      <c r="B64">
        <v>0</v>
      </c>
      <c r="C64">
        <v>0</v>
      </c>
      <c r="D64">
        <v>5</v>
      </c>
      <c r="E64">
        <v>0</v>
      </c>
      <c r="F64">
        <v>10</v>
      </c>
      <c r="G64">
        <v>0</v>
      </c>
      <c r="H64">
        <v>10</v>
      </c>
      <c r="I64">
        <v>10</v>
      </c>
      <c r="J64">
        <v>10</v>
      </c>
      <c r="K64">
        <v>10</v>
      </c>
      <c r="L64">
        <v>10</v>
      </c>
      <c r="M64">
        <v>10</v>
      </c>
      <c r="N64">
        <v>17</v>
      </c>
      <c r="O64">
        <v>10</v>
      </c>
      <c r="P64">
        <v>17</v>
      </c>
      <c r="Q64">
        <v>10</v>
      </c>
      <c r="R64">
        <v>24</v>
      </c>
      <c r="S64">
        <v>10</v>
      </c>
      <c r="T64">
        <v>24</v>
      </c>
      <c r="U64">
        <v>10</v>
      </c>
      <c r="V64">
        <v>24</v>
      </c>
      <c r="W64">
        <v>25</v>
      </c>
      <c r="X64">
        <v>31</v>
      </c>
      <c r="Y64">
        <v>25</v>
      </c>
      <c r="Z64">
        <v>31</v>
      </c>
      <c r="AA64">
        <v>25</v>
      </c>
      <c r="AB64">
        <v>31</v>
      </c>
      <c r="AC64">
        <v>25</v>
      </c>
      <c r="AD64">
        <v>41</v>
      </c>
      <c r="AE64">
        <v>25</v>
      </c>
      <c r="AF64">
        <v>41</v>
      </c>
      <c r="AG64">
        <v>25</v>
      </c>
      <c r="AH64">
        <v>41</v>
      </c>
      <c r="AI64">
        <v>25</v>
      </c>
      <c r="AJ64">
        <v>41</v>
      </c>
      <c r="AK64">
        <v>45</v>
      </c>
      <c r="AL64">
        <v>51</v>
      </c>
      <c r="AM64">
        <v>45</v>
      </c>
      <c r="AN64">
        <v>61</v>
      </c>
      <c r="AO64">
        <v>45</v>
      </c>
    </row>
    <row r="65" spans="1:41">
      <c r="A65" s="146" t="s">
        <v>288</v>
      </c>
      <c r="B65">
        <v>0</v>
      </c>
      <c r="C65">
        <v>0</v>
      </c>
      <c r="D65">
        <v>5</v>
      </c>
      <c r="E65">
        <v>0</v>
      </c>
      <c r="F65">
        <v>10</v>
      </c>
      <c r="G65">
        <v>0</v>
      </c>
      <c r="H65">
        <v>10</v>
      </c>
      <c r="I65">
        <v>10</v>
      </c>
      <c r="J65">
        <v>10</v>
      </c>
      <c r="K65">
        <v>10</v>
      </c>
      <c r="L65">
        <v>10</v>
      </c>
      <c r="M65">
        <v>10</v>
      </c>
      <c r="N65">
        <v>17</v>
      </c>
      <c r="O65">
        <v>10</v>
      </c>
      <c r="P65">
        <v>17</v>
      </c>
      <c r="Q65">
        <v>10</v>
      </c>
      <c r="R65">
        <v>24</v>
      </c>
      <c r="S65">
        <v>10</v>
      </c>
      <c r="T65">
        <v>24</v>
      </c>
      <c r="U65">
        <v>10</v>
      </c>
      <c r="V65">
        <v>24</v>
      </c>
      <c r="W65">
        <v>25</v>
      </c>
      <c r="X65">
        <v>31</v>
      </c>
      <c r="Y65">
        <v>25</v>
      </c>
      <c r="Z65">
        <v>31</v>
      </c>
      <c r="AA65">
        <v>25</v>
      </c>
      <c r="AB65">
        <v>31</v>
      </c>
      <c r="AC65">
        <v>25</v>
      </c>
      <c r="AD65">
        <v>41</v>
      </c>
      <c r="AE65">
        <v>25</v>
      </c>
      <c r="AF65">
        <v>41</v>
      </c>
      <c r="AG65">
        <v>25</v>
      </c>
      <c r="AH65">
        <v>41</v>
      </c>
      <c r="AI65">
        <v>25</v>
      </c>
      <c r="AJ65">
        <v>41</v>
      </c>
      <c r="AK65">
        <v>45</v>
      </c>
      <c r="AL65">
        <v>51</v>
      </c>
      <c r="AM65">
        <v>45</v>
      </c>
      <c r="AN65">
        <v>61</v>
      </c>
      <c r="AO65">
        <v>45</v>
      </c>
    </row>
    <row r="66" spans="1:41">
      <c r="A66" s="147" t="s">
        <v>289</v>
      </c>
      <c r="B66">
        <v>0</v>
      </c>
      <c r="C66">
        <v>0</v>
      </c>
      <c r="D66">
        <v>5</v>
      </c>
      <c r="E66">
        <v>0</v>
      </c>
      <c r="F66">
        <v>10</v>
      </c>
      <c r="G66">
        <v>0</v>
      </c>
      <c r="H66">
        <v>10</v>
      </c>
      <c r="I66">
        <v>10</v>
      </c>
      <c r="J66">
        <v>10</v>
      </c>
      <c r="K66">
        <v>10</v>
      </c>
      <c r="L66">
        <v>10</v>
      </c>
      <c r="M66">
        <v>10</v>
      </c>
      <c r="N66">
        <v>17</v>
      </c>
      <c r="O66">
        <v>10</v>
      </c>
      <c r="P66">
        <v>17</v>
      </c>
      <c r="Q66">
        <v>10</v>
      </c>
      <c r="R66">
        <v>24</v>
      </c>
      <c r="S66">
        <v>10</v>
      </c>
      <c r="T66">
        <v>24</v>
      </c>
      <c r="U66">
        <v>10</v>
      </c>
      <c r="V66">
        <v>24</v>
      </c>
      <c r="W66">
        <v>25</v>
      </c>
      <c r="X66">
        <v>31</v>
      </c>
      <c r="Y66">
        <v>25</v>
      </c>
      <c r="Z66">
        <v>31</v>
      </c>
      <c r="AA66">
        <v>25</v>
      </c>
      <c r="AB66">
        <v>31</v>
      </c>
      <c r="AC66">
        <v>25</v>
      </c>
      <c r="AD66">
        <v>41</v>
      </c>
      <c r="AE66">
        <v>25</v>
      </c>
      <c r="AF66">
        <v>41</v>
      </c>
      <c r="AG66">
        <v>25</v>
      </c>
      <c r="AH66">
        <v>41</v>
      </c>
      <c r="AI66">
        <v>25</v>
      </c>
      <c r="AJ66">
        <v>41</v>
      </c>
      <c r="AK66">
        <v>45</v>
      </c>
      <c r="AL66">
        <v>51</v>
      </c>
      <c r="AM66">
        <v>45</v>
      </c>
      <c r="AN66">
        <v>61</v>
      </c>
      <c r="AO66">
        <v>45</v>
      </c>
    </row>
    <row r="67" spans="1:41">
      <c r="A67" s="146" t="s">
        <v>317</v>
      </c>
      <c r="B67">
        <v>0</v>
      </c>
      <c r="C67">
        <v>0</v>
      </c>
      <c r="D67">
        <v>5</v>
      </c>
      <c r="E67">
        <v>0</v>
      </c>
      <c r="F67">
        <v>10</v>
      </c>
      <c r="G67">
        <v>0</v>
      </c>
      <c r="H67">
        <v>10</v>
      </c>
      <c r="I67">
        <v>10</v>
      </c>
      <c r="J67">
        <v>10</v>
      </c>
      <c r="K67">
        <v>10</v>
      </c>
      <c r="L67">
        <v>10</v>
      </c>
      <c r="M67">
        <v>10</v>
      </c>
      <c r="N67">
        <v>17</v>
      </c>
      <c r="O67">
        <v>10</v>
      </c>
      <c r="P67">
        <v>17</v>
      </c>
      <c r="Q67">
        <v>10</v>
      </c>
      <c r="R67">
        <v>24</v>
      </c>
      <c r="S67">
        <v>10</v>
      </c>
      <c r="T67">
        <v>24</v>
      </c>
      <c r="U67">
        <v>10</v>
      </c>
      <c r="V67">
        <v>24</v>
      </c>
      <c r="W67">
        <v>25</v>
      </c>
      <c r="X67">
        <v>31</v>
      </c>
      <c r="Y67">
        <v>25</v>
      </c>
      <c r="Z67">
        <v>31</v>
      </c>
      <c r="AA67">
        <v>25</v>
      </c>
      <c r="AB67">
        <v>31</v>
      </c>
      <c r="AC67">
        <v>25</v>
      </c>
      <c r="AD67">
        <v>41</v>
      </c>
      <c r="AE67">
        <v>25</v>
      </c>
      <c r="AF67">
        <v>41</v>
      </c>
      <c r="AG67">
        <v>25</v>
      </c>
      <c r="AH67">
        <v>41</v>
      </c>
      <c r="AI67">
        <v>25</v>
      </c>
      <c r="AJ67">
        <v>41</v>
      </c>
      <c r="AK67">
        <v>45</v>
      </c>
      <c r="AL67">
        <v>51</v>
      </c>
      <c r="AM67">
        <v>45</v>
      </c>
      <c r="AN67">
        <v>61</v>
      </c>
      <c r="AO67">
        <v>45</v>
      </c>
    </row>
    <row r="68" spans="1:41">
      <c r="A68" s="147" t="s">
        <v>318</v>
      </c>
      <c r="B68">
        <v>0</v>
      </c>
      <c r="C68">
        <v>0</v>
      </c>
      <c r="D68">
        <v>5</v>
      </c>
      <c r="E68">
        <v>0</v>
      </c>
      <c r="F68">
        <v>10</v>
      </c>
      <c r="G68">
        <v>0</v>
      </c>
      <c r="H68">
        <v>10</v>
      </c>
      <c r="I68">
        <v>10</v>
      </c>
      <c r="J68">
        <v>10</v>
      </c>
      <c r="K68">
        <v>10</v>
      </c>
      <c r="L68">
        <v>10</v>
      </c>
      <c r="M68">
        <v>10</v>
      </c>
      <c r="N68">
        <v>17</v>
      </c>
      <c r="O68">
        <v>10</v>
      </c>
      <c r="P68">
        <v>17</v>
      </c>
      <c r="Q68">
        <v>10</v>
      </c>
      <c r="R68">
        <v>24</v>
      </c>
      <c r="S68">
        <v>10</v>
      </c>
      <c r="T68">
        <v>24</v>
      </c>
      <c r="U68">
        <v>10</v>
      </c>
      <c r="V68">
        <v>24</v>
      </c>
      <c r="W68">
        <v>25</v>
      </c>
      <c r="X68">
        <v>31</v>
      </c>
      <c r="Y68">
        <v>25</v>
      </c>
      <c r="Z68">
        <v>31</v>
      </c>
      <c r="AA68">
        <v>25</v>
      </c>
      <c r="AB68">
        <v>31</v>
      </c>
      <c r="AC68">
        <v>25</v>
      </c>
      <c r="AD68">
        <v>41</v>
      </c>
      <c r="AE68">
        <v>25</v>
      </c>
      <c r="AF68">
        <v>41</v>
      </c>
      <c r="AG68">
        <v>25</v>
      </c>
      <c r="AH68">
        <v>41</v>
      </c>
      <c r="AI68">
        <v>25</v>
      </c>
      <c r="AJ68">
        <v>41</v>
      </c>
      <c r="AK68">
        <v>45</v>
      </c>
      <c r="AL68">
        <v>51</v>
      </c>
      <c r="AM68">
        <v>45</v>
      </c>
      <c r="AN68">
        <v>61</v>
      </c>
      <c r="AO68">
        <v>45</v>
      </c>
    </row>
    <row r="69" spans="1:41">
      <c r="A69" s="146" t="s">
        <v>290</v>
      </c>
      <c r="B69">
        <v>0</v>
      </c>
      <c r="C69">
        <v>0</v>
      </c>
      <c r="D69">
        <v>5</v>
      </c>
      <c r="E69">
        <v>0</v>
      </c>
      <c r="F69">
        <v>10</v>
      </c>
      <c r="G69">
        <v>0</v>
      </c>
      <c r="H69">
        <v>10</v>
      </c>
      <c r="I69">
        <v>10</v>
      </c>
      <c r="J69">
        <v>10</v>
      </c>
      <c r="K69">
        <v>10</v>
      </c>
      <c r="L69">
        <v>10</v>
      </c>
      <c r="M69">
        <v>10</v>
      </c>
      <c r="N69">
        <v>17</v>
      </c>
      <c r="O69">
        <v>10</v>
      </c>
      <c r="P69">
        <v>17</v>
      </c>
      <c r="Q69">
        <v>10</v>
      </c>
      <c r="R69">
        <v>24</v>
      </c>
      <c r="S69">
        <v>10</v>
      </c>
      <c r="T69">
        <v>24</v>
      </c>
      <c r="U69">
        <v>10</v>
      </c>
      <c r="V69">
        <v>24</v>
      </c>
      <c r="W69">
        <v>25</v>
      </c>
      <c r="X69">
        <v>31</v>
      </c>
      <c r="Y69">
        <v>25</v>
      </c>
      <c r="Z69">
        <v>31</v>
      </c>
      <c r="AA69">
        <v>25</v>
      </c>
      <c r="AB69">
        <v>31</v>
      </c>
      <c r="AC69">
        <v>25</v>
      </c>
      <c r="AD69">
        <v>41</v>
      </c>
      <c r="AE69">
        <v>25</v>
      </c>
      <c r="AF69">
        <v>41</v>
      </c>
      <c r="AG69">
        <v>25</v>
      </c>
      <c r="AH69">
        <v>41</v>
      </c>
      <c r="AI69">
        <v>25</v>
      </c>
      <c r="AJ69">
        <v>41</v>
      </c>
      <c r="AK69">
        <v>45</v>
      </c>
      <c r="AL69">
        <v>51</v>
      </c>
      <c r="AM69">
        <v>45</v>
      </c>
      <c r="AN69">
        <v>61</v>
      </c>
      <c r="AO69">
        <v>45</v>
      </c>
    </row>
    <row r="70" spans="1:41">
      <c r="A70" s="147" t="s">
        <v>291</v>
      </c>
      <c r="B70">
        <v>0</v>
      </c>
      <c r="C70">
        <v>0</v>
      </c>
      <c r="D70">
        <v>5</v>
      </c>
      <c r="E70">
        <v>0</v>
      </c>
      <c r="F70">
        <v>10</v>
      </c>
      <c r="G70">
        <v>0</v>
      </c>
      <c r="H70">
        <v>10</v>
      </c>
      <c r="I70">
        <v>10</v>
      </c>
      <c r="J70">
        <v>10</v>
      </c>
      <c r="K70">
        <v>10</v>
      </c>
      <c r="L70">
        <v>10</v>
      </c>
      <c r="M70">
        <v>10</v>
      </c>
      <c r="N70">
        <v>17</v>
      </c>
      <c r="O70">
        <v>10</v>
      </c>
      <c r="P70">
        <v>17</v>
      </c>
      <c r="Q70">
        <v>10</v>
      </c>
      <c r="R70">
        <v>24</v>
      </c>
      <c r="S70">
        <v>10</v>
      </c>
      <c r="T70">
        <v>24</v>
      </c>
      <c r="U70">
        <v>10</v>
      </c>
      <c r="V70">
        <v>24</v>
      </c>
      <c r="W70">
        <v>25</v>
      </c>
      <c r="X70">
        <v>31</v>
      </c>
      <c r="Y70">
        <v>25</v>
      </c>
      <c r="Z70">
        <v>31</v>
      </c>
      <c r="AA70">
        <v>25</v>
      </c>
      <c r="AB70">
        <v>31</v>
      </c>
      <c r="AC70">
        <v>25</v>
      </c>
      <c r="AD70">
        <v>41</v>
      </c>
      <c r="AE70">
        <v>25</v>
      </c>
      <c r="AF70">
        <v>41</v>
      </c>
      <c r="AG70">
        <v>25</v>
      </c>
      <c r="AH70">
        <v>41</v>
      </c>
      <c r="AI70">
        <v>25</v>
      </c>
      <c r="AJ70">
        <v>41</v>
      </c>
      <c r="AK70">
        <v>45</v>
      </c>
      <c r="AL70">
        <v>51</v>
      </c>
      <c r="AM70">
        <v>45</v>
      </c>
      <c r="AN70">
        <v>61</v>
      </c>
      <c r="AO70">
        <v>45</v>
      </c>
    </row>
    <row r="71" spans="1:41">
      <c r="A71" s="146" t="s">
        <v>292</v>
      </c>
      <c r="B71">
        <v>0</v>
      </c>
      <c r="C71">
        <v>0</v>
      </c>
      <c r="D71">
        <v>5</v>
      </c>
      <c r="E71">
        <v>0</v>
      </c>
      <c r="F71">
        <v>10</v>
      </c>
      <c r="G71">
        <v>0</v>
      </c>
      <c r="H71">
        <v>10</v>
      </c>
      <c r="I71">
        <v>10</v>
      </c>
      <c r="J71">
        <v>10</v>
      </c>
      <c r="K71">
        <v>10</v>
      </c>
      <c r="L71">
        <v>10</v>
      </c>
      <c r="M71">
        <v>10</v>
      </c>
      <c r="N71">
        <v>17</v>
      </c>
      <c r="O71">
        <v>10</v>
      </c>
      <c r="P71">
        <v>17</v>
      </c>
      <c r="Q71">
        <v>10</v>
      </c>
      <c r="R71">
        <v>24</v>
      </c>
      <c r="S71">
        <v>10</v>
      </c>
      <c r="T71">
        <v>24</v>
      </c>
      <c r="U71">
        <v>10</v>
      </c>
      <c r="V71">
        <v>24</v>
      </c>
      <c r="W71">
        <v>25</v>
      </c>
      <c r="X71">
        <v>31</v>
      </c>
      <c r="Y71">
        <v>25</v>
      </c>
      <c r="Z71">
        <v>31</v>
      </c>
      <c r="AA71">
        <v>25</v>
      </c>
      <c r="AB71">
        <v>31</v>
      </c>
      <c r="AC71">
        <v>25</v>
      </c>
      <c r="AD71">
        <v>41</v>
      </c>
      <c r="AE71">
        <v>25</v>
      </c>
      <c r="AF71">
        <v>41</v>
      </c>
      <c r="AG71">
        <v>25</v>
      </c>
      <c r="AH71">
        <v>41</v>
      </c>
      <c r="AI71">
        <v>25</v>
      </c>
      <c r="AJ71">
        <v>41</v>
      </c>
      <c r="AK71">
        <v>45</v>
      </c>
      <c r="AL71">
        <v>51</v>
      </c>
      <c r="AM71">
        <v>45</v>
      </c>
      <c r="AN71">
        <v>61</v>
      </c>
      <c r="AO71">
        <v>45</v>
      </c>
    </row>
    <row r="72" spans="1:41">
      <c r="A72" s="147" t="s">
        <v>293</v>
      </c>
      <c r="B72">
        <v>0</v>
      </c>
      <c r="C72">
        <v>0</v>
      </c>
      <c r="D72">
        <v>5</v>
      </c>
      <c r="E72">
        <v>0</v>
      </c>
      <c r="F72">
        <v>10</v>
      </c>
      <c r="G72">
        <v>0</v>
      </c>
      <c r="H72">
        <v>10</v>
      </c>
      <c r="I72">
        <v>10</v>
      </c>
      <c r="J72">
        <v>10</v>
      </c>
      <c r="K72">
        <v>10</v>
      </c>
      <c r="L72">
        <v>10</v>
      </c>
      <c r="M72">
        <v>10</v>
      </c>
      <c r="N72">
        <v>17</v>
      </c>
      <c r="O72">
        <v>10</v>
      </c>
      <c r="P72">
        <v>17</v>
      </c>
      <c r="Q72">
        <v>10</v>
      </c>
      <c r="R72">
        <v>24</v>
      </c>
      <c r="S72">
        <v>10</v>
      </c>
      <c r="T72">
        <v>24</v>
      </c>
      <c r="U72">
        <v>10</v>
      </c>
      <c r="V72">
        <v>24</v>
      </c>
      <c r="W72">
        <v>25</v>
      </c>
      <c r="X72">
        <v>31</v>
      </c>
      <c r="Y72">
        <v>25</v>
      </c>
      <c r="Z72">
        <v>31</v>
      </c>
      <c r="AA72">
        <v>25</v>
      </c>
      <c r="AB72">
        <v>31</v>
      </c>
      <c r="AC72">
        <v>25</v>
      </c>
      <c r="AD72">
        <v>41</v>
      </c>
      <c r="AE72">
        <v>25</v>
      </c>
      <c r="AF72">
        <v>41</v>
      </c>
      <c r="AG72">
        <v>25</v>
      </c>
      <c r="AH72">
        <v>41</v>
      </c>
      <c r="AI72">
        <v>25</v>
      </c>
      <c r="AJ72">
        <v>41</v>
      </c>
      <c r="AK72">
        <v>45</v>
      </c>
      <c r="AL72">
        <v>51</v>
      </c>
      <c r="AM72">
        <v>45</v>
      </c>
      <c r="AN72">
        <v>61</v>
      </c>
      <c r="AO72">
        <v>45</v>
      </c>
    </row>
    <row r="73" spans="1:41">
      <c r="A73" s="146" t="s">
        <v>294</v>
      </c>
      <c r="B73">
        <v>0</v>
      </c>
      <c r="C73">
        <v>0</v>
      </c>
      <c r="D73">
        <v>5</v>
      </c>
      <c r="E73">
        <v>0</v>
      </c>
      <c r="F73">
        <v>10</v>
      </c>
      <c r="G73">
        <v>0</v>
      </c>
      <c r="H73">
        <v>10</v>
      </c>
      <c r="I73">
        <v>10</v>
      </c>
      <c r="J73">
        <v>10</v>
      </c>
      <c r="K73">
        <v>10</v>
      </c>
      <c r="L73">
        <v>10</v>
      </c>
      <c r="M73">
        <v>10</v>
      </c>
      <c r="N73">
        <v>17</v>
      </c>
      <c r="O73">
        <v>10</v>
      </c>
      <c r="P73">
        <v>17</v>
      </c>
      <c r="Q73">
        <v>10</v>
      </c>
      <c r="R73">
        <v>24</v>
      </c>
      <c r="S73">
        <v>10</v>
      </c>
      <c r="T73">
        <v>24</v>
      </c>
      <c r="U73">
        <v>10</v>
      </c>
      <c r="V73">
        <v>24</v>
      </c>
      <c r="W73">
        <v>25</v>
      </c>
      <c r="X73">
        <v>31</v>
      </c>
      <c r="Y73">
        <v>25</v>
      </c>
      <c r="Z73">
        <v>31</v>
      </c>
      <c r="AA73">
        <v>25</v>
      </c>
      <c r="AB73">
        <v>31</v>
      </c>
      <c r="AC73">
        <v>25</v>
      </c>
      <c r="AD73">
        <v>41</v>
      </c>
      <c r="AE73">
        <v>25</v>
      </c>
      <c r="AF73">
        <v>41</v>
      </c>
      <c r="AG73">
        <v>25</v>
      </c>
      <c r="AH73">
        <v>41</v>
      </c>
      <c r="AI73">
        <v>25</v>
      </c>
      <c r="AJ73">
        <v>41</v>
      </c>
      <c r="AK73">
        <v>45</v>
      </c>
      <c r="AL73">
        <v>51</v>
      </c>
      <c r="AM73">
        <v>45</v>
      </c>
      <c r="AN73">
        <v>61</v>
      </c>
      <c r="AO73">
        <v>45</v>
      </c>
    </row>
    <row r="74" spans="1:41">
      <c r="A74" s="147" t="s">
        <v>295</v>
      </c>
      <c r="B74">
        <v>0</v>
      </c>
      <c r="C74">
        <v>0</v>
      </c>
      <c r="D74">
        <v>5</v>
      </c>
      <c r="E74">
        <v>0</v>
      </c>
      <c r="F74">
        <v>10</v>
      </c>
      <c r="G74">
        <v>0</v>
      </c>
      <c r="H74">
        <v>10</v>
      </c>
      <c r="I74">
        <v>10</v>
      </c>
      <c r="J74">
        <v>10</v>
      </c>
      <c r="K74">
        <v>10</v>
      </c>
      <c r="L74">
        <v>10</v>
      </c>
      <c r="M74">
        <v>10</v>
      </c>
      <c r="N74">
        <v>17</v>
      </c>
      <c r="O74">
        <v>10</v>
      </c>
      <c r="P74">
        <v>17</v>
      </c>
      <c r="Q74">
        <v>10</v>
      </c>
      <c r="R74">
        <v>24</v>
      </c>
      <c r="S74">
        <v>10</v>
      </c>
      <c r="T74">
        <v>24</v>
      </c>
      <c r="U74">
        <v>10</v>
      </c>
      <c r="V74">
        <v>24</v>
      </c>
      <c r="W74">
        <v>25</v>
      </c>
      <c r="X74">
        <v>31</v>
      </c>
      <c r="Y74">
        <v>25</v>
      </c>
      <c r="Z74">
        <v>31</v>
      </c>
      <c r="AA74">
        <v>25</v>
      </c>
      <c r="AB74">
        <v>31</v>
      </c>
      <c r="AC74">
        <v>25</v>
      </c>
      <c r="AD74">
        <v>41</v>
      </c>
      <c r="AE74">
        <v>25</v>
      </c>
      <c r="AF74">
        <v>41</v>
      </c>
      <c r="AG74">
        <v>25</v>
      </c>
      <c r="AH74">
        <v>41</v>
      </c>
      <c r="AI74">
        <v>25</v>
      </c>
      <c r="AJ74">
        <v>41</v>
      </c>
      <c r="AK74">
        <v>45</v>
      </c>
      <c r="AL74">
        <v>51</v>
      </c>
      <c r="AM74">
        <v>45</v>
      </c>
      <c r="AN74">
        <v>61</v>
      </c>
      <c r="AO74">
        <v>45</v>
      </c>
    </row>
    <row r="75" spans="1:41">
      <c r="A75" s="146" t="s">
        <v>296</v>
      </c>
      <c r="B75">
        <v>0</v>
      </c>
      <c r="C75">
        <v>0</v>
      </c>
      <c r="D75">
        <v>5</v>
      </c>
      <c r="E75">
        <v>0</v>
      </c>
      <c r="F75">
        <v>10</v>
      </c>
      <c r="G75">
        <v>0</v>
      </c>
      <c r="H75">
        <v>10</v>
      </c>
      <c r="I75">
        <v>10</v>
      </c>
      <c r="J75">
        <v>10</v>
      </c>
      <c r="K75">
        <v>10</v>
      </c>
      <c r="L75">
        <v>10</v>
      </c>
      <c r="M75">
        <v>10</v>
      </c>
      <c r="N75">
        <v>17</v>
      </c>
      <c r="O75">
        <v>10</v>
      </c>
      <c r="P75">
        <v>17</v>
      </c>
      <c r="Q75">
        <v>10</v>
      </c>
      <c r="R75">
        <v>24</v>
      </c>
      <c r="S75">
        <v>10</v>
      </c>
      <c r="T75">
        <v>24</v>
      </c>
      <c r="U75">
        <v>10</v>
      </c>
      <c r="V75">
        <v>24</v>
      </c>
      <c r="W75">
        <v>25</v>
      </c>
      <c r="X75">
        <v>31</v>
      </c>
      <c r="Y75">
        <v>25</v>
      </c>
      <c r="Z75">
        <v>31</v>
      </c>
      <c r="AA75">
        <v>25</v>
      </c>
      <c r="AB75">
        <v>31</v>
      </c>
      <c r="AC75">
        <v>25</v>
      </c>
      <c r="AD75">
        <v>41</v>
      </c>
      <c r="AE75">
        <v>25</v>
      </c>
      <c r="AF75">
        <v>41</v>
      </c>
      <c r="AG75">
        <v>25</v>
      </c>
      <c r="AH75">
        <v>41</v>
      </c>
      <c r="AI75">
        <v>25</v>
      </c>
      <c r="AJ75">
        <v>41</v>
      </c>
      <c r="AK75">
        <v>45</v>
      </c>
      <c r="AL75">
        <v>51</v>
      </c>
      <c r="AM75">
        <v>45</v>
      </c>
      <c r="AN75">
        <v>61</v>
      </c>
      <c r="AO75">
        <v>45</v>
      </c>
    </row>
  </sheetData>
  <mergeCells count="20">
    <mergeCell ref="AL1:AM1"/>
    <mergeCell ref="AN1:AO1"/>
    <mergeCell ref="Z1:AA1"/>
    <mergeCell ref="AB1:AC1"/>
    <mergeCell ref="AD1:AE1"/>
    <mergeCell ref="AF1:AG1"/>
    <mergeCell ref="AH1:AI1"/>
    <mergeCell ref="AJ1:AK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4A63B-7650-4308-8D11-261EE108B38C}">
  <sheetPr codeName="Sheet7"/>
  <dimension ref="A1:R75"/>
  <sheetViews>
    <sheetView workbookViewId="0">
      <selection activeCell="P23" sqref="P23"/>
    </sheetView>
  </sheetViews>
  <sheetFormatPr defaultRowHeight="15"/>
  <cols>
    <col min="1" max="1" width="19.85546875" bestFit="1" customWidth="1"/>
    <col min="2" max="2" width="16.140625" style="104" bestFit="1" customWidth="1"/>
    <col min="3" max="3" width="11.5703125" style="104" customWidth="1"/>
    <col min="4" max="4" width="17.140625" style="104" bestFit="1" customWidth="1"/>
    <col min="5" max="5" width="11.7109375" style="104" bestFit="1" customWidth="1"/>
    <col min="6" max="6" width="17.140625" style="104" bestFit="1" customWidth="1"/>
    <col min="7" max="7" width="11.7109375" style="104" bestFit="1" customWidth="1"/>
    <col min="8" max="8" width="17.140625" style="104" bestFit="1" customWidth="1"/>
    <col min="9" max="9" width="11.7109375" style="104" bestFit="1" customWidth="1"/>
    <col min="10" max="10" width="17.140625" style="104" bestFit="1" customWidth="1"/>
    <col min="11" max="11" width="11.7109375" style="104" bestFit="1" customWidth="1"/>
    <col min="12" max="12" width="17.140625" style="104" bestFit="1" customWidth="1"/>
    <col min="13" max="13" width="11.7109375" style="104" bestFit="1" customWidth="1"/>
    <col min="14" max="14" width="17.140625" style="104" bestFit="1" customWidth="1"/>
    <col min="15" max="15" width="11.7109375" bestFit="1" customWidth="1"/>
    <col min="16" max="16" width="15" bestFit="1" customWidth="1"/>
    <col min="17" max="17" width="14.7109375" bestFit="1" customWidth="1"/>
    <col min="18" max="18" width="5.5703125" bestFit="1" customWidth="1"/>
  </cols>
  <sheetData>
    <row r="1" spans="1:18" ht="15.75" thickBot="1">
      <c r="B1" s="151">
        <v>1</v>
      </c>
      <c r="C1" s="151"/>
      <c r="D1" s="151">
        <v>2</v>
      </c>
      <c r="E1" s="151"/>
      <c r="F1" s="151">
        <v>3</v>
      </c>
      <c r="G1" s="151"/>
      <c r="H1" s="151">
        <v>4</v>
      </c>
      <c r="I1" s="151"/>
      <c r="J1" s="151">
        <v>5</v>
      </c>
      <c r="K1" s="151"/>
      <c r="L1" s="151">
        <v>6</v>
      </c>
      <c r="M1" s="151"/>
      <c r="N1" s="151">
        <v>7</v>
      </c>
      <c r="O1" s="151"/>
    </row>
    <row r="2" spans="1:18">
      <c r="A2" s="53" t="s">
        <v>6</v>
      </c>
      <c r="B2" s="53" t="s">
        <v>345</v>
      </c>
      <c r="C2" s="53" t="s">
        <v>346</v>
      </c>
      <c r="D2" s="53" t="s">
        <v>347</v>
      </c>
      <c r="E2" s="53" t="s">
        <v>357</v>
      </c>
      <c r="F2" s="53" t="s">
        <v>354</v>
      </c>
      <c r="G2" s="53" t="s">
        <v>348</v>
      </c>
      <c r="H2" s="53" t="s">
        <v>349</v>
      </c>
      <c r="I2" s="53" t="s">
        <v>358</v>
      </c>
      <c r="J2" s="53" t="s">
        <v>355</v>
      </c>
      <c r="K2" s="53" t="s">
        <v>350</v>
      </c>
      <c r="L2" s="53" t="s">
        <v>351</v>
      </c>
      <c r="M2" s="53" t="s">
        <v>359</v>
      </c>
      <c r="N2" s="53" t="s">
        <v>356</v>
      </c>
      <c r="O2" s="53" t="s">
        <v>352</v>
      </c>
      <c r="P2" s="59" t="s">
        <v>443</v>
      </c>
      <c r="Q2" s="57" t="s">
        <v>361</v>
      </c>
      <c r="R2" s="58">
        <v>0.61094223285862681</v>
      </c>
    </row>
    <row r="3" spans="1:18">
      <c r="A3" s="47" t="s">
        <v>189</v>
      </c>
      <c r="B3" s="57"/>
      <c r="C3" s="57"/>
      <c r="D3" s="57"/>
      <c r="E3" s="57"/>
      <c r="F3" s="57"/>
      <c r="G3" s="57"/>
      <c r="H3" s="101"/>
      <c r="I3" s="101"/>
      <c r="J3" s="101"/>
      <c r="K3" s="101"/>
      <c r="L3" s="101"/>
      <c r="M3" s="101"/>
      <c r="N3" s="101"/>
      <c r="O3" s="101"/>
      <c r="P3" s="54" t="s">
        <v>444</v>
      </c>
      <c r="Q3" s="55" t="s">
        <v>409</v>
      </c>
      <c r="R3" s="56">
        <v>6.5386200449041761E-3</v>
      </c>
    </row>
    <row r="4" spans="1:18">
      <c r="A4" s="47" t="s">
        <v>1</v>
      </c>
      <c r="B4" s="57" t="s">
        <v>353</v>
      </c>
      <c r="C4" s="57">
        <v>3.9643010960087349E-2</v>
      </c>
      <c r="D4" s="57" t="s">
        <v>361</v>
      </c>
      <c r="E4" s="57">
        <v>0.5642641803488887</v>
      </c>
      <c r="F4" s="57" t="s">
        <v>394</v>
      </c>
      <c r="G4" s="57">
        <v>9.1917938082192022E-2</v>
      </c>
      <c r="H4" s="101"/>
      <c r="I4" s="101"/>
      <c r="J4" s="101"/>
      <c r="K4" s="101"/>
      <c r="L4" s="101"/>
      <c r="M4" s="101"/>
      <c r="N4" s="101"/>
      <c r="O4" s="101"/>
      <c r="P4" s="54" t="s">
        <v>444</v>
      </c>
      <c r="Q4" s="55" t="s">
        <v>410</v>
      </c>
      <c r="R4" s="56">
        <v>2.7409756500209641E-2</v>
      </c>
    </row>
    <row r="5" spans="1:18">
      <c r="A5" s="47" t="s">
        <v>278</v>
      </c>
      <c r="B5" s="57" t="s">
        <v>353</v>
      </c>
      <c r="C5" s="57">
        <v>3.9643010960087349E-2</v>
      </c>
      <c r="D5" s="57" t="s">
        <v>361</v>
      </c>
      <c r="E5" s="57">
        <v>0.5642641803488887</v>
      </c>
      <c r="F5" s="57" t="s">
        <v>394</v>
      </c>
      <c r="G5" s="57">
        <v>9.1917938082192022E-2</v>
      </c>
      <c r="H5" s="101"/>
      <c r="I5" s="101"/>
      <c r="J5" s="101"/>
      <c r="K5" s="101"/>
      <c r="L5" s="101"/>
      <c r="M5" s="101"/>
      <c r="N5" s="101"/>
      <c r="O5" s="101"/>
      <c r="P5" s="54" t="s">
        <v>444</v>
      </c>
      <c r="Q5" s="55" t="s">
        <v>411</v>
      </c>
      <c r="R5" s="56">
        <v>9.5317834327471096E-2</v>
      </c>
    </row>
    <row r="6" spans="1:18">
      <c r="A6" s="47" t="s">
        <v>314</v>
      </c>
      <c r="B6" s="57" t="s">
        <v>353</v>
      </c>
      <c r="C6" s="57">
        <v>3.9643010960087349E-2</v>
      </c>
      <c r="D6" s="57" t="s">
        <v>361</v>
      </c>
      <c r="E6" s="57">
        <v>0.5642641803488887</v>
      </c>
      <c r="F6" s="57" t="s">
        <v>394</v>
      </c>
      <c r="G6" s="57">
        <v>9.1917938082192022E-2</v>
      </c>
      <c r="H6" s="101"/>
      <c r="I6" s="101"/>
      <c r="J6" s="101"/>
      <c r="K6" s="101"/>
      <c r="L6" s="101"/>
      <c r="M6" s="101"/>
      <c r="N6" s="101"/>
      <c r="O6" s="101"/>
      <c r="P6" s="54" t="s">
        <v>444</v>
      </c>
      <c r="Q6" s="55" t="s">
        <v>394</v>
      </c>
      <c r="R6" s="56">
        <v>5.0129302378254581E-2</v>
      </c>
    </row>
    <row r="7" spans="1:18">
      <c r="A7" s="47" t="s">
        <v>125</v>
      </c>
      <c r="B7" s="57" t="s">
        <v>353</v>
      </c>
      <c r="C7" s="57">
        <v>0.12469610455863089</v>
      </c>
      <c r="D7" s="57" t="s">
        <v>367</v>
      </c>
      <c r="E7" s="57">
        <v>0.19721226581784077</v>
      </c>
      <c r="F7" s="57" t="s">
        <v>418</v>
      </c>
      <c r="G7" s="57">
        <v>0.30128918092373591</v>
      </c>
      <c r="H7" s="57" t="s">
        <v>416</v>
      </c>
      <c r="I7" s="57">
        <v>0.2238115861548558</v>
      </c>
      <c r="J7" s="57" t="s">
        <v>361</v>
      </c>
      <c r="K7" s="57">
        <v>0.27421824143180923</v>
      </c>
      <c r="L7" s="101"/>
      <c r="M7" s="101"/>
      <c r="N7" s="101"/>
      <c r="O7" s="101"/>
      <c r="P7" s="54" t="s">
        <v>445</v>
      </c>
      <c r="Q7" s="55" t="s">
        <v>353</v>
      </c>
      <c r="R7" s="56">
        <v>2.4917279664074612E-2</v>
      </c>
    </row>
    <row r="8" spans="1:18">
      <c r="A8" s="47" t="s">
        <v>109</v>
      </c>
      <c r="B8" s="57" t="s">
        <v>353</v>
      </c>
      <c r="C8" s="57">
        <v>0.11993427312910554</v>
      </c>
      <c r="D8" s="57" t="s">
        <v>362</v>
      </c>
      <c r="E8" s="57">
        <v>0.1257232641660016</v>
      </c>
      <c r="F8" s="57" t="s">
        <v>363</v>
      </c>
      <c r="G8" s="57">
        <v>0.34250395205353307</v>
      </c>
      <c r="H8" s="57" t="s">
        <v>364</v>
      </c>
      <c r="I8" s="57">
        <v>0.30913212137024987</v>
      </c>
      <c r="J8" s="57" t="s">
        <v>365</v>
      </c>
      <c r="K8" s="57">
        <v>0.37458177297562778</v>
      </c>
      <c r="L8" s="101"/>
      <c r="M8" s="101"/>
      <c r="N8" s="101"/>
      <c r="O8" s="101"/>
      <c r="P8" s="54" t="s">
        <v>445</v>
      </c>
      <c r="Q8" s="55" t="s">
        <v>394</v>
      </c>
      <c r="R8" s="56">
        <v>3.7659831470781453E-2</v>
      </c>
    </row>
    <row r="9" spans="1:18">
      <c r="A9" s="47" t="s">
        <v>311</v>
      </c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54" t="s">
        <v>446</v>
      </c>
      <c r="Q9" s="55" t="s">
        <v>353</v>
      </c>
      <c r="R9" s="56">
        <v>0.12120555403473551</v>
      </c>
    </row>
    <row r="10" spans="1:18">
      <c r="A10" s="47" t="s">
        <v>111</v>
      </c>
      <c r="B10" s="57" t="s">
        <v>353</v>
      </c>
      <c r="C10" s="57">
        <v>0.12085581593548594</v>
      </c>
      <c r="D10" s="57" t="s">
        <v>363</v>
      </c>
      <c r="E10" s="57">
        <v>0.14980797876555757</v>
      </c>
      <c r="F10" s="57" t="s">
        <v>366</v>
      </c>
      <c r="G10" s="57">
        <v>0.20812318338395963</v>
      </c>
      <c r="H10" s="57" t="s">
        <v>371</v>
      </c>
      <c r="I10" s="57">
        <v>0.26391091042373915</v>
      </c>
      <c r="J10" s="101"/>
      <c r="K10" s="101"/>
      <c r="L10" s="101"/>
      <c r="M10" s="101"/>
      <c r="N10" s="101"/>
      <c r="O10" s="101"/>
      <c r="P10" s="54" t="s">
        <v>446</v>
      </c>
      <c r="Q10" s="55" t="s">
        <v>394</v>
      </c>
      <c r="R10" s="56">
        <v>4.9785820759764378E-2</v>
      </c>
    </row>
    <row r="11" spans="1:18">
      <c r="A11" s="47" t="s">
        <v>132</v>
      </c>
      <c r="B11" s="57" t="s">
        <v>353</v>
      </c>
      <c r="C11" s="57">
        <v>9.9119634245332572E-2</v>
      </c>
      <c r="D11" s="57" t="s">
        <v>366</v>
      </c>
      <c r="E11" s="57">
        <v>0.30032528768562289</v>
      </c>
      <c r="F11" s="57" t="s">
        <v>361</v>
      </c>
      <c r="G11" s="57">
        <v>0.11246836651864586</v>
      </c>
      <c r="H11" s="101"/>
      <c r="I11" s="101"/>
      <c r="J11" s="101"/>
      <c r="K11" s="101"/>
      <c r="L11" s="101"/>
      <c r="M11" s="101"/>
      <c r="N11" s="101"/>
      <c r="O11" s="101"/>
      <c r="P11" s="54" t="s">
        <v>446</v>
      </c>
      <c r="Q11" s="55" t="s">
        <v>361</v>
      </c>
      <c r="R11" s="56">
        <v>0.36782046941013269</v>
      </c>
    </row>
    <row r="12" spans="1:18">
      <c r="A12" s="47" t="s">
        <v>90</v>
      </c>
      <c r="B12" s="57" t="s">
        <v>420</v>
      </c>
      <c r="C12" s="57">
        <v>2.9437357957453777E-2</v>
      </c>
      <c r="D12" s="57" t="s">
        <v>363</v>
      </c>
      <c r="E12" s="57">
        <v>4.3538215843246443E-2</v>
      </c>
      <c r="F12" s="57" t="s">
        <v>366</v>
      </c>
      <c r="G12" s="57">
        <v>3.5615568886795922E-2</v>
      </c>
      <c r="H12" s="57" t="s">
        <v>361</v>
      </c>
      <c r="I12" s="57">
        <v>2.638459491001412E-2</v>
      </c>
      <c r="J12" s="57" t="s">
        <v>421</v>
      </c>
      <c r="K12" s="57">
        <v>2.3259147028111627E-3</v>
      </c>
      <c r="L12" s="101"/>
      <c r="M12" s="101"/>
      <c r="N12" s="101"/>
      <c r="O12" s="101"/>
      <c r="P12" s="54" t="s">
        <v>447</v>
      </c>
      <c r="Q12" s="55" t="s">
        <v>353</v>
      </c>
      <c r="R12" s="56">
        <v>2.7874923872469808E-2</v>
      </c>
    </row>
    <row r="13" spans="1:18">
      <c r="A13" s="47" t="s">
        <v>105</v>
      </c>
      <c r="B13" s="57" t="s">
        <v>384</v>
      </c>
      <c r="C13" s="57">
        <v>3.0656023405762355E-2</v>
      </c>
      <c r="D13" s="57" t="s">
        <v>379</v>
      </c>
      <c r="E13" s="57">
        <v>0.12298873768069732</v>
      </c>
      <c r="F13" s="57" t="s">
        <v>388</v>
      </c>
      <c r="G13" s="57">
        <v>0.37223072785202965</v>
      </c>
      <c r="H13" s="57" t="s">
        <v>432</v>
      </c>
      <c r="I13" s="57">
        <v>0.12393750349893756</v>
      </c>
      <c r="J13" s="57" t="s">
        <v>381</v>
      </c>
      <c r="K13" s="57">
        <v>0.24501488417603978</v>
      </c>
      <c r="L13" s="57" t="s">
        <v>361</v>
      </c>
      <c r="M13" s="57">
        <v>0.2311324874220802</v>
      </c>
      <c r="N13" s="101"/>
      <c r="O13" s="101"/>
      <c r="P13" s="54" t="s">
        <v>448</v>
      </c>
      <c r="Q13" s="55" t="s">
        <v>384</v>
      </c>
      <c r="R13" s="56">
        <v>6.276896446200099E-2</v>
      </c>
    </row>
    <row r="14" spans="1:18">
      <c r="A14" s="47" t="s">
        <v>98</v>
      </c>
      <c r="B14" s="57" t="s">
        <v>353</v>
      </c>
      <c r="C14" s="57">
        <v>0.12314908264093216</v>
      </c>
      <c r="D14" s="57" t="s">
        <v>419</v>
      </c>
      <c r="E14" s="57">
        <v>0.25607760394863521</v>
      </c>
      <c r="F14" s="57" t="s">
        <v>362</v>
      </c>
      <c r="G14" s="57">
        <v>0.1545473767344685</v>
      </c>
      <c r="H14" s="57" t="s">
        <v>366</v>
      </c>
      <c r="I14" s="57">
        <v>0.16291864669910447</v>
      </c>
      <c r="J14" s="57" t="s">
        <v>361</v>
      </c>
      <c r="K14" s="57">
        <v>0.42707301573043799</v>
      </c>
      <c r="L14" s="101"/>
      <c r="M14" s="101"/>
      <c r="N14" s="101"/>
      <c r="O14" s="101"/>
      <c r="P14" s="54" t="s">
        <v>448</v>
      </c>
      <c r="Q14" s="55" t="s">
        <v>372</v>
      </c>
      <c r="R14" s="56">
        <v>4.1774491085846764E-2</v>
      </c>
    </row>
    <row r="15" spans="1:18">
      <c r="A15" s="47" t="s">
        <v>282</v>
      </c>
      <c r="B15" s="57" t="s">
        <v>353</v>
      </c>
      <c r="C15" s="57">
        <v>0.12648011987228108</v>
      </c>
      <c r="D15" s="57" t="s">
        <v>362</v>
      </c>
      <c r="E15" s="57">
        <v>0.1129076975387754</v>
      </c>
      <c r="F15" s="57" t="s">
        <v>363</v>
      </c>
      <c r="G15" s="57">
        <v>5.5978876484068331E-2</v>
      </c>
      <c r="H15" s="57" t="s">
        <v>434</v>
      </c>
      <c r="I15" s="57">
        <v>7.2977884590235173E-2</v>
      </c>
      <c r="J15" s="57" t="s">
        <v>435</v>
      </c>
      <c r="K15" s="57">
        <v>0.16159949922439132</v>
      </c>
      <c r="L15" s="57" t="s">
        <v>366</v>
      </c>
      <c r="M15" s="57">
        <v>0.22006037374076765</v>
      </c>
      <c r="N15" s="57" t="s">
        <v>361</v>
      </c>
      <c r="O15" s="57">
        <v>0.17888063372559748</v>
      </c>
      <c r="P15" s="54" t="s">
        <v>448</v>
      </c>
      <c r="Q15" s="55" t="s">
        <v>388</v>
      </c>
      <c r="R15" s="56">
        <v>9.9465049512120471E-2</v>
      </c>
    </row>
    <row r="16" spans="1:18">
      <c r="A16" s="47" t="s">
        <v>71</v>
      </c>
      <c r="B16" s="57" t="s">
        <v>353</v>
      </c>
      <c r="C16" s="57">
        <v>0.10817104011054188</v>
      </c>
      <c r="D16" s="57" t="s">
        <v>394</v>
      </c>
      <c r="E16" s="57">
        <v>6.0043604082749981E-2</v>
      </c>
      <c r="F16" s="57" t="s">
        <v>401</v>
      </c>
      <c r="G16" s="57">
        <v>0.20500436692607507</v>
      </c>
      <c r="H16" s="57" t="s">
        <v>402</v>
      </c>
      <c r="I16" s="57">
        <v>0.12629153772472737</v>
      </c>
      <c r="J16" s="101"/>
      <c r="K16" s="101"/>
      <c r="L16" s="101"/>
      <c r="M16" s="101"/>
      <c r="N16" s="101"/>
      <c r="O16" s="101"/>
      <c r="P16" s="54" t="s">
        <v>448</v>
      </c>
      <c r="Q16" s="55" t="s">
        <v>361</v>
      </c>
      <c r="R16" s="56">
        <v>0.70922544308617363</v>
      </c>
    </row>
    <row r="17" spans="1:15">
      <c r="A17" s="47" t="s">
        <v>283</v>
      </c>
      <c r="B17" s="57" t="s">
        <v>388</v>
      </c>
      <c r="C17" s="57">
        <v>0.37734826365259821</v>
      </c>
      <c r="D17" s="57" t="s">
        <v>380</v>
      </c>
      <c r="E17" s="57">
        <v>0.29289813842549989</v>
      </c>
      <c r="F17" s="57" t="s">
        <v>378</v>
      </c>
      <c r="G17" s="57">
        <v>0.12119481496447</v>
      </c>
      <c r="H17" s="57" t="s">
        <v>379</v>
      </c>
      <c r="I17" s="57">
        <v>0.1262239372649254</v>
      </c>
      <c r="J17" s="57" t="s">
        <v>387</v>
      </c>
      <c r="K17" s="57">
        <v>8.8638956745190067E-2</v>
      </c>
      <c r="L17" s="57" t="s">
        <v>416</v>
      </c>
      <c r="M17" s="57">
        <v>0.15270121130534725</v>
      </c>
      <c r="N17" s="57" t="s">
        <v>361</v>
      </c>
      <c r="O17" s="57">
        <v>1.3180051081328978</v>
      </c>
    </row>
    <row r="18" spans="1:15">
      <c r="A18" s="47" t="s">
        <v>298</v>
      </c>
      <c r="B18" s="57" t="s">
        <v>388</v>
      </c>
      <c r="C18" s="57">
        <v>0.37734826365259821</v>
      </c>
      <c r="D18" s="57" t="s">
        <v>380</v>
      </c>
      <c r="E18" s="57">
        <v>0.29289813842549989</v>
      </c>
      <c r="F18" s="57" t="s">
        <v>378</v>
      </c>
      <c r="G18" s="57">
        <v>0.12119481496447</v>
      </c>
      <c r="H18" s="57" t="s">
        <v>379</v>
      </c>
      <c r="I18" s="57">
        <v>0.1262239372649254</v>
      </c>
      <c r="J18" s="57" t="s">
        <v>387</v>
      </c>
      <c r="K18" s="57">
        <v>8.8638956745190067E-2</v>
      </c>
      <c r="L18" s="57" t="s">
        <v>416</v>
      </c>
      <c r="M18" s="57">
        <v>0.15270121130534725</v>
      </c>
      <c r="N18" s="57" t="s">
        <v>361</v>
      </c>
      <c r="O18" s="57">
        <v>1.3180051081328978</v>
      </c>
    </row>
    <row r="19" spans="1:15">
      <c r="A19" s="47" t="s">
        <v>312</v>
      </c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</row>
    <row r="20" spans="1:15">
      <c r="A20" s="47" t="s">
        <v>137</v>
      </c>
      <c r="B20" s="57" t="s">
        <v>353</v>
      </c>
      <c r="C20" s="57">
        <v>3.0597892481043932E-2</v>
      </c>
      <c r="D20" s="57" t="s">
        <v>366</v>
      </c>
      <c r="E20" s="57">
        <v>0.25373306579854354</v>
      </c>
      <c r="F20" s="57" t="s">
        <v>361</v>
      </c>
      <c r="G20" s="57">
        <v>8.8463500610825599E-2</v>
      </c>
      <c r="H20" s="101"/>
      <c r="I20" s="101"/>
      <c r="J20" s="101"/>
      <c r="K20" s="101"/>
      <c r="L20" s="101"/>
      <c r="M20" s="101"/>
      <c r="N20" s="101"/>
      <c r="O20" s="101"/>
    </row>
    <row r="21" spans="1:15">
      <c r="A21" s="47" t="s">
        <v>135</v>
      </c>
      <c r="B21" s="57" t="s">
        <v>353</v>
      </c>
      <c r="C21" s="57">
        <v>0.12521279832948068</v>
      </c>
      <c r="D21" s="57" t="s">
        <v>366</v>
      </c>
      <c r="E21" s="57">
        <v>0.12195218681606775</v>
      </c>
      <c r="F21" s="57" t="s">
        <v>361</v>
      </c>
      <c r="G21" s="57">
        <v>0.72895618308810506</v>
      </c>
      <c r="H21" s="101"/>
      <c r="I21" s="101"/>
      <c r="J21" s="101"/>
      <c r="K21" s="101"/>
      <c r="L21" s="101"/>
      <c r="M21" s="101"/>
      <c r="N21" s="101"/>
      <c r="O21" s="101"/>
    </row>
    <row r="22" spans="1:15">
      <c r="A22" s="47" t="s">
        <v>142</v>
      </c>
      <c r="B22" s="57" t="s">
        <v>353</v>
      </c>
      <c r="C22" s="57">
        <v>0.12173207904821895</v>
      </c>
      <c r="D22" s="57" t="s">
        <v>362</v>
      </c>
      <c r="E22" s="57">
        <v>0.13270363982080521</v>
      </c>
      <c r="F22" s="57" t="s">
        <v>363</v>
      </c>
      <c r="G22" s="57">
        <v>0.14628747696781677</v>
      </c>
      <c r="H22" s="57" t="s">
        <v>385</v>
      </c>
      <c r="I22" s="57">
        <v>4.2287529949196746E-2</v>
      </c>
      <c r="J22" s="57" t="s">
        <v>361</v>
      </c>
      <c r="K22" s="57">
        <v>0.15327007000798765</v>
      </c>
      <c r="L22" s="57" t="s">
        <v>386</v>
      </c>
      <c r="M22" s="57">
        <v>0.16823059851298927</v>
      </c>
      <c r="N22" s="101"/>
      <c r="O22" s="101"/>
    </row>
    <row r="23" spans="1:15">
      <c r="A23" s="47" t="s">
        <v>66</v>
      </c>
      <c r="B23" s="57" t="s">
        <v>353</v>
      </c>
      <c r="C23" s="57">
        <v>9.8915763951351141E-2</v>
      </c>
      <c r="D23" s="57" t="s">
        <v>412</v>
      </c>
      <c r="E23" s="57">
        <v>1.7353642798482654E-2</v>
      </c>
      <c r="F23" s="57" t="s">
        <v>394</v>
      </c>
      <c r="G23" s="57">
        <v>2.4468636345860544E-2</v>
      </c>
      <c r="H23" s="57" t="s">
        <v>361</v>
      </c>
      <c r="I23" s="57">
        <v>1.084602674905166</v>
      </c>
      <c r="J23" s="57" t="s">
        <v>413</v>
      </c>
      <c r="K23" s="57">
        <v>0.10603728380909933</v>
      </c>
      <c r="L23" s="101"/>
      <c r="M23" s="101"/>
      <c r="N23" s="101"/>
      <c r="O23" s="101"/>
    </row>
    <row r="24" spans="1:15">
      <c r="A24" s="47" t="s">
        <v>296</v>
      </c>
      <c r="B24" s="57" t="s">
        <v>353</v>
      </c>
      <c r="C24" s="57">
        <v>0.34115545767082073</v>
      </c>
      <c r="D24" s="57" t="s">
        <v>367</v>
      </c>
      <c r="E24" s="57">
        <v>0.36041577137945846</v>
      </c>
      <c r="F24" s="57" t="s">
        <v>368</v>
      </c>
      <c r="G24" s="57">
        <v>0.48303341211860756</v>
      </c>
      <c r="H24" s="57" t="s">
        <v>366</v>
      </c>
      <c r="I24" s="57">
        <v>1.4538676407391491</v>
      </c>
      <c r="J24" s="57" t="s">
        <v>361</v>
      </c>
      <c r="K24" s="57">
        <v>1.5310995917490331</v>
      </c>
      <c r="L24" s="57" t="s">
        <v>369</v>
      </c>
      <c r="M24" s="57">
        <v>1.9300359905457669</v>
      </c>
      <c r="N24" s="57" t="s">
        <v>370</v>
      </c>
      <c r="O24" s="102">
        <v>1.3630962612806188</v>
      </c>
    </row>
    <row r="25" spans="1:15">
      <c r="A25" s="47" t="s">
        <v>182</v>
      </c>
      <c r="B25" s="57" t="s">
        <v>374</v>
      </c>
      <c r="C25" s="57">
        <v>0.24946775945984051</v>
      </c>
      <c r="D25" s="57" t="s">
        <v>375</v>
      </c>
      <c r="E25" s="57">
        <v>0.40320595596313019</v>
      </c>
      <c r="F25" s="57" t="s">
        <v>376</v>
      </c>
      <c r="G25" s="57">
        <v>0.15527343914133487</v>
      </c>
      <c r="H25" s="57" t="s">
        <v>377</v>
      </c>
      <c r="I25" s="57">
        <v>0.25524093868501752</v>
      </c>
      <c r="J25" s="57" t="s">
        <v>361</v>
      </c>
      <c r="K25" s="57">
        <v>0.44904314536419743</v>
      </c>
      <c r="L25" s="101"/>
      <c r="M25" s="101"/>
      <c r="N25" s="101"/>
      <c r="O25" s="101"/>
    </row>
    <row r="26" spans="1:15">
      <c r="A26" s="47" t="s">
        <v>152</v>
      </c>
      <c r="B26" s="57" t="s">
        <v>353</v>
      </c>
      <c r="C26" s="57">
        <v>2.8565321009323519E-2</v>
      </c>
      <c r="D26" s="57" t="s">
        <v>394</v>
      </c>
      <c r="E26" s="57">
        <v>0.1124834543727154</v>
      </c>
      <c r="F26" s="57" t="s">
        <v>361</v>
      </c>
      <c r="G26" s="57">
        <v>0.37634967633371441</v>
      </c>
      <c r="H26" s="101"/>
      <c r="I26" s="101"/>
      <c r="J26" s="101"/>
      <c r="K26" s="101"/>
      <c r="L26" s="101"/>
      <c r="M26" s="101"/>
      <c r="N26" s="101"/>
      <c r="O26" s="101"/>
    </row>
    <row r="27" spans="1:15">
      <c r="A27" s="47" t="s">
        <v>313</v>
      </c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</row>
    <row r="28" spans="1:15">
      <c r="A28" s="47" t="s">
        <v>60</v>
      </c>
      <c r="B28" s="57" t="s">
        <v>353</v>
      </c>
      <c r="C28" s="57">
        <v>0.11823162870648905</v>
      </c>
      <c r="D28" s="57" t="s">
        <v>362</v>
      </c>
      <c r="E28" s="57">
        <v>0.15255694026643746</v>
      </c>
      <c r="F28" s="57" t="s">
        <v>363</v>
      </c>
      <c r="G28" s="57">
        <v>0.29875734135510673</v>
      </c>
      <c r="H28" s="57" t="s">
        <v>361</v>
      </c>
      <c r="I28" s="57">
        <v>0.46997379985305743</v>
      </c>
      <c r="J28" s="57" t="s">
        <v>366</v>
      </c>
      <c r="K28" s="57">
        <v>0.30062329317825809</v>
      </c>
      <c r="L28" s="101"/>
      <c r="M28" s="101"/>
      <c r="N28" s="101"/>
      <c r="O28" s="101"/>
    </row>
    <row r="29" spans="1:15">
      <c r="A29" s="47" t="s">
        <v>287</v>
      </c>
      <c r="B29" s="57" t="s">
        <v>353</v>
      </c>
      <c r="C29" s="57">
        <v>2.4917279664074612E-2</v>
      </c>
      <c r="D29" s="57" t="s">
        <v>394</v>
      </c>
      <c r="E29" s="57">
        <v>3.7659831470781453E-2</v>
      </c>
      <c r="F29" s="101"/>
      <c r="G29" s="101"/>
      <c r="H29" s="101"/>
      <c r="I29" s="101"/>
      <c r="J29" s="101"/>
      <c r="K29" s="101"/>
      <c r="L29" s="101"/>
      <c r="M29" s="101"/>
      <c r="N29" s="101"/>
      <c r="O29" s="101"/>
    </row>
    <row r="30" spans="1:15">
      <c r="A30" s="47" t="s">
        <v>286</v>
      </c>
      <c r="B30" s="57" t="s">
        <v>353</v>
      </c>
      <c r="C30" s="57">
        <v>2.4917279664074612E-2</v>
      </c>
      <c r="D30" s="57" t="s">
        <v>394</v>
      </c>
      <c r="E30" s="57">
        <v>3.7659831470781453E-2</v>
      </c>
      <c r="F30" s="101"/>
      <c r="G30" s="101"/>
      <c r="H30" s="101"/>
      <c r="I30" s="101"/>
      <c r="J30" s="101"/>
      <c r="K30" s="101"/>
      <c r="L30" s="101"/>
      <c r="M30" s="101"/>
      <c r="N30" s="101"/>
      <c r="O30" s="101"/>
    </row>
    <row r="31" spans="1:15">
      <c r="A31" s="47" t="s">
        <v>275</v>
      </c>
      <c r="B31" s="57" t="s">
        <v>353</v>
      </c>
      <c r="C31" s="57">
        <v>0.12359611577471723</v>
      </c>
      <c r="D31" s="57" t="s">
        <v>389</v>
      </c>
      <c r="E31" s="57">
        <v>0.13489285845909074</v>
      </c>
      <c r="F31" s="57" t="s">
        <v>390</v>
      </c>
      <c r="G31" s="57">
        <v>0.26632742017862626</v>
      </c>
      <c r="H31" s="57" t="s">
        <v>391</v>
      </c>
      <c r="I31" s="57">
        <v>6.1726315394211473E-2</v>
      </c>
      <c r="J31" s="57" t="s">
        <v>366</v>
      </c>
      <c r="K31" s="57">
        <v>0.10032454813203104</v>
      </c>
      <c r="L31" s="57" t="s">
        <v>361</v>
      </c>
      <c r="M31" s="57">
        <v>0.13401652004817513</v>
      </c>
      <c r="N31" s="57" t="s">
        <v>392</v>
      </c>
      <c r="O31" s="57">
        <v>0.1957875780725214</v>
      </c>
    </row>
    <row r="32" spans="1:15">
      <c r="A32" s="47" t="s">
        <v>75</v>
      </c>
      <c r="B32" s="57" t="s">
        <v>353</v>
      </c>
      <c r="C32" s="57">
        <v>0.11944541130061491</v>
      </c>
      <c r="D32" s="57" t="s">
        <v>362</v>
      </c>
      <c r="E32" s="57">
        <v>0.13530281935259311</v>
      </c>
      <c r="F32" s="57" t="s">
        <v>363</v>
      </c>
      <c r="G32" s="57">
        <v>0.20285125884673394</v>
      </c>
      <c r="H32" s="57" t="s">
        <v>419</v>
      </c>
      <c r="I32" s="57">
        <v>0.28378582202111613</v>
      </c>
      <c r="J32" s="57" t="s">
        <v>429</v>
      </c>
      <c r="K32" s="57">
        <v>0.34917188768998719</v>
      </c>
      <c r="L32" s="57" t="s">
        <v>381</v>
      </c>
      <c r="M32" s="57">
        <v>0.25557199211045362</v>
      </c>
      <c r="N32" s="57" t="s">
        <v>361</v>
      </c>
      <c r="O32" s="57">
        <v>0.50980537185288322</v>
      </c>
    </row>
    <row r="33" spans="1:15">
      <c r="A33" s="47" t="s">
        <v>289</v>
      </c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</row>
    <row r="34" spans="1:15">
      <c r="A34" s="47" t="s">
        <v>69</v>
      </c>
      <c r="B34" s="57" t="s">
        <v>353</v>
      </c>
      <c r="C34" s="57">
        <v>0.10878762764237625</v>
      </c>
      <c r="D34" s="57" t="s">
        <v>360</v>
      </c>
      <c r="E34" s="57">
        <v>2.4109445024249495E-2</v>
      </c>
      <c r="F34" s="57" t="s">
        <v>361</v>
      </c>
      <c r="G34" s="57">
        <v>6.0114699081179529E-2</v>
      </c>
      <c r="H34" s="101"/>
      <c r="I34" s="101"/>
      <c r="J34" s="101"/>
      <c r="K34" s="101"/>
      <c r="L34" s="101"/>
      <c r="M34" s="101"/>
      <c r="N34" s="101"/>
      <c r="O34" s="101"/>
    </row>
    <row r="35" spans="1:15">
      <c r="A35" s="47" t="s">
        <v>292</v>
      </c>
      <c r="B35" s="57" t="s">
        <v>406</v>
      </c>
      <c r="C35" s="57">
        <v>0.12237004720141753</v>
      </c>
      <c r="D35" s="57" t="s">
        <v>407</v>
      </c>
      <c r="E35" s="57">
        <v>1.2533831882318309E-2</v>
      </c>
      <c r="F35" s="57" t="s">
        <v>408</v>
      </c>
      <c r="G35" s="57">
        <v>0.54038808018170426</v>
      </c>
      <c r="H35" s="101"/>
      <c r="I35" s="101"/>
      <c r="J35" s="101"/>
      <c r="K35" s="101"/>
      <c r="L35" s="101"/>
      <c r="M35" s="101"/>
      <c r="N35" s="101"/>
      <c r="O35" s="101"/>
    </row>
    <row r="36" spans="1:15">
      <c r="A36" s="47" t="s">
        <v>293</v>
      </c>
      <c r="B36" s="57" t="s">
        <v>406</v>
      </c>
      <c r="C36" s="57">
        <v>1.12237004720142</v>
      </c>
      <c r="D36" s="57" t="s">
        <v>407</v>
      </c>
      <c r="E36" s="57">
        <v>1.01253383188232</v>
      </c>
      <c r="F36" s="57" t="s">
        <v>408</v>
      </c>
      <c r="G36" s="57">
        <v>1.5403880801817</v>
      </c>
      <c r="H36" s="101"/>
      <c r="I36" s="101"/>
      <c r="J36" s="101"/>
      <c r="K36" s="101"/>
      <c r="L36" s="101"/>
      <c r="M36" s="101"/>
      <c r="N36" s="101"/>
      <c r="O36" s="101"/>
    </row>
    <row r="37" spans="1:15">
      <c r="A37" s="47" t="s">
        <v>290</v>
      </c>
      <c r="B37" s="57" t="s">
        <v>353</v>
      </c>
      <c r="C37" s="57">
        <v>0.12109293421510615</v>
      </c>
      <c r="D37" s="57" t="s">
        <v>363</v>
      </c>
      <c r="E37" s="57">
        <v>0.14143984220907296</v>
      </c>
      <c r="F37" s="57" t="s">
        <v>385</v>
      </c>
      <c r="G37" s="57">
        <v>0.20455644506323237</v>
      </c>
      <c r="H37" s="57" t="s">
        <v>366</v>
      </c>
      <c r="I37" s="57">
        <v>0.27792887806009975</v>
      </c>
      <c r="J37" s="57" t="s">
        <v>361</v>
      </c>
      <c r="K37" s="57">
        <v>0.50425733843833387</v>
      </c>
      <c r="L37" s="101"/>
      <c r="M37" s="101"/>
      <c r="N37" s="101"/>
      <c r="O37" s="101"/>
    </row>
    <row r="38" spans="1:15">
      <c r="A38" s="47" t="s">
        <v>291</v>
      </c>
      <c r="B38" s="57" t="s">
        <v>353</v>
      </c>
      <c r="C38" s="57">
        <v>0.12109293421510615</v>
      </c>
      <c r="D38" s="57" t="s">
        <v>363</v>
      </c>
      <c r="E38" s="57">
        <v>0.14143984220907296</v>
      </c>
      <c r="F38" s="57" t="s">
        <v>385</v>
      </c>
      <c r="G38" s="57">
        <v>0.20455644506323237</v>
      </c>
      <c r="H38" s="57" t="s">
        <v>366</v>
      </c>
      <c r="I38" s="57">
        <v>0.27792887806009975</v>
      </c>
      <c r="J38" s="57" t="s">
        <v>361</v>
      </c>
      <c r="K38" s="57">
        <v>0.50425733843833387</v>
      </c>
      <c r="L38" s="101"/>
      <c r="M38" s="101"/>
      <c r="N38" s="101"/>
      <c r="O38" s="101"/>
    </row>
    <row r="39" spans="1:15">
      <c r="A39" s="47" t="s">
        <v>294</v>
      </c>
      <c r="B39" s="57" t="s">
        <v>353</v>
      </c>
      <c r="C39" s="57">
        <v>0.12411657202467252</v>
      </c>
      <c r="D39" s="57" t="s">
        <v>372</v>
      </c>
      <c r="E39" s="57">
        <v>7.4519108945353296E-2</v>
      </c>
      <c r="F39" s="57" t="s">
        <v>373</v>
      </c>
      <c r="G39" s="57">
        <v>0.24509421201287571</v>
      </c>
      <c r="H39" s="57" t="s">
        <v>361</v>
      </c>
      <c r="I39" s="57">
        <v>7.177625315164797E-3</v>
      </c>
      <c r="J39" s="101"/>
      <c r="K39" s="101"/>
      <c r="L39" s="101"/>
      <c r="M39" s="101"/>
      <c r="N39" s="101"/>
      <c r="O39" s="101"/>
    </row>
    <row r="40" spans="1:15">
      <c r="A40" s="47" t="s">
        <v>295</v>
      </c>
      <c r="B40" s="57" t="s">
        <v>353</v>
      </c>
      <c r="C40" s="57">
        <v>0.12411657202467252</v>
      </c>
      <c r="D40" s="57" t="s">
        <v>372</v>
      </c>
      <c r="E40" s="57">
        <v>7.4519108945353296E-2</v>
      </c>
      <c r="F40" s="57" t="s">
        <v>373</v>
      </c>
      <c r="G40" s="57">
        <v>0.24509421201287571</v>
      </c>
      <c r="H40" s="57" t="s">
        <v>361</v>
      </c>
      <c r="I40" s="57">
        <v>7.177625315164797E-3</v>
      </c>
      <c r="J40" s="101"/>
      <c r="K40" s="101"/>
      <c r="L40" s="101"/>
      <c r="M40" s="101"/>
      <c r="N40" s="101"/>
      <c r="O40" s="101"/>
    </row>
    <row r="41" spans="1:15">
      <c r="A41" s="47" t="s">
        <v>73</v>
      </c>
      <c r="B41" s="57" t="s">
        <v>414</v>
      </c>
      <c r="C41" s="57">
        <v>0.24820016290272939</v>
      </c>
      <c r="D41" s="57" t="s">
        <v>378</v>
      </c>
      <c r="E41" s="57">
        <v>0.12494520312678015</v>
      </c>
      <c r="F41" s="57" t="s">
        <v>415</v>
      </c>
      <c r="G41" s="57">
        <v>0.23257841377947283</v>
      </c>
      <c r="H41" s="57" t="s">
        <v>416</v>
      </c>
      <c r="I41" s="57">
        <v>0.14660260694072363</v>
      </c>
      <c r="J41" s="57" t="s">
        <v>417</v>
      </c>
      <c r="K41" s="57">
        <v>0.2312030014703626</v>
      </c>
      <c r="L41" s="57" t="s">
        <v>418</v>
      </c>
      <c r="M41" s="57">
        <v>8.6447589048761347E-2</v>
      </c>
      <c r="N41" s="57" t="s">
        <v>361</v>
      </c>
      <c r="O41" s="57">
        <v>0.53603467497216828</v>
      </c>
    </row>
    <row r="42" spans="1:15">
      <c r="A42" s="47" t="s">
        <v>102</v>
      </c>
      <c r="B42" s="57" t="s">
        <v>353</v>
      </c>
      <c r="C42" s="57">
        <v>0.1242603550295858</v>
      </c>
      <c r="D42" s="57" t="s">
        <v>363</v>
      </c>
      <c r="E42" s="57">
        <v>0.25906717716672467</v>
      </c>
      <c r="F42" s="57" t="s">
        <v>418</v>
      </c>
      <c r="G42" s="57">
        <v>0.21615036547163241</v>
      </c>
      <c r="H42" s="57" t="s">
        <v>361</v>
      </c>
      <c r="I42" s="57">
        <v>7.8454577097111039E-2</v>
      </c>
      <c r="J42" s="101"/>
      <c r="K42" s="101"/>
      <c r="L42" s="101"/>
      <c r="M42" s="101"/>
      <c r="N42" s="101"/>
      <c r="O42" s="101"/>
    </row>
    <row r="43" spans="1:15">
      <c r="A43" s="47" t="s">
        <v>315</v>
      </c>
      <c r="B43" s="57" t="s">
        <v>353</v>
      </c>
      <c r="C43" s="57">
        <v>8.7098712424224737E-3</v>
      </c>
      <c r="D43" s="57" t="s">
        <v>438</v>
      </c>
      <c r="E43" s="57">
        <v>1.5710578821859486E-2</v>
      </c>
      <c r="F43" s="57" t="s">
        <v>439</v>
      </c>
      <c r="G43" s="57">
        <v>0.11375768163484025</v>
      </c>
      <c r="H43" s="57" t="s">
        <v>366</v>
      </c>
      <c r="I43" s="57">
        <v>2.4429936117912634E-2</v>
      </c>
      <c r="J43" s="57" t="s">
        <v>440</v>
      </c>
      <c r="K43" s="57">
        <v>1.0546259624689905E-2</v>
      </c>
      <c r="L43" s="57" t="s">
        <v>361</v>
      </c>
      <c r="M43" s="57">
        <v>0.35596695250679528</v>
      </c>
      <c r="N43" s="101"/>
      <c r="O43" s="101"/>
    </row>
    <row r="44" spans="1:15">
      <c r="A44" s="47" t="s">
        <v>279</v>
      </c>
      <c r="B44" s="57" t="s">
        <v>395</v>
      </c>
      <c r="C44" s="57">
        <v>0.25977140490469991</v>
      </c>
      <c r="D44" s="57" t="s">
        <v>396</v>
      </c>
      <c r="E44" s="57">
        <v>2.4961407095888021E-2</v>
      </c>
      <c r="F44" s="57" t="s">
        <v>397</v>
      </c>
      <c r="G44" s="57">
        <v>0.14456588934318984</v>
      </c>
      <c r="H44" s="57" t="s">
        <v>398</v>
      </c>
      <c r="I44" s="57">
        <v>0.50280209308263646</v>
      </c>
      <c r="J44" s="57" t="s">
        <v>399</v>
      </c>
      <c r="K44" s="57">
        <v>0.15495291511017359</v>
      </c>
      <c r="L44" s="57" t="s">
        <v>361</v>
      </c>
      <c r="M44" s="57">
        <v>2.9871990549520396E-2</v>
      </c>
      <c r="N44" s="57" t="s">
        <v>400</v>
      </c>
      <c r="O44" s="57">
        <v>4.2541202108128194E-2</v>
      </c>
    </row>
    <row r="45" spans="1:15">
      <c r="A45" s="47" t="s">
        <v>280</v>
      </c>
      <c r="B45" s="57" t="s">
        <v>395</v>
      </c>
      <c r="C45" s="57">
        <v>0.25977140490469991</v>
      </c>
      <c r="D45" s="57" t="s">
        <v>396</v>
      </c>
      <c r="E45" s="57">
        <v>2.4961407095888021E-2</v>
      </c>
      <c r="F45" s="57" t="s">
        <v>397</v>
      </c>
      <c r="G45" s="57">
        <v>0.14456588934318984</v>
      </c>
      <c r="H45" s="57" t="s">
        <v>398</v>
      </c>
      <c r="I45" s="57">
        <v>0.50280209308263646</v>
      </c>
      <c r="J45" s="57" t="s">
        <v>399</v>
      </c>
      <c r="K45" s="57">
        <v>0.15495291511017359</v>
      </c>
      <c r="L45" s="57" t="s">
        <v>361</v>
      </c>
      <c r="M45" s="57">
        <v>2.9871990549520396E-2</v>
      </c>
      <c r="N45" s="57" t="s">
        <v>400</v>
      </c>
      <c r="O45" s="57">
        <v>4.2541202108128194E-2</v>
      </c>
    </row>
    <row r="46" spans="1:15">
      <c r="A46" s="47" t="s">
        <v>62</v>
      </c>
      <c r="B46" s="57" t="s">
        <v>353</v>
      </c>
      <c r="C46" s="57">
        <v>0.12294639749390879</v>
      </c>
      <c r="D46" s="57" t="s">
        <v>363</v>
      </c>
      <c r="E46" s="57">
        <v>0.13978202227636616</v>
      </c>
      <c r="F46" s="57" t="s">
        <v>366</v>
      </c>
      <c r="G46" s="57">
        <v>0.32142142359902537</v>
      </c>
      <c r="H46" s="57" t="s">
        <v>361</v>
      </c>
      <c r="I46" s="57">
        <v>0.52375783153498079</v>
      </c>
      <c r="J46" s="101"/>
      <c r="K46" s="101"/>
      <c r="L46" s="101"/>
      <c r="M46" s="101"/>
      <c r="N46" s="101"/>
      <c r="O46" s="101"/>
    </row>
    <row r="47" spans="1:15">
      <c r="A47" s="47" t="s">
        <v>92</v>
      </c>
      <c r="B47" s="57" t="s">
        <v>353</v>
      </c>
      <c r="C47" s="57">
        <v>0.12120555403473551</v>
      </c>
      <c r="D47" s="57" t="s">
        <v>394</v>
      </c>
      <c r="E47" s="57">
        <v>4.9785820759764378E-2</v>
      </c>
      <c r="F47" s="57" t="s">
        <v>361</v>
      </c>
      <c r="G47" s="57">
        <v>0.36782046941013269</v>
      </c>
      <c r="H47" s="101"/>
      <c r="I47" s="101"/>
      <c r="J47" s="101"/>
      <c r="K47" s="101"/>
      <c r="L47" s="101"/>
      <c r="M47" s="101"/>
      <c r="N47" s="101"/>
      <c r="O47" s="101"/>
    </row>
    <row r="48" spans="1:15">
      <c r="A48" s="47" t="s">
        <v>288</v>
      </c>
      <c r="B48" s="57" t="s">
        <v>378</v>
      </c>
      <c r="C48" s="57">
        <v>6.1575102495714996E-2</v>
      </c>
      <c r="D48" s="57" t="s">
        <v>379</v>
      </c>
      <c r="E48" s="57">
        <v>0.10129530851105538</v>
      </c>
      <c r="F48" s="57" t="s">
        <v>387</v>
      </c>
      <c r="G48" s="57">
        <v>0.12531897283135587</v>
      </c>
      <c r="H48" s="57" t="s">
        <v>388</v>
      </c>
      <c r="I48" s="57">
        <v>0.13479128595153059</v>
      </c>
      <c r="J48" s="57" t="s">
        <v>380</v>
      </c>
      <c r="K48" s="57">
        <v>0.23889467587526261</v>
      </c>
      <c r="L48" s="57" t="s">
        <v>381</v>
      </c>
      <c r="M48" s="57">
        <v>0.33852371532550263</v>
      </c>
      <c r="N48" s="57" t="s">
        <v>361</v>
      </c>
      <c r="O48" s="57">
        <v>0.23462470305646771</v>
      </c>
    </row>
    <row r="49" spans="1:15">
      <c r="A49" s="47" t="s">
        <v>139</v>
      </c>
      <c r="B49" s="57" t="s">
        <v>380</v>
      </c>
      <c r="C49" s="57">
        <v>8.483189903279658E-3</v>
      </c>
      <c r="D49" s="57" t="s">
        <v>422</v>
      </c>
      <c r="E49" s="57">
        <v>6.6088058206207001E-2</v>
      </c>
      <c r="F49" s="57" t="s">
        <v>423</v>
      </c>
      <c r="G49" s="57">
        <v>0.33995960277469567</v>
      </c>
      <c r="H49" s="57" t="s">
        <v>367</v>
      </c>
      <c r="I49" s="57">
        <v>9.4566646617711886E-2</v>
      </c>
      <c r="J49" s="57" t="s">
        <v>361</v>
      </c>
      <c r="K49" s="57">
        <v>0.433672809764311</v>
      </c>
      <c r="L49" s="101"/>
      <c r="M49" s="101"/>
      <c r="N49" s="101"/>
      <c r="O49" s="101"/>
    </row>
    <row r="50" spans="1:15">
      <c r="A50" s="47" t="s">
        <v>316</v>
      </c>
      <c r="B50" s="57" t="s">
        <v>380</v>
      </c>
      <c r="C50" s="57">
        <v>8.483189903279658E-3</v>
      </c>
      <c r="D50" s="57" t="s">
        <v>422</v>
      </c>
      <c r="E50" s="57">
        <v>6.6088058206207001E-2</v>
      </c>
      <c r="F50" s="57" t="s">
        <v>423</v>
      </c>
      <c r="G50" s="57">
        <v>0.33995960277469567</v>
      </c>
      <c r="H50" s="57" t="s">
        <v>367</v>
      </c>
      <c r="I50" s="57">
        <v>9.4566646617711886E-2</v>
      </c>
      <c r="J50" s="57" t="s">
        <v>361</v>
      </c>
      <c r="K50" s="57">
        <v>0.433672809764311</v>
      </c>
      <c r="L50" s="101"/>
      <c r="M50" s="101"/>
      <c r="N50" s="101"/>
      <c r="O50" s="101"/>
    </row>
    <row r="51" spans="1:15">
      <c r="A51" s="47" t="s">
        <v>149</v>
      </c>
      <c r="B51" s="57" t="s">
        <v>353</v>
      </c>
      <c r="C51" s="57">
        <v>5.3311700385829164E-2</v>
      </c>
      <c r="D51" s="57" t="s">
        <v>394</v>
      </c>
      <c r="E51" s="57">
        <v>2.7733085755310957E-2</v>
      </c>
      <c r="F51" s="57" t="s">
        <v>361</v>
      </c>
      <c r="G51" s="57">
        <v>0.57382275617352485</v>
      </c>
      <c r="H51" s="101"/>
      <c r="I51" s="101"/>
      <c r="J51" s="101"/>
      <c r="K51" s="101"/>
      <c r="L51" s="101"/>
      <c r="M51" s="101"/>
      <c r="N51" s="101"/>
      <c r="O51" s="101"/>
    </row>
    <row r="52" spans="1:15">
      <c r="A52" s="47" t="s">
        <v>318</v>
      </c>
      <c r="B52" s="57" t="s">
        <v>353</v>
      </c>
      <c r="C52" s="57">
        <v>0.1242603550295858</v>
      </c>
      <c r="D52" s="57" t="s">
        <v>363</v>
      </c>
      <c r="E52" s="57">
        <v>0.25906717716672467</v>
      </c>
      <c r="F52" s="57" t="s">
        <v>418</v>
      </c>
      <c r="G52" s="57">
        <v>0.21615036547163241</v>
      </c>
      <c r="H52" s="57" t="s">
        <v>361</v>
      </c>
      <c r="I52" s="57">
        <v>7.8454577097111039E-2</v>
      </c>
      <c r="J52" s="101"/>
      <c r="K52" s="101"/>
      <c r="L52" s="101"/>
      <c r="M52" s="101"/>
      <c r="N52" s="101"/>
      <c r="O52" s="101"/>
    </row>
    <row r="53" spans="1:15">
      <c r="A53" s="47" t="s">
        <v>123</v>
      </c>
      <c r="B53" s="57" t="s">
        <v>384</v>
      </c>
      <c r="C53" s="57">
        <v>0.12263748694744168</v>
      </c>
      <c r="D53" s="57" t="s">
        <v>388</v>
      </c>
      <c r="E53" s="57">
        <v>1.2356421858684302E-2</v>
      </c>
      <c r="F53" s="57" t="s">
        <v>430</v>
      </c>
      <c r="G53" s="57">
        <v>0.23563696484510965</v>
      </c>
      <c r="H53" s="57" t="s">
        <v>431</v>
      </c>
      <c r="I53" s="57">
        <v>0.92883223111729896</v>
      </c>
      <c r="J53" s="57" t="s">
        <v>361</v>
      </c>
      <c r="K53" s="57">
        <v>0.69449269056735119</v>
      </c>
      <c r="L53" s="101"/>
      <c r="M53" s="101"/>
      <c r="N53" s="101"/>
      <c r="O53" s="101"/>
    </row>
    <row r="54" spans="1:15">
      <c r="A54" s="47" t="s">
        <v>187</v>
      </c>
      <c r="B54" s="57" t="s">
        <v>403</v>
      </c>
      <c r="C54" s="57">
        <v>0.14768319247951259</v>
      </c>
      <c r="D54" s="57" t="s">
        <v>404</v>
      </c>
      <c r="E54" s="57">
        <v>5.7756861648737168E-2</v>
      </c>
      <c r="F54" s="57" t="s">
        <v>405</v>
      </c>
      <c r="G54" s="57">
        <v>0.19939212499975728</v>
      </c>
      <c r="H54" s="101"/>
      <c r="I54" s="101"/>
      <c r="J54" s="101"/>
      <c r="K54" s="101"/>
      <c r="L54" s="101"/>
      <c r="M54" s="101"/>
      <c r="N54" s="101"/>
      <c r="O54" s="101"/>
    </row>
    <row r="55" spans="1:15">
      <c r="A55" s="47" t="s">
        <v>114</v>
      </c>
      <c r="B55" s="57" t="s">
        <v>353</v>
      </c>
      <c r="C55" s="57">
        <v>0.12436234628379783</v>
      </c>
      <c r="D55" s="57" t="s">
        <v>393</v>
      </c>
      <c r="E55" s="57">
        <v>0.33330045422882404</v>
      </c>
      <c r="F55" s="57" t="s">
        <v>394</v>
      </c>
      <c r="G55" s="57">
        <v>2.5303580580036734E-3</v>
      </c>
      <c r="H55" s="57" t="s">
        <v>361</v>
      </c>
      <c r="I55" s="57">
        <v>0.1829425562928326</v>
      </c>
      <c r="J55" s="101"/>
      <c r="K55" s="101"/>
      <c r="L55" s="101"/>
      <c r="M55" s="101"/>
      <c r="N55" s="101"/>
      <c r="O55" s="101"/>
    </row>
    <row r="56" spans="1:15">
      <c r="A56" s="47" t="s">
        <v>64</v>
      </c>
      <c r="B56" s="57" t="s">
        <v>353</v>
      </c>
      <c r="C56" s="57">
        <v>0.1231401418095993</v>
      </c>
      <c r="D56" s="57" t="s">
        <v>362</v>
      </c>
      <c r="E56" s="57">
        <v>7.4245702728963595E-2</v>
      </c>
      <c r="F56" s="57" t="s">
        <v>363</v>
      </c>
      <c r="G56" s="57">
        <v>0.18833157486790003</v>
      </c>
      <c r="H56" s="57" t="s">
        <v>366</v>
      </c>
      <c r="I56" s="57">
        <v>0.27489221368386102</v>
      </c>
      <c r="J56" s="101"/>
      <c r="K56" s="101"/>
      <c r="L56" s="101"/>
      <c r="M56" s="101"/>
      <c r="N56" s="101"/>
      <c r="O56" s="101"/>
    </row>
    <row r="57" spans="1:15">
      <c r="A57" s="47" t="s">
        <v>127</v>
      </c>
      <c r="B57" s="57" t="s">
        <v>353</v>
      </c>
      <c r="C57" s="57">
        <v>2.3794906684272393E-2</v>
      </c>
      <c r="D57" s="57" t="s">
        <v>394</v>
      </c>
      <c r="E57" s="57">
        <v>3.0726155778489882E-2</v>
      </c>
      <c r="F57" s="57" t="s">
        <v>361</v>
      </c>
      <c r="G57" s="57">
        <v>2.329471345066907E-2</v>
      </c>
      <c r="H57" s="57" t="s">
        <v>361</v>
      </c>
      <c r="I57" s="57">
        <v>0.11651451835643956</v>
      </c>
      <c r="J57" s="101"/>
      <c r="K57" s="101"/>
      <c r="L57" s="101"/>
      <c r="M57" s="101"/>
      <c r="N57" s="101"/>
      <c r="O57" s="101"/>
    </row>
    <row r="58" spans="1:15">
      <c r="A58" s="47" t="s">
        <v>130</v>
      </c>
      <c r="B58" s="57" t="s">
        <v>436</v>
      </c>
      <c r="C58" s="57">
        <v>0.1230125926110089</v>
      </c>
      <c r="D58" s="57" t="s">
        <v>423</v>
      </c>
      <c r="E58" s="57">
        <v>0.41162881942717916</v>
      </c>
      <c r="F58" s="57" t="s">
        <v>366</v>
      </c>
      <c r="G58" s="57">
        <v>0.14485146499428173</v>
      </c>
      <c r="H58" s="57" t="s">
        <v>437</v>
      </c>
      <c r="I58" s="57">
        <v>0.17885920640445527</v>
      </c>
      <c r="J58" s="101"/>
      <c r="K58" s="101"/>
      <c r="L58" s="101"/>
      <c r="M58" s="101"/>
      <c r="N58" s="101"/>
      <c r="O58" s="101"/>
    </row>
    <row r="59" spans="1:15">
      <c r="A59" s="47" t="s">
        <v>159</v>
      </c>
      <c r="B59" s="57" t="s">
        <v>353</v>
      </c>
      <c r="C59" s="57">
        <v>6.9510716940976658E-2</v>
      </c>
      <c r="D59" s="57" t="s">
        <v>366</v>
      </c>
      <c r="E59" s="57">
        <v>0.24914782437113064</v>
      </c>
      <c r="F59" s="57" t="s">
        <v>361</v>
      </c>
      <c r="G59" s="57">
        <v>0.14181086880688362</v>
      </c>
      <c r="H59" s="101"/>
      <c r="I59" s="101"/>
      <c r="J59" s="101"/>
      <c r="K59" s="101"/>
      <c r="L59" s="101"/>
      <c r="M59" s="101"/>
      <c r="N59" s="101"/>
      <c r="O59" s="101"/>
    </row>
    <row r="60" spans="1:15">
      <c r="A60" s="47" t="s">
        <v>87</v>
      </c>
      <c r="B60" s="57" t="s">
        <v>353</v>
      </c>
      <c r="C60" s="57">
        <v>0.12103039852218084</v>
      </c>
      <c r="D60" s="57" t="s">
        <v>394</v>
      </c>
      <c r="E60" s="57">
        <v>3.0600698369843454E-2</v>
      </c>
      <c r="F60" s="57" t="s">
        <v>361</v>
      </c>
      <c r="G60" s="57">
        <v>0.65837866189663186</v>
      </c>
      <c r="H60" s="101"/>
      <c r="I60" s="101"/>
      <c r="J60" s="101"/>
      <c r="K60" s="101"/>
      <c r="L60" s="101"/>
      <c r="M60" s="101"/>
      <c r="N60" s="101"/>
      <c r="O60" s="101"/>
    </row>
    <row r="61" spans="1:15">
      <c r="A61" s="47" t="s">
        <v>174</v>
      </c>
      <c r="B61" s="57" t="s">
        <v>388</v>
      </c>
      <c r="C61" s="57">
        <v>0.31004572993867774</v>
      </c>
      <c r="D61" s="57" t="s">
        <v>378</v>
      </c>
      <c r="E61" s="57">
        <v>0.12196692502950088</v>
      </c>
      <c r="F61" s="57" t="s">
        <v>379</v>
      </c>
      <c r="G61" s="57">
        <v>0.13888417251732557</v>
      </c>
      <c r="H61" s="57" t="s">
        <v>381</v>
      </c>
      <c r="I61" s="57">
        <v>0.10449715461303585</v>
      </c>
      <c r="J61" s="57" t="s">
        <v>402</v>
      </c>
      <c r="K61" s="57">
        <v>0.53468145420696656</v>
      </c>
      <c r="L61" s="57" t="s">
        <v>433</v>
      </c>
      <c r="M61" s="57">
        <v>0.39164834356314321</v>
      </c>
      <c r="N61" s="101"/>
      <c r="O61" s="101"/>
    </row>
    <row r="62" spans="1:15">
      <c r="A62" s="47" t="s">
        <v>274</v>
      </c>
      <c r="B62" s="57" t="s">
        <v>353</v>
      </c>
      <c r="C62" s="57">
        <v>0.12359611577471723</v>
      </c>
      <c r="D62" s="57" t="s">
        <v>389</v>
      </c>
      <c r="E62" s="57">
        <v>0.13489285845909074</v>
      </c>
      <c r="F62" s="57" t="s">
        <v>390</v>
      </c>
      <c r="G62" s="57">
        <v>0.26632742017862626</v>
      </c>
      <c r="H62" s="57" t="s">
        <v>391</v>
      </c>
      <c r="I62" s="57">
        <v>6.1726315394211473E-2</v>
      </c>
      <c r="J62" s="57" t="s">
        <v>366</v>
      </c>
      <c r="K62" s="57">
        <v>0.10032454813203104</v>
      </c>
      <c r="L62" s="57" t="s">
        <v>361</v>
      </c>
      <c r="M62" s="57">
        <v>0.13401652004817513</v>
      </c>
      <c r="N62" s="57" t="s">
        <v>392</v>
      </c>
      <c r="O62" s="57">
        <v>0.1957875780725214</v>
      </c>
    </row>
    <row r="63" spans="1:15">
      <c r="A63" s="47" t="s">
        <v>276</v>
      </c>
      <c r="B63" s="57" t="s">
        <v>353</v>
      </c>
      <c r="C63" s="57">
        <v>4.2193682547510637E-2</v>
      </c>
      <c r="D63" s="57" t="s">
        <v>366</v>
      </c>
      <c r="E63" s="57">
        <v>5.7640864118238502E-2</v>
      </c>
      <c r="F63" s="57" t="s">
        <v>361</v>
      </c>
      <c r="G63" s="57">
        <v>5.0266321447550014E-2</v>
      </c>
      <c r="H63" s="101"/>
      <c r="I63" s="101"/>
      <c r="J63" s="101"/>
      <c r="K63" s="101"/>
      <c r="L63" s="101"/>
      <c r="M63" s="101"/>
      <c r="N63" s="101"/>
      <c r="O63" s="101"/>
    </row>
    <row r="64" spans="1:15">
      <c r="A64" s="47" t="s">
        <v>199</v>
      </c>
      <c r="B64" s="57" t="s">
        <v>353</v>
      </c>
      <c r="C64" s="57">
        <v>4.5011851785831752E-2</v>
      </c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</row>
    <row r="65" spans="1:15">
      <c r="A65" s="47" t="s">
        <v>157</v>
      </c>
      <c r="B65" s="57" t="s">
        <v>384</v>
      </c>
      <c r="C65" s="57">
        <v>0.12332490630082739</v>
      </c>
      <c r="D65" s="57" t="s">
        <v>361</v>
      </c>
      <c r="E65" s="57">
        <v>0.87114357868282621</v>
      </c>
      <c r="F65" s="57" t="s">
        <v>394</v>
      </c>
      <c r="G65" s="57">
        <v>0.39907504895870616</v>
      </c>
      <c r="H65" s="57" t="s">
        <v>361</v>
      </c>
      <c r="I65" s="57">
        <v>0.1781765250900208</v>
      </c>
      <c r="J65" s="101"/>
      <c r="K65" s="101"/>
      <c r="L65" s="101"/>
      <c r="M65" s="101"/>
      <c r="N65" s="101"/>
      <c r="O65" s="101"/>
    </row>
    <row r="66" spans="1:15">
      <c r="A66" s="47" t="s">
        <v>94</v>
      </c>
      <c r="B66" s="57" t="s">
        <v>424</v>
      </c>
      <c r="C66" s="57">
        <v>0.12430305618251691</v>
      </c>
      <c r="D66" s="57" t="s">
        <v>425</v>
      </c>
      <c r="E66" s="57">
        <v>0.13176786361467052</v>
      </c>
      <c r="F66" s="57" t="s">
        <v>426</v>
      </c>
      <c r="G66" s="57">
        <v>0.30898697794252206</v>
      </c>
      <c r="H66" s="57" t="s">
        <v>427</v>
      </c>
      <c r="I66" s="57">
        <v>0.20004664831832811</v>
      </c>
      <c r="J66" s="57" t="s">
        <v>428</v>
      </c>
      <c r="K66" s="57">
        <v>0.74948704791499954</v>
      </c>
      <c r="L66" s="101"/>
      <c r="M66" s="101"/>
      <c r="N66" s="101"/>
      <c r="O66" s="101"/>
    </row>
    <row r="67" spans="1:15">
      <c r="A67" s="47" t="s">
        <v>281</v>
      </c>
      <c r="B67" s="57" t="s">
        <v>424</v>
      </c>
      <c r="C67" s="57">
        <v>0.12430305618251691</v>
      </c>
      <c r="D67" s="57" t="s">
        <v>425</v>
      </c>
      <c r="E67" s="57">
        <v>0.13176786361467052</v>
      </c>
      <c r="F67" s="57" t="s">
        <v>426</v>
      </c>
      <c r="G67" s="57">
        <v>0.30898697794252206</v>
      </c>
      <c r="H67" s="57" t="s">
        <v>427</v>
      </c>
      <c r="I67" s="57">
        <v>0.20004664831832811</v>
      </c>
      <c r="J67" s="57" t="s">
        <v>428</v>
      </c>
      <c r="K67" s="57">
        <v>0.74948704791499954</v>
      </c>
      <c r="L67" s="101"/>
      <c r="M67" s="101"/>
      <c r="N67" s="101"/>
      <c r="O67" s="101"/>
    </row>
    <row r="68" spans="1:15">
      <c r="A68" s="47" t="s">
        <v>161</v>
      </c>
      <c r="B68" s="57" t="s">
        <v>353</v>
      </c>
      <c r="C68" s="57">
        <v>2.905806497137766E-2</v>
      </c>
      <c r="D68" s="57" t="s">
        <v>394</v>
      </c>
      <c r="E68" s="57">
        <v>0.12320357660914935</v>
      </c>
      <c r="F68" s="57" t="s">
        <v>361</v>
      </c>
      <c r="G68" s="57">
        <v>0.49285700539570504</v>
      </c>
      <c r="H68" s="101"/>
      <c r="I68" s="101"/>
      <c r="J68" s="101"/>
      <c r="K68" s="101"/>
      <c r="L68" s="101"/>
      <c r="M68" s="101"/>
      <c r="N68" s="101"/>
      <c r="O68" s="101"/>
    </row>
    <row r="69" spans="1:15">
      <c r="A69" s="47" t="s">
        <v>196</v>
      </c>
      <c r="B69" s="57" t="s">
        <v>378</v>
      </c>
      <c r="C69" s="57">
        <v>9.6017643126581662E-2</v>
      </c>
      <c r="D69" s="57" t="s">
        <v>379</v>
      </c>
      <c r="E69" s="57">
        <v>0.16677439956071241</v>
      </c>
      <c r="F69" s="57" t="s">
        <v>380</v>
      </c>
      <c r="G69" s="57">
        <v>0.25905863534355156</v>
      </c>
      <c r="H69" s="57" t="s">
        <v>381</v>
      </c>
      <c r="I69" s="57">
        <v>0.22772513488993934</v>
      </c>
      <c r="J69" s="57" t="s">
        <v>361</v>
      </c>
      <c r="K69" s="57">
        <v>0.2793868476340543</v>
      </c>
      <c r="L69" s="57" t="s">
        <v>382</v>
      </c>
      <c r="M69" s="57">
        <v>0.13363987967339921</v>
      </c>
      <c r="N69" s="57" t="s">
        <v>383</v>
      </c>
      <c r="O69" s="57">
        <v>0.23476818029890656</v>
      </c>
    </row>
    <row r="70" spans="1:15">
      <c r="A70" s="47" t="s">
        <v>285</v>
      </c>
      <c r="B70" s="57" t="s">
        <v>441</v>
      </c>
      <c r="C70" s="57">
        <v>8.4689602510316375E-2</v>
      </c>
      <c r="D70" s="57" t="s">
        <v>362</v>
      </c>
      <c r="E70" s="57">
        <v>0.14091246495873452</v>
      </c>
      <c r="F70" s="57" t="s">
        <v>442</v>
      </c>
      <c r="G70" s="57">
        <v>0.16123561210453921</v>
      </c>
      <c r="H70" s="101"/>
      <c r="I70" s="101"/>
      <c r="J70" s="101"/>
      <c r="K70" s="101"/>
      <c r="L70" s="101"/>
      <c r="M70" s="101"/>
      <c r="N70" s="101"/>
      <c r="O70" s="101"/>
    </row>
    <row r="71" spans="1:15">
      <c r="A71" s="47" t="s">
        <v>284</v>
      </c>
      <c r="B71" s="57" t="s">
        <v>441</v>
      </c>
      <c r="C71" s="57">
        <v>8.4689602510316375E-2</v>
      </c>
      <c r="D71" s="57" t="s">
        <v>362</v>
      </c>
      <c r="E71" s="57">
        <v>0.14091246495873452</v>
      </c>
      <c r="F71" s="57" t="s">
        <v>442</v>
      </c>
      <c r="G71" s="57">
        <v>0.16123561210453921</v>
      </c>
      <c r="H71" s="101"/>
      <c r="I71" s="101"/>
      <c r="J71" s="101"/>
      <c r="K71" s="101"/>
      <c r="L71" s="101"/>
      <c r="M71" s="101"/>
      <c r="N71" s="101"/>
      <c r="O71" s="101"/>
    </row>
    <row r="72" spans="1:15">
      <c r="A72" s="47" t="s">
        <v>277</v>
      </c>
      <c r="B72" s="57" t="s">
        <v>353</v>
      </c>
      <c r="C72" s="57">
        <v>4.2193682547510637E-2</v>
      </c>
      <c r="D72" s="57" t="s">
        <v>366</v>
      </c>
      <c r="E72" s="57">
        <v>5.7640864118238502E-2</v>
      </c>
      <c r="F72" s="57" t="s">
        <v>361</v>
      </c>
      <c r="G72" s="57">
        <v>5.0266321447550014E-2</v>
      </c>
      <c r="H72" s="101"/>
      <c r="I72" s="101"/>
      <c r="J72" s="101"/>
      <c r="K72" s="101"/>
      <c r="L72" s="101"/>
      <c r="M72" s="101"/>
      <c r="N72" s="101"/>
      <c r="O72" s="101"/>
    </row>
    <row r="73" spans="1:15">
      <c r="A73" s="47" t="s">
        <v>145</v>
      </c>
      <c r="B73" s="57" t="s">
        <v>353</v>
      </c>
      <c r="C73" s="57">
        <v>0.10185383208626089</v>
      </c>
      <c r="D73" s="57" t="s">
        <v>394</v>
      </c>
      <c r="E73" s="57">
        <v>7.3357704474252508E-2</v>
      </c>
      <c r="F73" s="57" t="s">
        <v>361</v>
      </c>
      <c r="G73" s="57">
        <v>0.14593931547890621</v>
      </c>
      <c r="H73" s="101"/>
      <c r="I73" s="101"/>
      <c r="J73" s="101"/>
      <c r="K73" s="101"/>
      <c r="L73" s="101"/>
      <c r="M73" s="101"/>
      <c r="N73" s="101"/>
      <c r="O73" s="101"/>
    </row>
    <row r="74" spans="1:15">
      <c r="A74" s="47" t="s">
        <v>317</v>
      </c>
      <c r="B74" s="57" t="s">
        <v>353</v>
      </c>
      <c r="C74" s="57">
        <v>0.1242603550295858</v>
      </c>
      <c r="D74" s="57" t="s">
        <v>363</v>
      </c>
      <c r="E74" s="57">
        <v>0.25906717716672467</v>
      </c>
      <c r="F74" s="57" t="s">
        <v>418</v>
      </c>
      <c r="G74" s="57">
        <v>0.21615036547163241</v>
      </c>
      <c r="H74" s="57" t="s">
        <v>361</v>
      </c>
      <c r="I74" s="57">
        <v>7.8454577097111039E-2</v>
      </c>
      <c r="J74" s="101"/>
      <c r="K74" s="101"/>
      <c r="L74" s="101"/>
      <c r="M74" s="101"/>
      <c r="N74" s="101"/>
      <c r="O74" s="101"/>
    </row>
    <row r="75" spans="1:15" ht="15.75" thickBot="1">
      <c r="A75" s="103" t="s">
        <v>207</v>
      </c>
      <c r="B75" s="57" t="s">
        <v>353</v>
      </c>
      <c r="C75" s="57">
        <v>0.12411657202467252</v>
      </c>
      <c r="D75" s="57" t="s">
        <v>372</v>
      </c>
      <c r="E75" s="57">
        <v>7.4519108945353296E-2</v>
      </c>
      <c r="F75" s="57" t="s">
        <v>373</v>
      </c>
      <c r="G75" s="57">
        <v>0.24509421201287571</v>
      </c>
      <c r="H75" s="57" t="s">
        <v>361</v>
      </c>
      <c r="I75" s="57">
        <v>7.177625315164797E-3</v>
      </c>
      <c r="J75" s="101"/>
      <c r="K75" s="101"/>
      <c r="L75" s="101"/>
      <c r="M75" s="101"/>
      <c r="N75" s="101"/>
      <c r="O75" s="101"/>
    </row>
  </sheetData>
  <mergeCells count="7">
    <mergeCell ref="B1:C1"/>
    <mergeCell ref="N1:O1"/>
    <mergeCell ref="L1:M1"/>
    <mergeCell ref="J1:K1"/>
    <mergeCell ref="H1:I1"/>
    <mergeCell ref="F1:G1"/>
    <mergeCell ref="D1:E1"/>
  </mergeCells>
  <phoneticPr fontId="20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ECD02-20B4-4587-BC51-F135CA23F5CE}">
  <sheetPr codeName="Sheet8"/>
  <dimension ref="A1:Q101"/>
  <sheetViews>
    <sheetView workbookViewId="0">
      <selection activeCell="Q5" sqref="Q5"/>
    </sheetView>
  </sheetViews>
  <sheetFormatPr defaultRowHeight="15"/>
  <cols>
    <col min="1" max="1" width="25.28515625" bestFit="1" customWidth="1"/>
    <col min="2" max="2" width="25.28515625" customWidth="1"/>
    <col min="3" max="3" width="13.5703125" bestFit="1" customWidth="1"/>
    <col min="4" max="4" width="11.140625" bestFit="1" customWidth="1"/>
    <col min="5" max="5" width="9.7109375" bestFit="1" customWidth="1"/>
    <col min="6" max="6" width="10.85546875" bestFit="1" customWidth="1"/>
    <col min="7" max="7" width="10.5703125" bestFit="1" customWidth="1"/>
    <col min="8" max="8" width="10.85546875" bestFit="1" customWidth="1"/>
    <col min="9" max="9" width="9.85546875" bestFit="1" customWidth="1"/>
    <col min="10" max="10" width="10.5703125" bestFit="1" customWidth="1"/>
    <col min="11" max="14" width="7.5703125" bestFit="1" customWidth="1"/>
    <col min="15" max="15" width="6.5703125" bestFit="1" customWidth="1"/>
    <col min="16" max="17" width="7.5703125" bestFit="1" customWidth="1"/>
  </cols>
  <sheetData>
    <row r="1" spans="1:17">
      <c r="A1" s="62" t="s">
        <v>22</v>
      </c>
      <c r="B1" s="62" t="s">
        <v>711</v>
      </c>
      <c r="C1" s="63" t="s">
        <v>340</v>
      </c>
      <c r="D1" s="63" t="s">
        <v>696</v>
      </c>
      <c r="E1" s="63" t="s">
        <v>697</v>
      </c>
      <c r="F1" s="63" t="s">
        <v>698</v>
      </c>
      <c r="G1" s="63" t="s">
        <v>699</v>
      </c>
      <c r="H1" s="63" t="s">
        <v>700</v>
      </c>
      <c r="I1" s="63" t="s">
        <v>701</v>
      </c>
      <c r="J1" s="63" t="s">
        <v>702</v>
      </c>
      <c r="K1" s="63" t="s">
        <v>265</v>
      </c>
      <c r="L1" s="63" t="s">
        <v>266</v>
      </c>
      <c r="M1" s="63" t="s">
        <v>267</v>
      </c>
      <c r="N1" s="63" t="s">
        <v>268</v>
      </c>
      <c r="O1" s="63" t="s">
        <v>308</v>
      </c>
      <c r="P1" s="63" t="s">
        <v>309</v>
      </c>
      <c r="Q1" s="64" t="s">
        <v>310</v>
      </c>
    </row>
    <row r="2" spans="1:17" ht="15.75" thickBot="1">
      <c r="A2" s="136" t="s">
        <v>299</v>
      </c>
      <c r="B2" s="136"/>
      <c r="C2" s="137"/>
      <c r="D2" s="137">
        <v>0</v>
      </c>
      <c r="E2" s="137">
        <v>0</v>
      </c>
      <c r="F2" s="137">
        <v>0</v>
      </c>
      <c r="G2" s="137">
        <v>0</v>
      </c>
      <c r="H2" s="137">
        <v>0</v>
      </c>
      <c r="I2" s="137">
        <v>0</v>
      </c>
      <c r="J2" s="137">
        <v>0</v>
      </c>
      <c r="K2" s="137">
        <v>0</v>
      </c>
      <c r="L2" s="137">
        <v>0</v>
      </c>
      <c r="M2" s="137">
        <v>0</v>
      </c>
      <c r="N2" s="137">
        <v>0</v>
      </c>
      <c r="O2" s="138">
        <v>0</v>
      </c>
      <c r="P2" s="63">
        <v>0</v>
      </c>
      <c r="Q2" s="64">
        <v>0</v>
      </c>
    </row>
    <row r="3" spans="1:17">
      <c r="A3" s="65" t="s">
        <v>451</v>
      </c>
      <c r="B3" s="65" t="s">
        <v>735</v>
      </c>
      <c r="C3" s="66" t="s">
        <v>37</v>
      </c>
      <c r="D3" s="66">
        <v>65</v>
      </c>
      <c r="E3" s="66">
        <v>5</v>
      </c>
      <c r="F3" s="66">
        <v>0</v>
      </c>
      <c r="G3" s="66">
        <v>0</v>
      </c>
      <c r="H3" s="66">
        <v>9</v>
      </c>
      <c r="I3" s="66">
        <v>0</v>
      </c>
      <c r="J3" s="66">
        <v>0</v>
      </c>
      <c r="K3" s="66">
        <v>21</v>
      </c>
      <c r="L3" s="66">
        <v>52</v>
      </c>
      <c r="M3" s="66">
        <v>412</v>
      </c>
      <c r="N3" s="66">
        <v>730</v>
      </c>
      <c r="O3" s="66">
        <v>846</v>
      </c>
      <c r="P3" s="66">
        <v>981</v>
      </c>
      <c r="Q3" s="67">
        <v>1137</v>
      </c>
    </row>
    <row r="4" spans="1:17">
      <c r="A4" s="68" t="s">
        <v>452</v>
      </c>
      <c r="B4" s="68" t="s">
        <v>736</v>
      </c>
      <c r="C4" s="69" t="s">
        <v>37</v>
      </c>
      <c r="D4" s="69">
        <v>65</v>
      </c>
      <c r="E4" s="69">
        <v>12</v>
      </c>
      <c r="F4" s="69">
        <v>5</v>
      </c>
      <c r="G4" s="69">
        <v>0</v>
      </c>
      <c r="H4" s="69">
        <v>5</v>
      </c>
      <c r="I4" s="69">
        <v>-5</v>
      </c>
      <c r="J4" s="69">
        <v>0</v>
      </c>
      <c r="K4" s="69">
        <v>21</v>
      </c>
      <c r="L4" s="69">
        <v>52</v>
      </c>
      <c r="M4" s="69">
        <v>412</v>
      </c>
      <c r="N4" s="69">
        <v>730</v>
      </c>
      <c r="O4" s="69">
        <v>846</v>
      </c>
      <c r="P4" s="69">
        <v>981</v>
      </c>
      <c r="Q4" s="70">
        <v>1137</v>
      </c>
    </row>
    <row r="5" spans="1:17">
      <c r="A5" s="68" t="s">
        <v>640</v>
      </c>
      <c r="B5" s="68" t="s">
        <v>714</v>
      </c>
      <c r="C5" s="69" t="s">
        <v>37</v>
      </c>
      <c r="D5" s="69">
        <v>65</v>
      </c>
      <c r="E5" s="69">
        <v>5</v>
      </c>
      <c r="F5" s="69">
        <v>0</v>
      </c>
      <c r="G5" s="69">
        <v>0</v>
      </c>
      <c r="H5" s="69">
        <v>0</v>
      </c>
      <c r="I5" s="69">
        <v>12</v>
      </c>
      <c r="J5" s="69">
        <v>0</v>
      </c>
      <c r="K5" s="69">
        <v>177</v>
      </c>
      <c r="L5" s="69">
        <v>368</v>
      </c>
      <c r="M5" s="69">
        <v>601</v>
      </c>
      <c r="N5" s="69">
        <v>1082</v>
      </c>
      <c r="O5" s="69">
        <v>1253</v>
      </c>
      <c r="P5" s="69">
        <v>1453</v>
      </c>
      <c r="Q5" s="70">
        <v>1685</v>
      </c>
    </row>
    <row r="6" spans="1:17">
      <c r="A6" s="68" t="s">
        <v>641</v>
      </c>
      <c r="B6" s="68" t="s">
        <v>715</v>
      </c>
      <c r="C6" s="69" t="s">
        <v>37</v>
      </c>
      <c r="D6" s="69">
        <v>65</v>
      </c>
      <c r="E6" s="69">
        <v>9</v>
      </c>
      <c r="F6" s="69">
        <v>0</v>
      </c>
      <c r="G6" s="69">
        <v>-5</v>
      </c>
      <c r="H6" s="69">
        <v>0</v>
      </c>
      <c r="I6" s="69">
        <v>9</v>
      </c>
      <c r="J6" s="69">
        <v>0</v>
      </c>
      <c r="K6" s="69">
        <v>60</v>
      </c>
      <c r="L6" s="69">
        <v>168</v>
      </c>
      <c r="M6" s="69">
        <v>513</v>
      </c>
      <c r="N6" s="69">
        <v>908</v>
      </c>
      <c r="O6" s="69">
        <v>1052</v>
      </c>
      <c r="P6" s="69">
        <v>1219</v>
      </c>
      <c r="Q6" s="70">
        <v>1414</v>
      </c>
    </row>
    <row r="7" spans="1:17">
      <c r="A7" s="68" t="s">
        <v>453</v>
      </c>
      <c r="B7" s="68" t="s">
        <v>712</v>
      </c>
      <c r="C7" s="69" t="s">
        <v>37</v>
      </c>
      <c r="D7" s="69">
        <v>65</v>
      </c>
      <c r="E7" s="69">
        <v>5</v>
      </c>
      <c r="F7" s="69">
        <v>0</v>
      </c>
      <c r="G7" s="69">
        <v>0</v>
      </c>
      <c r="H7" s="69">
        <v>0</v>
      </c>
      <c r="I7" s="69">
        <v>5</v>
      </c>
      <c r="J7" s="69">
        <v>0</v>
      </c>
      <c r="K7" s="69">
        <v>21</v>
      </c>
      <c r="L7" s="69">
        <v>52</v>
      </c>
      <c r="M7" s="69">
        <v>412</v>
      </c>
      <c r="N7" s="69">
        <v>730</v>
      </c>
      <c r="O7" s="69">
        <v>846</v>
      </c>
      <c r="P7" s="69">
        <v>981</v>
      </c>
      <c r="Q7" s="70">
        <v>1137</v>
      </c>
    </row>
    <row r="8" spans="1:17">
      <c r="A8" s="68" t="s">
        <v>454</v>
      </c>
      <c r="B8" s="68" t="s">
        <v>716</v>
      </c>
      <c r="C8" s="69" t="s">
        <v>37</v>
      </c>
      <c r="D8" s="69">
        <v>65</v>
      </c>
      <c r="E8" s="69">
        <v>12</v>
      </c>
      <c r="F8" s="69">
        <v>0</v>
      </c>
      <c r="G8" s="69">
        <v>0</v>
      </c>
      <c r="H8" s="69">
        <v>-5</v>
      </c>
      <c r="I8" s="69">
        <v>5</v>
      </c>
      <c r="J8" s="69">
        <v>0</v>
      </c>
      <c r="K8" s="69">
        <v>28</v>
      </c>
      <c r="L8" s="69">
        <v>69</v>
      </c>
      <c r="M8" s="69">
        <v>546</v>
      </c>
      <c r="N8" s="69">
        <v>967</v>
      </c>
      <c r="O8" s="69">
        <v>1119</v>
      </c>
      <c r="P8" s="69">
        <v>1298</v>
      </c>
      <c r="Q8" s="70">
        <v>1505</v>
      </c>
    </row>
    <row r="9" spans="1:17">
      <c r="A9" s="68" t="s">
        <v>455</v>
      </c>
      <c r="B9" s="68" t="s">
        <v>737</v>
      </c>
      <c r="C9" s="69" t="s">
        <v>37</v>
      </c>
      <c r="D9" s="69">
        <v>65</v>
      </c>
      <c r="E9" s="69">
        <v>5</v>
      </c>
      <c r="F9" s="69">
        <v>5</v>
      </c>
      <c r="G9" s="69">
        <v>0</v>
      </c>
      <c r="H9" s="69">
        <v>12</v>
      </c>
      <c r="I9" s="69">
        <v>-5</v>
      </c>
      <c r="J9" s="69">
        <v>0</v>
      </c>
      <c r="K9" s="69">
        <v>52</v>
      </c>
      <c r="L9" s="69">
        <v>144</v>
      </c>
      <c r="M9" s="69">
        <v>442</v>
      </c>
      <c r="N9" s="69">
        <v>782</v>
      </c>
      <c r="O9" s="69">
        <v>906</v>
      </c>
      <c r="P9" s="69">
        <v>1050</v>
      </c>
      <c r="Q9" s="70">
        <v>1217</v>
      </c>
    </row>
    <row r="10" spans="1:17">
      <c r="A10" s="68" t="s">
        <v>456</v>
      </c>
      <c r="B10" s="68" t="s">
        <v>717</v>
      </c>
      <c r="C10" s="69" t="s">
        <v>37</v>
      </c>
      <c r="D10" s="69">
        <v>65</v>
      </c>
      <c r="E10" s="69">
        <v>5</v>
      </c>
      <c r="F10" s="69">
        <v>5</v>
      </c>
      <c r="G10" s="69">
        <v>0</v>
      </c>
      <c r="H10" s="69">
        <v>0</v>
      </c>
      <c r="I10" s="69">
        <v>9</v>
      </c>
      <c r="J10" s="69">
        <v>0</v>
      </c>
      <c r="K10" s="69">
        <v>168</v>
      </c>
      <c r="L10" s="69">
        <v>348</v>
      </c>
      <c r="M10" s="69">
        <v>569</v>
      </c>
      <c r="N10" s="69">
        <v>1024</v>
      </c>
      <c r="O10" s="69">
        <v>1186</v>
      </c>
      <c r="P10" s="69">
        <v>1375</v>
      </c>
      <c r="Q10" s="70">
        <v>1594</v>
      </c>
    </row>
    <row r="11" spans="1:17">
      <c r="A11" s="68" t="s">
        <v>457</v>
      </c>
      <c r="B11" s="68" t="s">
        <v>718</v>
      </c>
      <c r="C11" s="69" t="s">
        <v>37</v>
      </c>
      <c r="D11" s="69">
        <v>65</v>
      </c>
      <c r="E11" s="69">
        <v>0</v>
      </c>
      <c r="F11" s="69">
        <v>9</v>
      </c>
      <c r="G11" s="69">
        <v>-9</v>
      </c>
      <c r="H11" s="69">
        <v>0</v>
      </c>
      <c r="I11" s="69">
        <v>5</v>
      </c>
      <c r="J11" s="69">
        <v>0</v>
      </c>
      <c r="K11" s="69">
        <v>25</v>
      </c>
      <c r="L11" s="69">
        <v>60</v>
      </c>
      <c r="M11" s="69">
        <v>480</v>
      </c>
      <c r="N11" s="69">
        <v>850</v>
      </c>
      <c r="O11" s="69">
        <v>984</v>
      </c>
      <c r="P11" s="69">
        <v>1141</v>
      </c>
      <c r="Q11" s="70">
        <v>1323</v>
      </c>
    </row>
    <row r="12" spans="1:17">
      <c r="A12" s="68" t="s">
        <v>458</v>
      </c>
      <c r="B12" s="68" t="s">
        <v>719</v>
      </c>
      <c r="C12" s="69" t="s">
        <v>37</v>
      </c>
      <c r="D12" s="69">
        <v>65</v>
      </c>
      <c r="E12" s="69">
        <v>9</v>
      </c>
      <c r="F12" s="69">
        <v>-9</v>
      </c>
      <c r="G12" s="69">
        <v>0</v>
      </c>
      <c r="H12" s="69">
        <v>5</v>
      </c>
      <c r="I12" s="69">
        <v>0</v>
      </c>
      <c r="J12" s="69">
        <v>0</v>
      </c>
      <c r="K12" s="69">
        <v>21</v>
      </c>
      <c r="L12" s="69">
        <v>52</v>
      </c>
      <c r="M12" s="69">
        <v>412</v>
      </c>
      <c r="N12" s="69">
        <v>730</v>
      </c>
      <c r="O12" s="69">
        <v>846</v>
      </c>
      <c r="P12" s="69">
        <v>981</v>
      </c>
      <c r="Q12" s="70">
        <v>1137</v>
      </c>
    </row>
    <row r="13" spans="1:17">
      <c r="A13" s="68" t="s">
        <v>642</v>
      </c>
      <c r="B13" s="68" t="s">
        <v>738</v>
      </c>
      <c r="C13" s="69" t="s">
        <v>37</v>
      </c>
      <c r="D13" s="69">
        <v>65</v>
      </c>
      <c r="E13" s="69">
        <v>0</v>
      </c>
      <c r="F13" s="69">
        <v>0</v>
      </c>
      <c r="G13" s="69">
        <v>0</v>
      </c>
      <c r="H13" s="69">
        <v>5</v>
      </c>
      <c r="I13" s="69">
        <v>9</v>
      </c>
      <c r="J13" s="69">
        <v>0</v>
      </c>
      <c r="K13" s="69">
        <v>73</v>
      </c>
      <c r="L13" s="69">
        <v>195</v>
      </c>
      <c r="M13" s="69">
        <v>595</v>
      </c>
      <c r="N13" s="69">
        <v>1053</v>
      </c>
      <c r="O13" s="69">
        <v>1220</v>
      </c>
      <c r="P13" s="69">
        <v>1414</v>
      </c>
      <c r="Q13" s="70">
        <v>1639</v>
      </c>
    </row>
    <row r="14" spans="1:17">
      <c r="A14" s="68" t="s">
        <v>643</v>
      </c>
      <c r="B14" s="68" t="s">
        <v>720</v>
      </c>
      <c r="C14" s="69" t="s">
        <v>37</v>
      </c>
      <c r="D14" s="69">
        <v>65</v>
      </c>
      <c r="E14" s="69">
        <v>10</v>
      </c>
      <c r="F14" s="69">
        <v>0</v>
      </c>
      <c r="G14" s="69">
        <v>0</v>
      </c>
      <c r="H14" s="69">
        <v>-5</v>
      </c>
      <c r="I14" s="69">
        <v>9</v>
      </c>
      <c r="J14" s="69">
        <v>0</v>
      </c>
      <c r="K14" s="69">
        <v>179</v>
      </c>
      <c r="L14" s="69">
        <v>372</v>
      </c>
      <c r="M14" s="69">
        <v>608</v>
      </c>
      <c r="N14" s="69">
        <v>1095</v>
      </c>
      <c r="O14" s="69">
        <v>1267</v>
      </c>
      <c r="P14" s="69">
        <v>1469</v>
      </c>
      <c r="Q14" s="70">
        <v>1703</v>
      </c>
    </row>
    <row r="15" spans="1:17">
      <c r="A15" s="68" t="s">
        <v>459</v>
      </c>
      <c r="B15" s="68" t="s">
        <v>721</v>
      </c>
      <c r="C15" s="69" t="s">
        <v>37</v>
      </c>
      <c r="D15" s="69">
        <v>5</v>
      </c>
      <c r="E15" s="69">
        <v>2</v>
      </c>
      <c r="F15" s="69">
        <v>0</v>
      </c>
      <c r="G15" s="69">
        <v>0</v>
      </c>
      <c r="H15" s="69">
        <v>0</v>
      </c>
      <c r="I15" s="69">
        <v>8</v>
      </c>
      <c r="J15" s="69">
        <v>0</v>
      </c>
      <c r="K15" s="69"/>
      <c r="L15" s="69"/>
      <c r="M15" s="69"/>
      <c r="N15" s="69">
        <v>893</v>
      </c>
      <c r="O15" s="69">
        <v>966</v>
      </c>
      <c r="P15" s="69">
        <v>1016</v>
      </c>
      <c r="Q15" s="70">
        <v>1067</v>
      </c>
    </row>
    <row r="16" spans="1:17">
      <c r="A16" s="68" t="s">
        <v>460</v>
      </c>
      <c r="B16" s="68" t="s">
        <v>722</v>
      </c>
      <c r="C16" s="69" t="s">
        <v>37</v>
      </c>
      <c r="D16" s="69">
        <v>65</v>
      </c>
      <c r="E16" s="69">
        <v>12</v>
      </c>
      <c r="F16" s="69">
        <v>-12</v>
      </c>
      <c r="G16" s="69">
        <v>0</v>
      </c>
      <c r="H16" s="69">
        <v>0</v>
      </c>
      <c r="I16" s="69">
        <v>12</v>
      </c>
      <c r="J16" s="69">
        <v>0</v>
      </c>
      <c r="K16" s="69"/>
      <c r="L16" s="69"/>
      <c r="M16" s="69"/>
      <c r="N16" s="69">
        <v>1744</v>
      </c>
      <c r="O16" s="69"/>
      <c r="P16" s="69"/>
      <c r="Q16" s="70"/>
    </row>
    <row r="17" spans="1:17">
      <c r="A17" s="68" t="s">
        <v>461</v>
      </c>
      <c r="B17" s="68" t="s">
        <v>723</v>
      </c>
      <c r="C17" s="69" t="s">
        <v>39</v>
      </c>
      <c r="D17" s="69">
        <v>65</v>
      </c>
      <c r="E17" s="69">
        <v>5</v>
      </c>
      <c r="F17" s="69">
        <v>0</v>
      </c>
      <c r="G17" s="69">
        <v>0</v>
      </c>
      <c r="H17" s="69">
        <v>9</v>
      </c>
      <c r="I17" s="69">
        <v>0</v>
      </c>
      <c r="J17" s="69">
        <v>0</v>
      </c>
      <c r="K17" s="69">
        <v>52</v>
      </c>
      <c r="L17" s="69">
        <v>144</v>
      </c>
      <c r="M17" s="69">
        <v>442</v>
      </c>
      <c r="N17" s="69">
        <v>782</v>
      </c>
      <c r="O17" s="69">
        <v>906</v>
      </c>
      <c r="P17" s="69">
        <v>1050</v>
      </c>
      <c r="Q17" s="70">
        <v>1217</v>
      </c>
    </row>
    <row r="18" spans="1:17">
      <c r="A18" s="68" t="s">
        <v>462</v>
      </c>
      <c r="B18" s="68" t="s">
        <v>724</v>
      </c>
      <c r="C18" s="69" t="s">
        <v>39</v>
      </c>
      <c r="D18" s="69">
        <v>65</v>
      </c>
      <c r="E18" s="69">
        <v>5</v>
      </c>
      <c r="F18" s="69">
        <v>5</v>
      </c>
      <c r="G18" s="69">
        <v>0</v>
      </c>
      <c r="H18" s="69">
        <v>0</v>
      </c>
      <c r="I18" s="69">
        <v>0</v>
      </c>
      <c r="J18" s="69">
        <v>0</v>
      </c>
      <c r="K18" s="69">
        <v>25</v>
      </c>
      <c r="L18" s="69">
        <v>60</v>
      </c>
      <c r="M18" s="69">
        <v>480</v>
      </c>
      <c r="N18" s="69">
        <v>850</v>
      </c>
      <c r="O18" s="69">
        <v>984</v>
      </c>
      <c r="P18" s="69">
        <v>1141</v>
      </c>
      <c r="Q18" s="70">
        <v>1323</v>
      </c>
    </row>
    <row r="19" spans="1:17">
      <c r="A19" s="68" t="s">
        <v>463</v>
      </c>
      <c r="B19" s="68" t="s">
        <v>725</v>
      </c>
      <c r="C19" s="69" t="s">
        <v>39</v>
      </c>
      <c r="D19" s="69">
        <v>65</v>
      </c>
      <c r="E19" s="69">
        <v>0</v>
      </c>
      <c r="F19" s="69">
        <v>0</v>
      </c>
      <c r="G19" s="69">
        <v>0</v>
      </c>
      <c r="H19" s="69">
        <v>9</v>
      </c>
      <c r="I19" s="69">
        <v>5</v>
      </c>
      <c r="J19" s="69">
        <v>0</v>
      </c>
      <c r="K19" s="69">
        <v>52</v>
      </c>
      <c r="L19" s="69">
        <v>144</v>
      </c>
      <c r="M19" s="69">
        <v>442</v>
      </c>
      <c r="N19" s="69">
        <v>782</v>
      </c>
      <c r="O19" s="69">
        <v>906</v>
      </c>
      <c r="P19" s="69">
        <v>1050</v>
      </c>
      <c r="Q19" s="70">
        <v>1217</v>
      </c>
    </row>
    <row r="20" spans="1:17">
      <c r="A20" s="68" t="s">
        <v>644</v>
      </c>
      <c r="B20" s="68" t="s">
        <v>725</v>
      </c>
      <c r="C20" s="69" t="s">
        <v>39</v>
      </c>
      <c r="D20" s="69">
        <v>65</v>
      </c>
      <c r="E20" s="69">
        <v>0</v>
      </c>
      <c r="F20" s="69">
        <v>0</v>
      </c>
      <c r="G20" s="69">
        <v>0</v>
      </c>
      <c r="H20" s="69">
        <v>9</v>
      </c>
      <c r="I20" s="69">
        <v>5</v>
      </c>
      <c r="J20" s="69">
        <v>0</v>
      </c>
      <c r="K20" s="69">
        <v>55</v>
      </c>
      <c r="L20" s="69">
        <v>144</v>
      </c>
      <c r="M20" s="69">
        <v>442</v>
      </c>
      <c r="N20" s="69">
        <v>782</v>
      </c>
      <c r="O20" s="69">
        <v>906</v>
      </c>
      <c r="P20" s="69">
        <v>1050</v>
      </c>
      <c r="Q20" s="70">
        <v>1217</v>
      </c>
    </row>
    <row r="21" spans="1:17">
      <c r="A21" s="68" t="s">
        <v>464</v>
      </c>
      <c r="B21" s="68" t="s">
        <v>726</v>
      </c>
      <c r="C21" s="69" t="s">
        <v>39</v>
      </c>
      <c r="D21" s="69">
        <v>65</v>
      </c>
      <c r="E21" s="69">
        <v>0</v>
      </c>
      <c r="F21" s="69">
        <v>0</v>
      </c>
      <c r="G21" s="69">
        <v>-5</v>
      </c>
      <c r="H21" s="69">
        <v>12</v>
      </c>
      <c r="I21" s="69">
        <v>0</v>
      </c>
      <c r="J21" s="69">
        <v>0</v>
      </c>
      <c r="K21" s="69">
        <v>70</v>
      </c>
      <c r="L21" s="69">
        <v>195</v>
      </c>
      <c r="M21" s="69">
        <v>595</v>
      </c>
      <c r="N21" s="69">
        <v>1053</v>
      </c>
      <c r="O21" s="69">
        <v>1220</v>
      </c>
      <c r="P21" s="69">
        <v>1414</v>
      </c>
      <c r="Q21" s="70">
        <v>1639</v>
      </c>
    </row>
    <row r="22" spans="1:17">
      <c r="A22" s="68" t="s">
        <v>645</v>
      </c>
      <c r="B22" s="68" t="s">
        <v>739</v>
      </c>
      <c r="C22" s="69" t="s">
        <v>39</v>
      </c>
      <c r="D22" s="69">
        <v>65</v>
      </c>
      <c r="E22" s="69">
        <v>0</v>
      </c>
      <c r="F22" s="69">
        <v>0</v>
      </c>
      <c r="G22" s="69">
        <v>-5</v>
      </c>
      <c r="H22" s="69">
        <v>12</v>
      </c>
      <c r="I22" s="69">
        <v>0</v>
      </c>
      <c r="J22" s="69">
        <v>0</v>
      </c>
      <c r="K22" s="69">
        <v>70</v>
      </c>
      <c r="L22" s="69">
        <v>195</v>
      </c>
      <c r="M22" s="69">
        <v>595</v>
      </c>
      <c r="N22" s="69">
        <v>1053</v>
      </c>
      <c r="O22" s="69">
        <v>1220</v>
      </c>
      <c r="P22" s="69">
        <v>1414</v>
      </c>
      <c r="Q22" s="70">
        <v>1639</v>
      </c>
    </row>
    <row r="23" spans="1:17">
      <c r="A23" s="68" t="s">
        <v>465</v>
      </c>
      <c r="B23" s="68" t="s">
        <v>780</v>
      </c>
      <c r="C23" s="69" t="s">
        <v>39</v>
      </c>
      <c r="D23" s="69">
        <v>65</v>
      </c>
      <c r="E23" s="69">
        <v>0</v>
      </c>
      <c r="F23" s="69">
        <v>0</v>
      </c>
      <c r="G23" s="69">
        <v>5</v>
      </c>
      <c r="H23" s="69">
        <v>0</v>
      </c>
      <c r="I23" s="69">
        <v>9</v>
      </c>
      <c r="J23" s="69">
        <v>0</v>
      </c>
      <c r="K23" s="69">
        <v>25</v>
      </c>
      <c r="L23" s="69">
        <v>60</v>
      </c>
      <c r="M23" s="69">
        <v>480</v>
      </c>
      <c r="N23" s="69">
        <v>850</v>
      </c>
      <c r="O23" s="69">
        <v>984</v>
      </c>
      <c r="P23" s="69">
        <v>1141</v>
      </c>
      <c r="Q23" s="70">
        <v>1323</v>
      </c>
    </row>
    <row r="24" spans="1:17">
      <c r="A24" s="68" t="s">
        <v>466</v>
      </c>
      <c r="B24" s="68" t="s">
        <v>727</v>
      </c>
      <c r="C24" s="69" t="s">
        <v>39</v>
      </c>
      <c r="D24" s="69">
        <v>65</v>
      </c>
      <c r="E24" s="69">
        <v>9</v>
      </c>
      <c r="F24" s="69">
        <v>0</v>
      </c>
      <c r="G24" s="69">
        <v>0</v>
      </c>
      <c r="H24" s="69">
        <v>9</v>
      </c>
      <c r="I24" s="69">
        <v>0</v>
      </c>
      <c r="J24" s="69">
        <v>0</v>
      </c>
      <c r="K24" s="69">
        <v>150</v>
      </c>
      <c r="L24" s="69">
        <v>311</v>
      </c>
      <c r="M24" s="69">
        <v>510</v>
      </c>
      <c r="N24" s="69">
        <v>919</v>
      </c>
      <c r="O24" s="69">
        <v>1064</v>
      </c>
      <c r="P24" s="69">
        <v>1234</v>
      </c>
      <c r="Q24" s="70">
        <v>1430</v>
      </c>
    </row>
    <row r="25" spans="1:17">
      <c r="A25" s="68" t="s">
        <v>467</v>
      </c>
      <c r="B25" s="68" t="s">
        <v>740</v>
      </c>
      <c r="C25" s="69" t="s">
        <v>39</v>
      </c>
      <c r="D25" s="69">
        <v>65</v>
      </c>
      <c r="E25" s="69">
        <v>9</v>
      </c>
      <c r="F25" s="69">
        <v>0</v>
      </c>
      <c r="G25" s="69">
        <v>0</v>
      </c>
      <c r="H25" s="69">
        <v>16</v>
      </c>
      <c r="I25" s="69">
        <v>0</v>
      </c>
      <c r="J25" s="69">
        <v>0</v>
      </c>
      <c r="K25" s="69">
        <v>157</v>
      </c>
      <c r="L25" s="69">
        <v>327</v>
      </c>
      <c r="M25" s="69">
        <v>536</v>
      </c>
      <c r="N25" s="69">
        <v>965</v>
      </c>
      <c r="O25" s="69">
        <v>1117</v>
      </c>
      <c r="P25" s="69">
        <v>1295</v>
      </c>
      <c r="Q25" s="70">
        <v>1502</v>
      </c>
    </row>
    <row r="26" spans="1:17">
      <c r="A26" s="68" t="s">
        <v>646</v>
      </c>
      <c r="B26" s="68" t="s">
        <v>728</v>
      </c>
      <c r="C26" s="69" t="s">
        <v>39</v>
      </c>
      <c r="D26" s="69">
        <v>65</v>
      </c>
      <c r="E26" s="69">
        <v>0</v>
      </c>
      <c r="F26" s="69">
        <v>0</v>
      </c>
      <c r="G26" s="69">
        <v>9</v>
      </c>
      <c r="H26" s="69">
        <v>9</v>
      </c>
      <c r="I26" s="69">
        <v>5</v>
      </c>
      <c r="J26" s="69">
        <v>0</v>
      </c>
      <c r="K26" s="69">
        <v>168</v>
      </c>
      <c r="L26" s="69">
        <v>348</v>
      </c>
      <c r="M26" s="69">
        <v>569</v>
      </c>
      <c r="N26" s="69"/>
      <c r="O26" s="69"/>
      <c r="P26" s="69"/>
      <c r="Q26" s="70"/>
    </row>
    <row r="27" spans="1:17">
      <c r="A27" s="68" t="s">
        <v>647</v>
      </c>
      <c r="B27" s="68" t="s">
        <v>728</v>
      </c>
      <c r="C27" s="69" t="s">
        <v>39</v>
      </c>
      <c r="D27" s="69">
        <v>65</v>
      </c>
      <c r="E27" s="69">
        <v>-5</v>
      </c>
      <c r="F27" s="69">
        <v>0</v>
      </c>
      <c r="G27" s="69">
        <v>9</v>
      </c>
      <c r="H27" s="69">
        <v>9</v>
      </c>
      <c r="I27" s="69">
        <v>5</v>
      </c>
      <c r="J27" s="69">
        <v>0</v>
      </c>
      <c r="K27" s="69"/>
      <c r="L27" s="69"/>
      <c r="M27" s="69"/>
      <c r="N27" s="69">
        <v>1024</v>
      </c>
      <c r="O27" s="69">
        <v>1186</v>
      </c>
      <c r="P27" s="69">
        <v>1375</v>
      </c>
      <c r="Q27" s="70">
        <v>1594</v>
      </c>
    </row>
    <row r="28" spans="1:17">
      <c r="A28" s="68" t="s">
        <v>468</v>
      </c>
      <c r="B28" s="68" t="s">
        <v>729</v>
      </c>
      <c r="C28" s="69" t="s">
        <v>39</v>
      </c>
      <c r="D28" s="69">
        <v>65</v>
      </c>
      <c r="E28" s="69">
        <v>0</v>
      </c>
      <c r="F28" s="69">
        <v>0</v>
      </c>
      <c r="G28" s="69">
        <v>0</v>
      </c>
      <c r="H28" s="69">
        <v>5</v>
      </c>
      <c r="I28" s="69">
        <v>9</v>
      </c>
      <c r="J28" s="69">
        <v>0</v>
      </c>
      <c r="K28" s="69">
        <v>70</v>
      </c>
      <c r="L28" s="69">
        <v>195</v>
      </c>
      <c r="M28" s="69">
        <v>595</v>
      </c>
      <c r="N28" s="69">
        <v>1053</v>
      </c>
      <c r="O28" s="69">
        <v>1220</v>
      </c>
      <c r="P28" s="69">
        <v>1414</v>
      </c>
      <c r="Q28" s="70">
        <v>1639</v>
      </c>
    </row>
    <row r="29" spans="1:17">
      <c r="A29" s="68" t="s">
        <v>648</v>
      </c>
      <c r="B29" s="68" t="s">
        <v>730</v>
      </c>
      <c r="C29" s="69" t="s">
        <v>39</v>
      </c>
      <c r="D29" s="69">
        <v>65</v>
      </c>
      <c r="E29" s="69">
        <v>0</v>
      </c>
      <c r="F29" s="69">
        <v>-12</v>
      </c>
      <c r="G29" s="69">
        <v>9</v>
      </c>
      <c r="H29" s="69">
        <v>9</v>
      </c>
      <c r="I29" s="69">
        <v>9</v>
      </c>
      <c r="J29" s="69">
        <v>0</v>
      </c>
      <c r="K29" s="69">
        <v>177</v>
      </c>
      <c r="L29" s="69">
        <v>368</v>
      </c>
      <c r="M29" s="69">
        <v>601</v>
      </c>
      <c r="N29" s="69">
        <v>1082</v>
      </c>
      <c r="O29" s="69">
        <v>1253</v>
      </c>
      <c r="P29" s="69">
        <v>1453</v>
      </c>
      <c r="Q29" s="70">
        <v>1685</v>
      </c>
    </row>
    <row r="30" spans="1:17">
      <c r="A30" s="68" t="s">
        <v>469</v>
      </c>
      <c r="B30" s="68" t="s">
        <v>741</v>
      </c>
      <c r="C30" s="69" t="s">
        <v>39</v>
      </c>
      <c r="D30" s="69">
        <v>65</v>
      </c>
      <c r="E30" s="69">
        <v>5</v>
      </c>
      <c r="F30" s="69">
        <v>0</v>
      </c>
      <c r="G30" s="69">
        <v>9</v>
      </c>
      <c r="H30" s="69">
        <v>0</v>
      </c>
      <c r="I30" s="69">
        <v>-5</v>
      </c>
      <c r="J30" s="69">
        <v>0</v>
      </c>
      <c r="K30" s="69">
        <v>28</v>
      </c>
      <c r="L30" s="69">
        <v>69</v>
      </c>
      <c r="M30" s="69">
        <v>546</v>
      </c>
      <c r="N30" s="69">
        <v>967</v>
      </c>
      <c r="O30" s="69">
        <v>1119</v>
      </c>
      <c r="P30" s="69">
        <v>1298</v>
      </c>
      <c r="Q30" s="70">
        <v>1505</v>
      </c>
    </row>
    <row r="31" spans="1:17">
      <c r="A31" s="68" t="s">
        <v>649</v>
      </c>
      <c r="B31" s="68" t="s">
        <v>731</v>
      </c>
      <c r="C31" s="69" t="s">
        <v>39</v>
      </c>
      <c r="D31" s="69">
        <v>65</v>
      </c>
      <c r="E31" s="69">
        <v>3</v>
      </c>
      <c r="F31" s="69">
        <v>0</v>
      </c>
      <c r="G31" s="69">
        <v>-8</v>
      </c>
      <c r="H31" s="69">
        <v>12</v>
      </c>
      <c r="I31" s="69">
        <v>5</v>
      </c>
      <c r="J31" s="69">
        <v>0</v>
      </c>
      <c r="K31" s="69">
        <v>25</v>
      </c>
      <c r="L31" s="69">
        <v>60</v>
      </c>
      <c r="M31" s="69">
        <v>484</v>
      </c>
      <c r="N31" s="69">
        <v>872</v>
      </c>
      <c r="O31" s="69">
        <v>1009</v>
      </c>
      <c r="P31" s="69">
        <v>1170</v>
      </c>
      <c r="Q31" s="70">
        <v>1356</v>
      </c>
    </row>
    <row r="32" spans="1:17">
      <c r="A32" s="68" t="s">
        <v>650</v>
      </c>
      <c r="B32" s="68" t="s">
        <v>732</v>
      </c>
      <c r="C32" s="69" t="s">
        <v>39</v>
      </c>
      <c r="D32" s="69">
        <v>65</v>
      </c>
      <c r="E32" s="69">
        <v>0</v>
      </c>
      <c r="F32" s="69">
        <v>0</v>
      </c>
      <c r="G32" s="69">
        <v>-5</v>
      </c>
      <c r="H32" s="69">
        <v>12</v>
      </c>
      <c r="I32" s="69">
        <v>8</v>
      </c>
      <c r="J32" s="69">
        <v>0</v>
      </c>
      <c r="K32" s="69">
        <v>179</v>
      </c>
      <c r="L32" s="69">
        <v>372</v>
      </c>
      <c r="M32" s="69">
        <v>608</v>
      </c>
      <c r="N32" s="69">
        <v>1095</v>
      </c>
      <c r="O32" s="69">
        <v>1267</v>
      </c>
      <c r="P32" s="69">
        <v>1469</v>
      </c>
      <c r="Q32" s="70">
        <v>1703</v>
      </c>
    </row>
    <row r="33" spans="1:17">
      <c r="A33" s="68" t="s">
        <v>470</v>
      </c>
      <c r="B33" s="68" t="s">
        <v>733</v>
      </c>
      <c r="C33" s="69" t="s">
        <v>39</v>
      </c>
      <c r="D33" s="69">
        <v>5</v>
      </c>
      <c r="E33" s="69">
        <v>2</v>
      </c>
      <c r="F33" s="69">
        <v>0</v>
      </c>
      <c r="G33" s="69">
        <v>0</v>
      </c>
      <c r="H33" s="69">
        <v>8</v>
      </c>
      <c r="I33" s="69">
        <v>0</v>
      </c>
      <c r="J33" s="69">
        <v>0</v>
      </c>
      <c r="K33" s="69"/>
      <c r="L33" s="69"/>
      <c r="M33" s="69"/>
      <c r="N33" s="69">
        <v>936</v>
      </c>
      <c r="O33" s="69">
        <v>1012</v>
      </c>
      <c r="P33" s="69">
        <v>1064</v>
      </c>
      <c r="Q33" s="70">
        <v>1118</v>
      </c>
    </row>
    <row r="34" spans="1:17">
      <c r="A34" s="68" t="s">
        <v>471</v>
      </c>
      <c r="B34" s="68" t="s">
        <v>734</v>
      </c>
      <c r="C34" s="69" t="s">
        <v>39</v>
      </c>
      <c r="D34" s="69">
        <v>20</v>
      </c>
      <c r="E34" s="69">
        <v>-12</v>
      </c>
      <c r="F34" s="69">
        <v>0</v>
      </c>
      <c r="G34" s="69">
        <v>0</v>
      </c>
      <c r="H34" s="69">
        <v>12</v>
      </c>
      <c r="I34" s="69">
        <v>12</v>
      </c>
      <c r="J34" s="69">
        <v>0</v>
      </c>
      <c r="K34" s="69"/>
      <c r="L34" s="69"/>
      <c r="M34" s="69"/>
      <c r="N34" s="69">
        <v>1744</v>
      </c>
      <c r="O34" s="69"/>
      <c r="P34" s="69"/>
      <c r="Q34" s="70"/>
    </row>
    <row r="35" spans="1:17">
      <c r="A35" s="68" t="s">
        <v>472</v>
      </c>
      <c r="B35" s="68" t="s">
        <v>781</v>
      </c>
      <c r="C35" s="69" t="s">
        <v>41</v>
      </c>
      <c r="D35" s="69">
        <v>65</v>
      </c>
      <c r="E35" s="69">
        <v>0</v>
      </c>
      <c r="F35" s="69">
        <v>-5</v>
      </c>
      <c r="G35" s="69">
        <v>12</v>
      </c>
      <c r="H35" s="69">
        <v>-5</v>
      </c>
      <c r="I35" s="69">
        <v>-5</v>
      </c>
      <c r="J35" s="69">
        <v>0</v>
      </c>
      <c r="K35" s="69">
        <v>70</v>
      </c>
      <c r="L35" s="69">
        <v>195</v>
      </c>
      <c r="M35" s="69">
        <v>595</v>
      </c>
      <c r="N35" s="69">
        <v>1053</v>
      </c>
      <c r="O35" s="69">
        <v>1220</v>
      </c>
      <c r="P35" s="69">
        <v>1414</v>
      </c>
      <c r="Q35" s="70">
        <v>1639</v>
      </c>
    </row>
    <row r="36" spans="1:17">
      <c r="A36" s="68" t="s">
        <v>651</v>
      </c>
      <c r="B36" s="68" t="s">
        <v>781</v>
      </c>
      <c r="C36" s="69" t="s">
        <v>41</v>
      </c>
      <c r="D36" s="69">
        <v>65</v>
      </c>
      <c r="E36" s="69">
        <v>0</v>
      </c>
      <c r="F36" s="69">
        <v>-5</v>
      </c>
      <c r="G36" s="69">
        <v>12</v>
      </c>
      <c r="H36" s="69">
        <v>-5</v>
      </c>
      <c r="I36" s="69">
        <v>-5</v>
      </c>
      <c r="J36" s="69">
        <v>0</v>
      </c>
      <c r="K36" s="69"/>
      <c r="L36" s="69"/>
      <c r="M36" s="69">
        <v>612</v>
      </c>
      <c r="N36" s="69">
        <v>1106</v>
      </c>
      <c r="O36" s="69">
        <v>1280</v>
      </c>
      <c r="P36" s="69">
        <v>1484</v>
      </c>
      <c r="Q36" s="70">
        <v>1721</v>
      </c>
    </row>
    <row r="37" spans="1:17">
      <c r="A37" s="68" t="s">
        <v>473</v>
      </c>
      <c r="B37" s="68" t="s">
        <v>713</v>
      </c>
      <c r="C37" s="69" t="s">
        <v>41</v>
      </c>
      <c r="D37" s="69">
        <v>65</v>
      </c>
      <c r="E37" s="69">
        <v>9</v>
      </c>
      <c r="F37" s="69">
        <v>0</v>
      </c>
      <c r="G37" s="69">
        <v>9</v>
      </c>
      <c r="H37" s="69">
        <v>0</v>
      </c>
      <c r="I37" s="69">
        <v>-9</v>
      </c>
      <c r="J37" s="69">
        <v>0</v>
      </c>
      <c r="K37" s="69">
        <v>143</v>
      </c>
      <c r="L37" s="69">
        <v>296</v>
      </c>
      <c r="M37" s="69">
        <v>484</v>
      </c>
      <c r="N37" s="69">
        <v>872</v>
      </c>
      <c r="O37" s="69">
        <v>1009</v>
      </c>
      <c r="P37" s="69">
        <v>1170</v>
      </c>
      <c r="Q37" s="70">
        <v>1356</v>
      </c>
    </row>
    <row r="38" spans="1:17">
      <c r="A38" s="68" t="s">
        <v>652</v>
      </c>
      <c r="B38" s="68" t="s">
        <v>742</v>
      </c>
      <c r="C38" s="69" t="s">
        <v>41</v>
      </c>
      <c r="D38" s="69">
        <v>65</v>
      </c>
      <c r="E38" s="69">
        <v>0</v>
      </c>
      <c r="F38" s="69">
        <v>14</v>
      </c>
      <c r="G38" s="69">
        <v>0</v>
      </c>
      <c r="H38" s="69">
        <v>0</v>
      </c>
      <c r="I38" s="69">
        <v>0</v>
      </c>
      <c r="J38" s="69">
        <v>0</v>
      </c>
      <c r="K38" s="69">
        <v>168</v>
      </c>
      <c r="L38" s="69">
        <v>348</v>
      </c>
      <c r="M38" s="69">
        <v>569</v>
      </c>
      <c r="N38" s="69">
        <v>1024</v>
      </c>
      <c r="O38" s="69">
        <v>1186</v>
      </c>
      <c r="P38" s="69">
        <v>1375</v>
      </c>
      <c r="Q38" s="70">
        <v>1594</v>
      </c>
    </row>
    <row r="39" spans="1:17">
      <c r="A39" s="68" t="s">
        <v>474</v>
      </c>
      <c r="B39" s="68" t="s">
        <v>743</v>
      </c>
      <c r="C39" s="69" t="s">
        <v>41</v>
      </c>
      <c r="D39" s="69">
        <v>65</v>
      </c>
      <c r="E39" s="69">
        <v>12</v>
      </c>
      <c r="F39" s="69">
        <v>-5</v>
      </c>
      <c r="G39" s="69">
        <v>5</v>
      </c>
      <c r="H39" s="69">
        <v>0</v>
      </c>
      <c r="I39" s="69">
        <v>0</v>
      </c>
      <c r="J39" s="69">
        <v>0</v>
      </c>
      <c r="K39" s="69">
        <v>143</v>
      </c>
      <c r="L39" s="69">
        <v>296</v>
      </c>
      <c r="M39" s="69">
        <v>484</v>
      </c>
      <c r="N39" s="69">
        <v>872</v>
      </c>
      <c r="O39" s="69">
        <v>1009</v>
      </c>
      <c r="P39" s="69">
        <v>1170</v>
      </c>
      <c r="Q39" s="70">
        <v>1356</v>
      </c>
    </row>
    <row r="40" spans="1:17">
      <c r="A40" s="68" t="s">
        <v>475</v>
      </c>
      <c r="B40" s="68" t="s">
        <v>744</v>
      </c>
      <c r="C40" s="69" t="s">
        <v>41</v>
      </c>
      <c r="D40" s="69">
        <v>65</v>
      </c>
      <c r="E40" s="69">
        <v>20</v>
      </c>
      <c r="F40" s="69">
        <v>-5</v>
      </c>
      <c r="G40" s="69">
        <v>5</v>
      </c>
      <c r="H40" s="69">
        <v>0</v>
      </c>
      <c r="I40" s="69">
        <v>0</v>
      </c>
      <c r="J40" s="69">
        <v>0</v>
      </c>
      <c r="K40" s="69">
        <v>150</v>
      </c>
      <c r="L40" s="69">
        <v>311</v>
      </c>
      <c r="M40" s="69">
        <v>508</v>
      </c>
      <c r="N40" s="69">
        <v>916</v>
      </c>
      <c r="O40" s="69">
        <v>1060</v>
      </c>
      <c r="P40" s="69">
        <v>1229</v>
      </c>
      <c r="Q40" s="70">
        <v>1424</v>
      </c>
    </row>
    <row r="41" spans="1:17">
      <c r="A41" s="68" t="s">
        <v>476</v>
      </c>
      <c r="B41" s="68" t="s">
        <v>745</v>
      </c>
      <c r="C41" s="69" t="s">
        <v>41</v>
      </c>
      <c r="D41" s="69">
        <v>65</v>
      </c>
      <c r="E41" s="69">
        <v>9</v>
      </c>
      <c r="F41" s="69">
        <v>5</v>
      </c>
      <c r="G41" s="69">
        <v>-9</v>
      </c>
      <c r="H41" s="69">
        <v>0</v>
      </c>
      <c r="I41" s="69">
        <v>5</v>
      </c>
      <c r="J41" s="69">
        <v>0</v>
      </c>
      <c r="K41" s="69">
        <v>28</v>
      </c>
      <c r="L41" s="69">
        <v>69</v>
      </c>
      <c r="M41" s="69">
        <v>546</v>
      </c>
      <c r="N41" s="69">
        <v>967</v>
      </c>
      <c r="O41" s="69">
        <v>1119</v>
      </c>
      <c r="P41" s="69">
        <v>1298</v>
      </c>
      <c r="Q41" s="70">
        <v>1505</v>
      </c>
    </row>
    <row r="42" spans="1:17">
      <c r="A42" s="68" t="s">
        <v>477</v>
      </c>
      <c r="B42" s="68" t="s">
        <v>746</v>
      </c>
      <c r="C42" s="69" t="s">
        <v>41</v>
      </c>
      <c r="D42" s="69">
        <v>65</v>
      </c>
      <c r="E42" s="69">
        <v>0</v>
      </c>
      <c r="F42" s="69">
        <v>0</v>
      </c>
      <c r="G42" s="69">
        <v>5</v>
      </c>
      <c r="H42" s="69">
        <v>5</v>
      </c>
      <c r="I42" s="69">
        <v>0</v>
      </c>
      <c r="J42" s="69">
        <v>0</v>
      </c>
      <c r="K42" s="69">
        <v>60</v>
      </c>
      <c r="L42" s="69">
        <v>168</v>
      </c>
      <c r="M42" s="69">
        <v>513</v>
      </c>
      <c r="N42" s="69">
        <v>908</v>
      </c>
      <c r="O42" s="69">
        <v>1052</v>
      </c>
      <c r="P42" s="69">
        <v>1219</v>
      </c>
      <c r="Q42" s="70">
        <v>1414</v>
      </c>
    </row>
    <row r="43" spans="1:17">
      <c r="A43" s="68" t="s">
        <v>653</v>
      </c>
      <c r="B43" s="68" t="s">
        <v>747</v>
      </c>
      <c r="C43" s="69" t="s">
        <v>41</v>
      </c>
      <c r="D43" s="69">
        <v>65</v>
      </c>
      <c r="E43" s="69">
        <v>5</v>
      </c>
      <c r="F43" s="69">
        <v>0</v>
      </c>
      <c r="G43" s="69">
        <v>9</v>
      </c>
      <c r="H43" s="69">
        <v>-5</v>
      </c>
      <c r="I43" s="69">
        <v>5</v>
      </c>
      <c r="J43" s="69">
        <v>0</v>
      </c>
      <c r="K43" s="69">
        <v>70</v>
      </c>
      <c r="L43" s="69">
        <v>195</v>
      </c>
      <c r="M43" s="69">
        <v>595</v>
      </c>
      <c r="N43" s="69">
        <v>1053</v>
      </c>
      <c r="O43" s="69">
        <v>1220</v>
      </c>
      <c r="P43" s="69">
        <v>1414</v>
      </c>
      <c r="Q43" s="70">
        <v>1639</v>
      </c>
    </row>
    <row r="44" spans="1:17">
      <c r="A44" s="68" t="s">
        <v>478</v>
      </c>
      <c r="B44" s="68" t="s">
        <v>748</v>
      </c>
      <c r="C44" s="69" t="s">
        <v>41</v>
      </c>
      <c r="D44" s="69">
        <v>65</v>
      </c>
      <c r="E44" s="69">
        <v>9</v>
      </c>
      <c r="F44" s="69">
        <v>5</v>
      </c>
      <c r="G44" s="69">
        <v>5</v>
      </c>
      <c r="H44" s="69">
        <v>0</v>
      </c>
      <c r="I44" s="69">
        <v>0</v>
      </c>
      <c r="J44" s="69">
        <v>0</v>
      </c>
      <c r="K44" s="69">
        <v>150</v>
      </c>
      <c r="L44" s="69">
        <v>311</v>
      </c>
      <c r="M44" s="69">
        <v>510</v>
      </c>
      <c r="N44" s="69">
        <v>919</v>
      </c>
      <c r="O44" s="69">
        <v>1064</v>
      </c>
      <c r="P44" s="69">
        <v>1234</v>
      </c>
      <c r="Q44" s="70">
        <v>1430</v>
      </c>
    </row>
    <row r="45" spans="1:17">
      <c r="A45" s="68" t="s">
        <v>479</v>
      </c>
      <c r="B45" s="68" t="s">
        <v>749</v>
      </c>
      <c r="C45" s="69" t="s">
        <v>41</v>
      </c>
      <c r="D45" s="69">
        <v>65</v>
      </c>
      <c r="E45" s="69">
        <v>0</v>
      </c>
      <c r="F45" s="69">
        <v>9</v>
      </c>
      <c r="G45" s="69">
        <v>0</v>
      </c>
      <c r="H45" s="69">
        <v>0</v>
      </c>
      <c r="I45" s="69">
        <v>0</v>
      </c>
      <c r="J45" s="69">
        <v>0</v>
      </c>
      <c r="K45" s="69">
        <v>60</v>
      </c>
      <c r="L45" s="69">
        <v>168</v>
      </c>
      <c r="M45" s="69">
        <v>513</v>
      </c>
      <c r="N45" s="69">
        <v>908</v>
      </c>
      <c r="O45" s="69">
        <v>1052</v>
      </c>
      <c r="P45" s="69">
        <v>1219</v>
      </c>
      <c r="Q45" s="70">
        <v>1414</v>
      </c>
    </row>
    <row r="46" spans="1:17">
      <c r="A46" s="68" t="s">
        <v>654</v>
      </c>
      <c r="B46" s="68" t="s">
        <v>750</v>
      </c>
      <c r="C46" s="69" t="s">
        <v>41</v>
      </c>
      <c r="D46" s="69">
        <v>65</v>
      </c>
      <c r="E46" s="69">
        <v>-9</v>
      </c>
      <c r="F46" s="69">
        <v>0</v>
      </c>
      <c r="G46" s="69">
        <v>14</v>
      </c>
      <c r="H46" s="69">
        <v>0</v>
      </c>
      <c r="I46" s="69">
        <v>5</v>
      </c>
      <c r="J46" s="69">
        <v>0</v>
      </c>
      <c r="K46" s="69">
        <v>177</v>
      </c>
      <c r="L46" s="69">
        <v>368</v>
      </c>
      <c r="M46" s="69">
        <v>601</v>
      </c>
      <c r="N46" s="69">
        <v>1082</v>
      </c>
      <c r="O46" s="69">
        <v>1253</v>
      </c>
      <c r="P46" s="69">
        <v>1453</v>
      </c>
      <c r="Q46" s="70">
        <v>1685</v>
      </c>
    </row>
    <row r="47" spans="1:17">
      <c r="A47" s="68" t="s">
        <v>655</v>
      </c>
      <c r="B47" s="68" t="s">
        <v>751</v>
      </c>
      <c r="C47" s="69" t="s">
        <v>41</v>
      </c>
      <c r="D47" s="69">
        <v>65</v>
      </c>
      <c r="E47" s="69">
        <v>0</v>
      </c>
      <c r="F47" s="69">
        <v>0</v>
      </c>
      <c r="G47" s="69">
        <v>0</v>
      </c>
      <c r="H47" s="69">
        <v>12</v>
      </c>
      <c r="I47" s="69">
        <v>0</v>
      </c>
      <c r="J47" s="69">
        <v>0</v>
      </c>
      <c r="K47" s="69">
        <v>28</v>
      </c>
      <c r="L47" s="69">
        <v>69</v>
      </c>
      <c r="M47" s="69">
        <v>546</v>
      </c>
      <c r="N47" s="69">
        <v>967</v>
      </c>
      <c r="O47" s="69">
        <v>1119</v>
      </c>
      <c r="P47" s="69">
        <v>1298</v>
      </c>
      <c r="Q47" s="70">
        <v>1505</v>
      </c>
    </row>
    <row r="48" spans="1:17">
      <c r="A48" s="68" t="s">
        <v>656</v>
      </c>
      <c r="B48" s="68" t="s">
        <v>752</v>
      </c>
      <c r="C48" s="69" t="s">
        <v>41</v>
      </c>
      <c r="D48" s="69">
        <v>65</v>
      </c>
      <c r="E48" s="69">
        <v>5</v>
      </c>
      <c r="F48" s="69">
        <v>0</v>
      </c>
      <c r="G48" s="69">
        <v>12</v>
      </c>
      <c r="H48" s="69">
        <v>5</v>
      </c>
      <c r="I48" s="69">
        <v>-10</v>
      </c>
      <c r="J48" s="69">
        <v>0</v>
      </c>
      <c r="K48" s="69">
        <v>179</v>
      </c>
      <c r="L48" s="69">
        <v>372</v>
      </c>
      <c r="M48" s="69">
        <v>608</v>
      </c>
      <c r="N48" s="69">
        <v>1095</v>
      </c>
      <c r="O48" s="69">
        <v>1267</v>
      </c>
      <c r="P48" s="69">
        <v>1469</v>
      </c>
      <c r="Q48" s="70">
        <v>1703</v>
      </c>
    </row>
    <row r="49" spans="1:17">
      <c r="A49" s="68" t="s">
        <v>480</v>
      </c>
      <c r="B49" s="68" t="s">
        <v>753</v>
      </c>
      <c r="C49" s="69" t="s">
        <v>41</v>
      </c>
      <c r="D49" s="69">
        <v>5</v>
      </c>
      <c r="E49" s="69">
        <v>10</v>
      </c>
      <c r="F49" s="69">
        <v>0</v>
      </c>
      <c r="G49" s="69">
        <v>0</v>
      </c>
      <c r="H49" s="69">
        <v>0</v>
      </c>
      <c r="I49" s="69">
        <v>0</v>
      </c>
      <c r="J49" s="69">
        <v>0</v>
      </c>
      <c r="K49" s="69"/>
      <c r="L49" s="69"/>
      <c r="M49" s="69"/>
      <c r="N49" s="69">
        <v>941</v>
      </c>
      <c r="O49" s="69">
        <v>1018</v>
      </c>
      <c r="P49" s="69">
        <v>1070</v>
      </c>
      <c r="Q49" s="70">
        <v>1125</v>
      </c>
    </row>
    <row r="50" spans="1:17">
      <c r="A50" s="68" t="s">
        <v>481</v>
      </c>
      <c r="B50" s="68" t="s">
        <v>754</v>
      </c>
      <c r="C50" s="69" t="s">
        <v>41</v>
      </c>
      <c r="D50" s="69">
        <v>20</v>
      </c>
      <c r="E50" s="69">
        <v>0</v>
      </c>
      <c r="F50" s="69">
        <v>0</v>
      </c>
      <c r="G50" s="69">
        <v>12</v>
      </c>
      <c r="H50" s="69">
        <v>12</v>
      </c>
      <c r="I50" s="69">
        <v>-12</v>
      </c>
      <c r="J50" s="69">
        <v>0</v>
      </c>
      <c r="K50" s="69"/>
      <c r="L50" s="69"/>
      <c r="M50" s="69"/>
      <c r="N50" s="69">
        <v>1744</v>
      </c>
      <c r="O50" s="69"/>
      <c r="P50" s="69"/>
      <c r="Q50" s="70"/>
    </row>
    <row r="51" spans="1:17">
      <c r="A51" s="68" t="s">
        <v>657</v>
      </c>
      <c r="B51" s="68" t="s">
        <v>755</v>
      </c>
      <c r="C51" s="69" t="s">
        <v>43</v>
      </c>
      <c r="D51" s="69">
        <v>65</v>
      </c>
      <c r="E51" s="69">
        <v>0</v>
      </c>
      <c r="F51" s="69">
        <v>12</v>
      </c>
      <c r="G51" s="69">
        <v>9</v>
      </c>
      <c r="H51" s="69">
        <v>0</v>
      </c>
      <c r="I51" s="69">
        <v>-9</v>
      </c>
      <c r="J51" s="69">
        <v>0</v>
      </c>
      <c r="K51" s="69">
        <v>70</v>
      </c>
      <c r="L51" s="69">
        <v>195</v>
      </c>
      <c r="M51" s="69">
        <v>595</v>
      </c>
      <c r="N51" s="69">
        <v>1053</v>
      </c>
      <c r="O51" s="69">
        <v>1220</v>
      </c>
      <c r="P51" s="69">
        <v>1414</v>
      </c>
      <c r="Q51" s="70">
        <v>1639</v>
      </c>
    </row>
    <row r="52" spans="1:17">
      <c r="A52" s="68" t="s">
        <v>482</v>
      </c>
      <c r="B52" s="68" t="s">
        <v>756</v>
      </c>
      <c r="C52" s="69" t="s">
        <v>43</v>
      </c>
      <c r="D52" s="69">
        <v>65</v>
      </c>
      <c r="E52" s="69">
        <v>5</v>
      </c>
      <c r="F52" s="69">
        <v>9</v>
      </c>
      <c r="G52" s="69">
        <v>0</v>
      </c>
      <c r="H52" s="69">
        <v>0</v>
      </c>
      <c r="I52" s="69">
        <v>-5</v>
      </c>
      <c r="J52" s="69">
        <v>0</v>
      </c>
      <c r="K52" s="69">
        <v>150</v>
      </c>
      <c r="L52" s="69">
        <v>311</v>
      </c>
      <c r="M52" s="69">
        <v>510</v>
      </c>
      <c r="N52" s="69">
        <v>919</v>
      </c>
      <c r="O52" s="69">
        <v>1064</v>
      </c>
      <c r="P52" s="69">
        <v>1234</v>
      </c>
      <c r="Q52" s="70">
        <v>1430</v>
      </c>
    </row>
    <row r="53" spans="1:17">
      <c r="A53" s="68" t="s">
        <v>483</v>
      </c>
      <c r="B53" s="68" t="s">
        <v>757</v>
      </c>
      <c r="C53" s="69" t="s">
        <v>43</v>
      </c>
      <c r="D53" s="69">
        <v>65</v>
      </c>
      <c r="E53" s="69">
        <v>9</v>
      </c>
      <c r="F53" s="69">
        <v>5</v>
      </c>
      <c r="G53" s="69">
        <v>0</v>
      </c>
      <c r="H53" s="69">
        <v>-5</v>
      </c>
      <c r="I53" s="69">
        <v>0</v>
      </c>
      <c r="J53" s="69">
        <v>0</v>
      </c>
      <c r="K53" s="69">
        <v>150</v>
      </c>
      <c r="L53" s="69">
        <v>311</v>
      </c>
      <c r="M53" s="69">
        <v>510</v>
      </c>
      <c r="N53" s="69">
        <v>919</v>
      </c>
      <c r="O53" s="69">
        <v>1064</v>
      </c>
      <c r="P53" s="69">
        <v>1234</v>
      </c>
      <c r="Q53" s="70">
        <v>1430</v>
      </c>
    </row>
    <row r="54" spans="1:17">
      <c r="A54" s="68" t="s">
        <v>658</v>
      </c>
      <c r="B54" s="68" t="s">
        <v>758</v>
      </c>
      <c r="C54" s="69" t="s">
        <v>43</v>
      </c>
      <c r="D54" s="69">
        <v>65</v>
      </c>
      <c r="E54" s="69">
        <v>9</v>
      </c>
      <c r="F54" s="69">
        <v>0</v>
      </c>
      <c r="G54" s="69">
        <v>5</v>
      </c>
      <c r="H54" s="69">
        <v>0</v>
      </c>
      <c r="I54" s="69">
        <v>0</v>
      </c>
      <c r="J54" s="69">
        <v>0</v>
      </c>
      <c r="K54" s="69">
        <v>60</v>
      </c>
      <c r="L54" s="69">
        <v>168</v>
      </c>
      <c r="M54" s="69">
        <v>513</v>
      </c>
      <c r="N54" s="69">
        <v>908</v>
      </c>
      <c r="O54" s="69">
        <v>1052</v>
      </c>
      <c r="P54" s="69">
        <v>1219</v>
      </c>
      <c r="Q54" s="70">
        <v>1414</v>
      </c>
    </row>
    <row r="55" spans="1:17">
      <c r="A55" s="68" t="s">
        <v>484</v>
      </c>
      <c r="B55" s="68" t="s">
        <v>759</v>
      </c>
      <c r="C55" s="69" t="s">
        <v>43</v>
      </c>
      <c r="D55" s="69">
        <v>65</v>
      </c>
      <c r="E55" s="69">
        <v>0</v>
      </c>
      <c r="F55" s="69">
        <v>5</v>
      </c>
      <c r="G55" s="69">
        <v>5</v>
      </c>
      <c r="H55" s="69">
        <v>0</v>
      </c>
      <c r="I55" s="69">
        <v>0</v>
      </c>
      <c r="J55" s="69">
        <v>0</v>
      </c>
      <c r="K55" s="69">
        <v>28</v>
      </c>
      <c r="L55" s="69">
        <v>69</v>
      </c>
      <c r="M55" s="69">
        <v>546</v>
      </c>
      <c r="N55" s="69">
        <v>967</v>
      </c>
      <c r="O55" s="69">
        <v>1119</v>
      </c>
      <c r="P55" s="69">
        <v>1298</v>
      </c>
      <c r="Q55" s="70">
        <v>1505</v>
      </c>
    </row>
    <row r="56" spans="1:17">
      <c r="A56" s="68" t="s">
        <v>485</v>
      </c>
      <c r="B56" s="68" t="s">
        <v>760</v>
      </c>
      <c r="C56" s="69" t="s">
        <v>43</v>
      </c>
      <c r="D56" s="69">
        <v>65</v>
      </c>
      <c r="E56" s="69">
        <v>9</v>
      </c>
      <c r="F56" s="69">
        <v>5</v>
      </c>
      <c r="G56" s="69">
        <v>0</v>
      </c>
      <c r="H56" s="69">
        <v>0</v>
      </c>
      <c r="I56" s="69">
        <v>0</v>
      </c>
      <c r="J56" s="69">
        <v>0</v>
      </c>
      <c r="K56" s="69">
        <v>143</v>
      </c>
      <c r="L56" s="69">
        <v>296</v>
      </c>
      <c r="M56" s="69">
        <v>484</v>
      </c>
      <c r="N56" s="69">
        <v>872</v>
      </c>
      <c r="O56" s="69">
        <v>1009</v>
      </c>
      <c r="P56" s="69">
        <v>1170</v>
      </c>
      <c r="Q56" s="70">
        <v>1356</v>
      </c>
    </row>
    <row r="57" spans="1:17">
      <c r="A57" s="68" t="s">
        <v>659</v>
      </c>
      <c r="B57" s="68" t="s">
        <v>761</v>
      </c>
      <c r="C57" s="69" t="s">
        <v>43</v>
      </c>
      <c r="D57" s="69">
        <v>65</v>
      </c>
      <c r="E57" s="69">
        <v>9</v>
      </c>
      <c r="F57" s="69">
        <v>0</v>
      </c>
      <c r="G57" s="69">
        <v>12</v>
      </c>
      <c r="H57" s="69">
        <v>-9</v>
      </c>
      <c r="I57" s="69">
        <v>0</v>
      </c>
      <c r="J57" s="69">
        <v>0</v>
      </c>
      <c r="K57" s="69">
        <v>143</v>
      </c>
      <c r="L57" s="69">
        <v>296</v>
      </c>
      <c r="M57" s="69">
        <v>484</v>
      </c>
      <c r="N57" s="69">
        <v>872</v>
      </c>
      <c r="O57" s="69">
        <v>1009</v>
      </c>
      <c r="P57" s="69">
        <v>1170</v>
      </c>
      <c r="Q57" s="70">
        <v>1356</v>
      </c>
    </row>
    <row r="58" spans="1:17">
      <c r="A58" s="68" t="s">
        <v>660</v>
      </c>
      <c r="B58" s="68" t="s">
        <v>762</v>
      </c>
      <c r="C58" s="69" t="s">
        <v>43</v>
      </c>
      <c r="D58" s="69">
        <v>65</v>
      </c>
      <c r="E58" s="69">
        <v>-5</v>
      </c>
      <c r="F58" s="69">
        <v>12</v>
      </c>
      <c r="G58" s="69">
        <v>12</v>
      </c>
      <c r="H58" s="69">
        <v>0</v>
      </c>
      <c r="I58" s="69">
        <v>0</v>
      </c>
      <c r="J58" s="69">
        <v>0</v>
      </c>
      <c r="K58" s="69">
        <v>177</v>
      </c>
      <c r="L58" s="69">
        <v>368</v>
      </c>
      <c r="M58" s="69">
        <v>601</v>
      </c>
      <c r="N58" s="69">
        <v>1082</v>
      </c>
      <c r="O58" s="69">
        <v>1253</v>
      </c>
      <c r="P58" s="69">
        <v>1453</v>
      </c>
      <c r="Q58" s="70">
        <v>1685</v>
      </c>
    </row>
    <row r="59" spans="1:17">
      <c r="A59" s="68" t="s">
        <v>661</v>
      </c>
      <c r="B59" s="68" t="s">
        <v>763</v>
      </c>
      <c r="C59" s="69" t="s">
        <v>43</v>
      </c>
      <c r="D59" s="69">
        <v>65</v>
      </c>
      <c r="E59" s="69">
        <v>5</v>
      </c>
      <c r="F59" s="69">
        <v>12</v>
      </c>
      <c r="G59" s="69">
        <v>0</v>
      </c>
      <c r="H59" s="69">
        <v>0</v>
      </c>
      <c r="I59" s="69">
        <v>0</v>
      </c>
      <c r="J59" s="69">
        <v>0</v>
      </c>
      <c r="K59" s="69">
        <v>168</v>
      </c>
      <c r="L59" s="69">
        <v>348</v>
      </c>
      <c r="M59" s="69">
        <v>569</v>
      </c>
      <c r="N59" s="69">
        <v>1024</v>
      </c>
      <c r="O59" s="69">
        <v>1186</v>
      </c>
      <c r="P59" s="69">
        <v>1375</v>
      </c>
      <c r="Q59" s="70">
        <v>1594</v>
      </c>
    </row>
    <row r="60" spans="1:17">
      <c r="A60" s="68" t="s">
        <v>486</v>
      </c>
      <c r="B60" s="68" t="s">
        <v>765</v>
      </c>
      <c r="C60" s="69" t="s">
        <v>43</v>
      </c>
      <c r="D60" s="69">
        <v>65</v>
      </c>
      <c r="E60" s="69">
        <v>0</v>
      </c>
      <c r="F60" s="69">
        <v>5</v>
      </c>
      <c r="G60" s="69">
        <v>9</v>
      </c>
      <c r="H60" s="69">
        <v>-9</v>
      </c>
      <c r="I60" s="69">
        <v>9</v>
      </c>
      <c r="J60" s="69">
        <v>0</v>
      </c>
      <c r="K60" s="69">
        <v>143</v>
      </c>
      <c r="L60" s="69">
        <v>296</v>
      </c>
      <c r="M60" s="69">
        <v>484</v>
      </c>
      <c r="N60" s="69">
        <v>872</v>
      </c>
      <c r="O60" s="69">
        <v>1009</v>
      </c>
      <c r="P60" s="69">
        <v>1170</v>
      </c>
      <c r="Q60" s="70">
        <v>1356</v>
      </c>
    </row>
    <row r="61" spans="1:17">
      <c r="A61" s="68" t="s">
        <v>662</v>
      </c>
      <c r="B61" s="68" t="s">
        <v>764</v>
      </c>
      <c r="C61" s="69" t="s">
        <v>43</v>
      </c>
      <c r="D61" s="69">
        <v>65</v>
      </c>
      <c r="E61" s="69">
        <v>7</v>
      </c>
      <c r="F61" s="69">
        <v>0</v>
      </c>
      <c r="G61" s="69">
        <v>9</v>
      </c>
      <c r="H61" s="69">
        <v>9</v>
      </c>
      <c r="I61" s="69">
        <v>-7</v>
      </c>
      <c r="J61" s="69">
        <v>0</v>
      </c>
      <c r="K61" s="69">
        <v>179</v>
      </c>
      <c r="L61" s="69">
        <v>372</v>
      </c>
      <c r="M61" s="69">
        <v>608</v>
      </c>
      <c r="N61" s="69">
        <v>1095</v>
      </c>
      <c r="O61" s="69">
        <v>1267</v>
      </c>
      <c r="P61" s="69">
        <v>1469</v>
      </c>
      <c r="Q61" s="70">
        <v>1703</v>
      </c>
    </row>
    <row r="62" spans="1:17">
      <c r="A62" s="68" t="s">
        <v>487</v>
      </c>
      <c r="B62" s="68" t="s">
        <v>766</v>
      </c>
      <c r="C62" s="69" t="s">
        <v>43</v>
      </c>
      <c r="D62" s="69">
        <v>5</v>
      </c>
      <c r="E62" s="69">
        <v>2</v>
      </c>
      <c r="F62" s="69">
        <v>0</v>
      </c>
      <c r="G62" s="69">
        <v>8</v>
      </c>
      <c r="H62" s="69">
        <v>0</v>
      </c>
      <c r="I62" s="69">
        <v>0</v>
      </c>
      <c r="J62" s="69">
        <v>0</v>
      </c>
      <c r="K62" s="69"/>
      <c r="L62" s="69"/>
      <c r="M62" s="69"/>
      <c r="N62" s="69">
        <v>1002</v>
      </c>
      <c r="O62" s="69">
        <v>1084</v>
      </c>
      <c r="P62" s="69">
        <v>1139</v>
      </c>
      <c r="Q62" s="70">
        <v>1197</v>
      </c>
    </row>
    <row r="63" spans="1:17">
      <c r="A63" s="68" t="s">
        <v>488</v>
      </c>
      <c r="B63" s="68" t="s">
        <v>767</v>
      </c>
      <c r="C63" s="69" t="s">
        <v>43</v>
      </c>
      <c r="D63" s="69">
        <v>20</v>
      </c>
      <c r="E63" s="69">
        <v>0</v>
      </c>
      <c r="F63" s="69">
        <v>12</v>
      </c>
      <c r="G63" s="69">
        <v>0</v>
      </c>
      <c r="H63" s="69">
        <v>-12</v>
      </c>
      <c r="I63" s="69">
        <v>12</v>
      </c>
      <c r="J63" s="69">
        <v>0</v>
      </c>
      <c r="K63" s="69"/>
      <c r="L63" s="69"/>
      <c r="M63" s="69"/>
      <c r="N63" s="69">
        <v>1744</v>
      </c>
      <c r="O63" s="69"/>
      <c r="P63" s="69"/>
      <c r="Q63" s="70"/>
    </row>
    <row r="64" spans="1:17">
      <c r="A64" s="68" t="s">
        <v>663</v>
      </c>
      <c r="B64" s="68" t="s">
        <v>768</v>
      </c>
      <c r="C64" s="69" t="s">
        <v>43</v>
      </c>
      <c r="D64" s="69">
        <v>65</v>
      </c>
      <c r="E64" s="69">
        <v>1</v>
      </c>
      <c r="F64" s="69">
        <v>1</v>
      </c>
      <c r="G64" s="69">
        <v>1</v>
      </c>
      <c r="H64" s="69">
        <v>1</v>
      </c>
      <c r="I64" s="69">
        <v>1</v>
      </c>
      <c r="J64" s="69">
        <v>0</v>
      </c>
      <c r="K64" s="69">
        <v>120</v>
      </c>
      <c r="L64" s="69"/>
      <c r="M64" s="69"/>
      <c r="N64" s="69"/>
      <c r="O64" s="69"/>
      <c r="P64" s="69"/>
      <c r="Q64" s="70"/>
    </row>
    <row r="65" spans="1:17">
      <c r="A65" s="68" t="s">
        <v>664</v>
      </c>
      <c r="B65" s="68" t="s">
        <v>768</v>
      </c>
      <c r="C65" s="69" t="s">
        <v>43</v>
      </c>
      <c r="D65" s="69">
        <v>65</v>
      </c>
      <c r="E65" s="69">
        <v>2</v>
      </c>
      <c r="F65" s="69">
        <v>2</v>
      </c>
      <c r="G65" s="69">
        <v>2</v>
      </c>
      <c r="H65" s="69">
        <v>2</v>
      </c>
      <c r="I65" s="69">
        <v>2</v>
      </c>
      <c r="J65" s="69">
        <v>0</v>
      </c>
      <c r="K65" s="69"/>
      <c r="L65" s="69">
        <v>345</v>
      </c>
      <c r="M65" s="69"/>
      <c r="N65" s="69"/>
      <c r="O65" s="69"/>
      <c r="P65" s="69"/>
      <c r="Q65" s="70"/>
    </row>
    <row r="66" spans="1:17">
      <c r="A66" s="68" t="s">
        <v>665</v>
      </c>
      <c r="B66" s="68" t="s">
        <v>768</v>
      </c>
      <c r="C66" s="69" t="s">
        <v>43</v>
      </c>
      <c r="D66" s="69">
        <v>65</v>
      </c>
      <c r="E66" s="69">
        <v>3</v>
      </c>
      <c r="F66" s="69">
        <v>3</v>
      </c>
      <c r="G66" s="69">
        <v>3</v>
      </c>
      <c r="H66" s="69">
        <v>3</v>
      </c>
      <c r="I66" s="69">
        <v>3</v>
      </c>
      <c r="J66" s="69">
        <v>0</v>
      </c>
      <c r="K66" s="69"/>
      <c r="L66" s="69"/>
      <c r="M66" s="69">
        <v>453</v>
      </c>
      <c r="N66" s="69"/>
      <c r="O66" s="69">
        <v>1267</v>
      </c>
      <c r="P66" s="69">
        <v>1469</v>
      </c>
      <c r="Q66" s="70">
        <v>1703</v>
      </c>
    </row>
    <row r="67" spans="1:17">
      <c r="A67" s="68" t="s">
        <v>666</v>
      </c>
      <c r="B67" s="68" t="s">
        <v>769</v>
      </c>
      <c r="C67" s="69" t="s">
        <v>41</v>
      </c>
      <c r="D67" s="69">
        <v>65</v>
      </c>
      <c r="E67" s="69">
        <v>4</v>
      </c>
      <c r="F67" s="69">
        <v>4</v>
      </c>
      <c r="G67" s="69">
        <v>0</v>
      </c>
      <c r="H67" s="69">
        <v>0</v>
      </c>
      <c r="I67" s="69">
        <v>0</v>
      </c>
      <c r="J67" s="69">
        <v>0</v>
      </c>
      <c r="K67" s="69">
        <v>104</v>
      </c>
      <c r="L67" s="69"/>
      <c r="M67" s="69"/>
      <c r="N67" s="69"/>
      <c r="O67" s="69"/>
      <c r="P67" s="69"/>
      <c r="Q67" s="70"/>
    </row>
    <row r="68" spans="1:17">
      <c r="A68" s="68" t="s">
        <v>667</v>
      </c>
      <c r="B68" s="68" t="s">
        <v>769</v>
      </c>
      <c r="C68" s="69" t="s">
        <v>41</v>
      </c>
      <c r="D68" s="69">
        <v>65</v>
      </c>
      <c r="E68" s="69">
        <v>5</v>
      </c>
      <c r="F68" s="69">
        <v>5</v>
      </c>
      <c r="G68" s="69">
        <v>0</v>
      </c>
      <c r="H68" s="69">
        <v>0</v>
      </c>
      <c r="I68" s="69">
        <v>0</v>
      </c>
      <c r="J68" s="69">
        <v>0</v>
      </c>
      <c r="K68" s="69"/>
      <c r="L68" s="69">
        <v>299</v>
      </c>
      <c r="M68" s="69"/>
      <c r="N68" s="69"/>
      <c r="O68" s="69"/>
      <c r="P68" s="69"/>
      <c r="Q68" s="70"/>
    </row>
    <row r="69" spans="1:17">
      <c r="A69" s="68" t="s">
        <v>668</v>
      </c>
      <c r="B69" s="68" t="s">
        <v>769</v>
      </c>
      <c r="C69" s="69" t="s">
        <v>41</v>
      </c>
      <c r="D69" s="69">
        <v>65</v>
      </c>
      <c r="E69" s="69">
        <v>6</v>
      </c>
      <c r="F69" s="69">
        <v>6</v>
      </c>
      <c r="G69" s="69">
        <v>0</v>
      </c>
      <c r="H69" s="69">
        <v>0</v>
      </c>
      <c r="I69" s="69">
        <v>0</v>
      </c>
      <c r="J69" s="69">
        <v>0</v>
      </c>
      <c r="K69" s="69"/>
      <c r="L69" s="69"/>
      <c r="M69" s="69">
        <v>393</v>
      </c>
      <c r="N69" s="69"/>
      <c r="O69" s="69">
        <v>1140</v>
      </c>
      <c r="P69" s="69">
        <v>1321</v>
      </c>
      <c r="Q69" s="70">
        <v>1532</v>
      </c>
    </row>
    <row r="70" spans="1:17">
      <c r="A70" s="68" t="s">
        <v>489</v>
      </c>
      <c r="B70" s="68" t="s">
        <v>490</v>
      </c>
      <c r="C70" s="69" t="s">
        <v>37</v>
      </c>
      <c r="D70" s="69">
        <v>60</v>
      </c>
      <c r="E70" s="69">
        <v>0</v>
      </c>
      <c r="F70" s="69">
        <v>0</v>
      </c>
      <c r="G70" s="69">
        <v>0</v>
      </c>
      <c r="H70" s="69">
        <v>0</v>
      </c>
      <c r="I70" s="69">
        <v>0</v>
      </c>
      <c r="J70" s="69">
        <v>0</v>
      </c>
      <c r="K70" s="69"/>
      <c r="L70" s="69"/>
      <c r="M70" s="69">
        <v>486</v>
      </c>
      <c r="N70" s="69">
        <v>1084</v>
      </c>
      <c r="O70" s="69"/>
      <c r="P70" s="69"/>
      <c r="Q70" s="70"/>
    </row>
    <row r="71" spans="1:17">
      <c r="A71" s="68" t="s">
        <v>491</v>
      </c>
      <c r="B71" s="68" t="s">
        <v>490</v>
      </c>
      <c r="C71" s="69" t="s">
        <v>37</v>
      </c>
      <c r="D71" s="69">
        <v>60</v>
      </c>
      <c r="E71" s="69">
        <v>0</v>
      </c>
      <c r="F71" s="69">
        <v>9</v>
      </c>
      <c r="G71" s="69">
        <v>9</v>
      </c>
      <c r="H71" s="69">
        <v>0</v>
      </c>
      <c r="I71" s="69">
        <v>0</v>
      </c>
      <c r="J71" s="69">
        <v>0</v>
      </c>
      <c r="K71" s="69"/>
      <c r="L71" s="69"/>
      <c r="M71" s="69"/>
      <c r="N71" s="69"/>
      <c r="O71" s="69">
        <v>1221</v>
      </c>
      <c r="P71" s="69">
        <v>1415</v>
      </c>
      <c r="Q71" s="70">
        <v>1641</v>
      </c>
    </row>
    <row r="72" spans="1:17">
      <c r="A72" s="68" t="s">
        <v>492</v>
      </c>
      <c r="B72" s="68" t="s">
        <v>770</v>
      </c>
      <c r="C72" s="69" t="s">
        <v>37</v>
      </c>
      <c r="D72" s="69">
        <v>20</v>
      </c>
      <c r="E72" s="69">
        <v>0</v>
      </c>
      <c r="F72" s="69">
        <v>-10</v>
      </c>
      <c r="G72" s="69">
        <v>20</v>
      </c>
      <c r="H72" s="69">
        <v>0</v>
      </c>
      <c r="I72" s="69">
        <v>0</v>
      </c>
      <c r="J72" s="69">
        <v>0</v>
      </c>
      <c r="K72" s="69"/>
      <c r="L72" s="69"/>
      <c r="M72" s="69"/>
      <c r="N72" s="69">
        <v>1418</v>
      </c>
      <c r="O72" s="69">
        <v>1498</v>
      </c>
      <c r="P72" s="69">
        <v>1574</v>
      </c>
      <c r="Q72" s="70">
        <v>1655</v>
      </c>
    </row>
    <row r="73" spans="1:17">
      <c r="A73" s="68" t="s">
        <v>493</v>
      </c>
      <c r="B73" s="68" t="s">
        <v>494</v>
      </c>
      <c r="C73" s="69" t="s">
        <v>39</v>
      </c>
      <c r="D73" s="69">
        <v>60</v>
      </c>
      <c r="E73" s="69">
        <v>0</v>
      </c>
      <c r="F73" s="69">
        <v>0</v>
      </c>
      <c r="G73" s="69">
        <v>0</v>
      </c>
      <c r="H73" s="69">
        <v>0</v>
      </c>
      <c r="I73" s="69">
        <v>0</v>
      </c>
      <c r="J73" s="69">
        <v>0</v>
      </c>
      <c r="K73" s="69"/>
      <c r="L73" s="69"/>
      <c r="M73" s="69">
        <v>486</v>
      </c>
      <c r="N73" s="69">
        <v>1084</v>
      </c>
      <c r="O73" s="69"/>
      <c r="P73" s="69"/>
      <c r="Q73" s="70"/>
    </row>
    <row r="74" spans="1:17">
      <c r="A74" s="68" t="s">
        <v>495</v>
      </c>
      <c r="B74" s="68" t="s">
        <v>494</v>
      </c>
      <c r="C74" s="69" t="s">
        <v>39</v>
      </c>
      <c r="D74" s="69">
        <v>60</v>
      </c>
      <c r="E74" s="69">
        <v>0</v>
      </c>
      <c r="F74" s="69">
        <v>0</v>
      </c>
      <c r="G74" s="69">
        <v>0</v>
      </c>
      <c r="H74" s="69">
        <v>9</v>
      </c>
      <c r="I74" s="69">
        <v>9</v>
      </c>
      <c r="J74" s="69">
        <v>0</v>
      </c>
      <c r="K74" s="69"/>
      <c r="L74" s="69"/>
      <c r="M74" s="69"/>
      <c r="N74" s="69"/>
      <c r="O74" s="69">
        <v>1221</v>
      </c>
      <c r="P74" s="69">
        <v>1415</v>
      </c>
      <c r="Q74" s="70">
        <v>1641</v>
      </c>
    </row>
    <row r="75" spans="1:17">
      <c r="A75" s="68" t="s">
        <v>496</v>
      </c>
      <c r="B75" s="68" t="s">
        <v>771</v>
      </c>
      <c r="C75" s="69" t="s">
        <v>39</v>
      </c>
      <c r="D75" s="69">
        <v>20</v>
      </c>
      <c r="E75" s="69">
        <v>0</v>
      </c>
      <c r="F75" s="69">
        <v>0</v>
      </c>
      <c r="G75" s="69">
        <v>0</v>
      </c>
      <c r="H75" s="69">
        <v>20</v>
      </c>
      <c r="I75" s="69">
        <v>-10</v>
      </c>
      <c r="J75" s="69">
        <v>0</v>
      </c>
      <c r="K75" s="69"/>
      <c r="L75" s="69"/>
      <c r="M75" s="69"/>
      <c r="N75" s="69">
        <v>1418</v>
      </c>
      <c r="O75" s="69">
        <v>1498</v>
      </c>
      <c r="P75" s="69">
        <v>1574</v>
      </c>
      <c r="Q75" s="70">
        <v>1655</v>
      </c>
    </row>
    <row r="76" spans="1:17">
      <c r="A76" s="68" t="s">
        <v>497</v>
      </c>
      <c r="B76" s="68" t="s">
        <v>498</v>
      </c>
      <c r="C76" s="69" t="s">
        <v>43</v>
      </c>
      <c r="D76" s="69">
        <v>60</v>
      </c>
      <c r="E76" s="69">
        <v>0</v>
      </c>
      <c r="F76" s="69">
        <v>0</v>
      </c>
      <c r="G76" s="69">
        <v>0</v>
      </c>
      <c r="H76" s="69">
        <v>0</v>
      </c>
      <c r="I76" s="69">
        <v>0</v>
      </c>
      <c r="J76" s="69">
        <v>0</v>
      </c>
      <c r="K76" s="69"/>
      <c r="L76" s="69"/>
      <c r="M76" s="69">
        <v>486</v>
      </c>
      <c r="N76" s="69">
        <v>1084</v>
      </c>
      <c r="O76" s="69"/>
      <c r="P76" s="69"/>
      <c r="Q76" s="70"/>
    </row>
    <row r="77" spans="1:17">
      <c r="A77" s="68" t="s">
        <v>499</v>
      </c>
      <c r="B77" s="68" t="s">
        <v>498</v>
      </c>
      <c r="C77" s="69" t="s">
        <v>43</v>
      </c>
      <c r="D77" s="69">
        <v>60</v>
      </c>
      <c r="E77" s="69">
        <v>0</v>
      </c>
      <c r="F77" s="69">
        <v>0</v>
      </c>
      <c r="G77" s="69">
        <v>6</v>
      </c>
      <c r="H77" s="69">
        <v>6</v>
      </c>
      <c r="I77" s="69">
        <v>0</v>
      </c>
      <c r="J77" s="69">
        <v>0</v>
      </c>
      <c r="K77" s="69"/>
      <c r="L77" s="69"/>
      <c r="M77" s="69"/>
      <c r="N77" s="69"/>
      <c r="O77" s="69">
        <v>1221</v>
      </c>
      <c r="P77" s="69">
        <v>1415</v>
      </c>
      <c r="Q77" s="70">
        <v>1641</v>
      </c>
    </row>
    <row r="78" spans="1:17">
      <c r="A78" s="68" t="s">
        <v>500</v>
      </c>
      <c r="B78" s="68" t="s">
        <v>772</v>
      </c>
      <c r="C78" s="69" t="s">
        <v>43</v>
      </c>
      <c r="D78" s="69">
        <v>20</v>
      </c>
      <c r="E78" s="69">
        <v>-10</v>
      </c>
      <c r="F78" s="69">
        <v>0</v>
      </c>
      <c r="G78" s="69">
        <v>10</v>
      </c>
      <c r="H78" s="69">
        <v>10</v>
      </c>
      <c r="I78" s="69">
        <v>0</v>
      </c>
      <c r="J78" s="69">
        <v>0</v>
      </c>
      <c r="K78" s="69"/>
      <c r="L78" s="69"/>
      <c r="M78" s="69"/>
      <c r="N78" s="69">
        <v>1418</v>
      </c>
      <c r="O78" s="69">
        <v>1498</v>
      </c>
      <c r="P78" s="69">
        <v>1574</v>
      </c>
      <c r="Q78" s="70">
        <v>1655</v>
      </c>
    </row>
    <row r="79" spans="1:17">
      <c r="A79" s="68" t="s">
        <v>501</v>
      </c>
      <c r="B79" s="68" t="s">
        <v>773</v>
      </c>
      <c r="C79" s="69" t="s">
        <v>41</v>
      </c>
      <c r="D79" s="69">
        <v>5</v>
      </c>
      <c r="E79" s="69">
        <v>0</v>
      </c>
      <c r="F79" s="69">
        <v>0</v>
      </c>
      <c r="G79" s="69">
        <v>12</v>
      </c>
      <c r="H79" s="69">
        <v>0</v>
      </c>
      <c r="I79" s="69">
        <v>0</v>
      </c>
      <c r="J79" s="69">
        <v>0</v>
      </c>
      <c r="K79" s="69"/>
      <c r="L79" s="69"/>
      <c r="M79" s="69"/>
      <c r="N79" s="69">
        <v>303</v>
      </c>
      <c r="O79" s="69">
        <v>1064</v>
      </c>
      <c r="P79" s="69">
        <v>1234</v>
      </c>
      <c r="Q79" s="70">
        <v>1430</v>
      </c>
    </row>
    <row r="80" spans="1:17">
      <c r="A80" s="68" t="s">
        <v>502</v>
      </c>
      <c r="B80" s="68" t="s">
        <v>773</v>
      </c>
      <c r="C80" s="69" t="s">
        <v>41</v>
      </c>
      <c r="D80" s="69">
        <v>5</v>
      </c>
      <c r="E80" s="69">
        <v>0</v>
      </c>
      <c r="F80" s="69">
        <v>0</v>
      </c>
      <c r="G80" s="69">
        <v>0</v>
      </c>
      <c r="H80" s="69">
        <v>12</v>
      </c>
      <c r="I80" s="69">
        <v>0</v>
      </c>
      <c r="J80" s="69">
        <v>0</v>
      </c>
      <c r="K80" s="69"/>
      <c r="L80" s="69"/>
      <c r="M80" s="69"/>
      <c r="N80" s="69">
        <v>303</v>
      </c>
      <c r="O80" s="69">
        <v>1064</v>
      </c>
      <c r="P80" s="69">
        <v>1234</v>
      </c>
      <c r="Q80" s="70">
        <v>1430</v>
      </c>
    </row>
    <row r="81" spans="1:17">
      <c r="A81" s="68" t="s">
        <v>669</v>
      </c>
      <c r="B81" s="68" t="s">
        <v>773</v>
      </c>
      <c r="C81" s="69" t="s">
        <v>41</v>
      </c>
      <c r="D81" s="69">
        <v>65</v>
      </c>
      <c r="E81" s="69">
        <v>0</v>
      </c>
      <c r="F81" s="69">
        <v>20</v>
      </c>
      <c r="G81" s="69">
        <v>0</v>
      </c>
      <c r="H81" s="69">
        <v>0</v>
      </c>
      <c r="I81" s="69">
        <v>0</v>
      </c>
      <c r="J81" s="69">
        <v>0</v>
      </c>
      <c r="K81" s="69">
        <v>100</v>
      </c>
      <c r="L81" s="69"/>
      <c r="M81" s="69"/>
      <c r="N81" s="69"/>
      <c r="O81" s="69"/>
      <c r="P81" s="69"/>
      <c r="Q81" s="70"/>
    </row>
    <row r="82" spans="1:17">
      <c r="A82" s="68" t="s">
        <v>670</v>
      </c>
      <c r="B82" s="68" t="s">
        <v>773</v>
      </c>
      <c r="C82" s="69" t="s">
        <v>41</v>
      </c>
      <c r="D82" s="69">
        <v>65</v>
      </c>
      <c r="E82" s="69">
        <v>0</v>
      </c>
      <c r="F82" s="69">
        <v>0</v>
      </c>
      <c r="G82" s="69">
        <v>6</v>
      </c>
      <c r="H82" s="69">
        <v>6</v>
      </c>
      <c r="I82" s="69">
        <v>0</v>
      </c>
      <c r="J82" s="69">
        <v>0</v>
      </c>
      <c r="K82" s="69">
        <v>100</v>
      </c>
      <c r="L82" s="69"/>
      <c r="M82" s="69"/>
      <c r="N82" s="69"/>
      <c r="O82" s="69"/>
      <c r="P82" s="69"/>
      <c r="Q82" s="70"/>
    </row>
    <row r="83" spans="1:17">
      <c r="A83" s="68" t="s">
        <v>671</v>
      </c>
      <c r="B83" s="68" t="s">
        <v>773</v>
      </c>
      <c r="C83" s="69" t="s">
        <v>41</v>
      </c>
      <c r="D83" s="69">
        <v>65</v>
      </c>
      <c r="E83" s="69">
        <v>6</v>
      </c>
      <c r="F83" s="69">
        <v>6</v>
      </c>
      <c r="G83" s="69">
        <v>0</v>
      </c>
      <c r="H83" s="69">
        <v>0</v>
      </c>
      <c r="I83" s="69">
        <v>0</v>
      </c>
      <c r="J83" s="69">
        <v>0</v>
      </c>
      <c r="K83" s="69">
        <v>80</v>
      </c>
      <c r="L83" s="69">
        <v>182</v>
      </c>
      <c r="M83" s="69">
        <v>243</v>
      </c>
      <c r="N83" s="69"/>
      <c r="O83" s="69">
        <v>850</v>
      </c>
      <c r="P83" s="69">
        <v>986</v>
      </c>
      <c r="Q83" s="70">
        <v>1143</v>
      </c>
    </row>
    <row r="84" spans="1:17">
      <c r="A84" s="68" t="s">
        <v>672</v>
      </c>
      <c r="B84" s="68" t="s">
        <v>773</v>
      </c>
      <c r="C84" s="69" t="s">
        <v>41</v>
      </c>
      <c r="D84" s="69">
        <v>65</v>
      </c>
      <c r="E84" s="69">
        <v>0</v>
      </c>
      <c r="F84" s="69">
        <v>6</v>
      </c>
      <c r="G84" s="69">
        <v>6</v>
      </c>
      <c r="H84" s="69">
        <v>0</v>
      </c>
      <c r="I84" s="69">
        <v>0</v>
      </c>
      <c r="J84" s="69">
        <v>0</v>
      </c>
      <c r="K84" s="69">
        <v>100</v>
      </c>
      <c r="L84" s="69"/>
      <c r="M84" s="69"/>
      <c r="N84" s="69"/>
      <c r="O84" s="69"/>
      <c r="P84" s="69"/>
      <c r="Q84" s="70"/>
    </row>
    <row r="85" spans="1:17">
      <c r="A85" s="68" t="s">
        <v>673</v>
      </c>
      <c r="B85" s="68" t="s">
        <v>773</v>
      </c>
      <c r="C85" s="69" t="s">
        <v>41</v>
      </c>
      <c r="D85" s="69">
        <v>65</v>
      </c>
      <c r="E85" s="69">
        <v>0</v>
      </c>
      <c r="F85" s="69">
        <v>0</v>
      </c>
      <c r="G85" s="69">
        <v>0</v>
      </c>
      <c r="H85" s="69">
        <v>6</v>
      </c>
      <c r="I85" s="69">
        <v>6</v>
      </c>
      <c r="J85" s="69">
        <v>0</v>
      </c>
      <c r="K85" s="69">
        <v>100</v>
      </c>
      <c r="L85" s="69"/>
      <c r="M85" s="69"/>
      <c r="N85" s="69"/>
      <c r="O85" s="69"/>
      <c r="P85" s="69"/>
      <c r="Q85" s="70"/>
    </row>
    <row r="86" spans="1:17">
      <c r="A86" s="68" t="s">
        <v>503</v>
      </c>
      <c r="B86" s="68"/>
      <c r="C86" s="69" t="s">
        <v>37</v>
      </c>
      <c r="D86" s="69">
        <v>65</v>
      </c>
      <c r="E86" s="69">
        <v>0</v>
      </c>
      <c r="F86" s="69">
        <v>0</v>
      </c>
      <c r="G86" s="69">
        <v>0</v>
      </c>
      <c r="H86" s="69">
        <v>0</v>
      </c>
      <c r="I86" s="69">
        <v>0</v>
      </c>
      <c r="J86" s="69">
        <v>0</v>
      </c>
      <c r="K86" s="69">
        <v>3</v>
      </c>
      <c r="L86" s="69"/>
      <c r="M86" s="69"/>
      <c r="N86" s="69"/>
      <c r="O86" s="69"/>
      <c r="P86" s="69"/>
      <c r="Q86" s="70"/>
    </row>
    <row r="87" spans="1:17">
      <c r="A87" s="68" t="s">
        <v>504</v>
      </c>
      <c r="B87" s="68"/>
      <c r="C87" s="69" t="s">
        <v>39</v>
      </c>
      <c r="D87" s="69">
        <v>65</v>
      </c>
      <c r="E87" s="69">
        <v>0</v>
      </c>
      <c r="F87" s="69">
        <v>0</v>
      </c>
      <c r="G87" s="69">
        <v>0</v>
      </c>
      <c r="H87" s="69">
        <v>0</v>
      </c>
      <c r="I87" s="69">
        <v>0</v>
      </c>
      <c r="J87" s="69">
        <v>0</v>
      </c>
      <c r="K87" s="69">
        <v>3</v>
      </c>
      <c r="L87" s="69"/>
      <c r="M87" s="69"/>
      <c r="N87" s="69"/>
      <c r="O87" s="69"/>
      <c r="P87" s="69"/>
      <c r="Q87" s="70"/>
    </row>
    <row r="88" spans="1:17">
      <c r="A88" s="68" t="s">
        <v>505</v>
      </c>
      <c r="B88" s="68"/>
      <c r="C88" s="69" t="s">
        <v>37</v>
      </c>
      <c r="D88" s="69">
        <v>65</v>
      </c>
      <c r="E88" s="69">
        <v>0</v>
      </c>
      <c r="F88" s="69">
        <v>0</v>
      </c>
      <c r="G88" s="69">
        <v>0</v>
      </c>
      <c r="H88" s="69">
        <v>0</v>
      </c>
      <c r="I88" s="69">
        <v>0</v>
      </c>
      <c r="J88" s="69">
        <v>0</v>
      </c>
      <c r="K88" s="69">
        <v>3</v>
      </c>
      <c r="L88" s="69"/>
      <c r="M88" s="69"/>
      <c r="N88" s="69"/>
      <c r="O88" s="69"/>
      <c r="P88" s="69"/>
      <c r="Q88" s="70"/>
    </row>
    <row r="89" spans="1:17">
      <c r="A89" s="68" t="s">
        <v>506</v>
      </c>
      <c r="B89" s="68"/>
      <c r="C89" s="69" t="s">
        <v>43</v>
      </c>
      <c r="D89" s="69">
        <v>65</v>
      </c>
      <c r="E89" s="69">
        <v>0</v>
      </c>
      <c r="F89" s="69">
        <v>0</v>
      </c>
      <c r="G89" s="69">
        <v>0</v>
      </c>
      <c r="H89" s="69">
        <v>0</v>
      </c>
      <c r="I89" s="69">
        <v>0</v>
      </c>
      <c r="J89" s="69">
        <v>0</v>
      </c>
      <c r="K89" s="69">
        <v>3</v>
      </c>
      <c r="L89" s="69"/>
      <c r="M89" s="69"/>
      <c r="N89" s="69"/>
      <c r="O89" s="69"/>
      <c r="P89" s="69"/>
      <c r="Q89" s="70"/>
    </row>
    <row r="90" spans="1:17">
      <c r="A90" s="68" t="s">
        <v>507</v>
      </c>
      <c r="B90" s="68"/>
      <c r="C90" s="69" t="s">
        <v>39</v>
      </c>
      <c r="D90" s="69">
        <v>65</v>
      </c>
      <c r="E90" s="69">
        <v>0</v>
      </c>
      <c r="F90" s="69">
        <v>0</v>
      </c>
      <c r="G90" s="69">
        <v>0</v>
      </c>
      <c r="H90" s="69">
        <v>0</v>
      </c>
      <c r="I90" s="69">
        <v>0</v>
      </c>
      <c r="J90" s="69">
        <v>0</v>
      </c>
      <c r="K90" s="69">
        <v>3</v>
      </c>
      <c r="L90" s="69"/>
      <c r="M90" s="69"/>
      <c r="N90" s="69"/>
      <c r="O90" s="69"/>
      <c r="P90" s="69"/>
      <c r="Q90" s="70"/>
    </row>
    <row r="91" spans="1:17">
      <c r="A91" s="68" t="s">
        <v>508</v>
      </c>
      <c r="B91" s="68"/>
      <c r="C91" s="69" t="s">
        <v>41</v>
      </c>
      <c r="D91" s="69">
        <v>65</v>
      </c>
      <c r="E91" s="69">
        <v>0</v>
      </c>
      <c r="F91" s="69">
        <v>0</v>
      </c>
      <c r="G91" s="69">
        <v>0</v>
      </c>
      <c r="H91" s="69">
        <v>0</v>
      </c>
      <c r="I91" s="69">
        <v>0</v>
      </c>
      <c r="J91" s="69">
        <v>0</v>
      </c>
      <c r="K91" s="69">
        <v>3</v>
      </c>
      <c r="L91" s="69"/>
      <c r="M91" s="69"/>
      <c r="N91" s="69"/>
      <c r="O91" s="69"/>
      <c r="P91" s="69"/>
      <c r="Q91" s="70"/>
    </row>
    <row r="92" spans="1:17">
      <c r="A92" s="68" t="s">
        <v>509</v>
      </c>
      <c r="B92" s="68"/>
      <c r="C92" s="69" t="s">
        <v>41</v>
      </c>
      <c r="D92" s="69">
        <v>65</v>
      </c>
      <c r="E92" s="69">
        <v>0</v>
      </c>
      <c r="F92" s="69">
        <v>0</v>
      </c>
      <c r="G92" s="69">
        <v>0</v>
      </c>
      <c r="H92" s="69">
        <v>0</v>
      </c>
      <c r="I92" s="69">
        <v>0</v>
      </c>
      <c r="J92" s="69">
        <v>0</v>
      </c>
      <c r="K92" s="69">
        <v>3</v>
      </c>
      <c r="L92" s="69"/>
      <c r="M92" s="69"/>
      <c r="N92" s="69"/>
      <c r="O92" s="69"/>
      <c r="P92" s="69"/>
      <c r="Q92" s="70"/>
    </row>
    <row r="93" spans="1:17">
      <c r="A93" s="68" t="s">
        <v>510</v>
      </c>
      <c r="B93" s="68"/>
      <c r="C93" s="69" t="s">
        <v>43</v>
      </c>
      <c r="D93" s="69">
        <v>65</v>
      </c>
      <c r="E93" s="69">
        <v>0</v>
      </c>
      <c r="F93" s="69">
        <v>0</v>
      </c>
      <c r="G93" s="69">
        <v>0</v>
      </c>
      <c r="H93" s="69">
        <v>0</v>
      </c>
      <c r="I93" s="69">
        <v>0</v>
      </c>
      <c r="J93" s="69">
        <v>0</v>
      </c>
      <c r="K93" s="69">
        <v>3</v>
      </c>
      <c r="L93" s="69"/>
      <c r="M93" s="69"/>
      <c r="N93" s="69"/>
      <c r="O93" s="69"/>
      <c r="P93" s="69"/>
      <c r="Q93" s="70"/>
    </row>
    <row r="94" spans="1:17">
      <c r="A94" s="68" t="s">
        <v>511</v>
      </c>
      <c r="B94" s="68"/>
      <c r="C94" s="69" t="s">
        <v>37</v>
      </c>
      <c r="D94" s="69">
        <v>5</v>
      </c>
      <c r="E94" s="69">
        <v>4</v>
      </c>
      <c r="F94" s="69">
        <v>4</v>
      </c>
      <c r="G94" s="69">
        <v>4</v>
      </c>
      <c r="H94" s="69">
        <v>4</v>
      </c>
      <c r="I94" s="69">
        <v>4</v>
      </c>
      <c r="J94" s="69">
        <v>0</v>
      </c>
      <c r="K94" s="69">
        <v>1110</v>
      </c>
      <c r="L94" s="69">
        <v>1132</v>
      </c>
      <c r="M94" s="69">
        <v>1154</v>
      </c>
      <c r="N94" s="69">
        <v>1177</v>
      </c>
      <c r="O94" s="70">
        <v>1201</v>
      </c>
    </row>
    <row r="95" spans="1:17">
      <c r="A95" s="68" t="s">
        <v>512</v>
      </c>
      <c r="B95" s="68"/>
      <c r="C95" s="69" t="s">
        <v>39</v>
      </c>
      <c r="D95" s="69">
        <v>5</v>
      </c>
      <c r="E95" s="69">
        <v>10</v>
      </c>
      <c r="F95" s="69">
        <v>0</v>
      </c>
      <c r="G95" s="69">
        <v>10</v>
      </c>
      <c r="H95" s="69">
        <v>0</v>
      </c>
      <c r="I95" s="69">
        <v>0</v>
      </c>
      <c r="J95" s="69">
        <v>0</v>
      </c>
      <c r="K95" s="69">
        <v>1110</v>
      </c>
      <c r="L95" s="69">
        <v>1132</v>
      </c>
      <c r="M95" s="69">
        <v>1154</v>
      </c>
      <c r="N95" s="69">
        <v>1177</v>
      </c>
      <c r="O95" s="70">
        <v>1201</v>
      </c>
    </row>
    <row r="96" spans="1:17">
      <c r="A96" s="68" t="s">
        <v>513</v>
      </c>
      <c r="B96" s="68"/>
      <c r="C96" s="69" t="s">
        <v>37</v>
      </c>
      <c r="D96" s="69">
        <v>5</v>
      </c>
      <c r="E96" s="69">
        <v>10</v>
      </c>
      <c r="F96" s="69">
        <v>0</v>
      </c>
      <c r="G96" s="69">
        <v>0</v>
      </c>
      <c r="H96" s="69">
        <v>0</v>
      </c>
      <c r="I96" s="69">
        <v>10</v>
      </c>
      <c r="J96" s="69">
        <v>0</v>
      </c>
      <c r="K96" s="69">
        <v>1110</v>
      </c>
      <c r="L96" s="69">
        <v>1132</v>
      </c>
      <c r="M96" s="69">
        <v>1154</v>
      </c>
      <c r="N96" s="69">
        <v>1177</v>
      </c>
      <c r="O96" s="70">
        <v>1201</v>
      </c>
    </row>
    <row r="97" spans="1:15">
      <c r="A97" s="68" t="s">
        <v>514</v>
      </c>
      <c r="B97" s="68"/>
      <c r="C97" s="69" t="s">
        <v>43</v>
      </c>
      <c r="D97" s="69">
        <v>5</v>
      </c>
      <c r="E97" s="69">
        <v>0</v>
      </c>
      <c r="F97" s="69">
        <v>0</v>
      </c>
      <c r="G97" s="69">
        <v>10</v>
      </c>
      <c r="H97" s="69">
        <v>10</v>
      </c>
      <c r="I97" s="69">
        <v>0</v>
      </c>
      <c r="J97" s="69">
        <v>0</v>
      </c>
      <c r="K97" s="69">
        <v>1110</v>
      </c>
      <c r="L97" s="69">
        <v>1132</v>
      </c>
      <c r="M97" s="69">
        <v>1154</v>
      </c>
      <c r="N97" s="69">
        <v>1177</v>
      </c>
      <c r="O97" s="70">
        <v>1201</v>
      </c>
    </row>
    <row r="98" spans="1:15">
      <c r="A98" s="68" t="s">
        <v>515</v>
      </c>
      <c r="B98" s="68"/>
      <c r="C98" s="69" t="s">
        <v>39</v>
      </c>
      <c r="D98" s="69">
        <v>5</v>
      </c>
      <c r="E98" s="69">
        <v>0</v>
      </c>
      <c r="F98" s="69">
        <v>0</v>
      </c>
      <c r="G98" s="69">
        <v>0</v>
      </c>
      <c r="H98" s="69">
        <v>10</v>
      </c>
      <c r="I98" s="69">
        <v>10</v>
      </c>
      <c r="J98" s="69">
        <v>0</v>
      </c>
      <c r="K98" s="69">
        <v>1110</v>
      </c>
      <c r="L98" s="69">
        <v>1132</v>
      </c>
      <c r="M98" s="69">
        <v>1154</v>
      </c>
      <c r="N98" s="69">
        <v>1177</v>
      </c>
      <c r="O98" s="70">
        <v>1201</v>
      </c>
    </row>
    <row r="99" spans="1:15">
      <c r="A99" s="68" t="s">
        <v>516</v>
      </c>
      <c r="B99" s="68"/>
      <c r="C99" s="69" t="s">
        <v>41</v>
      </c>
      <c r="D99" s="69">
        <v>5</v>
      </c>
      <c r="E99" s="69">
        <v>0</v>
      </c>
      <c r="F99" s="69">
        <v>10</v>
      </c>
      <c r="G99" s="69">
        <v>0</v>
      </c>
      <c r="H99" s="69">
        <v>0</v>
      </c>
      <c r="I99" s="69">
        <v>10</v>
      </c>
      <c r="J99" s="69">
        <v>0</v>
      </c>
      <c r="K99" s="69">
        <v>1110</v>
      </c>
      <c r="L99" s="69">
        <v>1132</v>
      </c>
      <c r="M99" s="69">
        <v>1154</v>
      </c>
      <c r="N99" s="69">
        <v>1177</v>
      </c>
      <c r="O99" s="70">
        <v>1201</v>
      </c>
    </row>
    <row r="100" spans="1:15">
      <c r="A100" s="68" t="s">
        <v>517</v>
      </c>
      <c r="B100" s="68"/>
      <c r="C100" s="69" t="s">
        <v>41</v>
      </c>
      <c r="D100" s="69">
        <v>5</v>
      </c>
      <c r="E100" s="69">
        <v>0</v>
      </c>
      <c r="F100" s="69">
        <v>10</v>
      </c>
      <c r="G100" s="69">
        <v>10</v>
      </c>
      <c r="H100" s="69">
        <v>0</v>
      </c>
      <c r="I100" s="69">
        <v>0</v>
      </c>
      <c r="J100" s="69">
        <v>0</v>
      </c>
      <c r="K100" s="69">
        <v>1110</v>
      </c>
      <c r="L100" s="69">
        <v>1132</v>
      </c>
      <c r="M100" s="69">
        <v>1154</v>
      </c>
      <c r="N100" s="69">
        <v>1177</v>
      </c>
      <c r="O100" s="70">
        <v>1201</v>
      </c>
    </row>
    <row r="101" spans="1:15">
      <c r="A101" s="71" t="s">
        <v>518</v>
      </c>
      <c r="B101" s="71"/>
      <c r="C101" s="72" t="s">
        <v>43</v>
      </c>
      <c r="D101" s="72">
        <v>5</v>
      </c>
      <c r="E101" s="72">
        <v>7</v>
      </c>
      <c r="F101" s="72">
        <v>7</v>
      </c>
      <c r="G101" s="72">
        <v>0</v>
      </c>
      <c r="H101" s="72">
        <v>0</v>
      </c>
      <c r="I101" s="72">
        <v>7</v>
      </c>
      <c r="J101" s="72">
        <v>0</v>
      </c>
      <c r="K101" s="72">
        <v>1110</v>
      </c>
      <c r="L101" s="72">
        <v>1132</v>
      </c>
      <c r="M101" s="72">
        <v>1154</v>
      </c>
      <c r="N101" s="72">
        <v>1177</v>
      </c>
      <c r="O101" s="73">
        <v>1201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68A48-DE46-4E9F-9099-34B9F60C80D1}">
  <sheetPr codeName="Sheet9"/>
  <dimension ref="A1:Q75"/>
  <sheetViews>
    <sheetView workbookViewId="0">
      <selection activeCell="A6" sqref="A6:XFD6"/>
    </sheetView>
  </sheetViews>
  <sheetFormatPr defaultRowHeight="15"/>
  <cols>
    <col min="1" max="1" width="25" bestFit="1" customWidth="1"/>
    <col min="2" max="2" width="25" customWidth="1"/>
    <col min="3" max="3" width="13.5703125" bestFit="1" customWidth="1"/>
    <col min="4" max="4" width="11.140625" bestFit="1" customWidth="1"/>
    <col min="5" max="6" width="11.42578125" bestFit="1" customWidth="1"/>
    <col min="7" max="7" width="14.5703125" bestFit="1" customWidth="1"/>
    <col min="8" max="8" width="9.5703125" bestFit="1" customWidth="1"/>
    <col min="9" max="9" width="14.5703125" bestFit="1" customWidth="1"/>
    <col min="10" max="10" width="12.7109375" bestFit="1" customWidth="1"/>
    <col min="11" max="14" width="7.5703125" bestFit="1" customWidth="1"/>
    <col min="15" max="15" width="6.5703125" bestFit="1" customWidth="1"/>
    <col min="16" max="17" width="7.5703125" bestFit="1" customWidth="1"/>
  </cols>
  <sheetData>
    <row r="1" spans="1:17" s="53" customFormat="1">
      <c r="A1" s="53" t="s">
        <v>22</v>
      </c>
      <c r="B1" s="53" t="s">
        <v>711</v>
      </c>
      <c r="C1" s="53" t="s">
        <v>340</v>
      </c>
      <c r="D1" s="53" t="s">
        <v>696</v>
      </c>
      <c r="E1" s="53" t="s">
        <v>706</v>
      </c>
      <c r="F1" s="53" t="s">
        <v>703</v>
      </c>
      <c r="G1" s="53" t="s">
        <v>708</v>
      </c>
      <c r="H1" s="53" t="s">
        <v>704</v>
      </c>
      <c r="I1" s="53" t="s">
        <v>709</v>
      </c>
      <c r="J1" s="53" t="s">
        <v>705</v>
      </c>
      <c r="K1" s="53" t="s">
        <v>265</v>
      </c>
      <c r="L1" s="53" t="s">
        <v>266</v>
      </c>
      <c r="M1" s="53" t="s">
        <v>267</v>
      </c>
      <c r="N1" s="53" t="s">
        <v>268</v>
      </c>
      <c r="O1" s="53" t="s">
        <v>308</v>
      </c>
      <c r="P1" s="53" t="s">
        <v>309</v>
      </c>
      <c r="Q1" s="53" t="s">
        <v>310</v>
      </c>
    </row>
    <row r="2" spans="1:17" s="53" customFormat="1">
      <c r="A2" s="53" t="s">
        <v>299</v>
      </c>
      <c r="D2" s="53">
        <v>0</v>
      </c>
      <c r="E2" s="53">
        <v>0</v>
      </c>
      <c r="F2" s="53">
        <v>0</v>
      </c>
      <c r="G2" s="53">
        <v>0</v>
      </c>
      <c r="H2" s="53">
        <v>0</v>
      </c>
      <c r="I2" s="53">
        <v>0</v>
      </c>
      <c r="J2" s="53">
        <v>0</v>
      </c>
      <c r="K2" s="53">
        <v>0</v>
      </c>
      <c r="L2" s="53">
        <v>0</v>
      </c>
      <c r="M2" s="53">
        <v>0</v>
      </c>
      <c r="N2" s="53">
        <v>0</v>
      </c>
      <c r="O2" s="53">
        <v>0</v>
      </c>
      <c r="P2" s="53">
        <v>0</v>
      </c>
      <c r="Q2" s="53">
        <v>0</v>
      </c>
    </row>
    <row r="3" spans="1:17">
      <c r="A3" s="128" t="s">
        <v>519</v>
      </c>
      <c r="B3" s="61" t="s">
        <v>735</v>
      </c>
      <c r="C3" t="s">
        <v>37</v>
      </c>
      <c r="D3">
        <v>65</v>
      </c>
      <c r="E3">
        <v>0</v>
      </c>
      <c r="F3">
        <v>0</v>
      </c>
      <c r="G3">
        <v>-5</v>
      </c>
      <c r="H3">
        <v>5</v>
      </c>
      <c r="I3">
        <v>5</v>
      </c>
      <c r="J3">
        <v>5</v>
      </c>
      <c r="K3">
        <v>77</v>
      </c>
      <c r="L3">
        <v>184</v>
      </c>
      <c r="M3">
        <v>1450</v>
      </c>
      <c r="N3">
        <v>2564</v>
      </c>
      <c r="O3">
        <v>2970</v>
      </c>
      <c r="P3">
        <v>3443</v>
      </c>
      <c r="Q3">
        <v>3991</v>
      </c>
    </row>
    <row r="4" spans="1:17">
      <c r="A4" t="s">
        <v>520</v>
      </c>
      <c r="B4" s="61" t="s">
        <v>774</v>
      </c>
      <c r="C4" t="s">
        <v>37</v>
      </c>
      <c r="D4">
        <v>65</v>
      </c>
      <c r="E4">
        <v>0</v>
      </c>
      <c r="F4">
        <v>0</v>
      </c>
      <c r="G4">
        <v>-5</v>
      </c>
      <c r="H4">
        <v>5</v>
      </c>
      <c r="I4">
        <v>5</v>
      </c>
      <c r="J4">
        <v>5</v>
      </c>
      <c r="K4">
        <v>77</v>
      </c>
      <c r="L4">
        <v>184</v>
      </c>
      <c r="M4">
        <v>1450</v>
      </c>
      <c r="N4">
        <v>2564</v>
      </c>
      <c r="O4">
        <v>2970</v>
      </c>
      <c r="P4">
        <v>3443</v>
      </c>
      <c r="Q4">
        <v>3991</v>
      </c>
    </row>
    <row r="5" spans="1:17">
      <c r="A5" t="s">
        <v>521</v>
      </c>
      <c r="B5" s="61" t="s">
        <v>736</v>
      </c>
      <c r="C5" t="s">
        <v>37</v>
      </c>
      <c r="D5">
        <v>65</v>
      </c>
      <c r="E5">
        <v>0</v>
      </c>
      <c r="F5">
        <v>0</v>
      </c>
      <c r="G5">
        <v>-5</v>
      </c>
      <c r="H5">
        <v>9</v>
      </c>
      <c r="I5">
        <v>13</v>
      </c>
      <c r="J5">
        <v>0</v>
      </c>
      <c r="K5">
        <v>77</v>
      </c>
      <c r="L5">
        <v>184</v>
      </c>
      <c r="M5">
        <v>1450</v>
      </c>
      <c r="N5">
        <v>2564</v>
      </c>
      <c r="O5">
        <v>2970</v>
      </c>
      <c r="P5">
        <v>3443</v>
      </c>
      <c r="Q5">
        <v>3991</v>
      </c>
    </row>
    <row r="6" spans="1:17">
      <c r="A6" s="61" t="s">
        <v>680</v>
      </c>
      <c r="B6" s="61" t="s">
        <v>714</v>
      </c>
      <c r="C6" t="s">
        <v>37</v>
      </c>
      <c r="D6">
        <v>65</v>
      </c>
      <c r="E6">
        <v>0</v>
      </c>
      <c r="F6">
        <v>-5</v>
      </c>
      <c r="G6">
        <v>-5</v>
      </c>
      <c r="H6">
        <v>9</v>
      </c>
      <c r="I6">
        <v>9</v>
      </c>
      <c r="J6">
        <v>0</v>
      </c>
      <c r="K6">
        <v>635</v>
      </c>
      <c r="L6">
        <v>1316</v>
      </c>
      <c r="M6">
        <v>2147</v>
      </c>
      <c r="N6">
        <v>3865</v>
      </c>
      <c r="O6">
        <v>4476</v>
      </c>
      <c r="P6">
        <v>5189</v>
      </c>
      <c r="Q6">
        <v>6015</v>
      </c>
    </row>
    <row r="7" spans="1:17">
      <c r="A7" t="s">
        <v>681</v>
      </c>
      <c r="B7" s="61" t="s">
        <v>715</v>
      </c>
      <c r="C7" t="s">
        <v>37</v>
      </c>
      <c r="D7">
        <v>65</v>
      </c>
      <c r="E7">
        <v>-5</v>
      </c>
      <c r="F7">
        <v>-5</v>
      </c>
      <c r="G7">
        <v>-5</v>
      </c>
      <c r="H7">
        <v>9</v>
      </c>
      <c r="I7">
        <v>5</v>
      </c>
      <c r="J7">
        <v>9</v>
      </c>
      <c r="K7">
        <v>219</v>
      </c>
      <c r="L7">
        <v>602</v>
      </c>
      <c r="M7">
        <v>1836</v>
      </c>
      <c r="N7">
        <v>3247</v>
      </c>
      <c r="O7">
        <v>3761</v>
      </c>
      <c r="P7">
        <v>4360</v>
      </c>
      <c r="Q7">
        <v>5055</v>
      </c>
    </row>
    <row r="8" spans="1:17">
      <c r="A8" t="s">
        <v>522</v>
      </c>
      <c r="B8" s="61" t="s">
        <v>712</v>
      </c>
      <c r="C8" t="s">
        <v>37</v>
      </c>
      <c r="D8">
        <v>65</v>
      </c>
      <c r="E8">
        <v>5</v>
      </c>
      <c r="F8">
        <v>0</v>
      </c>
      <c r="G8">
        <v>-5</v>
      </c>
      <c r="H8">
        <v>9</v>
      </c>
      <c r="I8">
        <v>5</v>
      </c>
      <c r="J8">
        <v>-5</v>
      </c>
      <c r="K8">
        <v>77</v>
      </c>
      <c r="L8">
        <v>184</v>
      </c>
      <c r="M8">
        <v>1450</v>
      </c>
      <c r="N8">
        <v>2564</v>
      </c>
      <c r="O8">
        <v>2970</v>
      </c>
      <c r="P8">
        <v>3443</v>
      </c>
      <c r="Q8">
        <v>3991</v>
      </c>
    </row>
    <row r="9" spans="1:17">
      <c r="A9" t="s">
        <v>523</v>
      </c>
      <c r="B9" s="61" t="s">
        <v>716</v>
      </c>
      <c r="C9" t="s">
        <v>37</v>
      </c>
      <c r="D9">
        <v>65</v>
      </c>
      <c r="E9">
        <v>-5</v>
      </c>
      <c r="F9">
        <v>-5</v>
      </c>
      <c r="G9">
        <v>-5</v>
      </c>
      <c r="H9">
        <v>13</v>
      </c>
      <c r="I9">
        <v>5</v>
      </c>
      <c r="J9">
        <v>0</v>
      </c>
      <c r="K9">
        <v>106</v>
      </c>
      <c r="L9">
        <v>253</v>
      </c>
      <c r="M9">
        <v>1996</v>
      </c>
      <c r="N9">
        <v>3531</v>
      </c>
      <c r="O9">
        <v>4090</v>
      </c>
      <c r="P9">
        <v>4741</v>
      </c>
      <c r="Q9">
        <v>5496</v>
      </c>
    </row>
    <row r="10" spans="1:17">
      <c r="A10" t="s">
        <v>524</v>
      </c>
      <c r="B10" s="61" t="s">
        <v>737</v>
      </c>
      <c r="C10" t="s">
        <v>37</v>
      </c>
      <c r="D10">
        <v>65</v>
      </c>
      <c r="E10">
        <v>-5</v>
      </c>
      <c r="F10">
        <v>-5</v>
      </c>
      <c r="G10">
        <v>-5</v>
      </c>
      <c r="H10">
        <v>9</v>
      </c>
      <c r="I10">
        <v>9</v>
      </c>
      <c r="J10">
        <v>0</v>
      </c>
      <c r="K10">
        <v>187</v>
      </c>
      <c r="L10">
        <v>514</v>
      </c>
      <c r="M10">
        <v>1564</v>
      </c>
      <c r="N10">
        <v>2767</v>
      </c>
      <c r="O10">
        <v>3205</v>
      </c>
      <c r="P10">
        <v>3715</v>
      </c>
      <c r="Q10">
        <v>4307</v>
      </c>
    </row>
    <row r="11" spans="1:17">
      <c r="A11" t="s">
        <v>525</v>
      </c>
      <c r="B11" s="61" t="s">
        <v>717</v>
      </c>
      <c r="C11" t="s">
        <v>37</v>
      </c>
      <c r="D11">
        <v>65</v>
      </c>
      <c r="E11">
        <v>0</v>
      </c>
      <c r="F11">
        <v>5</v>
      </c>
      <c r="G11">
        <v>-5</v>
      </c>
      <c r="H11">
        <v>5</v>
      </c>
      <c r="I11">
        <v>-5</v>
      </c>
      <c r="J11">
        <v>5</v>
      </c>
      <c r="K11">
        <v>599</v>
      </c>
      <c r="L11">
        <v>1241</v>
      </c>
      <c r="M11">
        <v>2025</v>
      </c>
      <c r="N11">
        <v>3644</v>
      </c>
      <c r="O11">
        <v>4221</v>
      </c>
      <c r="P11">
        <v>4894</v>
      </c>
      <c r="Q11">
        <v>5673</v>
      </c>
    </row>
    <row r="12" spans="1:17">
      <c r="A12" t="s">
        <v>526</v>
      </c>
      <c r="B12" s="61" t="s">
        <v>718</v>
      </c>
      <c r="C12" t="s">
        <v>37</v>
      </c>
      <c r="D12">
        <v>65</v>
      </c>
      <c r="E12">
        <v>-5</v>
      </c>
      <c r="F12">
        <v>0</v>
      </c>
      <c r="G12">
        <v>-5</v>
      </c>
      <c r="H12">
        <v>5</v>
      </c>
      <c r="I12">
        <v>13</v>
      </c>
      <c r="J12">
        <v>0</v>
      </c>
      <c r="K12">
        <v>92</v>
      </c>
      <c r="L12">
        <v>219</v>
      </c>
      <c r="M12">
        <v>1731</v>
      </c>
      <c r="N12">
        <v>3062</v>
      </c>
      <c r="O12">
        <v>3546</v>
      </c>
      <c r="P12">
        <v>4111</v>
      </c>
      <c r="Q12">
        <v>4766</v>
      </c>
    </row>
    <row r="13" spans="1:17">
      <c r="A13" t="s">
        <v>527</v>
      </c>
      <c r="B13" s="61" t="s">
        <v>719</v>
      </c>
      <c r="C13" t="s">
        <v>37</v>
      </c>
      <c r="D13">
        <v>65</v>
      </c>
      <c r="E13">
        <v>-5</v>
      </c>
      <c r="F13">
        <v>0</v>
      </c>
      <c r="G13">
        <v>-5</v>
      </c>
      <c r="H13">
        <v>13</v>
      </c>
      <c r="I13">
        <v>-5</v>
      </c>
      <c r="J13">
        <v>9</v>
      </c>
      <c r="K13">
        <v>77</v>
      </c>
      <c r="L13">
        <v>184</v>
      </c>
      <c r="M13">
        <v>1450</v>
      </c>
      <c r="N13">
        <v>2564</v>
      </c>
      <c r="O13">
        <v>2970</v>
      </c>
      <c r="P13">
        <v>3443</v>
      </c>
      <c r="Q13">
        <v>3991</v>
      </c>
    </row>
    <row r="14" spans="1:17">
      <c r="A14" t="s">
        <v>674</v>
      </c>
      <c r="B14" s="61" t="s">
        <v>738</v>
      </c>
      <c r="C14" t="s">
        <v>37</v>
      </c>
      <c r="D14">
        <v>65</v>
      </c>
      <c r="E14">
        <v>5</v>
      </c>
      <c r="F14">
        <v>-9</v>
      </c>
      <c r="G14">
        <v>5</v>
      </c>
      <c r="H14">
        <v>-5</v>
      </c>
      <c r="I14">
        <v>9</v>
      </c>
      <c r="J14">
        <v>-5</v>
      </c>
      <c r="K14">
        <v>263</v>
      </c>
      <c r="L14">
        <v>695</v>
      </c>
      <c r="M14">
        <v>2115</v>
      </c>
      <c r="N14">
        <v>3741</v>
      </c>
      <c r="O14">
        <v>4333</v>
      </c>
      <c r="P14">
        <v>5023</v>
      </c>
      <c r="Q14">
        <v>5823</v>
      </c>
    </row>
    <row r="15" spans="1:17">
      <c r="A15" s="61" t="s">
        <v>686</v>
      </c>
      <c r="B15" s="61" t="s">
        <v>720</v>
      </c>
      <c r="C15" t="s">
        <v>37</v>
      </c>
      <c r="D15">
        <v>65</v>
      </c>
      <c r="E15">
        <v>5</v>
      </c>
      <c r="F15">
        <v>9</v>
      </c>
      <c r="G15">
        <v>0</v>
      </c>
      <c r="H15">
        <v>9</v>
      </c>
      <c r="I15">
        <v>9</v>
      </c>
      <c r="J15">
        <v>-9</v>
      </c>
      <c r="K15">
        <v>640</v>
      </c>
      <c r="L15">
        <v>1327</v>
      </c>
      <c r="M15">
        <v>2166</v>
      </c>
      <c r="N15">
        <v>3900</v>
      </c>
      <c r="O15">
        <v>4513</v>
      </c>
      <c r="P15">
        <v>5232</v>
      </c>
      <c r="Q15">
        <v>6065</v>
      </c>
    </row>
    <row r="16" spans="1:17">
      <c r="A16" t="s">
        <v>528</v>
      </c>
      <c r="B16" s="61" t="s">
        <v>721</v>
      </c>
      <c r="C16" t="s">
        <v>37</v>
      </c>
      <c r="D16">
        <v>5</v>
      </c>
      <c r="E16">
        <v>0</v>
      </c>
      <c r="F16">
        <v>16</v>
      </c>
      <c r="G16">
        <v>-21</v>
      </c>
      <c r="H16">
        <v>0</v>
      </c>
      <c r="I16">
        <v>9</v>
      </c>
      <c r="J16">
        <v>0</v>
      </c>
      <c r="N16">
        <v>3281</v>
      </c>
      <c r="O16">
        <v>3550</v>
      </c>
      <c r="P16">
        <v>3731</v>
      </c>
      <c r="Q16">
        <v>3922</v>
      </c>
    </row>
    <row r="17" spans="1:17">
      <c r="A17" t="s">
        <v>529</v>
      </c>
      <c r="B17" s="61" t="s">
        <v>722</v>
      </c>
      <c r="C17" t="s">
        <v>37</v>
      </c>
      <c r="D17">
        <v>20</v>
      </c>
      <c r="E17">
        <v>6</v>
      </c>
      <c r="F17">
        <v>12</v>
      </c>
      <c r="G17">
        <v>6</v>
      </c>
      <c r="H17">
        <v>-12</v>
      </c>
      <c r="I17">
        <v>-12</v>
      </c>
      <c r="J17">
        <v>12</v>
      </c>
      <c r="N17">
        <v>6144</v>
      </c>
    </row>
    <row r="18" spans="1:17">
      <c r="A18" t="s">
        <v>530</v>
      </c>
      <c r="B18" s="61" t="s">
        <v>723</v>
      </c>
      <c r="C18" t="s">
        <v>39</v>
      </c>
      <c r="D18">
        <v>65</v>
      </c>
      <c r="E18">
        <v>-13</v>
      </c>
      <c r="F18">
        <v>-9</v>
      </c>
      <c r="G18">
        <v>9</v>
      </c>
      <c r="H18">
        <v>5</v>
      </c>
      <c r="I18">
        <v>-5</v>
      </c>
      <c r="J18">
        <v>9</v>
      </c>
      <c r="K18">
        <v>187</v>
      </c>
      <c r="L18">
        <v>514</v>
      </c>
      <c r="M18">
        <v>1564</v>
      </c>
      <c r="N18">
        <v>2767</v>
      </c>
      <c r="O18">
        <v>3205</v>
      </c>
      <c r="P18">
        <v>3715</v>
      </c>
      <c r="Q18">
        <v>4307</v>
      </c>
    </row>
    <row r="19" spans="1:17">
      <c r="A19" t="s">
        <v>531</v>
      </c>
      <c r="B19" s="61" t="s">
        <v>724</v>
      </c>
      <c r="C19" t="s">
        <v>39</v>
      </c>
      <c r="D19">
        <v>65</v>
      </c>
      <c r="E19">
        <v>-9</v>
      </c>
      <c r="F19">
        <v>5</v>
      </c>
      <c r="G19">
        <v>5</v>
      </c>
      <c r="H19">
        <v>5</v>
      </c>
      <c r="I19">
        <v>-5</v>
      </c>
      <c r="J19">
        <v>9</v>
      </c>
      <c r="K19">
        <v>92</v>
      </c>
      <c r="L19">
        <v>219</v>
      </c>
      <c r="M19">
        <v>1731</v>
      </c>
      <c r="N19">
        <v>3062</v>
      </c>
      <c r="O19">
        <v>3546</v>
      </c>
      <c r="P19">
        <v>4111</v>
      </c>
      <c r="Q19">
        <v>4766</v>
      </c>
    </row>
    <row r="20" spans="1:17">
      <c r="A20" t="s">
        <v>532</v>
      </c>
      <c r="B20" s="61" t="s">
        <v>725</v>
      </c>
      <c r="C20" t="s">
        <v>39</v>
      </c>
      <c r="D20">
        <v>65</v>
      </c>
      <c r="E20">
        <v>-9</v>
      </c>
      <c r="F20">
        <v>-9</v>
      </c>
      <c r="G20">
        <v>9</v>
      </c>
      <c r="H20">
        <v>5</v>
      </c>
      <c r="I20">
        <v>-5</v>
      </c>
      <c r="J20">
        <v>13</v>
      </c>
      <c r="K20">
        <v>187</v>
      </c>
      <c r="L20">
        <v>514</v>
      </c>
      <c r="M20">
        <v>1564</v>
      </c>
      <c r="N20">
        <v>2767</v>
      </c>
      <c r="O20">
        <v>3205</v>
      </c>
      <c r="P20">
        <v>3715</v>
      </c>
      <c r="Q20">
        <v>4307</v>
      </c>
    </row>
    <row r="21" spans="1:17">
      <c r="A21" t="s">
        <v>675</v>
      </c>
      <c r="B21" s="61" t="s">
        <v>775</v>
      </c>
      <c r="C21" t="s">
        <v>39</v>
      </c>
      <c r="D21">
        <v>65</v>
      </c>
      <c r="E21">
        <v>-9</v>
      </c>
      <c r="F21">
        <v>-9</v>
      </c>
      <c r="G21">
        <v>9</v>
      </c>
      <c r="H21">
        <v>5</v>
      </c>
      <c r="I21">
        <v>-5</v>
      </c>
      <c r="J21">
        <v>13</v>
      </c>
      <c r="K21">
        <v>195</v>
      </c>
      <c r="L21">
        <v>514</v>
      </c>
      <c r="M21">
        <v>1564</v>
      </c>
      <c r="N21">
        <v>2767</v>
      </c>
      <c r="O21">
        <v>3205</v>
      </c>
      <c r="P21">
        <v>3715</v>
      </c>
      <c r="Q21">
        <v>4307</v>
      </c>
    </row>
    <row r="22" spans="1:17">
      <c r="A22" t="s">
        <v>533</v>
      </c>
      <c r="B22" s="61" t="s">
        <v>726</v>
      </c>
      <c r="C22" t="s">
        <v>39</v>
      </c>
      <c r="D22">
        <v>65</v>
      </c>
      <c r="E22">
        <v>-9</v>
      </c>
      <c r="F22">
        <v>5</v>
      </c>
      <c r="G22">
        <v>9</v>
      </c>
      <c r="H22">
        <v>5</v>
      </c>
      <c r="I22">
        <v>-9</v>
      </c>
      <c r="J22">
        <v>5</v>
      </c>
      <c r="K22">
        <v>253</v>
      </c>
      <c r="L22">
        <v>695</v>
      </c>
      <c r="M22">
        <v>2115</v>
      </c>
      <c r="N22">
        <v>3741</v>
      </c>
      <c r="O22">
        <v>4333</v>
      </c>
      <c r="P22">
        <v>5023</v>
      </c>
      <c r="Q22">
        <v>5823</v>
      </c>
    </row>
    <row r="23" spans="1:17">
      <c r="A23" t="s">
        <v>676</v>
      </c>
      <c r="B23" s="61" t="s">
        <v>739</v>
      </c>
      <c r="C23" t="s">
        <v>39</v>
      </c>
      <c r="D23">
        <v>65</v>
      </c>
      <c r="E23">
        <v>-9</v>
      </c>
      <c r="F23">
        <v>5</v>
      </c>
      <c r="G23">
        <v>9</v>
      </c>
      <c r="H23">
        <v>5</v>
      </c>
      <c r="I23">
        <v>-9</v>
      </c>
      <c r="J23">
        <v>5</v>
      </c>
      <c r="K23">
        <v>253</v>
      </c>
      <c r="L23">
        <v>695</v>
      </c>
      <c r="M23">
        <v>2115</v>
      </c>
      <c r="N23">
        <v>3741</v>
      </c>
      <c r="O23">
        <v>4333</v>
      </c>
      <c r="P23">
        <v>5023</v>
      </c>
      <c r="Q23">
        <v>5823</v>
      </c>
    </row>
    <row r="24" spans="1:17">
      <c r="A24" t="s">
        <v>534</v>
      </c>
      <c r="B24" s="61" t="s">
        <v>780</v>
      </c>
      <c r="C24" t="s">
        <v>39</v>
      </c>
      <c r="D24">
        <v>65</v>
      </c>
      <c r="E24">
        <v>-9</v>
      </c>
      <c r="F24">
        <v>-5</v>
      </c>
      <c r="G24">
        <v>9</v>
      </c>
      <c r="H24">
        <v>5</v>
      </c>
      <c r="I24">
        <v>-5</v>
      </c>
      <c r="J24">
        <v>-9</v>
      </c>
      <c r="K24">
        <v>92</v>
      </c>
      <c r="L24">
        <v>219</v>
      </c>
      <c r="M24">
        <v>1731</v>
      </c>
      <c r="N24">
        <v>3062</v>
      </c>
      <c r="O24">
        <v>3546</v>
      </c>
      <c r="P24">
        <v>4111</v>
      </c>
      <c r="Q24">
        <v>4766</v>
      </c>
    </row>
    <row r="25" spans="1:17">
      <c r="A25" t="s">
        <v>535</v>
      </c>
      <c r="B25" s="61" t="s">
        <v>727</v>
      </c>
      <c r="C25" t="s">
        <v>39</v>
      </c>
      <c r="D25">
        <v>65</v>
      </c>
      <c r="E25">
        <v>-5</v>
      </c>
      <c r="F25">
        <v>-9</v>
      </c>
      <c r="G25">
        <v>9</v>
      </c>
      <c r="H25">
        <v>5</v>
      </c>
      <c r="I25">
        <v>-9</v>
      </c>
      <c r="J25">
        <v>9</v>
      </c>
      <c r="K25">
        <v>537</v>
      </c>
      <c r="L25">
        <v>1114</v>
      </c>
      <c r="M25">
        <v>1817</v>
      </c>
      <c r="N25">
        <v>3273</v>
      </c>
      <c r="O25">
        <v>3790</v>
      </c>
      <c r="P25">
        <v>4394</v>
      </c>
      <c r="Q25">
        <v>5094</v>
      </c>
    </row>
    <row r="26" spans="1:17">
      <c r="A26" t="s">
        <v>536</v>
      </c>
      <c r="B26" s="61" t="s">
        <v>740</v>
      </c>
      <c r="C26" t="s">
        <v>39</v>
      </c>
      <c r="D26">
        <v>65</v>
      </c>
      <c r="E26">
        <v>0</v>
      </c>
      <c r="F26">
        <v>0</v>
      </c>
      <c r="G26">
        <v>9</v>
      </c>
      <c r="H26">
        <v>5</v>
      </c>
      <c r="I26">
        <v>0</v>
      </c>
      <c r="J26">
        <v>9</v>
      </c>
      <c r="K26">
        <v>564</v>
      </c>
      <c r="L26">
        <v>1170</v>
      </c>
      <c r="M26">
        <v>1909</v>
      </c>
      <c r="N26">
        <v>3436</v>
      </c>
      <c r="O26">
        <v>3979</v>
      </c>
      <c r="P26">
        <v>4613</v>
      </c>
      <c r="Q26">
        <v>5348</v>
      </c>
    </row>
    <row r="27" spans="1:17">
      <c r="A27" t="s">
        <v>682</v>
      </c>
      <c r="B27" s="61" t="s">
        <v>728</v>
      </c>
      <c r="C27" t="s">
        <v>39</v>
      </c>
      <c r="D27">
        <v>65</v>
      </c>
      <c r="E27">
        <v>-9</v>
      </c>
      <c r="F27">
        <v>5</v>
      </c>
      <c r="G27">
        <v>13</v>
      </c>
      <c r="H27">
        <v>-13</v>
      </c>
      <c r="I27">
        <v>-5</v>
      </c>
      <c r="J27">
        <v>-5</v>
      </c>
      <c r="K27">
        <v>599</v>
      </c>
      <c r="L27">
        <v>1241</v>
      </c>
      <c r="M27">
        <v>2025</v>
      </c>
      <c r="N27">
        <v>3644</v>
      </c>
      <c r="O27">
        <v>4221</v>
      </c>
      <c r="P27">
        <v>4894</v>
      </c>
      <c r="Q27">
        <v>5673</v>
      </c>
    </row>
    <row r="28" spans="1:17">
      <c r="A28" t="s">
        <v>537</v>
      </c>
      <c r="B28" s="61" t="s">
        <v>729</v>
      </c>
      <c r="C28" t="s">
        <v>39</v>
      </c>
      <c r="D28">
        <v>65</v>
      </c>
      <c r="E28">
        <v>-9</v>
      </c>
      <c r="F28">
        <v>-9</v>
      </c>
      <c r="G28">
        <v>13</v>
      </c>
      <c r="H28">
        <v>5</v>
      </c>
      <c r="I28">
        <v>-5</v>
      </c>
      <c r="J28">
        <v>5</v>
      </c>
      <c r="K28">
        <v>253</v>
      </c>
      <c r="L28">
        <v>695</v>
      </c>
      <c r="M28">
        <v>2115</v>
      </c>
      <c r="N28">
        <v>3741</v>
      </c>
      <c r="O28">
        <v>4333</v>
      </c>
      <c r="P28">
        <v>5023</v>
      </c>
      <c r="Q28">
        <v>5823</v>
      </c>
    </row>
    <row r="29" spans="1:17">
      <c r="A29" t="s">
        <v>687</v>
      </c>
      <c r="B29" s="61" t="s">
        <v>730</v>
      </c>
      <c r="C29" t="s">
        <v>39</v>
      </c>
      <c r="D29">
        <v>65</v>
      </c>
      <c r="E29">
        <v>-9</v>
      </c>
      <c r="F29">
        <v>-9</v>
      </c>
      <c r="G29">
        <v>9</v>
      </c>
      <c r="H29">
        <v>0</v>
      </c>
      <c r="I29">
        <v>5</v>
      </c>
      <c r="J29">
        <v>9</v>
      </c>
      <c r="K29">
        <v>635</v>
      </c>
      <c r="L29">
        <v>1316</v>
      </c>
      <c r="M29">
        <v>2147</v>
      </c>
      <c r="N29">
        <v>3865</v>
      </c>
      <c r="O29">
        <v>4476</v>
      </c>
      <c r="P29">
        <v>5189</v>
      </c>
      <c r="Q29">
        <v>6015</v>
      </c>
    </row>
    <row r="30" spans="1:17">
      <c r="A30" t="s">
        <v>538</v>
      </c>
      <c r="B30" s="61" t="s">
        <v>741</v>
      </c>
      <c r="C30" t="s">
        <v>39</v>
      </c>
      <c r="D30">
        <v>65</v>
      </c>
      <c r="E30">
        <v>-9</v>
      </c>
      <c r="F30">
        <v>-9</v>
      </c>
      <c r="G30">
        <v>13</v>
      </c>
      <c r="H30">
        <v>5</v>
      </c>
      <c r="I30">
        <v>-5</v>
      </c>
      <c r="J30">
        <v>9</v>
      </c>
      <c r="K30">
        <v>106</v>
      </c>
      <c r="L30">
        <v>253</v>
      </c>
      <c r="M30">
        <v>1996</v>
      </c>
      <c r="N30">
        <v>3531</v>
      </c>
      <c r="O30">
        <v>4090</v>
      </c>
      <c r="P30">
        <v>4741</v>
      </c>
      <c r="Q30">
        <v>5496</v>
      </c>
    </row>
    <row r="31" spans="1:17">
      <c r="A31" t="s">
        <v>677</v>
      </c>
      <c r="B31" s="61" t="s">
        <v>731</v>
      </c>
      <c r="C31" t="s">
        <v>39</v>
      </c>
      <c r="D31">
        <v>65</v>
      </c>
      <c r="E31">
        <v>7</v>
      </c>
      <c r="F31">
        <v>-4</v>
      </c>
      <c r="G31">
        <v>7</v>
      </c>
      <c r="H31">
        <v>0</v>
      </c>
      <c r="I31">
        <v>-4</v>
      </c>
      <c r="J31">
        <v>3</v>
      </c>
      <c r="K31">
        <v>92</v>
      </c>
      <c r="L31">
        <v>219</v>
      </c>
      <c r="M31">
        <v>1720</v>
      </c>
      <c r="N31">
        <v>3096</v>
      </c>
      <c r="O31">
        <v>3585</v>
      </c>
      <c r="P31">
        <v>4157</v>
      </c>
      <c r="Q31">
        <v>4819</v>
      </c>
    </row>
    <row r="32" spans="1:17">
      <c r="A32" t="s">
        <v>688</v>
      </c>
      <c r="B32" s="61" t="s">
        <v>732</v>
      </c>
      <c r="C32" t="s">
        <v>39</v>
      </c>
      <c r="D32">
        <v>65</v>
      </c>
      <c r="E32">
        <v>-9</v>
      </c>
      <c r="F32">
        <v>9</v>
      </c>
      <c r="G32">
        <v>13</v>
      </c>
      <c r="H32">
        <v>-9</v>
      </c>
      <c r="I32">
        <v>-9</v>
      </c>
      <c r="J32">
        <v>5</v>
      </c>
      <c r="K32">
        <v>640</v>
      </c>
      <c r="L32">
        <v>1327</v>
      </c>
      <c r="M32">
        <v>2166</v>
      </c>
      <c r="N32">
        <v>3900</v>
      </c>
      <c r="O32">
        <v>4513</v>
      </c>
      <c r="P32">
        <v>5232</v>
      </c>
      <c r="Q32">
        <v>6065</v>
      </c>
    </row>
    <row r="33" spans="1:17">
      <c r="A33" t="s">
        <v>539</v>
      </c>
      <c r="B33" s="61" t="s">
        <v>733</v>
      </c>
      <c r="C33" t="s">
        <v>39</v>
      </c>
      <c r="D33">
        <v>5</v>
      </c>
      <c r="E33">
        <v>0</v>
      </c>
      <c r="F33">
        <v>-21</v>
      </c>
      <c r="G33">
        <v>16</v>
      </c>
      <c r="H33">
        <v>9</v>
      </c>
      <c r="I33">
        <v>-20</v>
      </c>
      <c r="J33">
        <v>9</v>
      </c>
      <c r="N33">
        <v>3442</v>
      </c>
      <c r="O33">
        <v>3725</v>
      </c>
      <c r="P33">
        <v>3915</v>
      </c>
      <c r="Q33">
        <v>4115</v>
      </c>
    </row>
    <row r="34" spans="1:17">
      <c r="A34" t="s">
        <v>540</v>
      </c>
      <c r="B34" s="61" t="s">
        <v>734</v>
      </c>
      <c r="C34" t="s">
        <v>39</v>
      </c>
      <c r="D34">
        <v>20</v>
      </c>
      <c r="E34">
        <v>6</v>
      </c>
      <c r="F34">
        <v>6</v>
      </c>
      <c r="G34">
        <v>12</v>
      </c>
      <c r="H34">
        <v>12</v>
      </c>
      <c r="I34">
        <v>-12</v>
      </c>
      <c r="J34">
        <v>-12</v>
      </c>
      <c r="N34">
        <v>6144</v>
      </c>
    </row>
    <row r="35" spans="1:17">
      <c r="A35" t="s">
        <v>541</v>
      </c>
      <c r="B35" s="61" t="s">
        <v>781</v>
      </c>
      <c r="C35" t="s">
        <v>41</v>
      </c>
      <c r="D35">
        <v>65</v>
      </c>
      <c r="E35">
        <v>9</v>
      </c>
      <c r="F35">
        <v>-9</v>
      </c>
      <c r="G35">
        <v>-5</v>
      </c>
      <c r="H35">
        <v>5</v>
      </c>
      <c r="I35">
        <v>-9</v>
      </c>
      <c r="J35">
        <v>0</v>
      </c>
      <c r="K35">
        <v>253</v>
      </c>
      <c r="L35">
        <v>695</v>
      </c>
      <c r="M35">
        <v>2115</v>
      </c>
      <c r="N35">
        <v>3741</v>
      </c>
      <c r="O35">
        <v>4333</v>
      </c>
      <c r="P35">
        <v>5023</v>
      </c>
      <c r="Q35">
        <v>5823</v>
      </c>
    </row>
    <row r="36" spans="1:17">
      <c r="A36" t="s">
        <v>678</v>
      </c>
      <c r="B36" s="61" t="s">
        <v>782</v>
      </c>
      <c r="C36" t="s">
        <v>41</v>
      </c>
      <c r="D36">
        <v>65</v>
      </c>
      <c r="E36">
        <v>9</v>
      </c>
      <c r="F36">
        <v>-9</v>
      </c>
      <c r="G36">
        <v>-5</v>
      </c>
      <c r="H36">
        <v>5</v>
      </c>
      <c r="I36">
        <v>-9</v>
      </c>
      <c r="J36">
        <v>0</v>
      </c>
      <c r="M36">
        <v>2177</v>
      </c>
      <c r="N36">
        <v>3929</v>
      </c>
      <c r="O36">
        <v>4550</v>
      </c>
      <c r="P36">
        <v>5275</v>
      </c>
      <c r="Q36">
        <v>6115</v>
      </c>
    </row>
    <row r="37" spans="1:17">
      <c r="A37" t="s">
        <v>542</v>
      </c>
      <c r="B37" s="61" t="s">
        <v>713</v>
      </c>
      <c r="C37" t="s">
        <v>41</v>
      </c>
      <c r="D37">
        <v>65</v>
      </c>
      <c r="E37">
        <v>13</v>
      </c>
      <c r="F37">
        <v>-9</v>
      </c>
      <c r="G37">
        <v>-5</v>
      </c>
      <c r="H37">
        <v>-9</v>
      </c>
      <c r="I37">
        <v>-9</v>
      </c>
      <c r="J37">
        <v>5</v>
      </c>
      <c r="K37">
        <v>508</v>
      </c>
      <c r="L37">
        <v>1053</v>
      </c>
      <c r="M37">
        <v>1720</v>
      </c>
      <c r="N37">
        <v>3096</v>
      </c>
      <c r="O37">
        <v>3585</v>
      </c>
      <c r="P37">
        <v>4157</v>
      </c>
      <c r="Q37">
        <v>4819</v>
      </c>
    </row>
    <row r="38" spans="1:17">
      <c r="A38" s="61" t="s">
        <v>694</v>
      </c>
      <c r="B38" s="61" t="s">
        <v>742</v>
      </c>
      <c r="C38" t="s">
        <v>41</v>
      </c>
      <c r="D38">
        <v>65</v>
      </c>
      <c r="E38">
        <v>9</v>
      </c>
      <c r="F38">
        <v>-5</v>
      </c>
      <c r="G38">
        <v>-5</v>
      </c>
      <c r="H38">
        <v>-9</v>
      </c>
      <c r="I38">
        <v>-5</v>
      </c>
      <c r="J38">
        <v>5</v>
      </c>
      <c r="K38">
        <v>599</v>
      </c>
      <c r="L38">
        <v>1241</v>
      </c>
      <c r="M38">
        <v>2025</v>
      </c>
      <c r="N38">
        <v>3644</v>
      </c>
      <c r="O38">
        <v>4221</v>
      </c>
      <c r="P38">
        <v>4894</v>
      </c>
      <c r="Q38">
        <v>5673</v>
      </c>
    </row>
    <row r="39" spans="1:17">
      <c r="A39" t="s">
        <v>543</v>
      </c>
      <c r="B39" s="61" t="s">
        <v>743</v>
      </c>
      <c r="C39" t="s">
        <v>41</v>
      </c>
      <c r="D39">
        <v>65</v>
      </c>
      <c r="E39">
        <v>13</v>
      </c>
      <c r="F39">
        <v>-9</v>
      </c>
      <c r="G39">
        <v>-9</v>
      </c>
      <c r="H39">
        <v>5</v>
      </c>
      <c r="I39">
        <v>-5</v>
      </c>
      <c r="J39">
        <v>5</v>
      </c>
      <c r="K39">
        <v>508</v>
      </c>
      <c r="L39">
        <v>1053</v>
      </c>
      <c r="M39">
        <v>1720</v>
      </c>
      <c r="N39">
        <v>3096</v>
      </c>
      <c r="O39">
        <v>3585</v>
      </c>
      <c r="P39">
        <v>4157</v>
      </c>
      <c r="Q39">
        <v>4819</v>
      </c>
    </row>
    <row r="40" spans="1:17">
      <c r="A40" t="s">
        <v>544</v>
      </c>
      <c r="B40" s="61" t="s">
        <v>744</v>
      </c>
      <c r="C40" t="s">
        <v>41</v>
      </c>
      <c r="D40">
        <v>65</v>
      </c>
      <c r="E40">
        <v>13</v>
      </c>
      <c r="F40">
        <v>0</v>
      </c>
      <c r="G40">
        <v>0</v>
      </c>
      <c r="H40">
        <v>5</v>
      </c>
      <c r="I40">
        <v>0</v>
      </c>
      <c r="J40">
        <v>5</v>
      </c>
      <c r="K40">
        <v>535</v>
      </c>
      <c r="L40">
        <v>1107</v>
      </c>
      <c r="M40">
        <v>1806</v>
      </c>
      <c r="N40">
        <v>3251</v>
      </c>
      <c r="O40">
        <v>3765</v>
      </c>
      <c r="P40">
        <v>4365</v>
      </c>
      <c r="Q40">
        <v>5061</v>
      </c>
    </row>
    <row r="41" spans="1:17">
      <c r="A41" t="s">
        <v>545</v>
      </c>
      <c r="B41" s="61" t="s">
        <v>745</v>
      </c>
      <c r="C41" t="s">
        <v>41</v>
      </c>
      <c r="D41">
        <v>65</v>
      </c>
      <c r="E41">
        <v>9</v>
      </c>
      <c r="F41">
        <v>-5</v>
      </c>
      <c r="G41">
        <v>-5</v>
      </c>
      <c r="H41">
        <v>-5</v>
      </c>
      <c r="I41">
        <v>-5</v>
      </c>
      <c r="J41">
        <v>0</v>
      </c>
      <c r="K41">
        <v>106</v>
      </c>
      <c r="L41">
        <v>253</v>
      </c>
      <c r="M41">
        <v>1996</v>
      </c>
      <c r="N41">
        <v>3531</v>
      </c>
      <c r="O41">
        <v>4090</v>
      </c>
      <c r="P41">
        <v>4741</v>
      </c>
      <c r="Q41">
        <v>5496</v>
      </c>
    </row>
    <row r="42" spans="1:17">
      <c r="A42" t="s">
        <v>546</v>
      </c>
      <c r="B42" s="61" t="s">
        <v>746</v>
      </c>
      <c r="C42" t="s">
        <v>41</v>
      </c>
      <c r="D42">
        <v>65</v>
      </c>
      <c r="E42">
        <v>9</v>
      </c>
      <c r="F42">
        <v>-5</v>
      </c>
      <c r="G42">
        <v>-5</v>
      </c>
      <c r="H42">
        <v>9</v>
      </c>
      <c r="I42">
        <v>-5</v>
      </c>
      <c r="J42">
        <v>5</v>
      </c>
      <c r="K42">
        <v>219</v>
      </c>
      <c r="L42">
        <v>602</v>
      </c>
      <c r="M42">
        <v>1836</v>
      </c>
      <c r="N42">
        <v>3247</v>
      </c>
      <c r="O42">
        <v>3761</v>
      </c>
      <c r="P42">
        <v>4360</v>
      </c>
      <c r="Q42">
        <v>5055</v>
      </c>
    </row>
    <row r="43" spans="1:17">
      <c r="A43" t="s">
        <v>547</v>
      </c>
      <c r="B43" s="61" t="s">
        <v>776</v>
      </c>
      <c r="C43" t="s">
        <v>41</v>
      </c>
      <c r="D43">
        <v>65</v>
      </c>
      <c r="E43">
        <v>9</v>
      </c>
      <c r="F43">
        <v>-5</v>
      </c>
      <c r="G43">
        <v>-5</v>
      </c>
      <c r="H43">
        <v>9</v>
      </c>
      <c r="I43">
        <v>-5</v>
      </c>
      <c r="J43">
        <v>5</v>
      </c>
      <c r="K43">
        <v>219</v>
      </c>
      <c r="L43">
        <v>602</v>
      </c>
      <c r="M43">
        <v>1836</v>
      </c>
      <c r="N43">
        <v>3247</v>
      </c>
      <c r="O43">
        <v>3761</v>
      </c>
      <c r="P43">
        <v>4360</v>
      </c>
      <c r="Q43">
        <v>5055</v>
      </c>
    </row>
    <row r="44" spans="1:17">
      <c r="A44" t="s">
        <v>689</v>
      </c>
      <c r="B44" s="61" t="s">
        <v>747</v>
      </c>
      <c r="C44" t="s">
        <v>41</v>
      </c>
      <c r="D44">
        <v>65</v>
      </c>
      <c r="E44">
        <v>9</v>
      </c>
      <c r="F44">
        <v>-5</v>
      </c>
      <c r="G44">
        <v>-5</v>
      </c>
      <c r="H44">
        <v>-9</v>
      </c>
      <c r="I44">
        <v>-5</v>
      </c>
      <c r="J44">
        <v>5</v>
      </c>
      <c r="K44">
        <v>253</v>
      </c>
      <c r="L44">
        <v>695</v>
      </c>
      <c r="M44">
        <v>2115</v>
      </c>
      <c r="N44">
        <v>3741</v>
      </c>
      <c r="O44">
        <v>4333</v>
      </c>
      <c r="P44">
        <v>5023</v>
      </c>
      <c r="Q44">
        <v>5823</v>
      </c>
    </row>
    <row r="45" spans="1:17">
      <c r="A45" t="s">
        <v>548</v>
      </c>
      <c r="B45" s="61" t="s">
        <v>748</v>
      </c>
      <c r="C45" t="s">
        <v>41</v>
      </c>
      <c r="D45">
        <v>65</v>
      </c>
      <c r="E45">
        <v>9</v>
      </c>
      <c r="F45">
        <v>-5</v>
      </c>
      <c r="G45">
        <v>-13</v>
      </c>
      <c r="H45">
        <v>-5</v>
      </c>
      <c r="I45">
        <v>-5</v>
      </c>
      <c r="J45">
        <v>0</v>
      </c>
      <c r="K45">
        <v>537</v>
      </c>
      <c r="L45">
        <v>1114</v>
      </c>
      <c r="M45">
        <v>1817</v>
      </c>
      <c r="N45">
        <v>3273</v>
      </c>
      <c r="O45">
        <v>3790</v>
      </c>
      <c r="P45">
        <v>4394</v>
      </c>
      <c r="Q45">
        <v>5094</v>
      </c>
    </row>
    <row r="46" spans="1:17">
      <c r="A46" t="s">
        <v>549</v>
      </c>
      <c r="B46" s="61" t="s">
        <v>777</v>
      </c>
      <c r="C46" t="s">
        <v>41</v>
      </c>
      <c r="D46">
        <v>65</v>
      </c>
      <c r="E46">
        <v>9</v>
      </c>
      <c r="F46">
        <v>-5</v>
      </c>
      <c r="G46">
        <v>-13</v>
      </c>
      <c r="H46">
        <v>-5</v>
      </c>
      <c r="I46">
        <v>-5</v>
      </c>
      <c r="J46">
        <v>0</v>
      </c>
      <c r="K46">
        <v>537</v>
      </c>
      <c r="L46">
        <v>1114</v>
      </c>
      <c r="M46">
        <v>1817</v>
      </c>
      <c r="N46">
        <v>3273</v>
      </c>
      <c r="O46">
        <v>3790</v>
      </c>
      <c r="P46">
        <v>4394</v>
      </c>
      <c r="Q46">
        <v>5094</v>
      </c>
    </row>
    <row r="47" spans="1:17">
      <c r="A47" t="s">
        <v>550</v>
      </c>
      <c r="B47" s="61" t="s">
        <v>749</v>
      </c>
      <c r="C47" t="s">
        <v>41</v>
      </c>
      <c r="D47">
        <v>65</v>
      </c>
      <c r="E47">
        <v>9</v>
      </c>
      <c r="F47">
        <v>0</v>
      </c>
      <c r="G47">
        <v>-5</v>
      </c>
      <c r="H47">
        <v>-9</v>
      </c>
      <c r="I47">
        <v>-9</v>
      </c>
      <c r="J47">
        <v>5</v>
      </c>
      <c r="K47">
        <v>219</v>
      </c>
      <c r="L47">
        <v>602</v>
      </c>
      <c r="M47">
        <v>1836</v>
      </c>
      <c r="N47">
        <v>3247</v>
      </c>
      <c r="O47">
        <v>3761</v>
      </c>
      <c r="P47">
        <v>4360</v>
      </c>
      <c r="Q47">
        <v>5055</v>
      </c>
    </row>
    <row r="48" spans="1:17">
      <c r="A48" t="s">
        <v>683</v>
      </c>
      <c r="B48" s="61" t="s">
        <v>750</v>
      </c>
      <c r="C48" t="s">
        <v>41</v>
      </c>
      <c r="D48">
        <v>65</v>
      </c>
      <c r="E48">
        <v>13</v>
      </c>
      <c r="F48">
        <v>-9</v>
      </c>
      <c r="G48">
        <v>-5</v>
      </c>
      <c r="H48">
        <v>-5</v>
      </c>
      <c r="I48">
        <v>-9</v>
      </c>
      <c r="J48">
        <v>9</v>
      </c>
      <c r="K48">
        <v>635</v>
      </c>
      <c r="L48">
        <v>1316</v>
      </c>
      <c r="M48">
        <v>2147</v>
      </c>
      <c r="N48">
        <v>3865</v>
      </c>
      <c r="O48">
        <v>4476</v>
      </c>
      <c r="P48">
        <v>5189</v>
      </c>
      <c r="Q48">
        <v>6015</v>
      </c>
    </row>
    <row r="49" spans="1:17">
      <c r="A49" t="s">
        <v>679</v>
      </c>
      <c r="B49" s="61" t="s">
        <v>751</v>
      </c>
      <c r="C49" t="s">
        <v>41</v>
      </c>
      <c r="D49">
        <v>65</v>
      </c>
      <c r="E49">
        <v>5</v>
      </c>
      <c r="F49">
        <v>0</v>
      </c>
      <c r="G49">
        <v>5</v>
      </c>
      <c r="H49">
        <v>0</v>
      </c>
      <c r="I49">
        <v>0</v>
      </c>
      <c r="J49">
        <v>0</v>
      </c>
      <c r="K49">
        <v>106</v>
      </c>
      <c r="L49">
        <v>253</v>
      </c>
      <c r="M49">
        <v>1996</v>
      </c>
      <c r="N49">
        <v>3531</v>
      </c>
      <c r="O49">
        <v>4090</v>
      </c>
      <c r="P49">
        <v>4741</v>
      </c>
      <c r="Q49">
        <v>5496</v>
      </c>
    </row>
    <row r="50" spans="1:17">
      <c r="A50" t="s">
        <v>690</v>
      </c>
      <c r="B50" s="61" t="s">
        <v>752</v>
      </c>
      <c r="C50" t="s">
        <v>41</v>
      </c>
      <c r="D50">
        <v>65</v>
      </c>
      <c r="E50">
        <v>5</v>
      </c>
      <c r="F50">
        <v>9</v>
      </c>
      <c r="G50">
        <v>5</v>
      </c>
      <c r="H50">
        <v>13</v>
      </c>
      <c r="I50">
        <v>-13</v>
      </c>
      <c r="J50">
        <v>-13</v>
      </c>
      <c r="K50">
        <v>640</v>
      </c>
      <c r="L50">
        <v>1327</v>
      </c>
      <c r="M50">
        <v>2166</v>
      </c>
      <c r="N50">
        <v>3900</v>
      </c>
      <c r="O50">
        <v>4513</v>
      </c>
      <c r="P50">
        <v>5232</v>
      </c>
      <c r="Q50">
        <v>6065</v>
      </c>
    </row>
    <row r="51" spans="1:17">
      <c r="A51" t="s">
        <v>551</v>
      </c>
      <c r="B51" s="61" t="s">
        <v>753</v>
      </c>
      <c r="C51" t="s">
        <v>41</v>
      </c>
      <c r="D51">
        <v>5</v>
      </c>
      <c r="E51">
        <v>17</v>
      </c>
      <c r="F51">
        <v>-5</v>
      </c>
      <c r="G51">
        <v>-14</v>
      </c>
      <c r="H51">
        <v>-20</v>
      </c>
      <c r="I51">
        <v>-20</v>
      </c>
      <c r="J51">
        <v>-9</v>
      </c>
      <c r="N51">
        <v>3459</v>
      </c>
      <c r="O51">
        <v>3743</v>
      </c>
      <c r="P51">
        <v>3933</v>
      </c>
      <c r="Q51">
        <v>4134</v>
      </c>
    </row>
    <row r="52" spans="1:17">
      <c r="A52" t="s">
        <v>552</v>
      </c>
      <c r="B52" s="61" t="s">
        <v>754</v>
      </c>
      <c r="C52" t="s">
        <v>41</v>
      </c>
      <c r="D52">
        <v>20</v>
      </c>
      <c r="E52">
        <v>12</v>
      </c>
      <c r="F52">
        <v>6</v>
      </c>
      <c r="G52">
        <v>6</v>
      </c>
      <c r="H52">
        <v>-12</v>
      </c>
      <c r="I52">
        <v>12</v>
      </c>
      <c r="J52">
        <v>-12</v>
      </c>
      <c r="N52">
        <v>6144</v>
      </c>
    </row>
    <row r="53" spans="1:17">
      <c r="A53" t="s">
        <v>684</v>
      </c>
      <c r="B53" s="61" t="s">
        <v>755</v>
      </c>
      <c r="C53" t="s">
        <v>43</v>
      </c>
      <c r="D53">
        <v>65</v>
      </c>
      <c r="E53">
        <v>-5</v>
      </c>
      <c r="F53">
        <v>5</v>
      </c>
      <c r="G53">
        <v>0</v>
      </c>
      <c r="H53">
        <v>-13</v>
      </c>
      <c r="I53">
        <v>9</v>
      </c>
      <c r="J53">
        <v>-9</v>
      </c>
      <c r="K53">
        <v>253</v>
      </c>
      <c r="L53">
        <v>695</v>
      </c>
      <c r="M53">
        <v>2115</v>
      </c>
      <c r="N53">
        <v>3741</v>
      </c>
      <c r="O53">
        <v>4333</v>
      </c>
      <c r="P53">
        <v>5023</v>
      </c>
      <c r="Q53">
        <v>5823</v>
      </c>
    </row>
    <row r="54" spans="1:17">
      <c r="A54" t="s">
        <v>553</v>
      </c>
      <c r="B54" s="61" t="s">
        <v>778</v>
      </c>
      <c r="C54" t="s">
        <v>43</v>
      </c>
      <c r="D54">
        <v>65</v>
      </c>
      <c r="E54">
        <v>-5</v>
      </c>
      <c r="F54">
        <v>13</v>
      </c>
      <c r="G54">
        <v>5</v>
      </c>
      <c r="H54">
        <v>-13</v>
      </c>
      <c r="I54">
        <v>5</v>
      </c>
      <c r="J54">
        <v>-9</v>
      </c>
      <c r="K54">
        <v>537</v>
      </c>
      <c r="L54">
        <v>1114</v>
      </c>
      <c r="M54">
        <v>1817</v>
      </c>
      <c r="N54">
        <v>3273</v>
      </c>
      <c r="O54">
        <v>3790</v>
      </c>
      <c r="P54">
        <v>4394</v>
      </c>
      <c r="Q54">
        <v>5094</v>
      </c>
    </row>
    <row r="55" spans="1:17">
      <c r="A55" t="s">
        <v>554</v>
      </c>
      <c r="B55" s="61" t="s">
        <v>757</v>
      </c>
      <c r="C55" t="s">
        <v>43</v>
      </c>
      <c r="D55">
        <v>65</v>
      </c>
      <c r="E55">
        <v>-9</v>
      </c>
      <c r="F55">
        <v>13</v>
      </c>
      <c r="G55">
        <v>-9</v>
      </c>
      <c r="H55">
        <v>-13</v>
      </c>
      <c r="I55">
        <v>9</v>
      </c>
      <c r="J55">
        <v>-5</v>
      </c>
      <c r="K55">
        <v>537</v>
      </c>
      <c r="L55">
        <v>1114</v>
      </c>
      <c r="M55">
        <v>1817</v>
      </c>
      <c r="N55">
        <v>3273</v>
      </c>
      <c r="O55">
        <v>3790</v>
      </c>
      <c r="P55">
        <v>4394</v>
      </c>
      <c r="Q55">
        <v>5094</v>
      </c>
    </row>
    <row r="56" spans="1:17">
      <c r="A56" t="s">
        <v>691</v>
      </c>
      <c r="B56" s="61" t="s">
        <v>758</v>
      </c>
      <c r="C56" t="s">
        <v>43</v>
      </c>
      <c r="D56">
        <v>65</v>
      </c>
      <c r="E56">
        <v>5</v>
      </c>
      <c r="F56">
        <v>9</v>
      </c>
      <c r="G56">
        <v>-9</v>
      </c>
      <c r="H56">
        <v>-13</v>
      </c>
      <c r="I56">
        <v>0</v>
      </c>
      <c r="J56">
        <v>0</v>
      </c>
      <c r="K56">
        <v>219</v>
      </c>
      <c r="L56">
        <v>602</v>
      </c>
      <c r="M56">
        <v>1836</v>
      </c>
      <c r="N56">
        <v>3247</v>
      </c>
      <c r="O56">
        <v>3761</v>
      </c>
      <c r="P56">
        <v>4360</v>
      </c>
      <c r="Q56">
        <v>5055</v>
      </c>
    </row>
    <row r="57" spans="1:17">
      <c r="A57" t="s">
        <v>555</v>
      </c>
      <c r="B57" s="61" t="s">
        <v>759</v>
      </c>
      <c r="C57" t="s">
        <v>43</v>
      </c>
      <c r="D57">
        <v>65</v>
      </c>
      <c r="E57">
        <v>-9</v>
      </c>
      <c r="F57">
        <v>5</v>
      </c>
      <c r="G57">
        <v>5</v>
      </c>
      <c r="H57">
        <v>-13</v>
      </c>
      <c r="I57">
        <v>5</v>
      </c>
      <c r="J57">
        <v>-9</v>
      </c>
      <c r="K57">
        <v>106</v>
      </c>
      <c r="L57">
        <v>253</v>
      </c>
      <c r="M57">
        <v>1996</v>
      </c>
      <c r="N57">
        <v>3531</v>
      </c>
      <c r="O57">
        <v>4090</v>
      </c>
      <c r="P57">
        <v>4741</v>
      </c>
      <c r="Q57">
        <v>5496</v>
      </c>
    </row>
    <row r="58" spans="1:17">
      <c r="A58" t="s">
        <v>556</v>
      </c>
      <c r="B58" s="61" t="s">
        <v>760</v>
      </c>
      <c r="C58" t="s">
        <v>43</v>
      </c>
      <c r="D58">
        <v>65</v>
      </c>
      <c r="E58">
        <v>-5</v>
      </c>
      <c r="F58">
        <v>13</v>
      </c>
      <c r="G58">
        <v>0</v>
      </c>
      <c r="H58">
        <v>-13</v>
      </c>
      <c r="I58">
        <v>0</v>
      </c>
      <c r="J58">
        <v>-9</v>
      </c>
      <c r="K58">
        <v>508</v>
      </c>
      <c r="L58">
        <v>1053</v>
      </c>
      <c r="M58">
        <v>1720</v>
      </c>
      <c r="N58">
        <v>3096</v>
      </c>
      <c r="O58">
        <v>3585</v>
      </c>
      <c r="P58">
        <v>4157</v>
      </c>
      <c r="Q58">
        <v>4819</v>
      </c>
    </row>
    <row r="59" spans="1:17">
      <c r="A59" t="s">
        <v>685</v>
      </c>
      <c r="B59" s="61" t="s">
        <v>761</v>
      </c>
      <c r="C59" t="s">
        <v>43</v>
      </c>
      <c r="D59">
        <v>65</v>
      </c>
      <c r="E59">
        <v>-5</v>
      </c>
      <c r="F59">
        <v>9</v>
      </c>
      <c r="G59">
        <v>0</v>
      </c>
      <c r="H59">
        <v>-13</v>
      </c>
      <c r="I59">
        <v>9</v>
      </c>
      <c r="J59">
        <v>-9</v>
      </c>
      <c r="K59">
        <v>508</v>
      </c>
      <c r="L59">
        <v>1053</v>
      </c>
      <c r="M59">
        <v>1720</v>
      </c>
      <c r="N59">
        <v>3096</v>
      </c>
      <c r="O59">
        <v>3585</v>
      </c>
      <c r="P59">
        <v>4157</v>
      </c>
      <c r="Q59">
        <v>4819</v>
      </c>
    </row>
    <row r="60" spans="1:17">
      <c r="A60" t="s">
        <v>695</v>
      </c>
      <c r="B60" s="61" t="s">
        <v>762</v>
      </c>
      <c r="C60" t="s">
        <v>43</v>
      </c>
      <c r="D60">
        <v>65</v>
      </c>
      <c r="E60">
        <v>-9</v>
      </c>
      <c r="F60">
        <v>9</v>
      </c>
      <c r="G60">
        <v>-5</v>
      </c>
      <c r="H60">
        <v>-13</v>
      </c>
      <c r="I60">
        <v>5</v>
      </c>
      <c r="J60">
        <v>9</v>
      </c>
      <c r="K60">
        <v>635</v>
      </c>
      <c r="L60">
        <v>1316</v>
      </c>
      <c r="M60">
        <v>2147</v>
      </c>
      <c r="N60">
        <v>3865</v>
      </c>
      <c r="O60">
        <v>4476</v>
      </c>
      <c r="P60">
        <v>5189</v>
      </c>
      <c r="Q60">
        <v>6015</v>
      </c>
    </row>
    <row r="61" spans="1:17">
      <c r="A61" t="s">
        <v>692</v>
      </c>
      <c r="B61" s="61" t="s">
        <v>763</v>
      </c>
      <c r="C61" t="s">
        <v>43</v>
      </c>
      <c r="D61">
        <v>65</v>
      </c>
      <c r="E61">
        <v>-5</v>
      </c>
      <c r="F61">
        <v>5</v>
      </c>
      <c r="G61">
        <v>0</v>
      </c>
      <c r="H61">
        <v>0</v>
      </c>
      <c r="I61">
        <v>-9</v>
      </c>
      <c r="J61">
        <v>5</v>
      </c>
      <c r="K61">
        <v>599</v>
      </c>
      <c r="L61">
        <v>1241</v>
      </c>
      <c r="M61">
        <v>2025</v>
      </c>
      <c r="N61">
        <v>3644</v>
      </c>
      <c r="O61">
        <v>4221</v>
      </c>
      <c r="P61">
        <v>4894</v>
      </c>
      <c r="Q61">
        <v>5673</v>
      </c>
    </row>
    <row r="62" spans="1:17">
      <c r="A62" t="s">
        <v>693</v>
      </c>
      <c r="B62" s="61" t="s">
        <v>764</v>
      </c>
      <c r="C62" t="s">
        <v>43</v>
      </c>
      <c r="D62">
        <v>65</v>
      </c>
      <c r="E62">
        <v>0</v>
      </c>
      <c r="F62">
        <v>13</v>
      </c>
      <c r="G62">
        <v>-5</v>
      </c>
      <c r="H62">
        <v>9</v>
      </c>
      <c r="I62">
        <v>-5</v>
      </c>
      <c r="J62">
        <v>-9</v>
      </c>
      <c r="K62">
        <v>640</v>
      </c>
      <c r="L62">
        <v>1327</v>
      </c>
      <c r="M62">
        <v>2166</v>
      </c>
      <c r="N62">
        <v>3900</v>
      </c>
      <c r="O62">
        <v>4513</v>
      </c>
      <c r="P62">
        <v>5232</v>
      </c>
      <c r="Q62">
        <v>6065</v>
      </c>
    </row>
    <row r="63" spans="1:17">
      <c r="A63" t="s">
        <v>557</v>
      </c>
      <c r="B63" s="61" t="s">
        <v>765</v>
      </c>
      <c r="C63" t="s">
        <v>43</v>
      </c>
      <c r="D63">
        <v>65</v>
      </c>
      <c r="E63">
        <v>-5</v>
      </c>
      <c r="F63">
        <v>9</v>
      </c>
      <c r="G63">
        <v>5</v>
      </c>
      <c r="H63">
        <v>-13</v>
      </c>
      <c r="I63">
        <v>9</v>
      </c>
      <c r="J63">
        <v>-9</v>
      </c>
      <c r="K63">
        <v>508</v>
      </c>
      <c r="L63">
        <v>1053</v>
      </c>
      <c r="M63">
        <v>1720</v>
      </c>
      <c r="N63">
        <v>3096</v>
      </c>
      <c r="O63">
        <v>3585</v>
      </c>
      <c r="P63">
        <v>4157</v>
      </c>
      <c r="Q63">
        <v>4819</v>
      </c>
    </row>
    <row r="64" spans="1:17">
      <c r="A64" t="s">
        <v>558</v>
      </c>
      <c r="B64" s="61" t="s">
        <v>766</v>
      </c>
      <c r="C64" t="s">
        <v>43</v>
      </c>
      <c r="D64">
        <v>5</v>
      </c>
      <c r="E64">
        <v>-21</v>
      </c>
      <c r="F64">
        <v>13</v>
      </c>
      <c r="G64">
        <v>13</v>
      </c>
      <c r="H64">
        <v>-9</v>
      </c>
      <c r="I64">
        <v>0</v>
      </c>
      <c r="J64">
        <v>0</v>
      </c>
      <c r="N64">
        <v>3588</v>
      </c>
      <c r="O64">
        <v>3897</v>
      </c>
      <c r="P64">
        <v>4095</v>
      </c>
      <c r="Q64">
        <v>4304</v>
      </c>
    </row>
    <row r="65" spans="1:17">
      <c r="A65" t="s">
        <v>559</v>
      </c>
      <c r="B65" s="61" t="s">
        <v>767</v>
      </c>
      <c r="C65" t="s">
        <v>43</v>
      </c>
      <c r="D65">
        <v>20</v>
      </c>
      <c r="E65">
        <v>8</v>
      </c>
      <c r="F65">
        <v>8</v>
      </c>
      <c r="G65">
        <v>8</v>
      </c>
      <c r="H65">
        <v>-8</v>
      </c>
      <c r="I65">
        <v>-8</v>
      </c>
      <c r="J65">
        <v>-8</v>
      </c>
      <c r="N65">
        <v>6144</v>
      </c>
    </row>
    <row r="66" spans="1:17">
      <c r="A66" t="s">
        <v>560</v>
      </c>
      <c r="B66" s="61" t="s">
        <v>490</v>
      </c>
      <c r="C66" t="s">
        <v>37</v>
      </c>
      <c r="D66">
        <v>60</v>
      </c>
      <c r="E66">
        <v>0</v>
      </c>
      <c r="F66">
        <v>0</v>
      </c>
      <c r="G66">
        <v>0</v>
      </c>
      <c r="H66">
        <v>13</v>
      </c>
      <c r="I66">
        <v>0</v>
      </c>
      <c r="J66">
        <v>13</v>
      </c>
      <c r="M66">
        <v>1519</v>
      </c>
      <c r="N66">
        <v>3498</v>
      </c>
    </row>
    <row r="67" spans="1:17">
      <c r="A67" t="s">
        <v>561</v>
      </c>
      <c r="B67" s="61" t="s">
        <v>490</v>
      </c>
      <c r="C67" t="s">
        <v>37</v>
      </c>
      <c r="D67">
        <v>60</v>
      </c>
      <c r="E67">
        <v>0</v>
      </c>
      <c r="F67">
        <v>0</v>
      </c>
      <c r="G67">
        <v>0</v>
      </c>
      <c r="H67">
        <v>16</v>
      </c>
      <c r="I67">
        <v>0</v>
      </c>
      <c r="J67">
        <v>16</v>
      </c>
      <c r="O67">
        <v>3939</v>
      </c>
      <c r="P67">
        <v>4566</v>
      </c>
      <c r="Q67">
        <v>5294</v>
      </c>
    </row>
    <row r="68" spans="1:17">
      <c r="A68" t="s">
        <v>562</v>
      </c>
      <c r="B68" s="61" t="s">
        <v>770</v>
      </c>
      <c r="C68" t="s">
        <v>37</v>
      </c>
      <c r="D68">
        <v>20</v>
      </c>
      <c r="E68">
        <v>0</v>
      </c>
      <c r="F68">
        <v>16</v>
      </c>
      <c r="G68">
        <v>16</v>
      </c>
      <c r="H68">
        <v>0</v>
      </c>
      <c r="I68">
        <v>0</v>
      </c>
      <c r="J68">
        <v>0</v>
      </c>
      <c r="N68">
        <v>4862</v>
      </c>
      <c r="O68">
        <v>5067</v>
      </c>
      <c r="P68">
        <v>5326</v>
      </c>
      <c r="Q68">
        <v>5597</v>
      </c>
    </row>
    <row r="69" spans="1:17">
      <c r="A69" t="s">
        <v>563</v>
      </c>
      <c r="B69" s="61" t="s">
        <v>494</v>
      </c>
      <c r="C69" t="s">
        <v>39</v>
      </c>
      <c r="D69">
        <v>60</v>
      </c>
      <c r="E69">
        <v>0</v>
      </c>
      <c r="F69">
        <v>0</v>
      </c>
      <c r="G69">
        <v>0</v>
      </c>
      <c r="H69">
        <v>13</v>
      </c>
      <c r="I69">
        <v>13</v>
      </c>
      <c r="J69">
        <v>0</v>
      </c>
      <c r="M69">
        <v>1519</v>
      </c>
      <c r="N69">
        <v>3498</v>
      </c>
    </row>
    <row r="70" spans="1:17">
      <c r="A70" t="s">
        <v>564</v>
      </c>
      <c r="B70" s="61" t="s">
        <v>494</v>
      </c>
      <c r="C70" t="s">
        <v>39</v>
      </c>
      <c r="D70">
        <v>60</v>
      </c>
      <c r="E70">
        <v>0</v>
      </c>
      <c r="F70">
        <v>0</v>
      </c>
      <c r="G70">
        <v>0</v>
      </c>
      <c r="H70">
        <v>16</v>
      </c>
      <c r="I70">
        <v>16</v>
      </c>
      <c r="J70">
        <v>0</v>
      </c>
      <c r="O70">
        <v>3939</v>
      </c>
      <c r="P70">
        <v>4566</v>
      </c>
      <c r="Q70">
        <v>5294</v>
      </c>
    </row>
    <row r="71" spans="1:17">
      <c r="A71" t="s">
        <v>565</v>
      </c>
      <c r="B71" s="61" t="s">
        <v>771</v>
      </c>
      <c r="C71" t="s">
        <v>39</v>
      </c>
      <c r="D71">
        <v>20</v>
      </c>
      <c r="E71">
        <v>16</v>
      </c>
      <c r="F71">
        <v>16</v>
      </c>
      <c r="G71">
        <v>0</v>
      </c>
      <c r="H71">
        <v>0</v>
      </c>
      <c r="I71">
        <v>0</v>
      </c>
      <c r="J71">
        <v>0</v>
      </c>
      <c r="N71">
        <v>4862</v>
      </c>
      <c r="O71">
        <v>5067</v>
      </c>
      <c r="P71">
        <v>5326</v>
      </c>
      <c r="Q71">
        <v>5597</v>
      </c>
    </row>
    <row r="72" spans="1:17">
      <c r="A72" t="s">
        <v>566</v>
      </c>
      <c r="B72" s="61" t="s">
        <v>498</v>
      </c>
      <c r="C72" t="s">
        <v>43</v>
      </c>
      <c r="D72">
        <v>60</v>
      </c>
      <c r="E72">
        <v>0</v>
      </c>
      <c r="F72">
        <v>0</v>
      </c>
      <c r="G72">
        <v>0</v>
      </c>
      <c r="H72">
        <v>0</v>
      </c>
      <c r="I72">
        <v>13</v>
      </c>
      <c r="J72">
        <v>13</v>
      </c>
      <c r="M72">
        <v>1519</v>
      </c>
      <c r="N72">
        <v>3498</v>
      </c>
    </row>
    <row r="73" spans="1:17">
      <c r="A73" t="s">
        <v>567</v>
      </c>
      <c r="B73" s="61" t="s">
        <v>498</v>
      </c>
      <c r="C73" t="s">
        <v>43</v>
      </c>
      <c r="D73">
        <v>60</v>
      </c>
      <c r="E73">
        <v>0</v>
      </c>
      <c r="F73">
        <v>0</v>
      </c>
      <c r="G73">
        <v>0</v>
      </c>
      <c r="H73">
        <v>0</v>
      </c>
      <c r="I73">
        <v>16</v>
      </c>
      <c r="J73">
        <v>16</v>
      </c>
      <c r="O73">
        <v>3939</v>
      </c>
      <c r="P73">
        <v>4566</v>
      </c>
      <c r="Q73">
        <v>5294</v>
      </c>
    </row>
    <row r="74" spans="1:17">
      <c r="A74" t="s">
        <v>568</v>
      </c>
      <c r="B74" s="61" t="s">
        <v>772</v>
      </c>
      <c r="C74" t="s">
        <v>43</v>
      </c>
      <c r="D74">
        <v>20</v>
      </c>
      <c r="E74">
        <v>16</v>
      </c>
      <c r="F74">
        <v>0</v>
      </c>
      <c r="G74">
        <v>16</v>
      </c>
      <c r="H74">
        <v>0</v>
      </c>
      <c r="I74">
        <v>0</v>
      </c>
      <c r="J74">
        <v>0</v>
      </c>
      <c r="N74">
        <v>4862</v>
      </c>
      <c r="O74">
        <v>5067</v>
      </c>
      <c r="P74">
        <v>5326</v>
      </c>
      <c r="Q74">
        <v>5597</v>
      </c>
    </row>
    <row r="75" spans="1:17">
      <c r="A75" t="s">
        <v>569</v>
      </c>
      <c r="B75" s="61" t="s">
        <v>773</v>
      </c>
      <c r="C75" t="s">
        <v>41</v>
      </c>
      <c r="D75">
        <v>5</v>
      </c>
      <c r="E75">
        <v>0</v>
      </c>
      <c r="F75">
        <v>0</v>
      </c>
      <c r="G75">
        <v>13</v>
      </c>
      <c r="H75">
        <v>13</v>
      </c>
      <c r="I75">
        <v>13</v>
      </c>
      <c r="J75">
        <v>0</v>
      </c>
      <c r="N75">
        <v>3371</v>
      </c>
      <c r="O75">
        <v>3832</v>
      </c>
      <c r="P75">
        <v>4442</v>
      </c>
      <c r="Q75">
        <v>5150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F9864-374D-4C1C-8C51-5741910A63C2}">
  <sheetPr codeName="Sheet10"/>
  <dimension ref="A1:Q72"/>
  <sheetViews>
    <sheetView workbookViewId="0">
      <selection activeCell="A5" sqref="A5:XFD5"/>
    </sheetView>
  </sheetViews>
  <sheetFormatPr defaultRowHeight="15"/>
  <cols>
    <col min="1" max="1" width="25.85546875" bestFit="1" customWidth="1"/>
    <col min="2" max="2" width="25.85546875" customWidth="1"/>
    <col min="3" max="3" width="13.5703125" bestFit="1" customWidth="1"/>
    <col min="4" max="4" width="11.140625" bestFit="1" customWidth="1"/>
    <col min="5" max="6" width="11.42578125" bestFit="1" customWidth="1"/>
    <col min="7" max="7" width="14.5703125" bestFit="1" customWidth="1"/>
    <col min="8" max="8" width="9.5703125" bestFit="1" customWidth="1"/>
    <col min="9" max="9" width="14.5703125" bestFit="1" customWidth="1"/>
    <col min="10" max="10" width="12.7109375" bestFit="1" customWidth="1"/>
    <col min="11" max="14" width="7.5703125" bestFit="1" customWidth="1"/>
    <col min="15" max="15" width="6.5703125" bestFit="1" customWidth="1"/>
    <col min="16" max="17" width="7.5703125" bestFit="1" customWidth="1"/>
  </cols>
  <sheetData>
    <row r="1" spans="1:17">
      <c r="A1" s="53" t="s">
        <v>22</v>
      </c>
      <c r="B1" s="53" t="s">
        <v>711</v>
      </c>
      <c r="C1" s="53" t="s">
        <v>340</v>
      </c>
      <c r="D1" s="53" t="s">
        <v>696</v>
      </c>
      <c r="E1" s="53" t="s">
        <v>706</v>
      </c>
      <c r="F1" s="53" t="s">
        <v>703</v>
      </c>
      <c r="G1" s="53" t="s">
        <v>708</v>
      </c>
      <c r="H1" s="53" t="s">
        <v>704</v>
      </c>
      <c r="I1" s="53" t="s">
        <v>709</v>
      </c>
      <c r="J1" s="53" t="s">
        <v>705</v>
      </c>
      <c r="K1" s="53" t="s">
        <v>265</v>
      </c>
      <c r="L1" s="53" t="s">
        <v>266</v>
      </c>
      <c r="M1" s="53" t="s">
        <v>267</v>
      </c>
      <c r="N1" s="53" t="s">
        <v>268</v>
      </c>
      <c r="O1" s="53" t="s">
        <v>308</v>
      </c>
      <c r="P1" s="53" t="s">
        <v>309</v>
      </c>
      <c r="Q1" s="53" t="s">
        <v>310</v>
      </c>
    </row>
    <row r="2" spans="1:17">
      <c r="A2" s="53" t="s">
        <v>299</v>
      </c>
      <c r="B2" s="53"/>
      <c r="C2" s="53"/>
      <c r="D2" s="53">
        <v>0</v>
      </c>
      <c r="E2" s="53">
        <v>0</v>
      </c>
      <c r="F2" s="53">
        <v>0</v>
      </c>
      <c r="G2" s="53">
        <v>0</v>
      </c>
      <c r="H2" s="53">
        <v>0</v>
      </c>
      <c r="I2" s="53">
        <v>0</v>
      </c>
      <c r="J2" s="53">
        <v>0</v>
      </c>
      <c r="K2" s="53">
        <v>0</v>
      </c>
      <c r="L2" s="53">
        <v>0</v>
      </c>
      <c r="M2" s="53">
        <v>0</v>
      </c>
      <c r="N2" s="53">
        <v>0</v>
      </c>
      <c r="O2" s="53">
        <v>0</v>
      </c>
      <c r="P2" s="53">
        <v>0</v>
      </c>
      <c r="Q2" s="53">
        <v>0</v>
      </c>
    </row>
    <row r="3" spans="1:17">
      <c r="A3" t="s">
        <v>570</v>
      </c>
      <c r="B3" s="61" t="s">
        <v>735</v>
      </c>
      <c r="C3" t="s">
        <v>37</v>
      </c>
      <c r="D3">
        <v>65</v>
      </c>
      <c r="E3">
        <v>0</v>
      </c>
      <c r="F3">
        <v>0</v>
      </c>
      <c r="G3">
        <v>-5</v>
      </c>
      <c r="H3">
        <v>5</v>
      </c>
      <c r="I3">
        <v>5</v>
      </c>
      <c r="J3">
        <v>5</v>
      </c>
      <c r="K3">
        <v>54</v>
      </c>
      <c r="L3">
        <v>128</v>
      </c>
      <c r="M3">
        <v>1012</v>
      </c>
      <c r="N3">
        <v>1790</v>
      </c>
      <c r="O3">
        <v>2073</v>
      </c>
      <c r="P3">
        <v>2403</v>
      </c>
      <c r="Q3">
        <v>2786</v>
      </c>
    </row>
    <row r="4" spans="1:17">
      <c r="A4" t="s">
        <v>571</v>
      </c>
      <c r="B4" s="61" t="s">
        <v>736</v>
      </c>
      <c r="C4" t="s">
        <v>37</v>
      </c>
      <c r="D4">
        <v>65</v>
      </c>
      <c r="E4">
        <v>0</v>
      </c>
      <c r="F4">
        <v>0</v>
      </c>
      <c r="G4">
        <v>-5</v>
      </c>
      <c r="H4">
        <v>9</v>
      </c>
      <c r="I4">
        <v>13</v>
      </c>
      <c r="J4">
        <v>0</v>
      </c>
      <c r="K4">
        <v>54</v>
      </c>
      <c r="L4">
        <v>128</v>
      </c>
      <c r="M4">
        <v>1012</v>
      </c>
      <c r="N4">
        <v>1790</v>
      </c>
      <c r="O4">
        <v>2073</v>
      </c>
      <c r="P4">
        <v>2403</v>
      </c>
      <c r="Q4">
        <v>2786</v>
      </c>
    </row>
    <row r="5" spans="1:17">
      <c r="A5" s="61" t="s">
        <v>618</v>
      </c>
      <c r="B5" s="61" t="s">
        <v>714</v>
      </c>
      <c r="C5" t="s">
        <v>37</v>
      </c>
      <c r="D5">
        <v>65</v>
      </c>
      <c r="E5">
        <v>0</v>
      </c>
      <c r="F5">
        <v>-5</v>
      </c>
      <c r="G5">
        <v>-5</v>
      </c>
      <c r="H5">
        <v>9</v>
      </c>
      <c r="I5">
        <v>9</v>
      </c>
      <c r="J5">
        <v>0</v>
      </c>
      <c r="K5">
        <v>436</v>
      </c>
      <c r="L5">
        <v>904</v>
      </c>
      <c r="M5">
        <v>1475</v>
      </c>
      <c r="N5">
        <v>2657</v>
      </c>
      <c r="O5">
        <v>3077</v>
      </c>
      <c r="P5">
        <v>3567</v>
      </c>
      <c r="Q5">
        <v>4135</v>
      </c>
    </row>
    <row r="6" spans="1:17">
      <c r="A6" s="61" t="s">
        <v>619</v>
      </c>
      <c r="B6" s="61" t="s">
        <v>715</v>
      </c>
      <c r="C6" t="s">
        <v>37</v>
      </c>
      <c r="D6">
        <v>65</v>
      </c>
      <c r="E6">
        <v>-5</v>
      </c>
      <c r="F6">
        <v>-5</v>
      </c>
      <c r="G6">
        <v>-5</v>
      </c>
      <c r="H6">
        <v>9</v>
      </c>
      <c r="I6">
        <v>5</v>
      </c>
      <c r="J6">
        <v>9</v>
      </c>
      <c r="K6">
        <v>150</v>
      </c>
      <c r="L6">
        <v>412</v>
      </c>
      <c r="M6">
        <v>1256</v>
      </c>
      <c r="N6">
        <v>2221</v>
      </c>
      <c r="O6">
        <v>2572</v>
      </c>
      <c r="P6">
        <v>2982</v>
      </c>
      <c r="Q6">
        <v>3457</v>
      </c>
    </row>
    <row r="7" spans="1:17">
      <c r="A7" t="s">
        <v>572</v>
      </c>
      <c r="B7" s="61" t="s">
        <v>712</v>
      </c>
      <c r="C7" t="s">
        <v>37</v>
      </c>
      <c r="D7">
        <v>65</v>
      </c>
      <c r="E7">
        <v>5</v>
      </c>
      <c r="F7">
        <v>0</v>
      </c>
      <c r="G7">
        <v>-5</v>
      </c>
      <c r="H7">
        <v>9</v>
      </c>
      <c r="I7">
        <v>5</v>
      </c>
      <c r="J7">
        <v>-5</v>
      </c>
      <c r="K7">
        <v>54</v>
      </c>
      <c r="L7">
        <v>128</v>
      </c>
      <c r="M7">
        <v>1012</v>
      </c>
      <c r="N7">
        <v>1790</v>
      </c>
      <c r="O7">
        <v>2073</v>
      </c>
      <c r="P7">
        <v>2403</v>
      </c>
      <c r="Q7">
        <v>2786</v>
      </c>
    </row>
    <row r="8" spans="1:17">
      <c r="A8" t="s">
        <v>573</v>
      </c>
      <c r="B8" s="61" t="s">
        <v>716</v>
      </c>
      <c r="C8" t="s">
        <v>37</v>
      </c>
      <c r="D8">
        <v>65</v>
      </c>
      <c r="E8">
        <v>-5</v>
      </c>
      <c r="F8">
        <v>-5</v>
      </c>
      <c r="G8">
        <v>-5</v>
      </c>
      <c r="H8">
        <v>13</v>
      </c>
      <c r="I8">
        <v>5</v>
      </c>
      <c r="J8">
        <v>0</v>
      </c>
      <c r="K8">
        <v>72</v>
      </c>
      <c r="L8">
        <v>172</v>
      </c>
      <c r="M8">
        <v>1357</v>
      </c>
      <c r="N8">
        <v>2399</v>
      </c>
      <c r="O8">
        <v>2780</v>
      </c>
      <c r="P8">
        <v>3222</v>
      </c>
      <c r="Q8">
        <v>3736</v>
      </c>
    </row>
    <row r="9" spans="1:17">
      <c r="A9" t="s">
        <v>574</v>
      </c>
      <c r="B9" s="61" t="s">
        <v>737</v>
      </c>
      <c r="C9" t="s">
        <v>37</v>
      </c>
      <c r="D9">
        <v>65</v>
      </c>
      <c r="E9">
        <v>-5</v>
      </c>
      <c r="F9">
        <v>-5</v>
      </c>
      <c r="G9">
        <v>-5</v>
      </c>
      <c r="H9">
        <v>9</v>
      </c>
      <c r="I9">
        <v>9</v>
      </c>
      <c r="J9">
        <v>0</v>
      </c>
      <c r="K9">
        <v>128</v>
      </c>
      <c r="L9">
        <v>353</v>
      </c>
      <c r="M9">
        <v>1074</v>
      </c>
      <c r="N9">
        <v>1900</v>
      </c>
      <c r="O9">
        <v>2201</v>
      </c>
      <c r="P9">
        <v>2552</v>
      </c>
      <c r="Q9">
        <v>2958</v>
      </c>
    </row>
    <row r="10" spans="1:17">
      <c r="A10" t="s">
        <v>575</v>
      </c>
      <c r="B10" s="61" t="s">
        <v>717</v>
      </c>
      <c r="C10" t="s">
        <v>37</v>
      </c>
      <c r="D10">
        <v>65</v>
      </c>
      <c r="E10">
        <v>0</v>
      </c>
      <c r="F10">
        <v>5</v>
      </c>
      <c r="G10">
        <v>-5</v>
      </c>
      <c r="H10">
        <v>5</v>
      </c>
      <c r="I10">
        <v>-5</v>
      </c>
      <c r="J10">
        <v>5</v>
      </c>
      <c r="K10">
        <v>411</v>
      </c>
      <c r="L10">
        <v>850</v>
      </c>
      <c r="M10">
        <v>1387</v>
      </c>
      <c r="N10">
        <v>2497</v>
      </c>
      <c r="O10">
        <v>2892</v>
      </c>
      <c r="P10">
        <v>3353</v>
      </c>
      <c r="Q10">
        <v>3887</v>
      </c>
    </row>
    <row r="11" spans="1:17">
      <c r="A11" t="s">
        <v>576</v>
      </c>
      <c r="B11" s="61" t="s">
        <v>718</v>
      </c>
      <c r="C11" t="s">
        <v>37</v>
      </c>
      <c r="D11">
        <v>65</v>
      </c>
      <c r="E11">
        <v>-5</v>
      </c>
      <c r="F11">
        <v>0</v>
      </c>
      <c r="G11">
        <v>-5</v>
      </c>
      <c r="H11">
        <v>5</v>
      </c>
      <c r="I11">
        <v>13</v>
      </c>
      <c r="J11">
        <v>0</v>
      </c>
      <c r="K11">
        <v>63</v>
      </c>
      <c r="L11">
        <v>150</v>
      </c>
      <c r="M11">
        <v>1184</v>
      </c>
      <c r="N11">
        <v>2095</v>
      </c>
      <c r="O11">
        <v>2426</v>
      </c>
      <c r="P11">
        <v>2813</v>
      </c>
      <c r="Q11">
        <v>3261</v>
      </c>
    </row>
    <row r="12" spans="1:17">
      <c r="A12" t="s">
        <v>577</v>
      </c>
      <c r="B12" s="61" t="s">
        <v>719</v>
      </c>
      <c r="C12" t="s">
        <v>37</v>
      </c>
      <c r="D12">
        <v>65</v>
      </c>
      <c r="E12">
        <v>-5</v>
      </c>
      <c r="F12">
        <v>0</v>
      </c>
      <c r="G12">
        <v>-5</v>
      </c>
      <c r="H12">
        <v>13</v>
      </c>
      <c r="I12">
        <v>-5</v>
      </c>
      <c r="J12">
        <v>9</v>
      </c>
      <c r="K12">
        <v>63</v>
      </c>
      <c r="L12">
        <v>150</v>
      </c>
      <c r="M12">
        <v>1184</v>
      </c>
      <c r="N12">
        <v>2095</v>
      </c>
      <c r="O12">
        <v>2426</v>
      </c>
      <c r="P12">
        <v>2813</v>
      </c>
      <c r="Q12">
        <v>3261</v>
      </c>
    </row>
    <row r="13" spans="1:17">
      <c r="A13" s="61" t="s">
        <v>620</v>
      </c>
      <c r="B13" s="61" t="s">
        <v>738</v>
      </c>
      <c r="C13" t="s">
        <v>37</v>
      </c>
      <c r="D13">
        <v>65</v>
      </c>
      <c r="E13">
        <v>5</v>
      </c>
      <c r="F13">
        <v>-9</v>
      </c>
      <c r="G13">
        <v>5</v>
      </c>
      <c r="H13">
        <v>-5</v>
      </c>
      <c r="I13">
        <v>9</v>
      </c>
      <c r="J13">
        <v>-5</v>
      </c>
      <c r="K13">
        <v>178</v>
      </c>
      <c r="L13">
        <v>478</v>
      </c>
      <c r="M13">
        <v>1456</v>
      </c>
      <c r="N13">
        <v>2575</v>
      </c>
      <c r="O13">
        <v>2982</v>
      </c>
      <c r="P13">
        <v>3457</v>
      </c>
      <c r="Q13">
        <v>4008</v>
      </c>
    </row>
    <row r="14" spans="1:17">
      <c r="A14" s="61" t="s">
        <v>621</v>
      </c>
      <c r="B14" s="61" t="s">
        <v>720</v>
      </c>
      <c r="C14" t="s">
        <v>37</v>
      </c>
      <c r="D14">
        <v>65</v>
      </c>
      <c r="E14">
        <v>5</v>
      </c>
      <c r="F14">
        <v>9</v>
      </c>
      <c r="G14">
        <v>0</v>
      </c>
      <c r="H14">
        <v>9</v>
      </c>
      <c r="I14">
        <v>9</v>
      </c>
      <c r="J14">
        <v>-9</v>
      </c>
      <c r="K14">
        <v>439</v>
      </c>
      <c r="L14">
        <v>911</v>
      </c>
      <c r="M14">
        <v>1486</v>
      </c>
      <c r="N14">
        <v>2677</v>
      </c>
      <c r="O14">
        <v>3097</v>
      </c>
      <c r="P14">
        <v>3590</v>
      </c>
      <c r="Q14">
        <v>4162</v>
      </c>
    </row>
    <row r="15" spans="1:17">
      <c r="A15" t="s">
        <v>578</v>
      </c>
      <c r="B15" s="61" t="s">
        <v>721</v>
      </c>
      <c r="C15" t="s">
        <v>37</v>
      </c>
      <c r="D15">
        <v>5</v>
      </c>
      <c r="E15">
        <v>0</v>
      </c>
      <c r="F15">
        <v>16</v>
      </c>
      <c r="G15">
        <v>-21</v>
      </c>
      <c r="H15">
        <v>0</v>
      </c>
      <c r="I15">
        <v>9</v>
      </c>
      <c r="J15">
        <v>0</v>
      </c>
      <c r="N15">
        <v>2248</v>
      </c>
      <c r="O15">
        <v>2432</v>
      </c>
      <c r="P15">
        <v>2557</v>
      </c>
      <c r="Q15">
        <v>2687</v>
      </c>
    </row>
    <row r="16" spans="1:17">
      <c r="A16" t="s">
        <v>579</v>
      </c>
      <c r="B16" s="61" t="s">
        <v>722</v>
      </c>
      <c r="C16" t="s">
        <v>37</v>
      </c>
      <c r="D16">
        <v>20</v>
      </c>
      <c r="E16">
        <v>6</v>
      </c>
      <c r="F16">
        <v>12</v>
      </c>
      <c r="G16">
        <v>6</v>
      </c>
      <c r="H16">
        <v>-12</v>
      </c>
      <c r="I16">
        <v>-12</v>
      </c>
      <c r="J16">
        <v>12</v>
      </c>
      <c r="N16">
        <v>4244</v>
      </c>
    </row>
    <row r="17" spans="1:17">
      <c r="A17" t="s">
        <v>580</v>
      </c>
      <c r="B17" s="61" t="s">
        <v>723</v>
      </c>
      <c r="C17" t="s">
        <v>39</v>
      </c>
      <c r="D17">
        <v>65</v>
      </c>
      <c r="E17">
        <v>-13</v>
      </c>
      <c r="F17">
        <v>-9</v>
      </c>
      <c r="G17">
        <v>9</v>
      </c>
      <c r="H17">
        <v>5</v>
      </c>
      <c r="I17">
        <v>-5</v>
      </c>
      <c r="J17">
        <v>9</v>
      </c>
      <c r="K17">
        <v>128</v>
      </c>
      <c r="L17">
        <v>353</v>
      </c>
      <c r="M17">
        <v>1074</v>
      </c>
      <c r="N17">
        <v>1900</v>
      </c>
      <c r="O17">
        <v>2201</v>
      </c>
      <c r="P17">
        <v>2552</v>
      </c>
      <c r="Q17">
        <v>2958</v>
      </c>
    </row>
    <row r="18" spans="1:17">
      <c r="A18" t="s">
        <v>581</v>
      </c>
      <c r="B18" s="61" t="s">
        <v>724</v>
      </c>
      <c r="C18" t="s">
        <v>39</v>
      </c>
      <c r="D18">
        <v>65</v>
      </c>
      <c r="E18">
        <v>-9</v>
      </c>
      <c r="F18">
        <v>5</v>
      </c>
      <c r="G18">
        <v>5</v>
      </c>
      <c r="H18">
        <v>5</v>
      </c>
      <c r="I18">
        <v>-5</v>
      </c>
      <c r="J18">
        <v>9</v>
      </c>
      <c r="K18">
        <v>63</v>
      </c>
      <c r="L18">
        <v>150</v>
      </c>
      <c r="M18">
        <v>1184</v>
      </c>
      <c r="N18">
        <v>2095</v>
      </c>
      <c r="O18">
        <v>2426</v>
      </c>
      <c r="P18">
        <v>2813</v>
      </c>
      <c r="Q18">
        <v>3261</v>
      </c>
    </row>
    <row r="19" spans="1:17">
      <c r="A19" t="s">
        <v>582</v>
      </c>
      <c r="B19" s="61" t="s">
        <v>725</v>
      </c>
      <c r="C19" t="s">
        <v>39</v>
      </c>
      <c r="D19">
        <v>65</v>
      </c>
      <c r="E19">
        <v>-9</v>
      </c>
      <c r="F19">
        <v>-9</v>
      </c>
      <c r="G19">
        <v>9</v>
      </c>
      <c r="H19">
        <v>5</v>
      </c>
      <c r="I19">
        <v>-5</v>
      </c>
      <c r="J19">
        <v>13</v>
      </c>
      <c r="K19">
        <v>128</v>
      </c>
      <c r="L19">
        <v>353</v>
      </c>
      <c r="M19">
        <v>1074</v>
      </c>
      <c r="N19">
        <v>1900</v>
      </c>
      <c r="O19">
        <v>2201</v>
      </c>
      <c r="P19">
        <v>2552</v>
      </c>
      <c r="Q19">
        <v>2958</v>
      </c>
    </row>
    <row r="20" spans="1:17">
      <c r="A20" s="61" t="s">
        <v>622</v>
      </c>
      <c r="B20" s="61" t="s">
        <v>775</v>
      </c>
      <c r="C20" t="s">
        <v>39</v>
      </c>
      <c r="D20">
        <v>65</v>
      </c>
      <c r="E20">
        <v>-9</v>
      </c>
      <c r="F20">
        <v>-9</v>
      </c>
      <c r="G20">
        <v>9</v>
      </c>
      <c r="H20">
        <v>5</v>
      </c>
      <c r="I20">
        <v>-5</v>
      </c>
      <c r="J20">
        <v>13</v>
      </c>
      <c r="K20">
        <v>132</v>
      </c>
      <c r="L20">
        <v>353</v>
      </c>
      <c r="M20">
        <v>1074</v>
      </c>
      <c r="N20">
        <v>1900</v>
      </c>
      <c r="O20">
        <v>2201</v>
      </c>
      <c r="P20">
        <v>2552</v>
      </c>
      <c r="Q20">
        <v>2958</v>
      </c>
    </row>
    <row r="21" spans="1:17">
      <c r="A21" t="s">
        <v>583</v>
      </c>
      <c r="B21" s="61" t="s">
        <v>726</v>
      </c>
      <c r="C21" t="s">
        <v>39</v>
      </c>
      <c r="D21">
        <v>65</v>
      </c>
      <c r="E21">
        <v>-9</v>
      </c>
      <c r="F21">
        <v>5</v>
      </c>
      <c r="G21">
        <v>9</v>
      </c>
      <c r="H21">
        <v>5</v>
      </c>
      <c r="I21">
        <v>-9</v>
      </c>
      <c r="J21">
        <v>5</v>
      </c>
      <c r="K21">
        <v>173</v>
      </c>
      <c r="L21">
        <v>478</v>
      </c>
      <c r="M21">
        <v>1456</v>
      </c>
      <c r="N21">
        <v>2575</v>
      </c>
      <c r="O21">
        <v>2982</v>
      </c>
      <c r="P21">
        <v>3457</v>
      </c>
      <c r="Q21">
        <v>4008</v>
      </c>
    </row>
    <row r="22" spans="1:17">
      <c r="A22" s="61" t="s">
        <v>623</v>
      </c>
      <c r="B22" s="61" t="s">
        <v>739</v>
      </c>
      <c r="C22" t="s">
        <v>39</v>
      </c>
      <c r="D22">
        <v>65</v>
      </c>
      <c r="E22">
        <v>-9</v>
      </c>
      <c r="F22">
        <v>5</v>
      </c>
      <c r="G22">
        <v>9</v>
      </c>
      <c r="H22">
        <v>5</v>
      </c>
      <c r="I22">
        <v>-9</v>
      </c>
      <c r="J22">
        <v>5</v>
      </c>
      <c r="K22">
        <v>173</v>
      </c>
      <c r="L22">
        <v>478</v>
      </c>
      <c r="M22">
        <v>1456</v>
      </c>
      <c r="N22">
        <v>2575</v>
      </c>
      <c r="O22">
        <v>2982</v>
      </c>
      <c r="P22">
        <v>3457</v>
      </c>
      <c r="Q22">
        <v>4008</v>
      </c>
    </row>
    <row r="23" spans="1:17">
      <c r="A23" t="s">
        <v>584</v>
      </c>
      <c r="B23" s="61" t="s">
        <v>780</v>
      </c>
      <c r="C23" t="s">
        <v>39</v>
      </c>
      <c r="D23">
        <v>65</v>
      </c>
      <c r="E23">
        <v>-9</v>
      </c>
      <c r="F23">
        <v>-5</v>
      </c>
      <c r="G23">
        <v>9</v>
      </c>
      <c r="H23">
        <v>5</v>
      </c>
      <c r="I23">
        <v>-5</v>
      </c>
      <c r="J23">
        <v>-9</v>
      </c>
      <c r="K23">
        <v>63</v>
      </c>
      <c r="L23">
        <v>150</v>
      </c>
      <c r="M23">
        <v>1184</v>
      </c>
      <c r="N23">
        <v>2095</v>
      </c>
      <c r="O23">
        <v>2426</v>
      </c>
      <c r="P23">
        <v>2813</v>
      </c>
      <c r="Q23">
        <v>3261</v>
      </c>
    </row>
    <row r="24" spans="1:17">
      <c r="A24" t="s">
        <v>585</v>
      </c>
      <c r="B24" s="61" t="s">
        <v>727</v>
      </c>
      <c r="C24" t="s">
        <v>39</v>
      </c>
      <c r="D24">
        <v>65</v>
      </c>
      <c r="E24">
        <v>-5</v>
      </c>
      <c r="F24">
        <v>-9</v>
      </c>
      <c r="G24">
        <v>9</v>
      </c>
      <c r="H24">
        <v>5</v>
      </c>
      <c r="I24">
        <v>-9</v>
      </c>
      <c r="J24">
        <v>9</v>
      </c>
      <c r="K24">
        <v>371</v>
      </c>
      <c r="L24">
        <v>769</v>
      </c>
      <c r="M24">
        <v>1255</v>
      </c>
      <c r="N24">
        <v>2259</v>
      </c>
      <c r="O24">
        <v>2616</v>
      </c>
      <c r="P24">
        <v>3033</v>
      </c>
      <c r="Q24">
        <v>3516</v>
      </c>
    </row>
    <row r="25" spans="1:17">
      <c r="A25" t="s">
        <v>586</v>
      </c>
      <c r="B25" s="61" t="s">
        <v>740</v>
      </c>
      <c r="C25" t="s">
        <v>39</v>
      </c>
      <c r="D25">
        <v>65</v>
      </c>
      <c r="E25">
        <v>0</v>
      </c>
      <c r="F25">
        <v>0</v>
      </c>
      <c r="G25">
        <v>9</v>
      </c>
      <c r="H25">
        <v>5</v>
      </c>
      <c r="I25">
        <v>0</v>
      </c>
      <c r="J25">
        <v>9</v>
      </c>
      <c r="K25">
        <v>389</v>
      </c>
      <c r="L25">
        <v>807</v>
      </c>
      <c r="M25">
        <v>1319</v>
      </c>
      <c r="N25">
        <v>2372</v>
      </c>
      <c r="O25">
        <v>2747</v>
      </c>
      <c r="P25">
        <v>3184</v>
      </c>
      <c r="Q25">
        <v>3692</v>
      </c>
    </row>
    <row r="26" spans="1:17">
      <c r="A26" s="61" t="s">
        <v>624</v>
      </c>
      <c r="B26" s="61" t="s">
        <v>728</v>
      </c>
      <c r="C26" t="s">
        <v>39</v>
      </c>
      <c r="D26">
        <v>65</v>
      </c>
      <c r="E26">
        <v>-9</v>
      </c>
      <c r="F26">
        <v>5</v>
      </c>
      <c r="G26">
        <v>13</v>
      </c>
      <c r="H26">
        <v>-13</v>
      </c>
      <c r="I26">
        <v>-5</v>
      </c>
      <c r="J26">
        <v>-5</v>
      </c>
      <c r="K26">
        <v>411</v>
      </c>
      <c r="L26">
        <v>850</v>
      </c>
      <c r="M26">
        <v>1387</v>
      </c>
      <c r="N26">
        <v>2497</v>
      </c>
      <c r="O26">
        <v>2892</v>
      </c>
      <c r="P26">
        <v>3353</v>
      </c>
      <c r="Q26">
        <v>3887</v>
      </c>
    </row>
    <row r="27" spans="1:17">
      <c r="A27" t="s">
        <v>587</v>
      </c>
      <c r="B27" s="61" t="s">
        <v>729</v>
      </c>
      <c r="C27" t="s">
        <v>39</v>
      </c>
      <c r="D27">
        <v>65</v>
      </c>
      <c r="E27">
        <v>-9</v>
      </c>
      <c r="F27">
        <v>-9</v>
      </c>
      <c r="G27">
        <v>13</v>
      </c>
      <c r="H27">
        <v>5</v>
      </c>
      <c r="I27">
        <v>-5</v>
      </c>
      <c r="J27">
        <v>5</v>
      </c>
      <c r="K27">
        <v>173</v>
      </c>
      <c r="L27">
        <v>478</v>
      </c>
      <c r="M27">
        <v>1456</v>
      </c>
      <c r="N27">
        <v>2575</v>
      </c>
      <c r="O27">
        <v>2982</v>
      </c>
      <c r="P27">
        <v>3457</v>
      </c>
      <c r="Q27">
        <v>4008</v>
      </c>
    </row>
    <row r="28" spans="1:17">
      <c r="A28" s="61" t="s">
        <v>625</v>
      </c>
      <c r="B28" s="61" t="s">
        <v>730</v>
      </c>
      <c r="C28" t="s">
        <v>39</v>
      </c>
      <c r="D28">
        <v>65</v>
      </c>
      <c r="E28">
        <v>-9</v>
      </c>
      <c r="F28">
        <v>-9</v>
      </c>
      <c r="G28">
        <v>9</v>
      </c>
      <c r="H28">
        <v>0</v>
      </c>
      <c r="I28">
        <v>5</v>
      </c>
      <c r="J28">
        <v>9</v>
      </c>
      <c r="K28">
        <v>436</v>
      </c>
      <c r="L28">
        <v>904</v>
      </c>
      <c r="M28">
        <v>1475</v>
      </c>
      <c r="N28">
        <v>2657</v>
      </c>
      <c r="O28">
        <v>3077</v>
      </c>
      <c r="P28">
        <v>3567</v>
      </c>
      <c r="Q28">
        <v>4135</v>
      </c>
    </row>
    <row r="29" spans="1:17">
      <c r="A29" t="s">
        <v>588</v>
      </c>
      <c r="B29" s="61" t="s">
        <v>741</v>
      </c>
      <c r="C29" t="s">
        <v>39</v>
      </c>
      <c r="D29">
        <v>65</v>
      </c>
      <c r="E29">
        <v>-9</v>
      </c>
      <c r="F29">
        <v>-9</v>
      </c>
      <c r="G29">
        <v>13</v>
      </c>
      <c r="H29">
        <v>5</v>
      </c>
      <c r="I29">
        <v>-5</v>
      </c>
      <c r="J29">
        <v>9</v>
      </c>
      <c r="K29">
        <v>72</v>
      </c>
      <c r="L29">
        <v>172</v>
      </c>
      <c r="M29">
        <v>1357</v>
      </c>
      <c r="N29">
        <v>2399</v>
      </c>
      <c r="O29">
        <v>2780</v>
      </c>
      <c r="P29">
        <v>3222</v>
      </c>
      <c r="Q29">
        <v>3736</v>
      </c>
    </row>
    <row r="30" spans="1:17">
      <c r="A30" s="61" t="s">
        <v>626</v>
      </c>
      <c r="B30" s="61" t="s">
        <v>731</v>
      </c>
      <c r="C30" t="s">
        <v>39</v>
      </c>
      <c r="D30">
        <v>65</v>
      </c>
      <c r="E30">
        <v>7</v>
      </c>
      <c r="F30">
        <v>-4</v>
      </c>
      <c r="G30">
        <v>7</v>
      </c>
      <c r="H30">
        <v>0</v>
      </c>
      <c r="I30">
        <v>-4</v>
      </c>
      <c r="J30">
        <v>3</v>
      </c>
      <c r="K30">
        <v>63</v>
      </c>
      <c r="L30">
        <v>161</v>
      </c>
      <c r="M30">
        <v>1310</v>
      </c>
      <c r="N30">
        <v>2828</v>
      </c>
      <c r="O30">
        <v>3275</v>
      </c>
      <c r="P30">
        <v>3796</v>
      </c>
      <c r="Q30">
        <v>4401</v>
      </c>
    </row>
    <row r="31" spans="1:17">
      <c r="A31" s="61" t="s">
        <v>627</v>
      </c>
      <c r="B31" s="61" t="s">
        <v>732</v>
      </c>
      <c r="C31" t="s">
        <v>39</v>
      </c>
      <c r="D31">
        <v>65</v>
      </c>
      <c r="E31">
        <v>-9</v>
      </c>
      <c r="F31">
        <v>9</v>
      </c>
      <c r="G31">
        <v>13</v>
      </c>
      <c r="H31">
        <v>-9</v>
      </c>
      <c r="I31">
        <v>-9</v>
      </c>
      <c r="J31">
        <v>5</v>
      </c>
      <c r="K31">
        <v>439</v>
      </c>
      <c r="L31">
        <v>911</v>
      </c>
      <c r="M31">
        <v>1486</v>
      </c>
      <c r="N31">
        <v>2677</v>
      </c>
      <c r="O31">
        <v>3097</v>
      </c>
      <c r="P31">
        <v>3590</v>
      </c>
      <c r="Q31">
        <v>4162</v>
      </c>
    </row>
    <row r="32" spans="1:17">
      <c r="A32" t="s">
        <v>589</v>
      </c>
      <c r="B32" s="61" t="s">
        <v>733</v>
      </c>
      <c r="C32" t="s">
        <v>39</v>
      </c>
      <c r="D32">
        <v>5</v>
      </c>
      <c r="E32">
        <v>0</v>
      </c>
      <c r="F32">
        <v>-21</v>
      </c>
      <c r="G32">
        <v>16</v>
      </c>
      <c r="H32">
        <v>9</v>
      </c>
      <c r="I32">
        <v>-20</v>
      </c>
      <c r="J32">
        <v>9</v>
      </c>
      <c r="N32">
        <v>2358</v>
      </c>
      <c r="O32">
        <v>2551</v>
      </c>
      <c r="P32">
        <v>2681</v>
      </c>
      <c r="Q32">
        <v>2818</v>
      </c>
    </row>
    <row r="33" spans="1:17">
      <c r="A33" t="s">
        <v>590</v>
      </c>
      <c r="B33" s="61" t="s">
        <v>734</v>
      </c>
      <c r="C33" t="s">
        <v>39</v>
      </c>
      <c r="D33">
        <v>20</v>
      </c>
      <c r="E33">
        <v>6</v>
      </c>
      <c r="F33">
        <v>6</v>
      </c>
      <c r="G33">
        <v>12</v>
      </c>
      <c r="H33">
        <v>12</v>
      </c>
      <c r="I33">
        <v>-12</v>
      </c>
      <c r="J33">
        <v>-12</v>
      </c>
      <c r="N33">
        <v>4244</v>
      </c>
    </row>
    <row r="34" spans="1:17">
      <c r="A34" t="s">
        <v>591</v>
      </c>
      <c r="B34" s="61" t="s">
        <v>781</v>
      </c>
      <c r="C34" t="s">
        <v>41</v>
      </c>
      <c r="D34">
        <v>65</v>
      </c>
      <c r="E34">
        <v>9</v>
      </c>
      <c r="F34">
        <v>-9</v>
      </c>
      <c r="G34">
        <v>-5</v>
      </c>
      <c r="H34">
        <v>5</v>
      </c>
      <c r="I34">
        <v>-9</v>
      </c>
      <c r="J34">
        <v>0</v>
      </c>
      <c r="K34">
        <v>173</v>
      </c>
      <c r="L34">
        <v>478</v>
      </c>
      <c r="M34">
        <v>1456</v>
      </c>
      <c r="N34">
        <v>2575</v>
      </c>
      <c r="O34">
        <v>2982</v>
      </c>
      <c r="P34">
        <v>3457</v>
      </c>
      <c r="Q34">
        <v>4008</v>
      </c>
    </row>
    <row r="35" spans="1:17">
      <c r="A35" s="61" t="s">
        <v>628</v>
      </c>
      <c r="B35" s="61" t="s">
        <v>782</v>
      </c>
      <c r="C35" t="s">
        <v>41</v>
      </c>
      <c r="D35">
        <v>65</v>
      </c>
      <c r="E35">
        <v>9</v>
      </c>
      <c r="F35">
        <v>-9</v>
      </c>
      <c r="G35">
        <v>-5</v>
      </c>
      <c r="H35">
        <v>5</v>
      </c>
      <c r="I35">
        <v>-9</v>
      </c>
      <c r="J35">
        <v>0</v>
      </c>
      <c r="M35">
        <v>1498</v>
      </c>
      <c r="N35">
        <v>2704</v>
      </c>
      <c r="O35">
        <v>3132</v>
      </c>
      <c r="P35">
        <v>3631</v>
      </c>
      <c r="Q35">
        <v>4209</v>
      </c>
    </row>
    <row r="36" spans="1:17">
      <c r="A36" t="s">
        <v>592</v>
      </c>
      <c r="B36" s="61" t="s">
        <v>713</v>
      </c>
      <c r="C36" t="s">
        <v>41</v>
      </c>
      <c r="D36">
        <v>65</v>
      </c>
      <c r="E36">
        <v>13</v>
      </c>
      <c r="F36">
        <v>-9</v>
      </c>
      <c r="G36">
        <v>-5</v>
      </c>
      <c r="H36">
        <v>-9</v>
      </c>
      <c r="I36">
        <v>-9</v>
      </c>
      <c r="J36">
        <v>5</v>
      </c>
      <c r="K36">
        <v>349</v>
      </c>
      <c r="L36">
        <v>723</v>
      </c>
      <c r="M36">
        <v>1180</v>
      </c>
      <c r="N36">
        <v>2125</v>
      </c>
      <c r="O36">
        <v>2461</v>
      </c>
      <c r="P36">
        <v>2853</v>
      </c>
      <c r="Q36">
        <v>3308</v>
      </c>
    </row>
    <row r="37" spans="1:17">
      <c r="A37" s="61" t="s">
        <v>629</v>
      </c>
      <c r="B37" s="61" t="s">
        <v>742</v>
      </c>
      <c r="C37" t="s">
        <v>41</v>
      </c>
      <c r="D37">
        <v>65</v>
      </c>
      <c r="E37">
        <v>9</v>
      </c>
      <c r="F37">
        <v>-5</v>
      </c>
      <c r="G37">
        <v>-5</v>
      </c>
      <c r="H37">
        <v>-9</v>
      </c>
      <c r="I37">
        <v>-5</v>
      </c>
      <c r="J37">
        <v>5</v>
      </c>
      <c r="K37">
        <v>411</v>
      </c>
      <c r="L37">
        <v>850</v>
      </c>
      <c r="M37">
        <v>1387</v>
      </c>
      <c r="N37">
        <v>2497</v>
      </c>
      <c r="O37">
        <v>2892</v>
      </c>
      <c r="P37">
        <v>3353</v>
      </c>
      <c r="Q37">
        <v>3887</v>
      </c>
    </row>
    <row r="38" spans="1:17">
      <c r="A38" t="s">
        <v>593</v>
      </c>
      <c r="B38" s="61" t="s">
        <v>743</v>
      </c>
      <c r="C38" t="s">
        <v>41</v>
      </c>
      <c r="D38">
        <v>65</v>
      </c>
      <c r="E38">
        <v>13</v>
      </c>
      <c r="F38">
        <v>-9</v>
      </c>
      <c r="G38">
        <v>-9</v>
      </c>
      <c r="H38">
        <v>5</v>
      </c>
      <c r="I38">
        <v>-5</v>
      </c>
      <c r="J38">
        <v>5</v>
      </c>
      <c r="K38">
        <v>349</v>
      </c>
      <c r="L38">
        <v>723</v>
      </c>
      <c r="M38">
        <v>1180</v>
      </c>
      <c r="N38">
        <v>2125</v>
      </c>
      <c r="O38">
        <v>2461</v>
      </c>
      <c r="P38">
        <v>2853</v>
      </c>
      <c r="Q38">
        <v>3308</v>
      </c>
    </row>
    <row r="39" spans="1:17">
      <c r="A39" t="s">
        <v>594</v>
      </c>
      <c r="B39" s="61" t="s">
        <v>744</v>
      </c>
      <c r="C39" t="s">
        <v>41</v>
      </c>
      <c r="D39">
        <v>65</v>
      </c>
      <c r="E39">
        <v>13</v>
      </c>
      <c r="F39">
        <v>0</v>
      </c>
      <c r="G39">
        <v>0</v>
      </c>
      <c r="H39">
        <v>5</v>
      </c>
      <c r="I39">
        <v>0</v>
      </c>
      <c r="J39">
        <v>5</v>
      </c>
      <c r="K39">
        <v>367</v>
      </c>
      <c r="L39">
        <v>760</v>
      </c>
      <c r="M39">
        <v>1240</v>
      </c>
      <c r="N39">
        <v>2232</v>
      </c>
      <c r="O39">
        <v>2585</v>
      </c>
      <c r="P39">
        <v>2997</v>
      </c>
      <c r="Q39">
        <v>3474</v>
      </c>
    </row>
    <row r="40" spans="1:17">
      <c r="A40" t="s">
        <v>595</v>
      </c>
      <c r="B40" s="61" t="s">
        <v>745</v>
      </c>
      <c r="C40" t="s">
        <v>41</v>
      </c>
      <c r="D40">
        <v>65</v>
      </c>
      <c r="E40">
        <v>9</v>
      </c>
      <c r="F40">
        <v>-5</v>
      </c>
      <c r="G40">
        <v>-5</v>
      </c>
      <c r="H40">
        <v>-5</v>
      </c>
      <c r="I40">
        <v>-5</v>
      </c>
      <c r="J40">
        <v>0</v>
      </c>
      <c r="K40">
        <v>72</v>
      </c>
      <c r="L40">
        <v>172</v>
      </c>
      <c r="M40">
        <v>1357</v>
      </c>
      <c r="N40">
        <v>2399</v>
      </c>
      <c r="O40">
        <v>2780</v>
      </c>
      <c r="P40">
        <v>3222</v>
      </c>
      <c r="Q40">
        <v>3736</v>
      </c>
    </row>
    <row r="41" spans="1:17">
      <c r="A41" t="s">
        <v>596</v>
      </c>
      <c r="B41" s="61" t="s">
        <v>746</v>
      </c>
      <c r="C41" t="s">
        <v>41</v>
      </c>
      <c r="D41">
        <v>65</v>
      </c>
      <c r="E41">
        <v>9</v>
      </c>
      <c r="F41">
        <v>-5</v>
      </c>
      <c r="G41">
        <v>-5</v>
      </c>
      <c r="H41">
        <v>9</v>
      </c>
      <c r="I41">
        <v>-5</v>
      </c>
      <c r="J41">
        <v>5</v>
      </c>
      <c r="K41">
        <v>150</v>
      </c>
      <c r="L41">
        <v>412</v>
      </c>
      <c r="M41">
        <v>1256</v>
      </c>
      <c r="N41">
        <v>2221</v>
      </c>
      <c r="O41">
        <v>2572</v>
      </c>
      <c r="P41">
        <v>2982</v>
      </c>
      <c r="Q41">
        <v>3457</v>
      </c>
    </row>
    <row r="42" spans="1:17">
      <c r="A42" s="61" t="s">
        <v>630</v>
      </c>
      <c r="B42" s="61" t="s">
        <v>747</v>
      </c>
      <c r="C42" t="s">
        <v>41</v>
      </c>
      <c r="D42">
        <v>65</v>
      </c>
      <c r="E42">
        <v>9</v>
      </c>
      <c r="F42">
        <v>-5</v>
      </c>
      <c r="G42">
        <v>-5</v>
      </c>
      <c r="H42">
        <v>-9</v>
      </c>
      <c r="I42">
        <v>-5</v>
      </c>
      <c r="J42">
        <v>5</v>
      </c>
      <c r="K42">
        <v>173</v>
      </c>
      <c r="L42">
        <v>478</v>
      </c>
      <c r="M42">
        <v>1456</v>
      </c>
      <c r="N42">
        <v>2575</v>
      </c>
      <c r="O42">
        <v>2982</v>
      </c>
      <c r="P42">
        <v>3457</v>
      </c>
      <c r="Q42">
        <v>4008</v>
      </c>
    </row>
    <row r="43" spans="1:17">
      <c r="A43" t="s">
        <v>597</v>
      </c>
      <c r="B43" s="61" t="s">
        <v>748</v>
      </c>
      <c r="C43" t="s">
        <v>41</v>
      </c>
      <c r="D43">
        <v>65</v>
      </c>
      <c r="E43">
        <v>9</v>
      </c>
      <c r="F43">
        <v>-5</v>
      </c>
      <c r="G43">
        <v>-13</v>
      </c>
      <c r="H43">
        <v>-5</v>
      </c>
      <c r="I43">
        <v>-5</v>
      </c>
      <c r="J43">
        <v>0</v>
      </c>
      <c r="K43">
        <v>371</v>
      </c>
      <c r="L43">
        <v>769</v>
      </c>
      <c r="M43">
        <v>1255</v>
      </c>
      <c r="N43">
        <v>2259</v>
      </c>
      <c r="O43">
        <v>2616</v>
      </c>
      <c r="P43">
        <v>3033</v>
      </c>
      <c r="Q43">
        <v>3516</v>
      </c>
    </row>
    <row r="44" spans="1:17">
      <c r="A44" t="s">
        <v>598</v>
      </c>
      <c r="B44" s="61" t="s">
        <v>749</v>
      </c>
      <c r="C44" t="s">
        <v>41</v>
      </c>
      <c r="D44">
        <v>65</v>
      </c>
      <c r="E44">
        <v>9</v>
      </c>
      <c r="F44">
        <v>0</v>
      </c>
      <c r="G44">
        <v>-5</v>
      </c>
      <c r="H44">
        <v>-9</v>
      </c>
      <c r="I44">
        <v>-9</v>
      </c>
      <c r="J44">
        <v>5</v>
      </c>
      <c r="K44">
        <v>150</v>
      </c>
      <c r="L44">
        <v>412</v>
      </c>
      <c r="M44">
        <v>1256</v>
      </c>
      <c r="N44">
        <v>2221</v>
      </c>
      <c r="O44">
        <v>2572</v>
      </c>
      <c r="P44">
        <v>2982</v>
      </c>
      <c r="Q44">
        <v>3457</v>
      </c>
    </row>
    <row r="45" spans="1:17">
      <c r="A45" s="61" t="s">
        <v>631</v>
      </c>
      <c r="B45" s="61" t="s">
        <v>750</v>
      </c>
      <c r="C45" t="s">
        <v>41</v>
      </c>
      <c r="D45">
        <v>65</v>
      </c>
      <c r="E45">
        <v>13</v>
      </c>
      <c r="F45">
        <v>-9</v>
      </c>
      <c r="G45">
        <v>-5</v>
      </c>
      <c r="H45">
        <v>-5</v>
      </c>
      <c r="I45">
        <v>-9</v>
      </c>
      <c r="J45">
        <v>9</v>
      </c>
      <c r="K45">
        <v>436</v>
      </c>
      <c r="L45">
        <v>904</v>
      </c>
      <c r="M45">
        <v>1475</v>
      </c>
      <c r="N45">
        <v>2657</v>
      </c>
      <c r="O45">
        <v>3077</v>
      </c>
      <c r="P45">
        <v>3567</v>
      </c>
      <c r="Q45">
        <v>4135</v>
      </c>
    </row>
    <row r="46" spans="1:17">
      <c r="A46" s="61" t="s">
        <v>632</v>
      </c>
      <c r="B46" s="61" t="s">
        <v>751</v>
      </c>
      <c r="C46" t="s">
        <v>41</v>
      </c>
      <c r="D46">
        <v>65</v>
      </c>
      <c r="E46">
        <v>5</v>
      </c>
      <c r="F46">
        <v>0</v>
      </c>
      <c r="G46">
        <v>5</v>
      </c>
      <c r="H46">
        <v>0</v>
      </c>
      <c r="I46">
        <v>0</v>
      </c>
      <c r="J46">
        <v>0</v>
      </c>
      <c r="K46">
        <v>72</v>
      </c>
      <c r="L46">
        <v>172</v>
      </c>
      <c r="M46">
        <v>1357</v>
      </c>
      <c r="N46">
        <v>2399</v>
      </c>
      <c r="O46">
        <v>2780</v>
      </c>
      <c r="P46">
        <v>3222</v>
      </c>
      <c r="Q46">
        <v>3736</v>
      </c>
    </row>
    <row r="47" spans="1:17">
      <c r="A47" s="61" t="s">
        <v>633</v>
      </c>
      <c r="B47" s="61" t="s">
        <v>752</v>
      </c>
      <c r="C47" t="s">
        <v>41</v>
      </c>
      <c r="D47">
        <v>65</v>
      </c>
      <c r="E47">
        <v>5</v>
      </c>
      <c r="F47">
        <v>9</v>
      </c>
      <c r="G47">
        <v>5</v>
      </c>
      <c r="H47">
        <v>13</v>
      </c>
      <c r="I47">
        <v>-13</v>
      </c>
      <c r="J47">
        <v>-13</v>
      </c>
      <c r="K47">
        <v>439</v>
      </c>
      <c r="L47">
        <v>911</v>
      </c>
      <c r="M47">
        <v>1486</v>
      </c>
      <c r="N47">
        <v>2677</v>
      </c>
      <c r="O47">
        <v>3097</v>
      </c>
      <c r="P47">
        <v>3590</v>
      </c>
      <c r="Q47">
        <v>4162</v>
      </c>
    </row>
    <row r="48" spans="1:17">
      <c r="A48" t="s">
        <v>599</v>
      </c>
      <c r="B48" s="61" t="s">
        <v>753</v>
      </c>
      <c r="C48" t="s">
        <v>41</v>
      </c>
      <c r="D48">
        <v>5</v>
      </c>
      <c r="E48">
        <v>17</v>
      </c>
      <c r="F48">
        <v>-5</v>
      </c>
      <c r="G48">
        <v>-14</v>
      </c>
      <c r="H48">
        <v>-20</v>
      </c>
      <c r="I48">
        <v>-20</v>
      </c>
      <c r="J48">
        <v>-9</v>
      </c>
      <c r="N48">
        <v>2369</v>
      </c>
      <c r="O48">
        <v>2564</v>
      </c>
      <c r="P48">
        <v>2694</v>
      </c>
      <c r="Q48">
        <v>2832</v>
      </c>
    </row>
    <row r="49" spans="1:17">
      <c r="A49" t="s">
        <v>600</v>
      </c>
      <c r="B49" s="61" t="s">
        <v>754</v>
      </c>
      <c r="C49" t="s">
        <v>41</v>
      </c>
      <c r="D49">
        <v>20</v>
      </c>
      <c r="E49">
        <v>12</v>
      </c>
      <c r="F49">
        <v>6</v>
      </c>
      <c r="G49">
        <v>6</v>
      </c>
      <c r="H49">
        <v>-12</v>
      </c>
      <c r="I49">
        <v>12</v>
      </c>
      <c r="J49">
        <v>-12</v>
      </c>
      <c r="N49">
        <v>4244</v>
      </c>
    </row>
    <row r="50" spans="1:17">
      <c r="A50" s="61" t="s">
        <v>634</v>
      </c>
      <c r="B50" s="61" t="s">
        <v>755</v>
      </c>
      <c r="C50" t="s">
        <v>43</v>
      </c>
      <c r="D50">
        <v>65</v>
      </c>
      <c r="E50">
        <v>-5</v>
      </c>
      <c r="F50">
        <v>5</v>
      </c>
      <c r="G50">
        <v>0</v>
      </c>
      <c r="H50">
        <v>-13</v>
      </c>
      <c r="I50">
        <v>9</v>
      </c>
      <c r="J50">
        <v>-9</v>
      </c>
      <c r="K50">
        <v>173</v>
      </c>
      <c r="L50">
        <v>478</v>
      </c>
      <c r="M50">
        <v>1456</v>
      </c>
      <c r="N50">
        <v>2575</v>
      </c>
      <c r="O50">
        <v>2982</v>
      </c>
      <c r="P50">
        <v>3457</v>
      </c>
      <c r="Q50">
        <v>4008</v>
      </c>
    </row>
    <row r="51" spans="1:17">
      <c r="A51" t="s">
        <v>601</v>
      </c>
      <c r="B51" s="61" t="s">
        <v>778</v>
      </c>
      <c r="C51" t="s">
        <v>43</v>
      </c>
      <c r="D51">
        <v>65</v>
      </c>
      <c r="E51">
        <v>-5</v>
      </c>
      <c r="F51">
        <v>13</v>
      </c>
      <c r="G51">
        <v>5</v>
      </c>
      <c r="H51">
        <v>-13</v>
      </c>
      <c r="I51">
        <v>5</v>
      </c>
      <c r="J51">
        <v>-9</v>
      </c>
      <c r="K51">
        <v>371</v>
      </c>
      <c r="L51">
        <v>769</v>
      </c>
      <c r="M51">
        <v>1255</v>
      </c>
      <c r="N51">
        <v>2259</v>
      </c>
      <c r="O51">
        <v>2616</v>
      </c>
      <c r="P51">
        <v>3033</v>
      </c>
      <c r="Q51">
        <v>3516</v>
      </c>
    </row>
    <row r="52" spans="1:17">
      <c r="A52" t="s">
        <v>602</v>
      </c>
      <c r="B52" s="61" t="s">
        <v>757</v>
      </c>
      <c r="C52" t="s">
        <v>43</v>
      </c>
      <c r="D52">
        <v>65</v>
      </c>
      <c r="E52">
        <v>-9</v>
      </c>
      <c r="F52">
        <v>13</v>
      </c>
      <c r="G52">
        <v>-9</v>
      </c>
      <c r="H52">
        <v>-13</v>
      </c>
      <c r="I52">
        <v>9</v>
      </c>
      <c r="J52">
        <v>-5</v>
      </c>
      <c r="K52">
        <v>371</v>
      </c>
      <c r="L52">
        <v>769</v>
      </c>
      <c r="M52">
        <v>1255</v>
      </c>
      <c r="N52">
        <v>2259</v>
      </c>
      <c r="O52">
        <v>2616</v>
      </c>
      <c r="P52">
        <v>3033</v>
      </c>
      <c r="Q52">
        <v>3516</v>
      </c>
    </row>
    <row r="53" spans="1:17">
      <c r="A53" s="61" t="s">
        <v>635</v>
      </c>
      <c r="B53" s="61" t="s">
        <v>758</v>
      </c>
      <c r="C53" t="s">
        <v>43</v>
      </c>
      <c r="D53">
        <v>65</v>
      </c>
      <c r="E53">
        <v>5</v>
      </c>
      <c r="F53">
        <v>9</v>
      </c>
      <c r="G53">
        <v>-9</v>
      </c>
      <c r="H53">
        <v>-13</v>
      </c>
      <c r="I53">
        <v>0</v>
      </c>
      <c r="J53">
        <v>0</v>
      </c>
      <c r="K53">
        <v>150</v>
      </c>
      <c r="L53">
        <v>412</v>
      </c>
      <c r="M53">
        <v>1256</v>
      </c>
      <c r="N53">
        <v>2221</v>
      </c>
      <c r="O53">
        <v>2572</v>
      </c>
      <c r="P53">
        <v>2982</v>
      </c>
      <c r="Q53">
        <v>3457</v>
      </c>
    </row>
    <row r="54" spans="1:17">
      <c r="A54" t="s">
        <v>603</v>
      </c>
      <c r="B54" s="61" t="s">
        <v>759</v>
      </c>
      <c r="C54" t="s">
        <v>43</v>
      </c>
      <c r="D54">
        <v>65</v>
      </c>
      <c r="E54">
        <v>-9</v>
      </c>
      <c r="F54">
        <v>5</v>
      </c>
      <c r="G54">
        <v>5</v>
      </c>
      <c r="H54">
        <v>-13</v>
      </c>
      <c r="I54">
        <v>5</v>
      </c>
      <c r="J54">
        <v>-9</v>
      </c>
      <c r="K54">
        <v>72</v>
      </c>
      <c r="L54">
        <v>172</v>
      </c>
      <c r="M54">
        <v>1357</v>
      </c>
      <c r="N54">
        <v>2399</v>
      </c>
      <c r="O54">
        <v>2780</v>
      </c>
      <c r="P54">
        <v>3222</v>
      </c>
      <c r="Q54">
        <v>3736</v>
      </c>
    </row>
    <row r="55" spans="1:17">
      <c r="A55" t="s">
        <v>604</v>
      </c>
      <c r="B55" s="61" t="s">
        <v>760</v>
      </c>
      <c r="C55" t="s">
        <v>43</v>
      </c>
      <c r="D55">
        <v>65</v>
      </c>
      <c r="E55">
        <v>-5</v>
      </c>
      <c r="F55">
        <v>13</v>
      </c>
      <c r="G55">
        <v>0</v>
      </c>
      <c r="H55">
        <v>-13</v>
      </c>
      <c r="I55">
        <v>0</v>
      </c>
      <c r="J55">
        <v>-9</v>
      </c>
      <c r="K55">
        <v>349</v>
      </c>
      <c r="L55">
        <v>723</v>
      </c>
      <c r="M55">
        <v>1180</v>
      </c>
      <c r="N55">
        <v>2125</v>
      </c>
      <c r="O55">
        <v>2461</v>
      </c>
      <c r="P55">
        <v>2853</v>
      </c>
      <c r="Q55">
        <v>3308</v>
      </c>
    </row>
    <row r="56" spans="1:17">
      <c r="A56" s="61" t="s">
        <v>636</v>
      </c>
      <c r="B56" s="61" t="s">
        <v>761</v>
      </c>
      <c r="C56" t="s">
        <v>43</v>
      </c>
      <c r="D56">
        <v>65</v>
      </c>
      <c r="E56">
        <v>-5</v>
      </c>
      <c r="F56">
        <v>9</v>
      </c>
      <c r="G56">
        <v>0</v>
      </c>
      <c r="H56">
        <v>-13</v>
      </c>
      <c r="I56">
        <v>9</v>
      </c>
      <c r="J56">
        <v>-9</v>
      </c>
      <c r="K56">
        <v>349</v>
      </c>
      <c r="L56">
        <v>723</v>
      </c>
      <c r="M56">
        <v>1180</v>
      </c>
      <c r="N56">
        <v>2125</v>
      </c>
      <c r="O56">
        <v>2461</v>
      </c>
      <c r="P56">
        <v>2853</v>
      </c>
      <c r="Q56">
        <v>3308</v>
      </c>
    </row>
    <row r="57" spans="1:17">
      <c r="A57" s="61" t="s">
        <v>637</v>
      </c>
      <c r="B57" s="61" t="s">
        <v>762</v>
      </c>
      <c r="C57" t="s">
        <v>43</v>
      </c>
      <c r="D57">
        <v>65</v>
      </c>
      <c r="E57">
        <v>-9</v>
      </c>
      <c r="F57">
        <v>9</v>
      </c>
      <c r="G57">
        <v>-5</v>
      </c>
      <c r="H57">
        <v>-13</v>
      </c>
      <c r="I57">
        <v>5</v>
      </c>
      <c r="J57">
        <v>9</v>
      </c>
      <c r="K57">
        <v>436</v>
      </c>
      <c r="L57">
        <v>904</v>
      </c>
      <c r="M57">
        <v>1475</v>
      </c>
      <c r="N57">
        <v>2657</v>
      </c>
      <c r="O57">
        <v>3077</v>
      </c>
      <c r="P57">
        <v>3567</v>
      </c>
      <c r="Q57">
        <v>4135</v>
      </c>
    </row>
    <row r="58" spans="1:17">
      <c r="A58" s="61" t="s">
        <v>638</v>
      </c>
      <c r="B58" s="61" t="s">
        <v>763</v>
      </c>
      <c r="C58" t="s">
        <v>43</v>
      </c>
      <c r="D58">
        <v>65</v>
      </c>
      <c r="E58">
        <v>-5</v>
      </c>
      <c r="F58">
        <v>5</v>
      </c>
      <c r="G58">
        <v>0</v>
      </c>
      <c r="H58">
        <v>0</v>
      </c>
      <c r="I58">
        <v>-9</v>
      </c>
      <c r="J58">
        <v>5</v>
      </c>
      <c r="K58">
        <v>411</v>
      </c>
      <c r="L58">
        <v>850</v>
      </c>
      <c r="M58">
        <v>1387</v>
      </c>
      <c r="N58">
        <v>2497</v>
      </c>
      <c r="O58">
        <v>2892</v>
      </c>
      <c r="P58">
        <v>3353</v>
      </c>
      <c r="Q58">
        <v>3887</v>
      </c>
    </row>
    <row r="59" spans="1:17">
      <c r="A59" s="61" t="s">
        <v>639</v>
      </c>
      <c r="B59" s="61" t="s">
        <v>764</v>
      </c>
      <c r="C59" t="s">
        <v>43</v>
      </c>
      <c r="D59">
        <v>65</v>
      </c>
      <c r="E59">
        <v>0</v>
      </c>
      <c r="F59">
        <v>13</v>
      </c>
      <c r="G59">
        <v>-5</v>
      </c>
      <c r="H59">
        <v>9</v>
      </c>
      <c r="I59">
        <v>-5</v>
      </c>
      <c r="J59">
        <v>-9</v>
      </c>
      <c r="K59">
        <v>439</v>
      </c>
      <c r="L59">
        <v>911</v>
      </c>
      <c r="M59">
        <v>1486</v>
      </c>
      <c r="N59">
        <v>2677</v>
      </c>
      <c r="O59">
        <v>3097</v>
      </c>
      <c r="P59">
        <v>3590</v>
      </c>
      <c r="Q59">
        <v>4162</v>
      </c>
    </row>
    <row r="60" spans="1:17">
      <c r="A60" t="s">
        <v>605</v>
      </c>
      <c r="B60" s="61" t="s">
        <v>765</v>
      </c>
      <c r="C60" t="s">
        <v>43</v>
      </c>
      <c r="D60">
        <v>65</v>
      </c>
      <c r="E60">
        <v>-5</v>
      </c>
      <c r="F60">
        <v>9</v>
      </c>
      <c r="G60">
        <v>5</v>
      </c>
      <c r="H60">
        <v>-13</v>
      </c>
      <c r="I60">
        <v>9</v>
      </c>
      <c r="J60">
        <v>-9</v>
      </c>
      <c r="K60">
        <v>349</v>
      </c>
      <c r="L60">
        <v>723</v>
      </c>
      <c r="M60">
        <v>1180</v>
      </c>
      <c r="N60">
        <v>2125</v>
      </c>
      <c r="O60">
        <v>2461</v>
      </c>
      <c r="P60">
        <v>2853</v>
      </c>
      <c r="Q60">
        <v>3308</v>
      </c>
    </row>
    <row r="61" spans="1:17">
      <c r="A61" t="s">
        <v>606</v>
      </c>
      <c r="B61" s="61" t="s">
        <v>766</v>
      </c>
      <c r="C61" t="s">
        <v>43</v>
      </c>
      <c r="D61">
        <v>5</v>
      </c>
      <c r="E61">
        <v>-21</v>
      </c>
      <c r="F61">
        <v>13</v>
      </c>
      <c r="G61">
        <v>13</v>
      </c>
      <c r="H61">
        <v>-9</v>
      </c>
      <c r="I61">
        <v>0</v>
      </c>
      <c r="J61">
        <v>0</v>
      </c>
      <c r="N61">
        <v>2465</v>
      </c>
      <c r="O61">
        <v>2668</v>
      </c>
      <c r="P61">
        <v>2804</v>
      </c>
      <c r="Q61">
        <v>2947</v>
      </c>
    </row>
    <row r="62" spans="1:17">
      <c r="A62" t="s">
        <v>607</v>
      </c>
      <c r="B62" s="61" t="s">
        <v>767</v>
      </c>
      <c r="C62" t="s">
        <v>43</v>
      </c>
      <c r="D62">
        <v>20</v>
      </c>
      <c r="E62">
        <v>8</v>
      </c>
      <c r="F62">
        <v>8</v>
      </c>
      <c r="G62">
        <v>8</v>
      </c>
      <c r="H62">
        <v>-8</v>
      </c>
      <c r="I62">
        <v>-8</v>
      </c>
      <c r="J62">
        <v>-8</v>
      </c>
      <c r="N62">
        <v>4244</v>
      </c>
    </row>
    <row r="63" spans="1:17">
      <c r="A63" t="s">
        <v>608</v>
      </c>
      <c r="B63" s="61" t="s">
        <v>490</v>
      </c>
      <c r="C63" t="s">
        <v>37</v>
      </c>
      <c r="D63">
        <v>60</v>
      </c>
      <c r="E63">
        <v>0</v>
      </c>
      <c r="F63">
        <v>0</v>
      </c>
      <c r="G63">
        <v>0</v>
      </c>
      <c r="H63">
        <v>13</v>
      </c>
      <c r="I63">
        <v>0</v>
      </c>
      <c r="J63">
        <v>13</v>
      </c>
      <c r="M63">
        <v>1069</v>
      </c>
      <c r="N63">
        <v>2399</v>
      </c>
    </row>
    <row r="64" spans="1:17">
      <c r="A64" t="s">
        <v>609</v>
      </c>
      <c r="B64" s="61" t="s">
        <v>490</v>
      </c>
      <c r="C64" t="s">
        <v>37</v>
      </c>
      <c r="D64">
        <v>60</v>
      </c>
      <c r="E64">
        <v>0</v>
      </c>
      <c r="F64">
        <v>0</v>
      </c>
      <c r="G64">
        <v>0</v>
      </c>
      <c r="H64">
        <v>16</v>
      </c>
      <c r="I64">
        <v>0</v>
      </c>
      <c r="J64">
        <v>16</v>
      </c>
      <c r="O64">
        <v>2705</v>
      </c>
      <c r="P64">
        <v>3136</v>
      </c>
      <c r="Q64">
        <v>3636</v>
      </c>
    </row>
    <row r="65" spans="1:17">
      <c r="A65" t="s">
        <v>610</v>
      </c>
      <c r="B65" s="61" t="s">
        <v>770</v>
      </c>
      <c r="C65" t="s">
        <v>37</v>
      </c>
      <c r="D65">
        <v>20</v>
      </c>
      <c r="E65">
        <v>0</v>
      </c>
      <c r="F65">
        <v>16</v>
      </c>
      <c r="G65">
        <v>16</v>
      </c>
      <c r="H65">
        <v>0</v>
      </c>
      <c r="I65">
        <v>0</v>
      </c>
      <c r="J65">
        <v>0</v>
      </c>
      <c r="N65">
        <v>3379</v>
      </c>
      <c r="O65">
        <v>3517</v>
      </c>
      <c r="P65">
        <v>3696</v>
      </c>
      <c r="Q65">
        <v>3885</v>
      </c>
    </row>
    <row r="66" spans="1:17">
      <c r="A66" t="s">
        <v>611</v>
      </c>
      <c r="B66" s="61" t="s">
        <v>494</v>
      </c>
      <c r="C66" t="s">
        <v>39</v>
      </c>
      <c r="D66">
        <v>60</v>
      </c>
      <c r="E66">
        <v>0</v>
      </c>
      <c r="F66">
        <v>0</v>
      </c>
      <c r="G66">
        <v>0</v>
      </c>
      <c r="H66">
        <v>13</v>
      </c>
      <c r="I66">
        <v>13</v>
      </c>
      <c r="J66">
        <v>0</v>
      </c>
      <c r="M66">
        <v>1069</v>
      </c>
      <c r="N66">
        <v>2399</v>
      </c>
    </row>
    <row r="67" spans="1:17">
      <c r="A67" t="s">
        <v>612</v>
      </c>
      <c r="B67" s="61" t="s">
        <v>494</v>
      </c>
      <c r="C67" t="s">
        <v>39</v>
      </c>
      <c r="D67">
        <v>60</v>
      </c>
      <c r="E67">
        <v>0</v>
      </c>
      <c r="F67">
        <v>0</v>
      </c>
      <c r="G67">
        <v>0</v>
      </c>
      <c r="H67">
        <v>16</v>
      </c>
      <c r="I67">
        <v>16</v>
      </c>
      <c r="J67">
        <v>0</v>
      </c>
      <c r="O67">
        <v>2705</v>
      </c>
      <c r="P67">
        <v>3136</v>
      </c>
      <c r="Q67">
        <v>3636</v>
      </c>
    </row>
    <row r="68" spans="1:17">
      <c r="A68" t="s">
        <v>613</v>
      </c>
      <c r="B68" s="61" t="s">
        <v>771</v>
      </c>
      <c r="C68" t="s">
        <v>39</v>
      </c>
      <c r="D68">
        <v>20</v>
      </c>
      <c r="E68">
        <v>16</v>
      </c>
      <c r="F68">
        <v>16</v>
      </c>
      <c r="G68">
        <v>0</v>
      </c>
      <c r="H68">
        <v>0</v>
      </c>
      <c r="I68">
        <v>0</v>
      </c>
      <c r="J68">
        <v>0</v>
      </c>
      <c r="N68">
        <v>3379</v>
      </c>
      <c r="O68">
        <v>3517</v>
      </c>
      <c r="P68">
        <v>3696</v>
      </c>
      <c r="Q68">
        <v>3885</v>
      </c>
    </row>
    <row r="69" spans="1:17">
      <c r="A69" t="s">
        <v>614</v>
      </c>
      <c r="B69" s="61" t="s">
        <v>498</v>
      </c>
      <c r="C69" t="s">
        <v>43</v>
      </c>
      <c r="D69">
        <v>60</v>
      </c>
      <c r="E69">
        <v>0</v>
      </c>
      <c r="F69">
        <v>0</v>
      </c>
      <c r="G69">
        <v>0</v>
      </c>
      <c r="H69">
        <v>0</v>
      </c>
      <c r="I69">
        <v>13</v>
      </c>
      <c r="J69">
        <v>13</v>
      </c>
      <c r="M69">
        <v>1069</v>
      </c>
      <c r="N69">
        <v>2399</v>
      </c>
    </row>
    <row r="70" spans="1:17">
      <c r="A70" t="s">
        <v>615</v>
      </c>
      <c r="B70" s="61" t="s">
        <v>498</v>
      </c>
      <c r="C70" t="s">
        <v>43</v>
      </c>
      <c r="D70">
        <v>60</v>
      </c>
      <c r="E70">
        <v>0</v>
      </c>
      <c r="F70">
        <v>0</v>
      </c>
      <c r="G70">
        <v>0</v>
      </c>
      <c r="H70">
        <v>0</v>
      </c>
      <c r="I70">
        <v>16</v>
      </c>
      <c r="J70">
        <v>16</v>
      </c>
      <c r="O70">
        <v>2705</v>
      </c>
      <c r="P70">
        <v>3136</v>
      </c>
      <c r="Q70">
        <v>3636</v>
      </c>
    </row>
    <row r="71" spans="1:17">
      <c r="A71" t="s">
        <v>616</v>
      </c>
      <c r="B71" s="61" t="s">
        <v>772</v>
      </c>
      <c r="C71" t="s">
        <v>43</v>
      </c>
      <c r="D71">
        <v>20</v>
      </c>
      <c r="E71">
        <v>16</v>
      </c>
      <c r="F71">
        <v>0</v>
      </c>
      <c r="G71">
        <v>16</v>
      </c>
      <c r="H71">
        <v>0</v>
      </c>
      <c r="I71">
        <v>0</v>
      </c>
      <c r="J71">
        <v>0</v>
      </c>
      <c r="N71">
        <v>3379</v>
      </c>
      <c r="O71">
        <v>3517</v>
      </c>
      <c r="P71">
        <v>3696</v>
      </c>
      <c r="Q71">
        <v>3885</v>
      </c>
    </row>
    <row r="72" spans="1:17">
      <c r="A72" t="s">
        <v>617</v>
      </c>
      <c r="B72" s="61" t="s">
        <v>773</v>
      </c>
      <c r="C72" t="s">
        <v>41</v>
      </c>
      <c r="D72">
        <v>5</v>
      </c>
      <c r="E72">
        <v>13</v>
      </c>
      <c r="F72">
        <v>13</v>
      </c>
      <c r="G72">
        <v>0</v>
      </c>
      <c r="H72">
        <v>0</v>
      </c>
      <c r="I72">
        <v>0</v>
      </c>
      <c r="J72">
        <v>13</v>
      </c>
      <c r="N72">
        <v>2247</v>
      </c>
      <c r="O72">
        <v>2554</v>
      </c>
      <c r="P72">
        <v>2961</v>
      </c>
      <c r="Q72">
        <v>3433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outlinePr summaryBelow="0" summaryRight="0"/>
  </sheetPr>
  <dimension ref="A1:P966"/>
  <sheetViews>
    <sheetView topLeftCell="A178" workbookViewId="0">
      <selection activeCell="M14" sqref="M14"/>
    </sheetView>
  </sheetViews>
  <sheetFormatPr defaultColWidth="12.5703125" defaultRowHeight="15" customHeight="1"/>
  <cols>
    <col min="1" max="1" width="17.7109375" style="10" bestFit="1" customWidth="1"/>
    <col min="2" max="2" width="3.85546875" style="10" customWidth="1"/>
    <col min="3" max="3" width="18.42578125" style="10" bestFit="1" customWidth="1"/>
    <col min="4" max="4" width="4.85546875" style="10" customWidth="1"/>
    <col min="5" max="5" width="12" style="10" bestFit="1" customWidth="1"/>
    <col min="6" max="6" width="3.85546875" style="10" customWidth="1"/>
    <col min="7" max="7" width="18" style="10" bestFit="1" customWidth="1"/>
    <col min="8" max="8" width="4.42578125" style="10" customWidth="1"/>
    <col min="9" max="9" width="5.7109375" style="10" bestFit="1" customWidth="1"/>
    <col min="10" max="10" width="13.140625" style="10" bestFit="1" customWidth="1"/>
    <col min="11" max="16384" width="12.5703125" style="10"/>
  </cols>
  <sheetData>
    <row r="1" spans="1:10">
      <c r="A1" s="39" t="s">
        <v>254</v>
      </c>
      <c r="C1" s="7" t="s">
        <v>230</v>
      </c>
      <c r="D1" s="7"/>
      <c r="E1" s="8" t="s">
        <v>2</v>
      </c>
      <c r="F1" s="8"/>
      <c r="G1" s="8" t="s">
        <v>4</v>
      </c>
      <c r="H1" s="8"/>
      <c r="I1" s="9" t="s">
        <v>231</v>
      </c>
      <c r="J1" s="9" t="s">
        <v>232</v>
      </c>
    </row>
    <row r="2" spans="1:10">
      <c r="A2" s="40" t="s">
        <v>255</v>
      </c>
      <c r="C2" s="1" t="s">
        <v>189</v>
      </c>
      <c r="D2" s="1"/>
      <c r="E2" s="11" t="s">
        <v>45</v>
      </c>
      <c r="F2" s="11"/>
      <c r="G2" s="11" t="s">
        <v>5</v>
      </c>
      <c r="H2" s="11"/>
      <c r="I2" s="16">
        <v>10</v>
      </c>
      <c r="J2" s="16">
        <v>6.8</v>
      </c>
    </row>
    <row r="3" spans="1:10">
      <c r="A3" s="40" t="s">
        <v>256</v>
      </c>
      <c r="C3" s="1" t="s">
        <v>1</v>
      </c>
      <c r="D3" s="1"/>
      <c r="E3" s="11" t="s">
        <v>47</v>
      </c>
      <c r="F3" s="11"/>
      <c r="G3" s="11" t="s">
        <v>49</v>
      </c>
      <c r="H3" s="11"/>
      <c r="I3" s="16">
        <v>11</v>
      </c>
      <c r="J3" s="16">
        <v>8.4</v>
      </c>
    </row>
    <row r="4" spans="1:10">
      <c r="A4" s="40" t="s">
        <v>257</v>
      </c>
      <c r="C4" s="1" t="s">
        <v>125</v>
      </c>
      <c r="D4" s="1"/>
      <c r="E4" s="11" t="s">
        <v>3</v>
      </c>
      <c r="F4" s="11"/>
      <c r="G4" s="11" t="s">
        <v>51</v>
      </c>
      <c r="H4" s="11"/>
      <c r="I4" s="16">
        <v>12</v>
      </c>
      <c r="J4" s="16">
        <v>9.9</v>
      </c>
    </row>
    <row r="5" spans="1:10">
      <c r="A5" s="40" t="s">
        <v>258</v>
      </c>
      <c r="C5" s="1" t="s">
        <v>109</v>
      </c>
      <c r="D5" s="1"/>
      <c r="E5" s="12"/>
      <c r="F5" s="12"/>
      <c r="G5" s="11" t="s">
        <v>53</v>
      </c>
      <c r="H5" s="11"/>
      <c r="I5" s="16">
        <v>13</v>
      </c>
      <c r="J5" s="16">
        <v>11.3</v>
      </c>
    </row>
    <row r="6" spans="1:10">
      <c r="A6" s="40" t="s">
        <v>259</v>
      </c>
      <c r="C6" s="1" t="s">
        <v>111</v>
      </c>
      <c r="D6" s="1"/>
      <c r="E6" s="12"/>
      <c r="F6" s="12"/>
      <c r="G6" s="12"/>
      <c r="H6" s="12"/>
      <c r="I6" s="16">
        <v>14</v>
      </c>
      <c r="J6" s="16">
        <v>12.6</v>
      </c>
    </row>
    <row r="7" spans="1:10">
      <c r="A7" s="40" t="s">
        <v>260</v>
      </c>
      <c r="C7" s="1" t="s">
        <v>132</v>
      </c>
      <c r="D7" s="1"/>
      <c r="E7" s="12"/>
      <c r="F7" s="12"/>
      <c r="G7" s="12"/>
      <c r="H7" s="12"/>
      <c r="I7" s="16">
        <v>15</v>
      </c>
      <c r="J7" s="16">
        <v>13.8</v>
      </c>
    </row>
    <row r="8" spans="1:10">
      <c r="A8" s="40" t="s">
        <v>261</v>
      </c>
      <c r="C8" s="1" t="s">
        <v>90</v>
      </c>
      <c r="D8" s="1"/>
      <c r="E8" s="12"/>
      <c r="F8" s="12"/>
      <c r="G8" s="12"/>
      <c r="H8" s="12"/>
      <c r="I8" s="16">
        <v>16</v>
      </c>
      <c r="J8" s="16">
        <v>14.9</v>
      </c>
    </row>
    <row r="9" spans="1:10">
      <c r="A9" s="40" t="s">
        <v>262</v>
      </c>
      <c r="C9" s="1" t="s">
        <v>105</v>
      </c>
      <c r="D9" s="1"/>
      <c r="E9" s="12"/>
      <c r="F9" s="12"/>
      <c r="G9" s="12"/>
      <c r="H9" s="12"/>
      <c r="I9" s="16">
        <v>17</v>
      </c>
      <c r="J9" s="16">
        <v>15.9</v>
      </c>
    </row>
    <row r="10" spans="1:10">
      <c r="C10" s="1" t="s">
        <v>98</v>
      </c>
      <c r="D10" s="1"/>
      <c r="E10" s="12"/>
      <c r="F10" s="12"/>
      <c r="G10" s="12"/>
      <c r="H10" s="12"/>
      <c r="I10" s="16">
        <v>18</v>
      </c>
      <c r="J10" s="16">
        <v>16.899999999999999</v>
      </c>
    </row>
    <row r="11" spans="1:10">
      <c r="C11" s="1" t="s">
        <v>100</v>
      </c>
      <c r="D11" s="1"/>
      <c r="E11" s="12"/>
      <c r="F11" s="12"/>
      <c r="G11" s="12"/>
      <c r="H11" s="12"/>
      <c r="I11" s="16">
        <v>19</v>
      </c>
      <c r="J11" s="16">
        <v>17.8</v>
      </c>
    </row>
    <row r="12" spans="1:10">
      <c r="C12" s="1" t="s">
        <v>71</v>
      </c>
      <c r="D12" s="1"/>
      <c r="E12" s="12"/>
      <c r="F12" s="12"/>
      <c r="G12" s="12"/>
      <c r="H12" s="12"/>
      <c r="I12" s="16">
        <v>20</v>
      </c>
      <c r="J12" s="16">
        <v>18.7</v>
      </c>
    </row>
    <row r="13" spans="1:10">
      <c r="C13" s="1" t="s">
        <v>137</v>
      </c>
      <c r="D13" s="1"/>
      <c r="E13" s="12"/>
      <c r="F13" s="12"/>
      <c r="G13" s="12"/>
      <c r="H13" s="12"/>
      <c r="I13" s="16">
        <v>21</v>
      </c>
      <c r="J13" s="16">
        <v>19.600000000000001</v>
      </c>
    </row>
    <row r="14" spans="1:10">
      <c r="C14" s="1" t="s">
        <v>135</v>
      </c>
      <c r="D14" s="1"/>
      <c r="E14" s="12"/>
      <c r="F14" s="12"/>
      <c r="G14" s="12"/>
      <c r="H14" s="12"/>
      <c r="I14" s="16">
        <v>22</v>
      </c>
      <c r="J14" s="16">
        <v>20.399999999999999</v>
      </c>
    </row>
    <row r="15" spans="1:10">
      <c r="C15" s="1" t="s">
        <v>142</v>
      </c>
      <c r="D15" s="1"/>
      <c r="E15" s="12"/>
      <c r="F15" s="12"/>
      <c r="G15" s="12"/>
      <c r="H15" s="12"/>
      <c r="I15" s="16">
        <v>23</v>
      </c>
      <c r="J15" s="16">
        <v>21.1</v>
      </c>
    </row>
    <row r="16" spans="1:10">
      <c r="C16" s="1" t="s">
        <v>66</v>
      </c>
      <c r="D16" s="1"/>
      <c r="E16" s="12"/>
      <c r="F16" s="12"/>
      <c r="G16" s="12"/>
      <c r="H16" s="12"/>
      <c r="I16" s="16">
        <v>24</v>
      </c>
      <c r="J16" s="16">
        <v>21.9</v>
      </c>
    </row>
    <row r="17" spans="3:16">
      <c r="C17" s="1" t="s">
        <v>182</v>
      </c>
      <c r="D17" s="1"/>
      <c r="E17" s="12"/>
      <c r="F17" s="12"/>
      <c r="G17" s="12"/>
      <c r="H17" s="12"/>
      <c r="I17" s="16">
        <v>25</v>
      </c>
      <c r="J17" s="16">
        <v>22.6</v>
      </c>
    </row>
    <row r="18" spans="3:16">
      <c r="C18" s="1" t="s">
        <v>152</v>
      </c>
      <c r="D18" s="1"/>
      <c r="E18" s="12"/>
      <c r="F18" s="12"/>
      <c r="G18" s="12"/>
      <c r="H18" s="12"/>
      <c r="I18" s="16">
        <v>26</v>
      </c>
      <c r="J18" s="16">
        <v>23.2</v>
      </c>
    </row>
    <row r="19" spans="3:16">
      <c r="C19" s="1" t="s">
        <v>60</v>
      </c>
      <c r="D19" s="1"/>
      <c r="E19" s="12"/>
      <c r="F19" s="12"/>
      <c r="G19" s="12"/>
      <c r="H19" s="12"/>
      <c r="I19" s="16">
        <v>27</v>
      </c>
      <c r="J19" s="16">
        <v>23.9</v>
      </c>
    </row>
    <row r="20" spans="3:16">
      <c r="C20" s="1" t="s">
        <v>75</v>
      </c>
      <c r="D20" s="1"/>
      <c r="E20" s="12"/>
      <c r="F20" s="12"/>
      <c r="G20" s="12"/>
      <c r="H20" s="12"/>
      <c r="I20" s="16">
        <v>28</v>
      </c>
      <c r="J20" s="16">
        <v>24.5</v>
      </c>
    </row>
    <row r="21" spans="3:16">
      <c r="C21" s="1" t="s">
        <v>69</v>
      </c>
      <c r="D21" s="1"/>
      <c r="E21" s="12"/>
      <c r="F21" s="12"/>
      <c r="G21" s="12"/>
      <c r="H21" s="12"/>
      <c r="I21" s="16">
        <v>29</v>
      </c>
      <c r="J21" s="16">
        <v>25.1</v>
      </c>
    </row>
    <row r="22" spans="3:16">
      <c r="C22" s="1" t="s">
        <v>73</v>
      </c>
      <c r="D22" s="1"/>
      <c r="E22" s="12"/>
      <c r="F22" s="12"/>
      <c r="G22" s="12"/>
      <c r="H22" s="12"/>
      <c r="I22" s="16">
        <v>30</v>
      </c>
      <c r="J22" s="16">
        <v>25.7</v>
      </c>
    </row>
    <row r="23" spans="3:16">
      <c r="C23" s="1" t="s">
        <v>102</v>
      </c>
      <c r="D23" s="1"/>
      <c r="E23" s="12"/>
      <c r="F23" s="12"/>
      <c r="G23" s="12"/>
      <c r="H23" s="12"/>
      <c r="I23" s="16">
        <v>31</v>
      </c>
      <c r="J23" s="16">
        <v>26.3</v>
      </c>
    </row>
    <row r="24" spans="3:16">
      <c r="C24" s="1" t="s">
        <v>202</v>
      </c>
      <c r="D24" s="1"/>
      <c r="E24" s="12"/>
      <c r="F24" s="12"/>
      <c r="G24" s="12"/>
      <c r="H24" s="12"/>
      <c r="I24" s="16">
        <v>32</v>
      </c>
      <c r="J24" s="16">
        <v>26.8</v>
      </c>
    </row>
    <row r="25" spans="3:16">
      <c r="C25" s="1" t="s">
        <v>62</v>
      </c>
      <c r="D25" s="1"/>
      <c r="E25" s="12"/>
      <c r="F25" s="12"/>
      <c r="G25" s="12"/>
      <c r="H25" s="12"/>
      <c r="I25" s="16">
        <v>33</v>
      </c>
      <c r="J25" s="16">
        <v>27.3</v>
      </c>
    </row>
    <row r="26" spans="3:16">
      <c r="C26" s="1" t="s">
        <v>92</v>
      </c>
      <c r="D26" s="1"/>
      <c r="E26" s="12"/>
      <c r="F26" s="12"/>
      <c r="G26" s="12"/>
      <c r="H26" s="12"/>
      <c r="I26" s="16">
        <v>34</v>
      </c>
      <c r="J26" s="16">
        <v>27.9</v>
      </c>
    </row>
    <row r="27" spans="3:16">
      <c r="C27" s="1" t="s">
        <v>139</v>
      </c>
      <c r="D27" s="1"/>
      <c r="E27" s="12"/>
      <c r="F27" s="12"/>
      <c r="G27" s="12"/>
      <c r="H27" s="12"/>
      <c r="I27" s="16">
        <v>35</v>
      </c>
      <c r="J27" s="16">
        <v>28.4</v>
      </c>
    </row>
    <row r="28" spans="3:16">
      <c r="C28" s="1" t="s">
        <v>149</v>
      </c>
      <c r="D28" s="1"/>
      <c r="E28" s="12"/>
      <c r="F28" s="12"/>
      <c r="G28" s="12"/>
      <c r="H28" s="12"/>
      <c r="I28" s="16">
        <v>36</v>
      </c>
      <c r="J28" s="16">
        <v>28.8</v>
      </c>
    </row>
    <row r="29" spans="3:16">
      <c r="C29" s="1" t="s">
        <v>123</v>
      </c>
      <c r="D29" s="1"/>
      <c r="E29" s="12"/>
      <c r="F29" s="12"/>
      <c r="G29" s="12"/>
      <c r="H29" s="12"/>
      <c r="I29" s="16">
        <v>37</v>
      </c>
      <c r="J29" s="16">
        <v>29.3</v>
      </c>
      <c r="O29" s="13"/>
      <c r="P29" s="13"/>
    </row>
    <row r="30" spans="3:16">
      <c r="C30" s="1" t="s">
        <v>107</v>
      </c>
      <c r="D30" s="1"/>
      <c r="E30" s="12"/>
      <c r="F30" s="12"/>
      <c r="G30" s="12"/>
      <c r="H30" s="12"/>
      <c r="I30" s="16">
        <v>38</v>
      </c>
      <c r="J30" s="16">
        <v>29.8</v>
      </c>
      <c r="O30" s="13"/>
      <c r="P30" s="13"/>
    </row>
    <row r="31" spans="3:16">
      <c r="C31" s="1" t="s">
        <v>187</v>
      </c>
      <c r="D31" s="1"/>
      <c r="E31" s="12"/>
      <c r="F31" s="12"/>
      <c r="G31" s="12"/>
      <c r="H31" s="12"/>
      <c r="I31" s="16">
        <v>39</v>
      </c>
      <c r="J31" s="16">
        <v>30.2</v>
      </c>
    </row>
    <row r="32" spans="3:16">
      <c r="C32" s="1" t="s">
        <v>114</v>
      </c>
      <c r="D32" s="1"/>
      <c r="E32" s="12"/>
      <c r="F32" s="12"/>
      <c r="G32" s="12"/>
      <c r="H32" s="12"/>
      <c r="I32" s="16">
        <v>40</v>
      </c>
      <c r="J32" s="16">
        <v>30.6</v>
      </c>
      <c r="K32" s="14"/>
      <c r="L32" s="14"/>
      <c r="M32" s="14"/>
      <c r="N32" s="14"/>
      <c r="O32" s="14"/>
      <c r="P32" s="14"/>
    </row>
    <row r="33" spans="3:16">
      <c r="C33" s="1" t="s">
        <v>64</v>
      </c>
      <c r="D33" s="1"/>
      <c r="E33" s="12"/>
      <c r="F33" s="12"/>
      <c r="G33" s="12"/>
      <c r="H33" s="12"/>
      <c r="I33" s="16">
        <v>41</v>
      </c>
      <c r="J33" s="16">
        <v>31.1</v>
      </c>
      <c r="K33" s="14"/>
      <c r="L33" s="14"/>
      <c r="M33" s="14"/>
      <c r="N33" s="14"/>
      <c r="O33" s="14"/>
      <c r="P33" s="14"/>
    </row>
    <row r="34" spans="3:16">
      <c r="C34" s="1" t="s">
        <v>127</v>
      </c>
      <c r="D34" s="1"/>
      <c r="E34" s="12"/>
      <c r="F34" s="12"/>
      <c r="G34" s="12"/>
      <c r="H34" s="12"/>
      <c r="I34" s="16">
        <v>42</v>
      </c>
      <c r="J34" s="16">
        <v>31.5</v>
      </c>
      <c r="K34" s="14"/>
      <c r="L34" s="14"/>
      <c r="M34" s="14"/>
      <c r="N34" s="14"/>
      <c r="O34" s="14"/>
      <c r="P34" s="14"/>
    </row>
    <row r="35" spans="3:16">
      <c r="C35" s="1" t="s">
        <v>130</v>
      </c>
      <c r="D35" s="1"/>
      <c r="E35" s="12"/>
      <c r="F35" s="12"/>
      <c r="G35" s="12"/>
      <c r="H35" s="12"/>
      <c r="I35" s="16">
        <v>43</v>
      </c>
      <c r="J35" s="16">
        <v>31.9</v>
      </c>
      <c r="K35" s="14"/>
      <c r="L35" s="14"/>
      <c r="M35" s="14"/>
      <c r="N35" s="14"/>
      <c r="O35" s="14"/>
      <c r="P35" s="14"/>
    </row>
    <row r="36" spans="3:16">
      <c r="C36" s="1" t="s">
        <v>159</v>
      </c>
      <c r="D36" s="1"/>
      <c r="E36" s="12"/>
      <c r="F36" s="12"/>
      <c r="G36" s="12"/>
      <c r="H36" s="12"/>
      <c r="I36" s="16">
        <v>44</v>
      </c>
      <c r="J36" s="16">
        <v>32.299999999999997</v>
      </c>
      <c r="K36" s="14"/>
      <c r="L36" s="14"/>
      <c r="M36" s="14"/>
      <c r="N36" s="14"/>
      <c r="O36" s="14"/>
      <c r="P36" s="14"/>
    </row>
    <row r="37" spans="3:16">
      <c r="C37" s="1" t="s">
        <v>87</v>
      </c>
      <c r="D37" s="1"/>
      <c r="E37" s="12"/>
      <c r="F37" s="12"/>
      <c r="G37" s="12"/>
      <c r="H37" s="12"/>
      <c r="I37" s="16">
        <v>45</v>
      </c>
      <c r="J37" s="16">
        <v>32.700000000000003</v>
      </c>
      <c r="K37" s="14"/>
      <c r="L37" s="14"/>
      <c r="M37" s="14"/>
      <c r="N37" s="14"/>
      <c r="O37" s="14"/>
      <c r="P37" s="14"/>
    </row>
    <row r="38" spans="3:16">
      <c r="C38" s="1" t="s">
        <v>174</v>
      </c>
      <c r="D38" s="1"/>
      <c r="E38" s="12"/>
      <c r="F38" s="12"/>
      <c r="G38" s="12"/>
      <c r="H38" s="12"/>
      <c r="I38" s="16">
        <v>46</v>
      </c>
      <c r="J38" s="16">
        <v>33.1</v>
      </c>
      <c r="K38" s="14"/>
      <c r="L38" s="14"/>
      <c r="M38" s="14"/>
      <c r="N38" s="14"/>
      <c r="O38" s="14"/>
      <c r="P38" s="14"/>
    </row>
    <row r="39" spans="3:16">
      <c r="C39" s="1" t="s">
        <v>199</v>
      </c>
      <c r="D39" s="1"/>
      <c r="E39" s="12"/>
      <c r="F39" s="12"/>
      <c r="G39" s="12"/>
      <c r="H39" s="12"/>
      <c r="I39" s="16">
        <v>47</v>
      </c>
      <c r="J39" s="16">
        <v>33.4</v>
      </c>
      <c r="K39" s="14"/>
      <c r="L39" s="14"/>
      <c r="M39" s="14"/>
      <c r="N39" s="14"/>
      <c r="O39" s="14"/>
      <c r="P39" s="14"/>
    </row>
    <row r="40" spans="3:16">
      <c r="C40" s="1" t="s">
        <v>157</v>
      </c>
      <c r="D40" s="1"/>
      <c r="E40" s="12"/>
      <c r="F40" s="12"/>
      <c r="G40" s="12"/>
      <c r="H40" s="12"/>
      <c r="I40" s="16">
        <v>48</v>
      </c>
      <c r="J40" s="16">
        <v>33.799999999999997</v>
      </c>
      <c r="K40" s="14"/>
      <c r="L40" s="14"/>
      <c r="M40" s="14"/>
      <c r="N40" s="14"/>
      <c r="O40" s="14"/>
      <c r="P40" s="14"/>
    </row>
    <row r="41" spans="3:16">
      <c r="C41" s="1" t="s">
        <v>94</v>
      </c>
      <c r="D41" s="1"/>
      <c r="E41" s="12"/>
      <c r="F41" s="12"/>
      <c r="G41" s="12"/>
      <c r="H41" s="12"/>
      <c r="I41" s="16">
        <v>49</v>
      </c>
      <c r="J41" s="16">
        <v>34.1</v>
      </c>
      <c r="K41" s="14"/>
      <c r="L41" s="14"/>
      <c r="M41" s="14"/>
      <c r="N41" s="14"/>
      <c r="O41" s="14"/>
      <c r="P41" s="14"/>
    </row>
    <row r="42" spans="3:16">
      <c r="C42" s="1" t="s">
        <v>161</v>
      </c>
      <c r="D42" s="1"/>
      <c r="E42" s="12"/>
      <c r="F42" s="12"/>
      <c r="G42" s="12"/>
      <c r="H42" s="12"/>
      <c r="I42" s="16">
        <v>50</v>
      </c>
      <c r="J42" s="16">
        <v>34.5</v>
      </c>
      <c r="K42" s="14"/>
      <c r="L42" s="14"/>
      <c r="M42" s="14"/>
      <c r="N42" s="14"/>
      <c r="O42" s="14"/>
      <c r="P42" s="14"/>
    </row>
    <row r="43" spans="3:16">
      <c r="C43" s="1" t="s">
        <v>196</v>
      </c>
      <c r="D43" s="1"/>
      <c r="E43" s="12"/>
      <c r="F43" s="12"/>
      <c r="G43" s="12"/>
      <c r="H43" s="12"/>
      <c r="I43" s="16">
        <v>51</v>
      </c>
      <c r="J43" s="16">
        <v>34.799999999999997</v>
      </c>
      <c r="K43" s="14"/>
      <c r="L43" s="14"/>
      <c r="M43" s="14"/>
      <c r="N43" s="14"/>
      <c r="O43" s="14"/>
      <c r="P43" s="14"/>
    </row>
    <row r="44" spans="3:16">
      <c r="C44" s="1" t="s">
        <v>145</v>
      </c>
      <c r="D44" s="1"/>
      <c r="E44" s="12"/>
      <c r="F44" s="12"/>
      <c r="G44" s="12"/>
      <c r="H44" s="12"/>
      <c r="I44" s="16">
        <v>52</v>
      </c>
      <c r="J44" s="16">
        <v>35.200000000000003</v>
      </c>
      <c r="K44" s="12"/>
      <c r="L44" s="12"/>
      <c r="M44" s="12"/>
      <c r="N44" s="12"/>
      <c r="O44" s="12"/>
      <c r="P44" s="12"/>
    </row>
    <row r="45" spans="3:16">
      <c r="C45" s="1" t="s">
        <v>207</v>
      </c>
      <c r="D45" s="1"/>
      <c r="E45" s="12"/>
      <c r="F45" s="12"/>
      <c r="G45" s="12"/>
      <c r="H45" s="12"/>
      <c r="I45" s="16">
        <v>53</v>
      </c>
      <c r="J45" s="16">
        <v>35.5</v>
      </c>
      <c r="K45" s="12"/>
      <c r="L45" s="12"/>
      <c r="M45" s="12"/>
      <c r="N45" s="12"/>
      <c r="O45" s="12"/>
      <c r="P45" s="12"/>
    </row>
    <row r="46" spans="3:16">
      <c r="E46" s="17"/>
      <c r="F46" s="17"/>
      <c r="G46" s="17"/>
      <c r="H46" s="17"/>
      <c r="I46" s="16">
        <v>54</v>
      </c>
      <c r="J46" s="16">
        <v>35.799999999999997</v>
      </c>
    </row>
    <row r="47" spans="3:16">
      <c r="E47" s="17"/>
      <c r="F47" s="17"/>
      <c r="G47" s="17"/>
      <c r="H47" s="17"/>
      <c r="I47" s="16">
        <v>55</v>
      </c>
      <c r="J47" s="16">
        <v>36.1</v>
      </c>
    </row>
    <row r="48" spans="3:16">
      <c r="E48" s="17"/>
      <c r="F48" s="17"/>
      <c r="G48" s="17"/>
      <c r="H48" s="17"/>
      <c r="I48" s="16">
        <v>56</v>
      </c>
      <c r="J48" s="16">
        <v>36.4</v>
      </c>
    </row>
    <row r="49" spans="5:10">
      <c r="E49" s="17"/>
      <c r="F49" s="17"/>
      <c r="G49" s="17"/>
      <c r="H49" s="17"/>
      <c r="I49" s="16">
        <v>57</v>
      </c>
      <c r="J49" s="16">
        <v>36.700000000000003</v>
      </c>
    </row>
    <row r="50" spans="5:10">
      <c r="E50" s="17"/>
      <c r="F50" s="17"/>
      <c r="G50" s="17"/>
      <c r="H50" s="17"/>
      <c r="I50" s="16">
        <v>58</v>
      </c>
      <c r="J50" s="16">
        <v>37</v>
      </c>
    </row>
    <row r="51" spans="5:10">
      <c r="E51" s="17"/>
      <c r="F51" s="17"/>
      <c r="G51" s="17"/>
      <c r="H51" s="17"/>
      <c r="I51" s="16">
        <v>59</v>
      </c>
      <c r="J51" s="16">
        <v>37.299999999999997</v>
      </c>
    </row>
    <row r="52" spans="5:10">
      <c r="E52" s="17"/>
      <c r="F52" s="17"/>
      <c r="G52" s="17"/>
      <c r="H52" s="17"/>
      <c r="I52" s="16">
        <v>60</v>
      </c>
      <c r="J52" s="16">
        <v>37.6</v>
      </c>
    </row>
    <row r="53" spans="5:10">
      <c r="E53" s="17"/>
      <c r="F53" s="17"/>
      <c r="G53" s="17"/>
      <c r="H53" s="17"/>
      <c r="I53" s="16">
        <v>61</v>
      </c>
      <c r="J53" s="16">
        <v>37.9</v>
      </c>
    </row>
    <row r="54" spans="5:10">
      <c r="E54" s="17"/>
      <c r="F54" s="17"/>
      <c r="G54" s="17"/>
      <c r="H54" s="17"/>
      <c r="I54" s="16">
        <v>62</v>
      </c>
      <c r="J54" s="16">
        <v>38.200000000000003</v>
      </c>
    </row>
    <row r="55" spans="5:10">
      <c r="E55" s="17"/>
      <c r="F55" s="17"/>
      <c r="G55" s="17"/>
      <c r="H55" s="17"/>
      <c r="I55" s="16">
        <v>63</v>
      </c>
      <c r="J55" s="16">
        <v>38.5</v>
      </c>
    </row>
    <row r="56" spans="5:10">
      <c r="E56" s="17"/>
      <c r="F56" s="17"/>
      <c r="G56" s="17"/>
      <c r="H56" s="17"/>
      <c r="I56" s="16">
        <v>64</v>
      </c>
      <c r="J56" s="16">
        <v>38.700000000000003</v>
      </c>
    </row>
    <row r="57" spans="5:10">
      <c r="E57" s="17"/>
      <c r="F57" s="17"/>
      <c r="G57" s="17"/>
      <c r="H57" s="17"/>
      <c r="I57" s="16">
        <v>65</v>
      </c>
      <c r="J57" s="16">
        <v>39</v>
      </c>
    </row>
    <row r="58" spans="5:10">
      <c r="E58" s="17"/>
      <c r="F58" s="17"/>
      <c r="G58" s="17"/>
      <c r="H58" s="17"/>
      <c r="I58" s="16">
        <v>66</v>
      </c>
      <c r="J58" s="16">
        <v>39.299999999999997</v>
      </c>
    </row>
    <row r="59" spans="5:10">
      <c r="E59" s="17"/>
      <c r="F59" s="17"/>
      <c r="G59" s="17"/>
      <c r="H59" s="17"/>
      <c r="I59" s="16">
        <v>67</v>
      </c>
      <c r="J59" s="16">
        <v>39.5</v>
      </c>
    </row>
    <row r="60" spans="5:10">
      <c r="E60" s="17"/>
      <c r="F60" s="17"/>
      <c r="G60" s="17"/>
      <c r="H60" s="17"/>
      <c r="I60" s="16">
        <v>68</v>
      </c>
      <c r="J60" s="16">
        <v>39.799999999999997</v>
      </c>
    </row>
    <row r="61" spans="5:10">
      <c r="E61" s="17"/>
      <c r="F61" s="17"/>
      <c r="G61" s="17"/>
      <c r="H61" s="17"/>
      <c r="I61" s="16">
        <v>69</v>
      </c>
      <c r="J61" s="16">
        <v>40</v>
      </c>
    </row>
    <row r="62" spans="5:10">
      <c r="E62" s="17"/>
      <c r="F62" s="17"/>
      <c r="G62" s="17"/>
      <c r="H62" s="17"/>
      <c r="I62" s="16">
        <v>70</v>
      </c>
      <c r="J62" s="16">
        <v>40.299999999999997</v>
      </c>
    </row>
    <row r="63" spans="5:10">
      <c r="E63" s="17"/>
      <c r="F63" s="17"/>
      <c r="G63" s="17"/>
      <c r="H63" s="17"/>
      <c r="I63" s="16">
        <v>71</v>
      </c>
      <c r="J63" s="16">
        <v>40.5</v>
      </c>
    </row>
    <row r="64" spans="5:10">
      <c r="E64" s="17"/>
      <c r="F64" s="17"/>
      <c r="G64" s="17"/>
      <c r="H64" s="17"/>
      <c r="I64" s="16">
        <v>72</v>
      </c>
      <c r="J64" s="16">
        <v>40.799999999999997</v>
      </c>
    </row>
    <row r="65" spans="5:10">
      <c r="E65" s="17"/>
      <c r="F65" s="17"/>
      <c r="G65" s="17"/>
      <c r="H65" s="17"/>
      <c r="I65" s="16">
        <v>73</v>
      </c>
      <c r="J65" s="16">
        <v>41</v>
      </c>
    </row>
    <row r="66" spans="5:10">
      <c r="E66" s="17"/>
      <c r="F66" s="17"/>
      <c r="G66" s="17"/>
      <c r="H66" s="17"/>
      <c r="I66" s="16">
        <v>74</v>
      </c>
      <c r="J66" s="16">
        <v>41.2</v>
      </c>
    </row>
    <row r="67" spans="5:10">
      <c r="E67" s="17"/>
      <c r="F67" s="17"/>
      <c r="G67" s="17"/>
      <c r="H67" s="17"/>
      <c r="I67" s="16">
        <v>75</v>
      </c>
      <c r="J67" s="16">
        <v>41.5</v>
      </c>
    </row>
    <row r="68" spans="5:10">
      <c r="E68" s="17"/>
      <c r="F68" s="17"/>
      <c r="G68" s="17"/>
      <c r="H68" s="17"/>
      <c r="I68" s="16">
        <v>76</v>
      </c>
      <c r="J68" s="16">
        <v>41.7</v>
      </c>
    </row>
    <row r="69" spans="5:10">
      <c r="E69" s="17"/>
      <c r="F69" s="17"/>
      <c r="G69" s="17"/>
      <c r="H69" s="17"/>
      <c r="I69" s="16">
        <v>77</v>
      </c>
      <c r="J69" s="16">
        <v>41.9</v>
      </c>
    </row>
    <row r="70" spans="5:10">
      <c r="E70" s="17"/>
      <c r="F70" s="17"/>
      <c r="G70" s="17"/>
      <c r="H70" s="17"/>
      <c r="I70" s="16">
        <v>78</v>
      </c>
      <c r="J70" s="16">
        <v>42.1</v>
      </c>
    </row>
    <row r="71" spans="5:10">
      <c r="E71" s="17"/>
      <c r="F71" s="17"/>
      <c r="G71" s="17"/>
      <c r="H71" s="17"/>
      <c r="I71" s="16">
        <v>79</v>
      </c>
      <c r="J71" s="16">
        <v>42.4</v>
      </c>
    </row>
    <row r="72" spans="5:10">
      <c r="E72" s="17"/>
      <c r="F72" s="17"/>
      <c r="G72" s="17"/>
      <c r="H72" s="17"/>
      <c r="I72" s="16">
        <v>80</v>
      </c>
      <c r="J72" s="16">
        <v>42.6</v>
      </c>
    </row>
    <row r="73" spans="5:10">
      <c r="E73" s="17"/>
      <c r="F73" s="17"/>
      <c r="G73" s="17"/>
      <c r="H73" s="17"/>
      <c r="I73" s="16">
        <v>81</v>
      </c>
      <c r="J73" s="16">
        <v>42.8</v>
      </c>
    </row>
    <row r="74" spans="5:10">
      <c r="E74" s="17"/>
      <c r="F74" s="17"/>
      <c r="G74" s="17"/>
      <c r="H74" s="17"/>
      <c r="I74" s="16">
        <v>82</v>
      </c>
      <c r="J74" s="16">
        <v>43</v>
      </c>
    </row>
    <row r="75" spans="5:10">
      <c r="E75" s="17"/>
      <c r="F75" s="17"/>
      <c r="G75" s="17"/>
      <c r="H75" s="17"/>
      <c r="I75" s="16">
        <v>83</v>
      </c>
      <c r="J75" s="16">
        <v>43.2</v>
      </c>
    </row>
    <row r="76" spans="5:10">
      <c r="E76" s="17"/>
      <c r="F76" s="17"/>
      <c r="G76" s="17"/>
      <c r="H76" s="17"/>
      <c r="I76" s="16">
        <v>84</v>
      </c>
      <c r="J76" s="16">
        <v>43.4</v>
      </c>
    </row>
    <row r="77" spans="5:10">
      <c r="E77" s="17"/>
      <c r="F77" s="17"/>
      <c r="G77" s="17"/>
      <c r="H77" s="17"/>
      <c r="I77" s="16">
        <v>85</v>
      </c>
      <c r="J77" s="16">
        <v>43.6</v>
      </c>
    </row>
    <row r="78" spans="5:10">
      <c r="E78" s="17"/>
      <c r="F78" s="17"/>
      <c r="G78" s="17"/>
      <c r="H78" s="17"/>
      <c r="I78" s="16">
        <v>86</v>
      </c>
      <c r="J78" s="16">
        <v>43.8</v>
      </c>
    </row>
    <row r="79" spans="5:10">
      <c r="E79" s="17"/>
      <c r="F79" s="17"/>
      <c r="G79" s="17"/>
      <c r="H79" s="17"/>
      <c r="I79" s="16">
        <v>87</v>
      </c>
      <c r="J79" s="16">
        <v>44</v>
      </c>
    </row>
    <row r="80" spans="5:10">
      <c r="E80" s="17"/>
      <c r="F80" s="17"/>
      <c r="G80" s="17"/>
      <c r="H80" s="17"/>
      <c r="I80" s="16">
        <v>88</v>
      </c>
      <c r="J80" s="16">
        <v>44.2</v>
      </c>
    </row>
    <row r="81" spans="5:10">
      <c r="E81" s="17"/>
      <c r="F81" s="17"/>
      <c r="G81" s="17"/>
      <c r="H81" s="17"/>
      <c r="I81" s="16">
        <v>89</v>
      </c>
      <c r="J81" s="16">
        <v>44.4</v>
      </c>
    </row>
    <row r="82" spans="5:10">
      <c r="E82" s="17"/>
      <c r="F82" s="17"/>
      <c r="G82" s="17"/>
      <c r="H82" s="17"/>
      <c r="I82" s="16">
        <v>90</v>
      </c>
      <c r="J82" s="16">
        <v>44.6</v>
      </c>
    </row>
    <row r="83" spans="5:10">
      <c r="E83" s="17"/>
      <c r="F83" s="17"/>
      <c r="G83" s="17"/>
      <c r="H83" s="17"/>
      <c r="I83" s="16">
        <v>91</v>
      </c>
      <c r="J83" s="16">
        <v>44.8</v>
      </c>
    </row>
    <row r="84" spans="5:10">
      <c r="E84" s="17"/>
      <c r="F84" s="17"/>
      <c r="G84" s="17"/>
      <c r="H84" s="17"/>
      <c r="I84" s="16">
        <v>92</v>
      </c>
      <c r="J84" s="16">
        <v>45</v>
      </c>
    </row>
    <row r="85" spans="5:10">
      <c r="E85" s="17"/>
      <c r="F85" s="17"/>
      <c r="G85" s="17"/>
      <c r="H85" s="17"/>
      <c r="I85" s="16">
        <v>93</v>
      </c>
      <c r="J85" s="16">
        <v>45.2</v>
      </c>
    </row>
    <row r="86" spans="5:10">
      <c r="E86" s="17"/>
      <c r="F86" s="17"/>
      <c r="G86" s="17"/>
      <c r="H86" s="17"/>
      <c r="I86" s="16">
        <v>94</v>
      </c>
      <c r="J86" s="16">
        <v>45.3</v>
      </c>
    </row>
    <row r="87" spans="5:10">
      <c r="E87" s="17"/>
      <c r="F87" s="17"/>
      <c r="G87" s="17"/>
      <c r="H87" s="17"/>
      <c r="I87" s="16">
        <v>95</v>
      </c>
      <c r="J87" s="16">
        <v>45.5</v>
      </c>
    </row>
    <row r="88" spans="5:10">
      <c r="E88" s="17"/>
      <c r="F88" s="17"/>
      <c r="G88" s="17"/>
      <c r="H88" s="17"/>
      <c r="I88" s="16">
        <v>96</v>
      </c>
      <c r="J88" s="16">
        <v>45.7</v>
      </c>
    </row>
    <row r="89" spans="5:10">
      <c r="E89" s="17"/>
      <c r="F89" s="17"/>
      <c r="G89" s="17"/>
      <c r="H89" s="17"/>
      <c r="I89" s="16">
        <v>97</v>
      </c>
      <c r="J89" s="16">
        <v>45.9</v>
      </c>
    </row>
    <row r="90" spans="5:10">
      <c r="E90" s="17"/>
      <c r="F90" s="17"/>
      <c r="G90" s="17"/>
      <c r="H90" s="17"/>
      <c r="I90" s="16">
        <v>98</v>
      </c>
      <c r="J90" s="16">
        <v>46.1</v>
      </c>
    </row>
    <row r="91" spans="5:10">
      <c r="E91" s="17"/>
      <c r="F91" s="17"/>
      <c r="G91" s="17"/>
      <c r="H91" s="17"/>
      <c r="I91" s="16">
        <v>99</v>
      </c>
      <c r="J91" s="16">
        <v>46.2</v>
      </c>
    </row>
    <row r="92" spans="5:10">
      <c r="E92" s="17"/>
      <c r="F92" s="17"/>
      <c r="G92" s="17"/>
      <c r="H92" s="17"/>
      <c r="I92" s="16">
        <v>100</v>
      </c>
      <c r="J92" s="16">
        <v>46.4</v>
      </c>
    </row>
    <row r="93" spans="5:10">
      <c r="E93" s="17"/>
      <c r="F93" s="17"/>
      <c r="G93" s="17"/>
      <c r="H93" s="17"/>
      <c r="I93" s="16">
        <v>101</v>
      </c>
      <c r="J93" s="16">
        <v>46.6</v>
      </c>
    </row>
    <row r="94" spans="5:10">
      <c r="E94" s="17"/>
      <c r="F94" s="17"/>
      <c r="G94" s="17"/>
      <c r="H94" s="17"/>
      <c r="I94" s="16">
        <v>102</v>
      </c>
      <c r="J94" s="16">
        <v>46.7</v>
      </c>
    </row>
    <row r="95" spans="5:10">
      <c r="E95" s="17"/>
      <c r="F95" s="17"/>
      <c r="G95" s="17"/>
      <c r="H95" s="17"/>
      <c r="I95" s="16">
        <v>103</v>
      </c>
      <c r="J95" s="16">
        <v>46.9</v>
      </c>
    </row>
    <row r="96" spans="5:10">
      <c r="E96" s="17"/>
      <c r="F96" s="17"/>
      <c r="G96" s="17"/>
      <c r="H96" s="17"/>
      <c r="I96" s="16">
        <v>104</v>
      </c>
      <c r="J96" s="16">
        <v>47.1</v>
      </c>
    </row>
    <row r="97" spans="5:10">
      <c r="E97" s="17"/>
      <c r="F97" s="17"/>
      <c r="G97" s="17"/>
      <c r="H97" s="17"/>
      <c r="I97" s="16">
        <v>105</v>
      </c>
      <c r="J97" s="16">
        <v>47.2</v>
      </c>
    </row>
    <row r="98" spans="5:10">
      <c r="E98" s="17"/>
      <c r="F98" s="17"/>
      <c r="G98" s="17"/>
      <c r="H98" s="17"/>
      <c r="I98" s="16">
        <v>106</v>
      </c>
      <c r="J98" s="16">
        <v>47.4</v>
      </c>
    </row>
    <row r="99" spans="5:10">
      <c r="E99" s="17"/>
      <c r="F99" s="17"/>
      <c r="G99" s="17"/>
      <c r="H99" s="17"/>
      <c r="I99" s="16">
        <v>107</v>
      </c>
      <c r="J99" s="16">
        <v>47.6</v>
      </c>
    </row>
    <row r="100" spans="5:10">
      <c r="E100" s="17"/>
      <c r="F100" s="17"/>
      <c r="G100" s="17"/>
      <c r="H100" s="17"/>
      <c r="I100" s="16">
        <v>108</v>
      </c>
      <c r="J100" s="16">
        <v>47.7</v>
      </c>
    </row>
    <row r="101" spans="5:10">
      <c r="E101" s="17"/>
      <c r="F101" s="17"/>
      <c r="G101" s="17"/>
      <c r="H101" s="17"/>
      <c r="I101" s="16">
        <v>109</v>
      </c>
      <c r="J101" s="16">
        <v>47.9</v>
      </c>
    </row>
    <row r="102" spans="5:10">
      <c r="E102" s="17"/>
      <c r="F102" s="17"/>
      <c r="G102" s="17"/>
      <c r="H102" s="17"/>
      <c r="I102" s="16">
        <v>110</v>
      </c>
      <c r="J102" s="16">
        <v>48</v>
      </c>
    </row>
    <row r="103" spans="5:10">
      <c r="E103" s="17"/>
      <c r="F103" s="17"/>
      <c r="G103" s="17"/>
      <c r="H103" s="17"/>
      <c r="I103" s="16">
        <v>111</v>
      </c>
      <c r="J103" s="16">
        <v>48.2</v>
      </c>
    </row>
    <row r="104" spans="5:10">
      <c r="E104" s="17"/>
      <c r="F104" s="17"/>
      <c r="G104" s="17"/>
      <c r="H104" s="17"/>
      <c r="I104" s="16">
        <v>112</v>
      </c>
      <c r="J104" s="16">
        <v>48.4</v>
      </c>
    </row>
    <row r="105" spans="5:10">
      <c r="E105" s="17"/>
      <c r="F105" s="17"/>
      <c r="G105" s="17"/>
      <c r="H105" s="17"/>
      <c r="I105" s="16">
        <v>113</v>
      </c>
      <c r="J105" s="16">
        <v>48.5</v>
      </c>
    </row>
    <row r="106" spans="5:10">
      <c r="E106" s="17"/>
      <c r="F106" s="17"/>
      <c r="G106" s="17"/>
      <c r="H106" s="17"/>
      <c r="I106" s="16">
        <v>114</v>
      </c>
      <c r="J106" s="16">
        <v>48.7</v>
      </c>
    </row>
    <row r="107" spans="5:10">
      <c r="E107" s="17"/>
      <c r="F107" s="17"/>
      <c r="G107" s="17"/>
      <c r="H107" s="17"/>
      <c r="I107" s="16">
        <v>115</v>
      </c>
      <c r="J107" s="16">
        <v>48.8</v>
      </c>
    </row>
    <row r="108" spans="5:10">
      <c r="E108" s="17"/>
      <c r="F108" s="17"/>
      <c r="G108" s="17"/>
      <c r="H108" s="17"/>
      <c r="I108" s="16">
        <v>116</v>
      </c>
      <c r="J108" s="16">
        <v>49</v>
      </c>
    </row>
    <row r="109" spans="5:10">
      <c r="E109" s="17"/>
      <c r="F109" s="17"/>
      <c r="G109" s="17"/>
      <c r="H109" s="17"/>
      <c r="I109" s="16">
        <v>117</v>
      </c>
      <c r="J109" s="16">
        <v>49.1</v>
      </c>
    </row>
    <row r="110" spans="5:10">
      <c r="E110" s="17"/>
      <c r="F110" s="17"/>
      <c r="G110" s="17"/>
      <c r="H110" s="17"/>
      <c r="I110" s="16">
        <v>118</v>
      </c>
      <c r="J110" s="16">
        <v>49.3</v>
      </c>
    </row>
    <row r="111" spans="5:10">
      <c r="E111" s="17"/>
      <c r="F111" s="17"/>
      <c r="G111" s="17"/>
      <c r="H111" s="17"/>
      <c r="I111" s="16">
        <v>119</v>
      </c>
      <c r="J111" s="16">
        <v>49.4</v>
      </c>
    </row>
    <row r="112" spans="5:10">
      <c r="E112" s="17"/>
      <c r="F112" s="17"/>
      <c r="G112" s="17"/>
      <c r="H112" s="17"/>
      <c r="I112" s="16">
        <v>120</v>
      </c>
      <c r="J112" s="16">
        <v>49.5</v>
      </c>
    </row>
    <row r="113" spans="5:10">
      <c r="E113" s="17"/>
      <c r="F113" s="17"/>
      <c r="G113" s="17"/>
      <c r="H113" s="17"/>
      <c r="I113" s="16">
        <v>121</v>
      </c>
      <c r="J113" s="16">
        <v>49.7</v>
      </c>
    </row>
    <row r="114" spans="5:10">
      <c r="E114" s="17"/>
      <c r="F114" s="17"/>
      <c r="G114" s="17"/>
      <c r="H114" s="17"/>
      <c r="I114" s="16">
        <v>122</v>
      </c>
      <c r="J114" s="16">
        <v>49.8</v>
      </c>
    </row>
    <row r="115" spans="5:10">
      <c r="E115" s="17"/>
      <c r="F115" s="17"/>
      <c r="G115" s="17"/>
      <c r="H115" s="17"/>
      <c r="I115" s="16">
        <v>123</v>
      </c>
      <c r="J115" s="16">
        <v>50</v>
      </c>
    </row>
    <row r="116" spans="5:10">
      <c r="E116" s="17"/>
      <c r="F116" s="17"/>
      <c r="G116" s="17"/>
      <c r="H116" s="17"/>
      <c r="I116" s="16">
        <v>124</v>
      </c>
      <c r="J116" s="16">
        <v>50</v>
      </c>
    </row>
    <row r="117" spans="5:10">
      <c r="E117" s="17"/>
      <c r="F117" s="17"/>
      <c r="G117" s="17"/>
      <c r="H117" s="17"/>
      <c r="I117" s="16">
        <v>125</v>
      </c>
      <c r="J117" s="16">
        <v>50</v>
      </c>
    </row>
    <row r="118" spans="5:10">
      <c r="E118" s="17"/>
      <c r="F118" s="17"/>
      <c r="G118" s="17"/>
      <c r="H118" s="17"/>
      <c r="I118" s="16">
        <v>126</v>
      </c>
      <c r="J118" s="16">
        <v>50</v>
      </c>
    </row>
    <row r="119" spans="5:10">
      <c r="E119" s="17"/>
      <c r="F119" s="17"/>
      <c r="G119" s="17"/>
      <c r="H119" s="17"/>
      <c r="I119" s="16">
        <v>127</v>
      </c>
      <c r="J119" s="16">
        <v>50</v>
      </c>
    </row>
    <row r="120" spans="5:10">
      <c r="E120" s="17"/>
      <c r="F120" s="17"/>
      <c r="G120" s="17"/>
      <c r="H120" s="17"/>
      <c r="I120" s="16">
        <v>128</v>
      </c>
      <c r="J120" s="16">
        <v>50</v>
      </c>
    </row>
    <row r="121" spans="5:10">
      <c r="E121" s="17"/>
      <c r="F121" s="17"/>
      <c r="G121" s="17"/>
      <c r="H121" s="17"/>
      <c r="I121" s="16">
        <v>129</v>
      </c>
      <c r="J121" s="16">
        <v>50</v>
      </c>
    </row>
    <row r="122" spans="5:10">
      <c r="E122" s="17"/>
      <c r="F122" s="17"/>
      <c r="G122" s="17"/>
      <c r="H122" s="17"/>
      <c r="I122" s="16">
        <v>130</v>
      </c>
      <c r="J122" s="16">
        <v>50</v>
      </c>
    </row>
    <row r="123" spans="5:10">
      <c r="E123" s="17"/>
      <c r="F123" s="17"/>
      <c r="G123" s="17"/>
      <c r="H123" s="17"/>
      <c r="I123" s="16">
        <v>131</v>
      </c>
      <c r="J123" s="16">
        <v>50</v>
      </c>
    </row>
    <row r="124" spans="5:10">
      <c r="E124" s="17"/>
      <c r="F124" s="17"/>
      <c r="G124" s="17"/>
      <c r="H124" s="17"/>
      <c r="I124" s="16">
        <v>132</v>
      </c>
      <c r="J124" s="16">
        <v>50</v>
      </c>
    </row>
    <row r="125" spans="5:10">
      <c r="E125" s="17"/>
      <c r="F125" s="17"/>
      <c r="G125" s="17"/>
      <c r="H125" s="17"/>
      <c r="I125" s="16">
        <v>133</v>
      </c>
      <c r="J125" s="16">
        <v>50</v>
      </c>
    </row>
    <row r="126" spans="5:10">
      <c r="E126" s="17"/>
      <c r="F126" s="17"/>
      <c r="G126" s="17"/>
      <c r="H126" s="17"/>
      <c r="I126" s="16">
        <v>134</v>
      </c>
      <c r="J126" s="16">
        <v>50</v>
      </c>
    </row>
    <row r="127" spans="5:10">
      <c r="E127" s="17"/>
      <c r="F127" s="17"/>
      <c r="G127" s="17"/>
      <c r="H127" s="17"/>
      <c r="I127" s="16">
        <v>135</v>
      </c>
      <c r="J127" s="16">
        <v>50</v>
      </c>
    </row>
    <row r="128" spans="5:10">
      <c r="E128" s="17"/>
      <c r="F128" s="17"/>
      <c r="G128" s="17"/>
      <c r="H128" s="17"/>
      <c r="I128" s="16">
        <v>136</v>
      </c>
      <c r="J128" s="16">
        <v>50</v>
      </c>
    </row>
    <row r="129" spans="5:10">
      <c r="E129" s="17"/>
      <c r="F129" s="17"/>
      <c r="G129" s="17"/>
      <c r="H129" s="17"/>
      <c r="I129" s="16">
        <v>137</v>
      </c>
      <c r="J129" s="16">
        <v>50</v>
      </c>
    </row>
    <row r="130" spans="5:10">
      <c r="E130" s="17"/>
      <c r="F130" s="17"/>
      <c r="G130" s="17"/>
      <c r="H130" s="17"/>
      <c r="I130" s="16">
        <v>138</v>
      </c>
      <c r="J130" s="16">
        <v>50</v>
      </c>
    </row>
    <row r="131" spans="5:10">
      <c r="E131" s="17"/>
      <c r="F131" s="17"/>
      <c r="G131" s="17"/>
      <c r="H131" s="17"/>
      <c r="I131" s="16">
        <v>139</v>
      </c>
      <c r="J131" s="16">
        <v>50</v>
      </c>
    </row>
    <row r="132" spans="5:10">
      <c r="E132" s="17"/>
      <c r="F132" s="17"/>
      <c r="G132" s="17"/>
      <c r="H132" s="17"/>
      <c r="I132" s="16">
        <v>140</v>
      </c>
      <c r="J132" s="16">
        <v>50</v>
      </c>
    </row>
    <row r="133" spans="5:10">
      <c r="E133" s="17"/>
      <c r="F133" s="17"/>
      <c r="G133" s="17"/>
      <c r="H133" s="17"/>
      <c r="I133" s="16">
        <v>141</v>
      </c>
      <c r="J133" s="16">
        <v>50</v>
      </c>
    </row>
    <row r="134" spans="5:10">
      <c r="E134" s="17"/>
      <c r="F134" s="17"/>
      <c r="G134" s="17"/>
      <c r="H134" s="17"/>
      <c r="I134" s="16">
        <v>142</v>
      </c>
      <c r="J134" s="16">
        <v>50</v>
      </c>
    </row>
    <row r="135" spans="5:10">
      <c r="E135" s="17"/>
      <c r="F135" s="17"/>
      <c r="G135" s="17"/>
      <c r="H135" s="17"/>
      <c r="I135" s="16">
        <v>143</v>
      </c>
      <c r="J135" s="16">
        <v>50</v>
      </c>
    </row>
    <row r="136" spans="5:10">
      <c r="E136" s="17"/>
      <c r="F136" s="17"/>
      <c r="G136" s="17"/>
      <c r="H136" s="17"/>
      <c r="I136" s="16">
        <v>144</v>
      </c>
      <c r="J136" s="16">
        <v>50</v>
      </c>
    </row>
    <row r="137" spans="5:10">
      <c r="E137" s="17"/>
      <c r="F137" s="17"/>
      <c r="G137" s="17"/>
      <c r="H137" s="17"/>
      <c r="I137" s="16">
        <v>145</v>
      </c>
      <c r="J137" s="16">
        <v>50</v>
      </c>
    </row>
    <row r="138" spans="5:10">
      <c r="E138" s="17"/>
      <c r="F138" s="17"/>
      <c r="G138" s="17"/>
      <c r="H138" s="17"/>
      <c r="I138" s="16">
        <v>146</v>
      </c>
      <c r="J138" s="16">
        <v>50</v>
      </c>
    </row>
    <row r="139" spans="5:10">
      <c r="E139" s="17"/>
      <c r="F139" s="17"/>
      <c r="G139" s="17"/>
      <c r="H139" s="17"/>
      <c r="I139" s="16">
        <v>147</v>
      </c>
      <c r="J139" s="16">
        <v>50</v>
      </c>
    </row>
    <row r="140" spans="5:10">
      <c r="E140" s="17"/>
      <c r="F140" s="17"/>
      <c r="G140" s="17"/>
      <c r="H140" s="17"/>
      <c r="I140" s="16">
        <v>148</v>
      </c>
      <c r="J140" s="16">
        <v>50</v>
      </c>
    </row>
    <row r="141" spans="5:10">
      <c r="E141" s="17"/>
      <c r="F141" s="17"/>
      <c r="G141" s="17"/>
      <c r="H141" s="17"/>
      <c r="I141" s="16">
        <v>149</v>
      </c>
      <c r="J141" s="16">
        <v>50</v>
      </c>
    </row>
    <row r="142" spans="5:10">
      <c r="E142" s="17"/>
      <c r="F142" s="17"/>
      <c r="G142" s="17"/>
      <c r="H142" s="17"/>
      <c r="I142" s="16">
        <v>150</v>
      </c>
      <c r="J142" s="16">
        <v>50</v>
      </c>
    </row>
    <row r="143" spans="5:10">
      <c r="E143" s="17"/>
      <c r="F143" s="17"/>
      <c r="G143" s="17"/>
      <c r="H143" s="17"/>
      <c r="I143" s="16">
        <v>151</v>
      </c>
      <c r="J143" s="16">
        <v>50</v>
      </c>
    </row>
    <row r="144" spans="5:10">
      <c r="E144" s="17"/>
      <c r="F144" s="17"/>
      <c r="G144" s="17"/>
      <c r="H144" s="17"/>
      <c r="I144" s="16">
        <v>152</v>
      </c>
      <c r="J144" s="16">
        <v>50</v>
      </c>
    </row>
    <row r="145" spans="5:10">
      <c r="E145" s="17"/>
      <c r="F145" s="17"/>
      <c r="G145" s="17"/>
      <c r="H145" s="17"/>
      <c r="I145" s="16">
        <v>153</v>
      </c>
      <c r="J145" s="16">
        <v>50</v>
      </c>
    </row>
    <row r="146" spans="5:10">
      <c r="E146" s="17"/>
      <c r="F146" s="17"/>
      <c r="G146" s="17"/>
      <c r="H146" s="17"/>
      <c r="I146" s="16">
        <v>154</v>
      </c>
      <c r="J146" s="16">
        <v>50</v>
      </c>
    </row>
    <row r="147" spans="5:10">
      <c r="E147" s="17"/>
      <c r="F147" s="17"/>
      <c r="G147" s="17"/>
      <c r="H147" s="17"/>
      <c r="I147" s="16">
        <v>155</v>
      </c>
      <c r="J147" s="16">
        <v>50</v>
      </c>
    </row>
    <row r="148" spans="5:10">
      <c r="E148" s="17"/>
      <c r="F148" s="17"/>
      <c r="G148" s="17"/>
      <c r="H148" s="17"/>
      <c r="I148" s="16">
        <v>156</v>
      </c>
      <c r="J148" s="16">
        <v>50</v>
      </c>
    </row>
    <row r="149" spans="5:10">
      <c r="E149" s="17"/>
      <c r="F149" s="17"/>
      <c r="G149" s="17"/>
      <c r="H149" s="17"/>
      <c r="I149" s="16">
        <v>157</v>
      </c>
      <c r="J149" s="16">
        <v>50</v>
      </c>
    </row>
    <row r="150" spans="5:10">
      <c r="E150" s="17"/>
      <c r="F150" s="17"/>
      <c r="G150" s="17"/>
      <c r="H150" s="17"/>
      <c r="I150" s="16">
        <v>158</v>
      </c>
      <c r="J150" s="16">
        <v>50</v>
      </c>
    </row>
    <row r="151" spans="5:10">
      <c r="E151" s="17"/>
      <c r="F151" s="17"/>
      <c r="G151" s="17"/>
      <c r="H151" s="17"/>
      <c r="I151" s="16">
        <v>159</v>
      </c>
      <c r="J151" s="16">
        <v>50</v>
      </c>
    </row>
    <row r="152" spans="5:10">
      <c r="E152" s="17"/>
      <c r="F152" s="17"/>
      <c r="G152" s="17"/>
      <c r="H152" s="17"/>
      <c r="I152" s="16">
        <v>160</v>
      </c>
      <c r="J152" s="16">
        <v>50</v>
      </c>
    </row>
    <row r="153" spans="5:10">
      <c r="E153" s="17"/>
      <c r="F153" s="17"/>
      <c r="G153" s="17"/>
      <c r="H153" s="17"/>
      <c r="I153" s="16">
        <v>161</v>
      </c>
      <c r="J153" s="16">
        <v>50</v>
      </c>
    </row>
    <row r="154" spans="5:10">
      <c r="E154" s="17"/>
      <c r="F154" s="17"/>
      <c r="G154" s="17"/>
      <c r="H154" s="17"/>
      <c r="I154" s="16">
        <v>162</v>
      </c>
      <c r="J154" s="16">
        <v>50</v>
      </c>
    </row>
    <row r="155" spans="5:10">
      <c r="E155" s="17"/>
      <c r="F155" s="17"/>
      <c r="G155" s="17"/>
      <c r="H155" s="17"/>
      <c r="I155" s="16">
        <v>163</v>
      </c>
      <c r="J155" s="16">
        <v>50</v>
      </c>
    </row>
    <row r="156" spans="5:10">
      <c r="E156" s="17"/>
      <c r="F156" s="17"/>
      <c r="G156" s="17"/>
      <c r="H156" s="17"/>
      <c r="I156" s="16">
        <v>164</v>
      </c>
      <c r="J156" s="16">
        <v>50</v>
      </c>
    </row>
    <row r="157" spans="5:10">
      <c r="E157" s="17"/>
      <c r="F157" s="17"/>
      <c r="G157" s="17"/>
      <c r="H157" s="17"/>
      <c r="I157" s="16">
        <v>165</v>
      </c>
      <c r="J157" s="16">
        <v>50</v>
      </c>
    </row>
    <row r="158" spans="5:10">
      <c r="E158" s="17"/>
      <c r="F158" s="17"/>
      <c r="G158" s="17"/>
      <c r="H158" s="17"/>
      <c r="I158" s="16">
        <v>166</v>
      </c>
      <c r="J158" s="16">
        <v>50</v>
      </c>
    </row>
    <row r="159" spans="5:10">
      <c r="E159" s="17"/>
      <c r="F159" s="17"/>
      <c r="G159" s="17"/>
      <c r="H159" s="17"/>
      <c r="I159" s="16">
        <v>167</v>
      </c>
      <c r="J159" s="16">
        <v>50</v>
      </c>
    </row>
    <row r="160" spans="5:10">
      <c r="E160" s="17"/>
      <c r="F160" s="17"/>
      <c r="G160" s="17"/>
      <c r="H160" s="17"/>
      <c r="I160" s="16">
        <v>168</v>
      </c>
      <c r="J160" s="16">
        <v>50</v>
      </c>
    </row>
    <row r="161" spans="5:10">
      <c r="E161" s="17"/>
      <c r="F161" s="17"/>
      <c r="G161" s="17"/>
      <c r="H161" s="17"/>
      <c r="I161" s="16">
        <v>169</v>
      </c>
      <c r="J161" s="16">
        <v>50</v>
      </c>
    </row>
    <row r="162" spans="5:10">
      <c r="E162" s="17"/>
      <c r="F162" s="17"/>
      <c r="G162" s="17"/>
      <c r="H162" s="17"/>
      <c r="I162" s="16">
        <v>170</v>
      </c>
      <c r="J162" s="16">
        <v>50</v>
      </c>
    </row>
    <row r="163" spans="5:10">
      <c r="E163" s="17"/>
      <c r="F163" s="17"/>
      <c r="G163" s="17"/>
      <c r="H163" s="17"/>
      <c r="I163" s="16">
        <v>171</v>
      </c>
      <c r="J163" s="16">
        <v>50</v>
      </c>
    </row>
    <row r="164" spans="5:10">
      <c r="E164" s="17"/>
      <c r="F164" s="17"/>
      <c r="G164" s="17"/>
      <c r="H164" s="17"/>
      <c r="I164" s="16">
        <v>172</v>
      </c>
      <c r="J164" s="16">
        <v>50</v>
      </c>
    </row>
    <row r="165" spans="5:10">
      <c r="E165" s="17"/>
      <c r="F165" s="17"/>
      <c r="G165" s="17"/>
      <c r="H165" s="17"/>
      <c r="I165" s="16">
        <v>173</v>
      </c>
      <c r="J165" s="16">
        <v>50</v>
      </c>
    </row>
    <row r="166" spans="5:10">
      <c r="E166" s="17"/>
      <c r="F166" s="17"/>
      <c r="G166" s="17"/>
      <c r="H166" s="17"/>
      <c r="I166" s="16">
        <v>174</v>
      </c>
      <c r="J166" s="16">
        <v>50</v>
      </c>
    </row>
    <row r="167" spans="5:10">
      <c r="E167" s="17"/>
      <c r="F167" s="17"/>
      <c r="G167" s="17"/>
      <c r="H167" s="17"/>
      <c r="I167" s="16">
        <v>175</v>
      </c>
      <c r="J167" s="16">
        <v>50</v>
      </c>
    </row>
    <row r="168" spans="5:10">
      <c r="E168" s="17"/>
      <c r="F168" s="17"/>
      <c r="G168" s="17"/>
      <c r="H168" s="17"/>
      <c r="I168" s="16">
        <v>176</v>
      </c>
      <c r="J168" s="16">
        <v>50</v>
      </c>
    </row>
    <row r="169" spans="5:10">
      <c r="E169" s="17"/>
      <c r="F169" s="17"/>
      <c r="G169" s="17"/>
      <c r="H169" s="17"/>
      <c r="I169" s="16">
        <v>177</v>
      </c>
      <c r="J169" s="16">
        <v>50</v>
      </c>
    </row>
    <row r="170" spans="5:10">
      <c r="E170" s="17"/>
      <c r="F170" s="17"/>
      <c r="G170" s="17"/>
      <c r="H170" s="17"/>
      <c r="I170" s="16">
        <v>178</v>
      </c>
      <c r="J170" s="16">
        <v>50</v>
      </c>
    </row>
    <row r="171" spans="5:10">
      <c r="E171" s="17"/>
      <c r="F171" s="17"/>
      <c r="G171" s="17"/>
      <c r="H171" s="17"/>
      <c r="I171" s="16">
        <v>179</v>
      </c>
      <c r="J171" s="16">
        <v>50</v>
      </c>
    </row>
    <row r="172" spans="5:10">
      <c r="E172" s="17"/>
      <c r="F172" s="17"/>
      <c r="G172" s="17"/>
      <c r="H172" s="17"/>
      <c r="I172" s="16">
        <v>180</v>
      </c>
      <c r="J172" s="16">
        <v>50</v>
      </c>
    </row>
    <row r="173" spans="5:10">
      <c r="E173" s="17"/>
      <c r="F173" s="17"/>
      <c r="G173" s="17"/>
      <c r="H173" s="17"/>
      <c r="I173" s="16">
        <v>181</v>
      </c>
      <c r="J173" s="16">
        <v>50</v>
      </c>
    </row>
    <row r="174" spans="5:10">
      <c r="E174" s="17"/>
      <c r="F174" s="17"/>
      <c r="G174" s="17"/>
      <c r="H174" s="17"/>
      <c r="I174" s="16">
        <v>182</v>
      </c>
      <c r="J174" s="16">
        <v>50</v>
      </c>
    </row>
    <row r="175" spans="5:10">
      <c r="E175" s="17"/>
      <c r="F175" s="17"/>
      <c r="G175" s="17"/>
      <c r="H175" s="17"/>
      <c r="I175" s="16">
        <v>183</v>
      </c>
      <c r="J175" s="16">
        <v>50</v>
      </c>
    </row>
    <row r="176" spans="5:10">
      <c r="E176" s="17"/>
      <c r="F176" s="17"/>
      <c r="G176" s="17"/>
      <c r="H176" s="17"/>
      <c r="I176" s="16">
        <v>184</v>
      </c>
      <c r="J176" s="16">
        <v>50</v>
      </c>
    </row>
    <row r="177" spans="5:10">
      <c r="E177" s="17"/>
      <c r="F177" s="17"/>
      <c r="G177" s="17"/>
      <c r="H177" s="17"/>
      <c r="I177" s="16">
        <v>185</v>
      </c>
      <c r="J177" s="16">
        <v>50</v>
      </c>
    </row>
    <row r="178" spans="5:10">
      <c r="E178" s="17"/>
      <c r="F178" s="17"/>
      <c r="G178" s="17"/>
      <c r="H178" s="17"/>
      <c r="I178" s="16">
        <v>186</v>
      </c>
      <c r="J178" s="16">
        <v>50</v>
      </c>
    </row>
    <row r="179" spans="5:10">
      <c r="E179" s="17"/>
      <c r="F179" s="17"/>
      <c r="G179" s="17"/>
      <c r="H179" s="17"/>
      <c r="I179" s="16">
        <v>187</v>
      </c>
      <c r="J179" s="16">
        <v>50</v>
      </c>
    </row>
    <row r="180" spans="5:10">
      <c r="E180" s="17"/>
      <c r="F180" s="17"/>
      <c r="G180" s="17"/>
      <c r="H180" s="17"/>
      <c r="I180" s="16">
        <v>188</v>
      </c>
      <c r="J180" s="16">
        <v>50</v>
      </c>
    </row>
    <row r="181" spans="5:10">
      <c r="E181" s="17"/>
      <c r="F181" s="17"/>
      <c r="G181" s="17"/>
      <c r="H181" s="17"/>
      <c r="I181" s="16">
        <v>189</v>
      </c>
      <c r="J181" s="16">
        <v>50</v>
      </c>
    </row>
    <row r="182" spans="5:10">
      <c r="E182" s="17"/>
      <c r="F182" s="17"/>
      <c r="G182" s="17"/>
      <c r="H182" s="17"/>
      <c r="I182" s="16">
        <v>190</v>
      </c>
      <c r="J182" s="16">
        <v>50</v>
      </c>
    </row>
    <row r="183" spans="5:10">
      <c r="E183" s="17"/>
      <c r="F183" s="17"/>
      <c r="G183" s="17"/>
      <c r="H183" s="17"/>
      <c r="I183" s="16">
        <v>191</v>
      </c>
      <c r="J183" s="16">
        <v>50</v>
      </c>
    </row>
    <row r="184" spans="5:10">
      <c r="E184" s="17"/>
      <c r="F184" s="17"/>
      <c r="G184" s="17"/>
      <c r="H184" s="17"/>
      <c r="I184" s="16">
        <v>192</v>
      </c>
      <c r="J184" s="16">
        <v>50</v>
      </c>
    </row>
    <row r="185" spans="5:10">
      <c r="E185" s="17"/>
      <c r="F185" s="17"/>
      <c r="G185" s="17"/>
      <c r="H185" s="17"/>
      <c r="I185" s="16">
        <v>193</v>
      </c>
      <c r="J185" s="16">
        <v>50</v>
      </c>
    </row>
    <row r="186" spans="5:10">
      <c r="E186" s="17"/>
      <c r="F186" s="17"/>
      <c r="G186" s="17"/>
      <c r="H186" s="17"/>
      <c r="I186" s="16">
        <v>194</v>
      </c>
      <c r="J186" s="16">
        <v>50</v>
      </c>
    </row>
    <row r="187" spans="5:10">
      <c r="E187" s="17"/>
      <c r="F187" s="17"/>
      <c r="G187" s="17"/>
      <c r="H187" s="17"/>
      <c r="I187" s="16">
        <v>195</v>
      </c>
      <c r="J187" s="16">
        <v>50</v>
      </c>
    </row>
    <row r="188" spans="5:10">
      <c r="E188" s="17"/>
      <c r="F188" s="17"/>
      <c r="G188" s="17"/>
      <c r="H188" s="17"/>
      <c r="I188" s="16">
        <v>196</v>
      </c>
      <c r="J188" s="16">
        <v>50</v>
      </c>
    </row>
    <row r="189" spans="5:10">
      <c r="E189" s="17"/>
      <c r="F189" s="17"/>
      <c r="G189" s="17"/>
      <c r="H189" s="17"/>
      <c r="I189" s="16">
        <v>197</v>
      </c>
      <c r="J189" s="16">
        <v>50</v>
      </c>
    </row>
    <row r="190" spans="5:10">
      <c r="E190" s="17"/>
      <c r="F190" s="17"/>
      <c r="G190" s="17"/>
      <c r="H190" s="17"/>
      <c r="I190" s="16">
        <v>198</v>
      </c>
      <c r="J190" s="16">
        <v>50</v>
      </c>
    </row>
    <row r="191" spans="5:10">
      <c r="E191" s="17"/>
      <c r="F191" s="17"/>
      <c r="G191" s="17"/>
      <c r="H191" s="17"/>
      <c r="I191" s="16">
        <v>199</v>
      </c>
      <c r="J191" s="16">
        <v>50</v>
      </c>
    </row>
    <row r="192" spans="5:10">
      <c r="E192" s="17"/>
      <c r="F192" s="17"/>
      <c r="G192" s="17"/>
      <c r="H192" s="17"/>
      <c r="I192" s="16">
        <v>200</v>
      </c>
      <c r="J192" s="16">
        <v>50</v>
      </c>
    </row>
    <row r="193" spans="5:8">
      <c r="E193" s="15"/>
      <c r="F193" s="15"/>
      <c r="G193" s="15"/>
      <c r="H193" s="15"/>
    </row>
    <row r="194" spans="5:8">
      <c r="E194" s="15"/>
      <c r="F194" s="15"/>
      <c r="G194" s="15"/>
      <c r="H194" s="15"/>
    </row>
    <row r="195" spans="5:8">
      <c r="E195" s="15"/>
      <c r="F195" s="15"/>
      <c r="G195" s="15"/>
      <c r="H195" s="15"/>
    </row>
    <row r="196" spans="5:8">
      <c r="E196" s="15"/>
      <c r="F196" s="15"/>
      <c r="G196" s="15"/>
      <c r="H196" s="15"/>
    </row>
    <row r="197" spans="5:8">
      <c r="E197" s="15"/>
      <c r="F197" s="15"/>
      <c r="G197" s="15"/>
      <c r="H197" s="15"/>
    </row>
    <row r="198" spans="5:8">
      <c r="E198" s="15"/>
      <c r="F198" s="15"/>
      <c r="G198" s="15"/>
      <c r="H198" s="15"/>
    </row>
    <row r="199" spans="5:8">
      <c r="E199" s="15"/>
      <c r="F199" s="15"/>
      <c r="G199" s="15"/>
      <c r="H199" s="15"/>
    </row>
    <row r="200" spans="5:8">
      <c r="E200" s="15"/>
      <c r="F200" s="15"/>
      <c r="G200" s="15"/>
      <c r="H200" s="15"/>
    </row>
    <row r="201" spans="5:8">
      <c r="E201" s="15"/>
      <c r="F201" s="15"/>
      <c r="G201" s="15"/>
      <c r="H201" s="15"/>
    </row>
    <row r="202" spans="5:8">
      <c r="E202" s="15"/>
      <c r="F202" s="15"/>
      <c r="G202" s="15"/>
      <c r="H202" s="15"/>
    </row>
    <row r="203" spans="5:8">
      <c r="E203" s="15"/>
      <c r="F203" s="15"/>
      <c r="G203" s="15"/>
      <c r="H203" s="15"/>
    </row>
    <row r="204" spans="5:8">
      <c r="E204" s="15"/>
      <c r="F204" s="15"/>
      <c r="G204" s="15"/>
      <c r="H204" s="15"/>
    </row>
    <row r="205" spans="5:8">
      <c r="E205" s="15"/>
      <c r="F205" s="15"/>
      <c r="G205" s="15"/>
      <c r="H205" s="15"/>
    </row>
    <row r="206" spans="5:8">
      <c r="E206" s="15"/>
      <c r="F206" s="15"/>
      <c r="G206" s="15"/>
      <c r="H206" s="15"/>
    </row>
    <row r="207" spans="5:8">
      <c r="E207" s="15"/>
      <c r="F207" s="15"/>
      <c r="G207" s="15"/>
      <c r="H207" s="15"/>
    </row>
    <row r="208" spans="5:8">
      <c r="E208" s="15"/>
      <c r="F208" s="15"/>
      <c r="G208" s="15"/>
      <c r="H208" s="15"/>
    </row>
    <row r="209" spans="5:8">
      <c r="E209" s="15"/>
      <c r="F209" s="15"/>
      <c r="G209" s="15"/>
      <c r="H209" s="15"/>
    </row>
    <row r="210" spans="5:8">
      <c r="E210" s="15"/>
      <c r="F210" s="15"/>
      <c r="G210" s="15"/>
      <c r="H210" s="15"/>
    </row>
    <row r="211" spans="5:8">
      <c r="E211" s="15"/>
      <c r="F211" s="15"/>
      <c r="G211" s="15"/>
      <c r="H211" s="15"/>
    </row>
    <row r="212" spans="5:8">
      <c r="E212" s="15"/>
      <c r="F212" s="15"/>
      <c r="G212" s="15"/>
      <c r="H212" s="15"/>
    </row>
    <row r="213" spans="5:8">
      <c r="E213" s="15"/>
      <c r="F213" s="15"/>
      <c r="G213" s="15"/>
      <c r="H213" s="15"/>
    </row>
    <row r="214" spans="5:8">
      <c r="E214" s="15"/>
      <c r="F214" s="15"/>
      <c r="G214" s="15"/>
      <c r="H214" s="15"/>
    </row>
    <row r="215" spans="5:8">
      <c r="E215" s="15"/>
      <c r="F215" s="15"/>
      <c r="G215" s="15"/>
      <c r="H215" s="15"/>
    </row>
    <row r="216" spans="5:8">
      <c r="E216" s="15"/>
      <c r="F216" s="15"/>
      <c r="G216" s="15"/>
      <c r="H216" s="15"/>
    </row>
    <row r="217" spans="5:8">
      <c r="E217" s="15"/>
      <c r="F217" s="15"/>
      <c r="G217" s="15"/>
      <c r="H217" s="15"/>
    </row>
    <row r="218" spans="5:8">
      <c r="E218" s="15"/>
      <c r="F218" s="15"/>
      <c r="G218" s="15"/>
      <c r="H218" s="15"/>
    </row>
    <row r="219" spans="5:8">
      <c r="E219" s="15"/>
      <c r="F219" s="15"/>
      <c r="G219" s="15"/>
      <c r="H219" s="15"/>
    </row>
    <row r="220" spans="5:8">
      <c r="E220" s="15"/>
      <c r="F220" s="15"/>
      <c r="G220" s="15"/>
      <c r="H220" s="15"/>
    </row>
    <row r="221" spans="5:8">
      <c r="E221" s="15"/>
      <c r="F221" s="15"/>
      <c r="G221" s="15"/>
      <c r="H221" s="15"/>
    </row>
    <row r="222" spans="5:8">
      <c r="E222" s="15"/>
      <c r="F222" s="15"/>
      <c r="G222" s="15"/>
      <c r="H222" s="15"/>
    </row>
    <row r="223" spans="5:8">
      <c r="E223" s="15"/>
      <c r="F223" s="15"/>
      <c r="G223" s="15"/>
      <c r="H223" s="15"/>
    </row>
    <row r="224" spans="5:8">
      <c r="E224" s="15"/>
      <c r="F224" s="15"/>
      <c r="G224" s="15"/>
      <c r="H224" s="15"/>
    </row>
    <row r="225" spans="5:8">
      <c r="E225" s="15"/>
      <c r="F225" s="15"/>
      <c r="G225" s="15"/>
      <c r="H225" s="15"/>
    </row>
    <row r="226" spans="5:8">
      <c r="E226" s="15"/>
      <c r="F226" s="15"/>
      <c r="G226" s="15"/>
      <c r="H226" s="15"/>
    </row>
    <row r="227" spans="5:8">
      <c r="E227" s="15"/>
      <c r="F227" s="15"/>
      <c r="G227" s="15"/>
      <c r="H227" s="15"/>
    </row>
    <row r="228" spans="5:8">
      <c r="E228" s="15"/>
      <c r="F228" s="15"/>
      <c r="G228" s="15"/>
      <c r="H228" s="15"/>
    </row>
    <row r="229" spans="5:8">
      <c r="E229" s="15"/>
      <c r="F229" s="15"/>
      <c r="G229" s="15"/>
      <c r="H229" s="15"/>
    </row>
    <row r="230" spans="5:8">
      <c r="E230" s="15"/>
      <c r="F230" s="15"/>
      <c r="G230" s="15"/>
      <c r="H230" s="15"/>
    </row>
    <row r="231" spans="5:8">
      <c r="E231" s="15"/>
      <c r="F231" s="15"/>
      <c r="G231" s="15"/>
      <c r="H231" s="15"/>
    </row>
    <row r="232" spans="5:8">
      <c r="E232" s="15"/>
      <c r="F232" s="15"/>
      <c r="G232" s="15"/>
      <c r="H232" s="15"/>
    </row>
    <row r="233" spans="5:8">
      <c r="E233" s="15"/>
      <c r="F233" s="15"/>
      <c r="G233" s="15"/>
      <c r="H233" s="15"/>
    </row>
    <row r="234" spans="5:8">
      <c r="E234" s="15"/>
      <c r="F234" s="15"/>
      <c r="G234" s="15"/>
      <c r="H234" s="15"/>
    </row>
    <row r="235" spans="5:8">
      <c r="E235" s="15"/>
      <c r="F235" s="15"/>
      <c r="G235" s="15"/>
      <c r="H235" s="15"/>
    </row>
    <row r="236" spans="5:8">
      <c r="E236" s="15"/>
      <c r="F236" s="15"/>
      <c r="G236" s="15"/>
      <c r="H236" s="15"/>
    </row>
    <row r="237" spans="5:8">
      <c r="E237" s="15"/>
      <c r="F237" s="15"/>
      <c r="G237" s="15"/>
      <c r="H237" s="15"/>
    </row>
    <row r="238" spans="5:8">
      <c r="E238" s="15"/>
      <c r="F238" s="15"/>
      <c r="G238" s="15"/>
      <c r="H238" s="15"/>
    </row>
    <row r="239" spans="5:8">
      <c r="E239" s="15"/>
      <c r="F239" s="15"/>
      <c r="G239" s="15"/>
      <c r="H239" s="15"/>
    </row>
    <row r="240" spans="5:8">
      <c r="E240" s="15"/>
      <c r="F240" s="15"/>
      <c r="G240" s="15"/>
      <c r="H240" s="15"/>
    </row>
    <row r="241" spans="5:8">
      <c r="E241" s="15"/>
      <c r="F241" s="15"/>
      <c r="G241" s="15"/>
      <c r="H241" s="15"/>
    </row>
    <row r="242" spans="5:8">
      <c r="E242" s="15"/>
      <c r="F242" s="15"/>
      <c r="G242" s="15"/>
      <c r="H242" s="15"/>
    </row>
    <row r="243" spans="5:8">
      <c r="E243" s="15"/>
      <c r="F243" s="15"/>
      <c r="G243" s="15"/>
      <c r="H243" s="15"/>
    </row>
    <row r="244" spans="5:8">
      <c r="E244" s="15"/>
      <c r="F244" s="15"/>
      <c r="G244" s="15"/>
      <c r="H244" s="15"/>
    </row>
    <row r="245" spans="5:8">
      <c r="E245" s="15"/>
      <c r="F245" s="15"/>
      <c r="G245" s="15"/>
      <c r="H245" s="15"/>
    </row>
    <row r="246" spans="5:8">
      <c r="E246" s="15"/>
      <c r="F246" s="15"/>
      <c r="G246" s="15"/>
      <c r="H246" s="15"/>
    </row>
    <row r="247" spans="5:8">
      <c r="E247" s="15"/>
      <c r="F247" s="15"/>
      <c r="G247" s="15"/>
      <c r="H247" s="15"/>
    </row>
    <row r="248" spans="5:8">
      <c r="E248" s="15"/>
      <c r="F248" s="15"/>
      <c r="G248" s="15"/>
      <c r="H248" s="15"/>
    </row>
    <row r="249" spans="5:8">
      <c r="E249" s="15"/>
      <c r="F249" s="15"/>
      <c r="G249" s="15"/>
      <c r="H249" s="15"/>
    </row>
    <row r="250" spans="5:8">
      <c r="E250" s="15"/>
      <c r="F250" s="15"/>
      <c r="G250" s="15"/>
      <c r="H250" s="15"/>
    </row>
    <row r="251" spans="5:8">
      <c r="E251" s="15"/>
      <c r="F251" s="15"/>
      <c r="G251" s="15"/>
      <c r="H251" s="15"/>
    </row>
    <row r="252" spans="5:8">
      <c r="E252" s="15"/>
      <c r="F252" s="15"/>
      <c r="G252" s="15"/>
      <c r="H252" s="15"/>
    </row>
    <row r="253" spans="5:8">
      <c r="E253" s="15"/>
      <c r="F253" s="15"/>
      <c r="G253" s="15"/>
      <c r="H253" s="15"/>
    </row>
    <row r="254" spans="5:8">
      <c r="E254" s="15"/>
      <c r="F254" s="15"/>
      <c r="G254" s="15"/>
      <c r="H254" s="15"/>
    </row>
    <row r="255" spans="5:8">
      <c r="E255" s="15"/>
      <c r="F255" s="15"/>
      <c r="G255" s="15"/>
      <c r="H255" s="15"/>
    </row>
    <row r="256" spans="5:8">
      <c r="E256" s="15"/>
      <c r="F256" s="15"/>
      <c r="G256" s="15"/>
      <c r="H256" s="15"/>
    </row>
    <row r="257" spans="5:8">
      <c r="E257" s="15"/>
      <c r="F257" s="15"/>
      <c r="G257" s="15"/>
      <c r="H257" s="15"/>
    </row>
    <row r="258" spans="5:8">
      <c r="E258" s="15"/>
      <c r="F258" s="15"/>
      <c r="G258" s="15"/>
      <c r="H258" s="15"/>
    </row>
    <row r="259" spans="5:8">
      <c r="E259" s="15"/>
      <c r="F259" s="15"/>
      <c r="G259" s="15"/>
      <c r="H259" s="15"/>
    </row>
    <row r="260" spans="5:8">
      <c r="E260" s="15"/>
      <c r="F260" s="15"/>
      <c r="G260" s="15"/>
      <c r="H260" s="15"/>
    </row>
    <row r="261" spans="5:8">
      <c r="E261" s="15"/>
      <c r="F261" s="15"/>
      <c r="G261" s="15"/>
      <c r="H261" s="15"/>
    </row>
    <row r="262" spans="5:8">
      <c r="E262" s="15"/>
      <c r="F262" s="15"/>
      <c r="G262" s="15"/>
      <c r="H262" s="15"/>
    </row>
    <row r="263" spans="5:8">
      <c r="E263" s="15"/>
      <c r="F263" s="15"/>
      <c r="G263" s="15"/>
      <c r="H263" s="15"/>
    </row>
    <row r="264" spans="5:8">
      <c r="E264" s="15"/>
      <c r="F264" s="15"/>
      <c r="G264" s="15"/>
      <c r="H264" s="15"/>
    </row>
    <row r="265" spans="5:8">
      <c r="E265" s="15"/>
      <c r="F265" s="15"/>
      <c r="G265" s="15"/>
      <c r="H265" s="15"/>
    </row>
    <row r="266" spans="5:8">
      <c r="E266" s="15"/>
      <c r="F266" s="15"/>
      <c r="G266" s="15"/>
      <c r="H266" s="15"/>
    </row>
    <row r="267" spans="5:8">
      <c r="E267" s="15"/>
      <c r="F267" s="15"/>
      <c r="G267" s="15"/>
      <c r="H267" s="15"/>
    </row>
    <row r="268" spans="5:8">
      <c r="E268" s="15"/>
      <c r="F268" s="15"/>
      <c r="G268" s="15"/>
      <c r="H268" s="15"/>
    </row>
    <row r="269" spans="5:8">
      <c r="E269" s="15"/>
      <c r="F269" s="15"/>
      <c r="G269" s="15"/>
      <c r="H269" s="15"/>
    </row>
    <row r="270" spans="5:8">
      <c r="E270" s="15"/>
      <c r="F270" s="15"/>
      <c r="G270" s="15"/>
      <c r="H270" s="15"/>
    </row>
    <row r="271" spans="5:8">
      <c r="E271" s="15"/>
      <c r="F271" s="15"/>
      <c r="G271" s="15"/>
      <c r="H271" s="15"/>
    </row>
    <row r="272" spans="5:8">
      <c r="E272" s="15"/>
      <c r="F272" s="15"/>
      <c r="G272" s="15"/>
      <c r="H272" s="15"/>
    </row>
    <row r="273" spans="5:8">
      <c r="E273" s="15"/>
      <c r="F273" s="15"/>
      <c r="G273" s="15"/>
      <c r="H273" s="15"/>
    </row>
    <row r="274" spans="5:8">
      <c r="E274" s="15"/>
      <c r="F274" s="15"/>
      <c r="G274" s="15"/>
      <c r="H274" s="15"/>
    </row>
    <row r="275" spans="5:8">
      <c r="E275" s="15"/>
      <c r="F275" s="15"/>
      <c r="G275" s="15"/>
      <c r="H275" s="15"/>
    </row>
    <row r="276" spans="5:8">
      <c r="E276" s="15"/>
      <c r="F276" s="15"/>
      <c r="G276" s="15"/>
      <c r="H276" s="15"/>
    </row>
    <row r="277" spans="5:8">
      <c r="E277" s="15"/>
      <c r="F277" s="15"/>
      <c r="G277" s="15"/>
      <c r="H277" s="15"/>
    </row>
    <row r="278" spans="5:8">
      <c r="E278" s="15"/>
      <c r="F278" s="15"/>
      <c r="G278" s="15"/>
      <c r="H278" s="15"/>
    </row>
    <row r="279" spans="5:8">
      <c r="E279" s="15"/>
      <c r="F279" s="15"/>
      <c r="G279" s="15"/>
      <c r="H279" s="15"/>
    </row>
    <row r="280" spans="5:8">
      <c r="E280" s="15"/>
      <c r="F280" s="15"/>
      <c r="G280" s="15"/>
      <c r="H280" s="15"/>
    </row>
    <row r="281" spans="5:8">
      <c r="E281" s="15"/>
      <c r="F281" s="15"/>
      <c r="G281" s="15"/>
      <c r="H281" s="15"/>
    </row>
    <row r="282" spans="5:8">
      <c r="E282" s="15"/>
      <c r="F282" s="15"/>
      <c r="G282" s="15"/>
      <c r="H282" s="15"/>
    </row>
    <row r="283" spans="5:8">
      <c r="E283" s="15"/>
      <c r="F283" s="15"/>
      <c r="G283" s="15"/>
      <c r="H283" s="15"/>
    </row>
    <row r="284" spans="5:8">
      <c r="E284" s="15"/>
      <c r="F284" s="15"/>
      <c r="G284" s="15"/>
      <c r="H284" s="15"/>
    </row>
    <row r="285" spans="5:8">
      <c r="E285" s="15"/>
      <c r="F285" s="15"/>
      <c r="G285" s="15"/>
      <c r="H285" s="15"/>
    </row>
    <row r="286" spans="5:8">
      <c r="E286" s="15"/>
      <c r="F286" s="15"/>
      <c r="G286" s="15"/>
      <c r="H286" s="15"/>
    </row>
    <row r="287" spans="5:8">
      <c r="E287" s="15"/>
      <c r="F287" s="15"/>
      <c r="G287" s="15"/>
      <c r="H287" s="15"/>
    </row>
    <row r="288" spans="5:8">
      <c r="E288" s="15"/>
      <c r="F288" s="15"/>
      <c r="G288" s="15"/>
      <c r="H288" s="15"/>
    </row>
    <row r="289" spans="5:8">
      <c r="E289" s="15"/>
      <c r="F289" s="15"/>
      <c r="G289" s="15"/>
      <c r="H289" s="15"/>
    </row>
    <row r="290" spans="5:8">
      <c r="E290" s="15"/>
      <c r="F290" s="15"/>
      <c r="G290" s="15"/>
      <c r="H290" s="15"/>
    </row>
    <row r="291" spans="5:8">
      <c r="E291" s="15"/>
      <c r="F291" s="15"/>
      <c r="G291" s="15"/>
      <c r="H291" s="15"/>
    </row>
    <row r="292" spans="5:8">
      <c r="E292" s="15"/>
      <c r="F292" s="15"/>
      <c r="G292" s="15"/>
      <c r="H292" s="15"/>
    </row>
    <row r="293" spans="5:8">
      <c r="E293" s="15"/>
      <c r="F293" s="15"/>
      <c r="G293" s="15"/>
      <c r="H293" s="15"/>
    </row>
    <row r="294" spans="5:8">
      <c r="E294" s="15"/>
      <c r="F294" s="15"/>
      <c r="G294" s="15"/>
      <c r="H294" s="15"/>
    </row>
    <row r="295" spans="5:8">
      <c r="E295" s="15"/>
      <c r="F295" s="15"/>
      <c r="G295" s="15"/>
      <c r="H295" s="15"/>
    </row>
    <row r="296" spans="5:8">
      <c r="E296" s="15"/>
      <c r="F296" s="15"/>
      <c r="G296" s="15"/>
      <c r="H296" s="15"/>
    </row>
    <row r="297" spans="5:8">
      <c r="E297" s="15"/>
      <c r="F297" s="15"/>
      <c r="G297" s="15"/>
      <c r="H297" s="15"/>
    </row>
    <row r="298" spans="5:8">
      <c r="E298" s="15"/>
      <c r="F298" s="15"/>
      <c r="G298" s="15"/>
      <c r="H298" s="15"/>
    </row>
    <row r="299" spans="5:8">
      <c r="E299" s="15"/>
      <c r="F299" s="15"/>
      <c r="G299" s="15"/>
      <c r="H299" s="15"/>
    </row>
    <row r="300" spans="5:8">
      <c r="E300" s="15"/>
      <c r="F300" s="15"/>
      <c r="G300" s="15"/>
      <c r="H300" s="15"/>
    </row>
    <row r="301" spans="5:8">
      <c r="E301" s="15"/>
      <c r="F301" s="15"/>
      <c r="G301" s="15"/>
      <c r="H301" s="15"/>
    </row>
    <row r="302" spans="5:8">
      <c r="E302" s="15"/>
      <c r="F302" s="15"/>
      <c r="G302" s="15"/>
      <c r="H302" s="15"/>
    </row>
    <row r="303" spans="5:8">
      <c r="E303" s="15"/>
      <c r="F303" s="15"/>
      <c r="G303" s="15"/>
      <c r="H303" s="15"/>
    </row>
    <row r="304" spans="5:8">
      <c r="E304" s="15"/>
      <c r="F304" s="15"/>
      <c r="G304" s="15"/>
      <c r="H304" s="15"/>
    </row>
    <row r="305" spans="5:8">
      <c r="E305" s="15"/>
      <c r="F305" s="15"/>
      <c r="G305" s="15"/>
      <c r="H305" s="15"/>
    </row>
    <row r="306" spans="5:8">
      <c r="E306" s="15"/>
      <c r="F306" s="15"/>
      <c r="G306" s="15"/>
      <c r="H306" s="15"/>
    </row>
    <row r="307" spans="5:8">
      <c r="E307" s="15"/>
      <c r="F307" s="15"/>
      <c r="G307" s="15"/>
      <c r="H307" s="15"/>
    </row>
    <row r="308" spans="5:8">
      <c r="E308" s="15"/>
      <c r="F308" s="15"/>
      <c r="G308" s="15"/>
      <c r="H308" s="15"/>
    </row>
    <row r="309" spans="5:8">
      <c r="E309" s="15"/>
      <c r="F309" s="15"/>
      <c r="G309" s="15"/>
      <c r="H309" s="15"/>
    </row>
    <row r="310" spans="5:8">
      <c r="E310" s="15"/>
      <c r="F310" s="15"/>
      <c r="G310" s="15"/>
      <c r="H310" s="15"/>
    </row>
    <row r="311" spans="5:8">
      <c r="E311" s="15"/>
      <c r="F311" s="15"/>
      <c r="G311" s="15"/>
      <c r="H311" s="15"/>
    </row>
    <row r="312" spans="5:8">
      <c r="E312" s="15"/>
      <c r="F312" s="15"/>
      <c r="G312" s="15"/>
      <c r="H312" s="15"/>
    </row>
    <row r="313" spans="5:8">
      <c r="E313" s="15"/>
      <c r="F313" s="15"/>
      <c r="G313" s="15"/>
      <c r="H313" s="15"/>
    </row>
    <row r="314" spans="5:8">
      <c r="E314" s="15"/>
      <c r="F314" s="15"/>
      <c r="G314" s="15"/>
      <c r="H314" s="15"/>
    </row>
    <row r="315" spans="5:8">
      <c r="E315" s="15"/>
      <c r="F315" s="15"/>
      <c r="G315" s="15"/>
      <c r="H315" s="15"/>
    </row>
    <row r="316" spans="5:8">
      <c r="E316" s="15"/>
      <c r="F316" s="15"/>
      <c r="G316" s="15"/>
      <c r="H316" s="15"/>
    </row>
    <row r="317" spans="5:8">
      <c r="E317" s="15"/>
      <c r="F317" s="15"/>
      <c r="G317" s="15"/>
      <c r="H317" s="15"/>
    </row>
    <row r="318" spans="5:8">
      <c r="E318" s="15"/>
      <c r="F318" s="15"/>
      <c r="G318" s="15"/>
      <c r="H318" s="15"/>
    </row>
    <row r="319" spans="5:8">
      <c r="E319" s="15"/>
      <c r="F319" s="15"/>
      <c r="G319" s="15"/>
      <c r="H319" s="15"/>
    </row>
    <row r="320" spans="5:8">
      <c r="E320" s="15"/>
      <c r="F320" s="15"/>
      <c r="G320" s="15"/>
      <c r="H320" s="15"/>
    </row>
    <row r="321" spans="5:8">
      <c r="E321" s="15"/>
      <c r="F321" s="15"/>
      <c r="G321" s="15"/>
      <c r="H321" s="15"/>
    </row>
    <row r="322" spans="5:8">
      <c r="E322" s="15"/>
      <c r="F322" s="15"/>
      <c r="G322" s="15"/>
      <c r="H322" s="15"/>
    </row>
    <row r="323" spans="5:8">
      <c r="E323" s="15"/>
      <c r="F323" s="15"/>
      <c r="G323" s="15"/>
      <c r="H323" s="15"/>
    </row>
    <row r="324" spans="5:8">
      <c r="E324" s="15"/>
      <c r="F324" s="15"/>
      <c r="G324" s="15"/>
      <c r="H324" s="15"/>
    </row>
    <row r="325" spans="5:8">
      <c r="E325" s="15"/>
      <c r="F325" s="15"/>
      <c r="G325" s="15"/>
      <c r="H325" s="15"/>
    </row>
    <row r="326" spans="5:8">
      <c r="E326" s="15"/>
      <c r="F326" s="15"/>
      <c r="G326" s="15"/>
      <c r="H326" s="15"/>
    </row>
    <row r="327" spans="5:8">
      <c r="E327" s="15"/>
      <c r="F327" s="15"/>
      <c r="G327" s="15"/>
      <c r="H327" s="15"/>
    </row>
    <row r="328" spans="5:8">
      <c r="E328" s="15"/>
      <c r="F328" s="15"/>
      <c r="G328" s="15"/>
      <c r="H328" s="15"/>
    </row>
    <row r="329" spans="5:8">
      <c r="E329" s="15"/>
      <c r="F329" s="15"/>
      <c r="G329" s="15"/>
      <c r="H329" s="15"/>
    </row>
    <row r="330" spans="5:8">
      <c r="E330" s="15"/>
      <c r="F330" s="15"/>
      <c r="G330" s="15"/>
      <c r="H330" s="15"/>
    </row>
    <row r="331" spans="5:8">
      <c r="E331" s="15"/>
      <c r="F331" s="15"/>
      <c r="G331" s="15"/>
      <c r="H331" s="15"/>
    </row>
    <row r="332" spans="5:8">
      <c r="E332" s="15"/>
      <c r="F332" s="15"/>
      <c r="G332" s="15"/>
      <c r="H332" s="15"/>
    </row>
    <row r="333" spans="5:8">
      <c r="E333" s="15"/>
      <c r="F333" s="15"/>
      <c r="G333" s="15"/>
      <c r="H333" s="15"/>
    </row>
    <row r="334" spans="5:8">
      <c r="E334" s="15"/>
      <c r="F334" s="15"/>
      <c r="G334" s="15"/>
      <c r="H334" s="15"/>
    </row>
    <row r="335" spans="5:8">
      <c r="E335" s="15"/>
      <c r="F335" s="15"/>
      <c r="G335" s="15"/>
      <c r="H335" s="15"/>
    </row>
    <row r="336" spans="5:8">
      <c r="E336" s="15"/>
      <c r="F336" s="15"/>
      <c r="G336" s="15"/>
      <c r="H336" s="15"/>
    </row>
    <row r="337" spans="5:8">
      <c r="E337" s="15"/>
      <c r="F337" s="15"/>
      <c r="G337" s="15"/>
      <c r="H337" s="15"/>
    </row>
    <row r="338" spans="5:8">
      <c r="E338" s="15"/>
      <c r="F338" s="15"/>
      <c r="G338" s="15"/>
      <c r="H338" s="15"/>
    </row>
    <row r="339" spans="5:8">
      <c r="E339" s="15"/>
      <c r="F339" s="15"/>
      <c r="G339" s="15"/>
      <c r="H339" s="15"/>
    </row>
    <row r="340" spans="5:8">
      <c r="E340" s="15"/>
      <c r="F340" s="15"/>
      <c r="G340" s="15"/>
      <c r="H340" s="15"/>
    </row>
    <row r="341" spans="5:8">
      <c r="E341" s="15"/>
      <c r="F341" s="15"/>
      <c r="G341" s="15"/>
      <c r="H341" s="15"/>
    </row>
    <row r="342" spans="5:8">
      <c r="E342" s="15"/>
      <c r="F342" s="15"/>
      <c r="G342" s="15"/>
      <c r="H342" s="15"/>
    </row>
    <row r="343" spans="5:8">
      <c r="E343" s="15"/>
      <c r="F343" s="15"/>
      <c r="G343" s="15"/>
      <c r="H343" s="15"/>
    </row>
    <row r="344" spans="5:8">
      <c r="E344" s="15"/>
      <c r="F344" s="15"/>
      <c r="G344" s="15"/>
      <c r="H344" s="15"/>
    </row>
    <row r="345" spans="5:8">
      <c r="E345" s="15"/>
      <c r="F345" s="15"/>
      <c r="G345" s="15"/>
      <c r="H345" s="15"/>
    </row>
    <row r="346" spans="5:8">
      <c r="E346" s="15"/>
      <c r="F346" s="15"/>
      <c r="G346" s="15"/>
      <c r="H346" s="15"/>
    </row>
    <row r="347" spans="5:8">
      <c r="E347" s="15"/>
      <c r="F347" s="15"/>
      <c r="G347" s="15"/>
      <c r="H347" s="15"/>
    </row>
    <row r="348" spans="5:8">
      <c r="E348" s="15"/>
      <c r="F348" s="15"/>
      <c r="G348" s="15"/>
      <c r="H348" s="15"/>
    </row>
    <row r="349" spans="5:8">
      <c r="E349" s="15"/>
      <c r="F349" s="15"/>
      <c r="G349" s="15"/>
      <c r="H349" s="15"/>
    </row>
    <row r="350" spans="5:8">
      <c r="E350" s="15"/>
      <c r="F350" s="15"/>
      <c r="G350" s="15"/>
      <c r="H350" s="15"/>
    </row>
    <row r="351" spans="5:8">
      <c r="E351" s="15"/>
      <c r="F351" s="15"/>
      <c r="G351" s="15"/>
      <c r="H351" s="15"/>
    </row>
    <row r="352" spans="5:8">
      <c r="E352" s="15"/>
      <c r="F352" s="15"/>
      <c r="G352" s="15"/>
      <c r="H352" s="15"/>
    </row>
    <row r="353" spans="5:8">
      <c r="E353" s="15"/>
      <c r="F353" s="15"/>
      <c r="G353" s="15"/>
      <c r="H353" s="15"/>
    </row>
    <row r="354" spans="5:8">
      <c r="E354" s="15"/>
      <c r="F354" s="15"/>
      <c r="G354" s="15"/>
      <c r="H354" s="15"/>
    </row>
    <row r="355" spans="5:8">
      <c r="E355" s="15"/>
      <c r="F355" s="15"/>
      <c r="G355" s="15"/>
      <c r="H355" s="15"/>
    </row>
    <row r="356" spans="5:8">
      <c r="E356" s="15"/>
      <c r="F356" s="15"/>
      <c r="G356" s="15"/>
      <c r="H356" s="15"/>
    </row>
    <row r="357" spans="5:8">
      <c r="E357" s="15"/>
      <c r="F357" s="15"/>
      <c r="G357" s="15"/>
      <c r="H357" s="15"/>
    </row>
    <row r="358" spans="5:8">
      <c r="E358" s="15"/>
      <c r="F358" s="15"/>
      <c r="G358" s="15"/>
      <c r="H358" s="15"/>
    </row>
    <row r="359" spans="5:8">
      <c r="E359" s="15"/>
      <c r="F359" s="15"/>
      <c r="G359" s="15"/>
      <c r="H359" s="15"/>
    </row>
    <row r="360" spans="5:8">
      <c r="E360" s="15"/>
      <c r="F360" s="15"/>
      <c r="G360" s="15"/>
      <c r="H360" s="15"/>
    </row>
    <row r="361" spans="5:8">
      <c r="E361" s="15"/>
      <c r="F361" s="15"/>
      <c r="G361" s="15"/>
      <c r="H361" s="15"/>
    </row>
    <row r="362" spans="5:8">
      <c r="E362" s="15"/>
      <c r="F362" s="15"/>
      <c r="G362" s="15"/>
      <c r="H362" s="15"/>
    </row>
    <row r="363" spans="5:8">
      <c r="E363" s="15"/>
      <c r="F363" s="15"/>
      <c r="G363" s="15"/>
      <c r="H363" s="15"/>
    </row>
    <row r="364" spans="5:8">
      <c r="E364" s="15"/>
      <c r="F364" s="15"/>
      <c r="G364" s="15"/>
      <c r="H364" s="15"/>
    </row>
    <row r="365" spans="5:8">
      <c r="E365" s="15"/>
      <c r="F365" s="15"/>
      <c r="G365" s="15"/>
      <c r="H365" s="15"/>
    </row>
    <row r="366" spans="5:8">
      <c r="E366" s="15"/>
      <c r="F366" s="15"/>
      <c r="G366" s="15"/>
      <c r="H366" s="15"/>
    </row>
    <row r="367" spans="5:8">
      <c r="E367" s="15"/>
      <c r="F367" s="15"/>
      <c r="G367" s="15"/>
      <c r="H367" s="15"/>
    </row>
    <row r="368" spans="5:8">
      <c r="E368" s="15"/>
      <c r="F368" s="15"/>
      <c r="G368" s="15"/>
      <c r="H368" s="15"/>
    </row>
    <row r="369" spans="5:8">
      <c r="E369" s="15"/>
      <c r="F369" s="15"/>
      <c r="G369" s="15"/>
      <c r="H369" s="15"/>
    </row>
    <row r="370" spans="5:8">
      <c r="E370" s="15"/>
      <c r="F370" s="15"/>
      <c r="G370" s="15"/>
      <c r="H370" s="15"/>
    </row>
    <row r="371" spans="5:8">
      <c r="E371" s="15"/>
      <c r="F371" s="15"/>
      <c r="G371" s="15"/>
      <c r="H371" s="15"/>
    </row>
    <row r="372" spans="5:8">
      <c r="E372" s="15"/>
      <c r="F372" s="15"/>
      <c r="G372" s="15"/>
      <c r="H372" s="15"/>
    </row>
    <row r="373" spans="5:8">
      <c r="E373" s="15"/>
      <c r="F373" s="15"/>
      <c r="G373" s="15"/>
      <c r="H373" s="15"/>
    </row>
    <row r="374" spans="5:8">
      <c r="E374" s="15"/>
      <c r="F374" s="15"/>
      <c r="G374" s="15"/>
      <c r="H374" s="15"/>
    </row>
    <row r="375" spans="5:8">
      <c r="E375" s="15"/>
      <c r="F375" s="15"/>
      <c r="G375" s="15"/>
      <c r="H375" s="15"/>
    </row>
    <row r="376" spans="5:8">
      <c r="E376" s="15"/>
      <c r="F376" s="15"/>
      <c r="G376" s="15"/>
      <c r="H376" s="15"/>
    </row>
    <row r="377" spans="5:8">
      <c r="E377" s="15"/>
      <c r="F377" s="15"/>
      <c r="G377" s="15"/>
      <c r="H377" s="15"/>
    </row>
    <row r="378" spans="5:8">
      <c r="E378" s="15"/>
      <c r="F378" s="15"/>
      <c r="G378" s="15"/>
      <c r="H378" s="15"/>
    </row>
    <row r="379" spans="5:8">
      <c r="E379" s="15"/>
      <c r="F379" s="15"/>
      <c r="G379" s="15"/>
      <c r="H379" s="15"/>
    </row>
    <row r="380" spans="5:8">
      <c r="E380" s="15"/>
      <c r="F380" s="15"/>
      <c r="G380" s="15"/>
      <c r="H380" s="15"/>
    </row>
    <row r="381" spans="5:8">
      <c r="E381" s="15"/>
      <c r="F381" s="15"/>
      <c r="G381" s="15"/>
      <c r="H381" s="15"/>
    </row>
    <row r="382" spans="5:8">
      <c r="E382" s="15"/>
      <c r="F382" s="15"/>
      <c r="G382" s="15"/>
      <c r="H382" s="15"/>
    </row>
    <row r="383" spans="5:8">
      <c r="E383" s="15"/>
      <c r="F383" s="15"/>
      <c r="G383" s="15"/>
      <c r="H383" s="15"/>
    </row>
    <row r="384" spans="5:8">
      <c r="E384" s="15"/>
      <c r="F384" s="15"/>
      <c r="G384" s="15"/>
      <c r="H384" s="15"/>
    </row>
    <row r="385" spans="5:8">
      <c r="E385" s="15"/>
      <c r="F385" s="15"/>
      <c r="G385" s="15"/>
      <c r="H385" s="15"/>
    </row>
    <row r="386" spans="5:8">
      <c r="E386" s="15"/>
      <c r="F386" s="15"/>
      <c r="G386" s="15"/>
      <c r="H386" s="15"/>
    </row>
    <row r="387" spans="5:8">
      <c r="E387" s="15"/>
      <c r="F387" s="15"/>
      <c r="G387" s="15"/>
      <c r="H387" s="15"/>
    </row>
    <row r="388" spans="5:8">
      <c r="E388" s="15"/>
      <c r="F388" s="15"/>
      <c r="G388" s="15"/>
      <c r="H388" s="15"/>
    </row>
    <row r="389" spans="5:8">
      <c r="E389" s="15"/>
      <c r="F389" s="15"/>
      <c r="G389" s="15"/>
      <c r="H389" s="15"/>
    </row>
    <row r="390" spans="5:8">
      <c r="E390" s="15"/>
      <c r="F390" s="15"/>
      <c r="G390" s="15"/>
      <c r="H390" s="15"/>
    </row>
    <row r="391" spans="5:8">
      <c r="E391" s="15"/>
      <c r="F391" s="15"/>
      <c r="G391" s="15"/>
      <c r="H391" s="15"/>
    </row>
    <row r="392" spans="5:8">
      <c r="E392" s="15"/>
      <c r="F392" s="15"/>
      <c r="G392" s="15"/>
      <c r="H392" s="15"/>
    </row>
    <row r="393" spans="5:8">
      <c r="E393" s="15"/>
      <c r="F393" s="15"/>
      <c r="G393" s="15"/>
      <c r="H393" s="15"/>
    </row>
    <row r="394" spans="5:8">
      <c r="E394" s="15"/>
      <c r="F394" s="15"/>
      <c r="G394" s="15"/>
      <c r="H394" s="15"/>
    </row>
    <row r="395" spans="5:8">
      <c r="E395" s="15"/>
      <c r="F395" s="15"/>
      <c r="G395" s="15"/>
      <c r="H395" s="15"/>
    </row>
    <row r="396" spans="5:8">
      <c r="E396" s="15"/>
      <c r="F396" s="15"/>
      <c r="G396" s="15"/>
      <c r="H396" s="15"/>
    </row>
    <row r="397" spans="5:8">
      <c r="E397" s="15"/>
      <c r="F397" s="15"/>
      <c r="G397" s="15"/>
      <c r="H397" s="15"/>
    </row>
    <row r="398" spans="5:8">
      <c r="E398" s="15"/>
      <c r="F398" s="15"/>
      <c r="G398" s="15"/>
      <c r="H398" s="15"/>
    </row>
    <row r="399" spans="5:8">
      <c r="E399" s="15"/>
      <c r="F399" s="15"/>
      <c r="G399" s="15"/>
      <c r="H399" s="15"/>
    </row>
    <row r="400" spans="5:8">
      <c r="E400" s="15"/>
      <c r="F400" s="15"/>
      <c r="G400" s="15"/>
      <c r="H400" s="15"/>
    </row>
    <row r="401" spans="5:8">
      <c r="E401" s="15"/>
      <c r="F401" s="15"/>
      <c r="G401" s="15"/>
      <c r="H401" s="15"/>
    </row>
    <row r="402" spans="5:8">
      <c r="E402" s="15"/>
      <c r="F402" s="15"/>
      <c r="G402" s="15"/>
      <c r="H402" s="15"/>
    </row>
    <row r="403" spans="5:8">
      <c r="E403" s="15"/>
      <c r="F403" s="15"/>
      <c r="G403" s="15"/>
      <c r="H403" s="15"/>
    </row>
    <row r="404" spans="5:8">
      <c r="E404" s="15"/>
      <c r="F404" s="15"/>
      <c r="G404" s="15"/>
      <c r="H404" s="15"/>
    </row>
    <row r="405" spans="5:8">
      <c r="E405" s="15"/>
      <c r="F405" s="15"/>
      <c r="G405" s="15"/>
      <c r="H405" s="15"/>
    </row>
    <row r="406" spans="5:8">
      <c r="E406" s="15"/>
      <c r="F406" s="15"/>
      <c r="G406" s="15"/>
      <c r="H406" s="15"/>
    </row>
    <row r="407" spans="5:8">
      <c r="E407" s="15"/>
      <c r="F407" s="15"/>
      <c r="G407" s="15"/>
      <c r="H407" s="15"/>
    </row>
    <row r="408" spans="5:8">
      <c r="E408" s="15"/>
      <c r="F408" s="15"/>
      <c r="G408" s="15"/>
      <c r="H408" s="15"/>
    </row>
    <row r="409" spans="5:8">
      <c r="E409" s="15"/>
      <c r="F409" s="15"/>
      <c r="G409" s="15"/>
      <c r="H409" s="15"/>
    </row>
    <row r="410" spans="5:8">
      <c r="E410" s="15"/>
      <c r="F410" s="15"/>
      <c r="G410" s="15"/>
      <c r="H410" s="15"/>
    </row>
    <row r="411" spans="5:8">
      <c r="E411" s="15"/>
      <c r="F411" s="15"/>
      <c r="G411" s="15"/>
      <c r="H411" s="15"/>
    </row>
    <row r="412" spans="5:8">
      <c r="E412" s="15"/>
      <c r="F412" s="15"/>
      <c r="G412" s="15"/>
      <c r="H412" s="15"/>
    </row>
    <row r="413" spans="5:8">
      <c r="E413" s="15"/>
      <c r="F413" s="15"/>
      <c r="G413" s="15"/>
      <c r="H413" s="15"/>
    </row>
    <row r="414" spans="5:8">
      <c r="E414" s="15"/>
      <c r="F414" s="15"/>
      <c r="G414" s="15"/>
      <c r="H414" s="15"/>
    </row>
    <row r="415" spans="5:8">
      <c r="E415" s="15"/>
      <c r="F415" s="15"/>
      <c r="G415" s="15"/>
      <c r="H415" s="15"/>
    </row>
    <row r="416" spans="5:8">
      <c r="E416" s="15"/>
      <c r="F416" s="15"/>
      <c r="G416" s="15"/>
      <c r="H416" s="15"/>
    </row>
    <row r="417" spans="5:8">
      <c r="E417" s="15"/>
      <c r="F417" s="15"/>
      <c r="G417" s="15"/>
      <c r="H417" s="15"/>
    </row>
    <row r="418" spans="5:8">
      <c r="E418" s="15"/>
      <c r="F418" s="15"/>
      <c r="G418" s="15"/>
      <c r="H418" s="15"/>
    </row>
    <row r="419" spans="5:8">
      <c r="E419" s="15"/>
      <c r="F419" s="15"/>
      <c r="G419" s="15"/>
      <c r="H419" s="15"/>
    </row>
    <row r="420" spans="5:8">
      <c r="E420" s="15"/>
      <c r="F420" s="15"/>
      <c r="G420" s="15"/>
      <c r="H420" s="15"/>
    </row>
    <row r="421" spans="5:8">
      <c r="E421" s="15"/>
      <c r="F421" s="15"/>
      <c r="G421" s="15"/>
      <c r="H421" s="15"/>
    </row>
    <row r="422" spans="5:8">
      <c r="E422" s="15"/>
      <c r="F422" s="15"/>
      <c r="G422" s="15"/>
      <c r="H422" s="15"/>
    </row>
    <row r="423" spans="5:8">
      <c r="E423" s="15"/>
      <c r="F423" s="15"/>
      <c r="G423" s="15"/>
      <c r="H423" s="15"/>
    </row>
    <row r="424" spans="5:8">
      <c r="E424" s="15"/>
      <c r="F424" s="15"/>
      <c r="G424" s="15"/>
      <c r="H424" s="15"/>
    </row>
    <row r="425" spans="5:8">
      <c r="E425" s="15"/>
      <c r="F425" s="15"/>
      <c r="G425" s="15"/>
      <c r="H425" s="15"/>
    </row>
    <row r="426" spans="5:8">
      <c r="E426" s="15"/>
      <c r="F426" s="15"/>
      <c r="G426" s="15"/>
      <c r="H426" s="15"/>
    </row>
    <row r="427" spans="5:8">
      <c r="E427" s="15"/>
      <c r="F427" s="15"/>
      <c r="G427" s="15"/>
      <c r="H427" s="15"/>
    </row>
    <row r="428" spans="5:8">
      <c r="E428" s="15"/>
      <c r="F428" s="15"/>
      <c r="G428" s="15"/>
      <c r="H428" s="15"/>
    </row>
    <row r="429" spans="5:8">
      <c r="E429" s="15"/>
      <c r="F429" s="15"/>
      <c r="G429" s="15"/>
      <c r="H429" s="15"/>
    </row>
    <row r="430" spans="5:8">
      <c r="E430" s="15"/>
      <c r="F430" s="15"/>
      <c r="G430" s="15"/>
      <c r="H430" s="15"/>
    </row>
    <row r="431" spans="5:8">
      <c r="E431" s="15"/>
      <c r="F431" s="15"/>
      <c r="G431" s="15"/>
      <c r="H431" s="15"/>
    </row>
    <row r="432" spans="5:8">
      <c r="E432" s="15"/>
      <c r="F432" s="15"/>
      <c r="G432" s="15"/>
      <c r="H432" s="15"/>
    </row>
    <row r="433" spans="5:8">
      <c r="E433" s="15"/>
      <c r="F433" s="15"/>
      <c r="G433" s="15"/>
      <c r="H433" s="15"/>
    </row>
    <row r="434" spans="5:8">
      <c r="E434" s="15"/>
      <c r="F434" s="15"/>
      <c r="G434" s="15"/>
      <c r="H434" s="15"/>
    </row>
    <row r="435" spans="5:8">
      <c r="E435" s="15"/>
      <c r="F435" s="15"/>
      <c r="G435" s="15"/>
      <c r="H435" s="15"/>
    </row>
    <row r="436" spans="5:8">
      <c r="E436" s="15"/>
      <c r="F436" s="15"/>
      <c r="G436" s="15"/>
      <c r="H436" s="15"/>
    </row>
    <row r="437" spans="5:8">
      <c r="E437" s="15"/>
      <c r="F437" s="15"/>
      <c r="G437" s="15"/>
      <c r="H437" s="15"/>
    </row>
    <row r="438" spans="5:8">
      <c r="E438" s="15"/>
      <c r="F438" s="15"/>
      <c r="G438" s="15"/>
      <c r="H438" s="15"/>
    </row>
    <row r="439" spans="5:8">
      <c r="E439" s="15"/>
      <c r="F439" s="15"/>
      <c r="G439" s="15"/>
      <c r="H439" s="15"/>
    </row>
    <row r="440" spans="5:8">
      <c r="E440" s="15"/>
      <c r="F440" s="15"/>
      <c r="G440" s="15"/>
      <c r="H440" s="15"/>
    </row>
    <row r="441" spans="5:8">
      <c r="E441" s="15"/>
      <c r="F441" s="15"/>
      <c r="G441" s="15"/>
      <c r="H441" s="15"/>
    </row>
    <row r="442" spans="5:8">
      <c r="E442" s="15"/>
      <c r="F442" s="15"/>
      <c r="G442" s="15"/>
      <c r="H442" s="15"/>
    </row>
    <row r="443" spans="5:8">
      <c r="E443" s="15"/>
      <c r="F443" s="15"/>
      <c r="G443" s="15"/>
      <c r="H443" s="15"/>
    </row>
    <row r="444" spans="5:8">
      <c r="E444" s="15"/>
      <c r="F444" s="15"/>
      <c r="G444" s="15"/>
      <c r="H444" s="15"/>
    </row>
    <row r="445" spans="5:8">
      <c r="E445" s="15"/>
      <c r="F445" s="15"/>
      <c r="G445" s="15"/>
      <c r="H445" s="15"/>
    </row>
    <row r="446" spans="5:8">
      <c r="E446" s="15"/>
      <c r="F446" s="15"/>
      <c r="G446" s="15"/>
      <c r="H446" s="15"/>
    </row>
    <row r="447" spans="5:8">
      <c r="E447" s="15"/>
      <c r="F447" s="15"/>
      <c r="G447" s="15"/>
      <c r="H447" s="15"/>
    </row>
    <row r="448" spans="5:8">
      <c r="E448" s="15"/>
      <c r="F448" s="15"/>
      <c r="G448" s="15"/>
      <c r="H448" s="15"/>
    </row>
    <row r="449" spans="5:8">
      <c r="E449" s="15"/>
      <c r="F449" s="15"/>
      <c r="G449" s="15"/>
      <c r="H449" s="15"/>
    </row>
    <row r="450" spans="5:8">
      <c r="E450" s="15"/>
      <c r="F450" s="15"/>
      <c r="G450" s="15"/>
      <c r="H450" s="15"/>
    </row>
    <row r="451" spans="5:8">
      <c r="E451" s="15"/>
      <c r="F451" s="15"/>
      <c r="G451" s="15"/>
      <c r="H451" s="15"/>
    </row>
    <row r="452" spans="5:8">
      <c r="E452" s="15"/>
      <c r="F452" s="15"/>
      <c r="G452" s="15"/>
      <c r="H452" s="15"/>
    </row>
    <row r="453" spans="5:8">
      <c r="E453" s="15"/>
      <c r="F453" s="15"/>
      <c r="G453" s="15"/>
      <c r="H453" s="15"/>
    </row>
    <row r="454" spans="5:8">
      <c r="E454" s="15"/>
      <c r="F454" s="15"/>
      <c r="G454" s="15"/>
      <c r="H454" s="15"/>
    </row>
    <row r="455" spans="5:8">
      <c r="E455" s="15"/>
      <c r="F455" s="15"/>
      <c r="G455" s="15"/>
      <c r="H455" s="15"/>
    </row>
    <row r="456" spans="5:8">
      <c r="E456" s="15"/>
      <c r="F456" s="15"/>
      <c r="G456" s="15"/>
      <c r="H456" s="15"/>
    </row>
    <row r="457" spans="5:8">
      <c r="E457" s="15"/>
      <c r="F457" s="15"/>
      <c r="G457" s="15"/>
      <c r="H457" s="15"/>
    </row>
    <row r="458" spans="5:8">
      <c r="E458" s="15"/>
      <c r="F458" s="15"/>
      <c r="G458" s="15"/>
      <c r="H458" s="15"/>
    </row>
    <row r="459" spans="5:8">
      <c r="E459" s="15"/>
      <c r="F459" s="15"/>
      <c r="G459" s="15"/>
      <c r="H459" s="15"/>
    </row>
    <row r="460" spans="5:8">
      <c r="E460" s="15"/>
      <c r="F460" s="15"/>
      <c r="G460" s="15"/>
      <c r="H460" s="15"/>
    </row>
    <row r="461" spans="5:8">
      <c r="E461" s="15"/>
      <c r="F461" s="15"/>
      <c r="G461" s="15"/>
      <c r="H461" s="15"/>
    </row>
    <row r="462" spans="5:8">
      <c r="E462" s="15"/>
      <c r="F462" s="15"/>
      <c r="G462" s="15"/>
      <c r="H462" s="15"/>
    </row>
    <row r="463" spans="5:8">
      <c r="E463" s="15"/>
      <c r="F463" s="15"/>
      <c r="G463" s="15"/>
      <c r="H463" s="15"/>
    </row>
    <row r="464" spans="5:8">
      <c r="E464" s="15"/>
      <c r="F464" s="15"/>
      <c r="G464" s="15"/>
      <c r="H464" s="15"/>
    </row>
    <row r="465" spans="5:8">
      <c r="E465" s="15"/>
      <c r="F465" s="15"/>
      <c r="G465" s="15"/>
      <c r="H465" s="15"/>
    </row>
    <row r="466" spans="5:8">
      <c r="E466" s="15"/>
      <c r="F466" s="15"/>
      <c r="G466" s="15"/>
      <c r="H466" s="15"/>
    </row>
    <row r="467" spans="5:8">
      <c r="E467" s="15"/>
      <c r="F467" s="15"/>
      <c r="G467" s="15"/>
      <c r="H467" s="15"/>
    </row>
    <row r="468" spans="5:8">
      <c r="E468" s="15"/>
      <c r="F468" s="15"/>
      <c r="G468" s="15"/>
      <c r="H468" s="15"/>
    </row>
    <row r="469" spans="5:8">
      <c r="E469" s="15"/>
      <c r="F469" s="15"/>
      <c r="G469" s="15"/>
      <c r="H469" s="15"/>
    </row>
    <row r="470" spans="5:8">
      <c r="E470" s="15"/>
      <c r="F470" s="15"/>
      <c r="G470" s="15"/>
      <c r="H470" s="15"/>
    </row>
    <row r="471" spans="5:8">
      <c r="E471" s="15"/>
      <c r="F471" s="15"/>
      <c r="G471" s="15"/>
      <c r="H471" s="15"/>
    </row>
    <row r="472" spans="5:8">
      <c r="E472" s="15"/>
      <c r="F472" s="15"/>
      <c r="G472" s="15"/>
      <c r="H472" s="15"/>
    </row>
    <row r="473" spans="5:8">
      <c r="E473" s="15"/>
      <c r="F473" s="15"/>
      <c r="G473" s="15"/>
      <c r="H473" s="15"/>
    </row>
    <row r="474" spans="5:8">
      <c r="E474" s="15"/>
      <c r="F474" s="15"/>
      <c r="G474" s="15"/>
      <c r="H474" s="15"/>
    </row>
    <row r="475" spans="5:8">
      <c r="E475" s="15"/>
      <c r="F475" s="15"/>
      <c r="G475" s="15"/>
      <c r="H475" s="15"/>
    </row>
    <row r="476" spans="5:8">
      <c r="E476" s="15"/>
      <c r="F476" s="15"/>
      <c r="G476" s="15"/>
      <c r="H476" s="15"/>
    </row>
    <row r="477" spans="5:8">
      <c r="E477" s="15"/>
      <c r="F477" s="15"/>
      <c r="G477" s="15"/>
      <c r="H477" s="15"/>
    </row>
    <row r="478" spans="5:8">
      <c r="E478" s="15"/>
      <c r="F478" s="15"/>
      <c r="G478" s="15"/>
      <c r="H478" s="15"/>
    </row>
    <row r="479" spans="5:8">
      <c r="E479" s="15"/>
      <c r="F479" s="15"/>
      <c r="G479" s="15"/>
      <c r="H479" s="15"/>
    </row>
    <row r="480" spans="5:8">
      <c r="E480" s="15"/>
      <c r="F480" s="15"/>
      <c r="G480" s="15"/>
      <c r="H480" s="15"/>
    </row>
    <row r="481" spans="5:8">
      <c r="E481" s="15"/>
      <c r="F481" s="15"/>
      <c r="G481" s="15"/>
      <c r="H481" s="15"/>
    </row>
    <row r="482" spans="5:8">
      <c r="E482" s="15"/>
      <c r="F482" s="15"/>
      <c r="G482" s="15"/>
      <c r="H482" s="15"/>
    </row>
    <row r="483" spans="5:8">
      <c r="E483" s="15"/>
      <c r="F483" s="15"/>
      <c r="G483" s="15"/>
      <c r="H483" s="15"/>
    </row>
    <row r="484" spans="5:8">
      <c r="E484" s="15"/>
      <c r="F484" s="15"/>
      <c r="G484" s="15"/>
      <c r="H484" s="15"/>
    </row>
    <row r="485" spans="5:8">
      <c r="E485" s="15"/>
      <c r="F485" s="15"/>
      <c r="G485" s="15"/>
      <c r="H485" s="15"/>
    </row>
    <row r="486" spans="5:8">
      <c r="E486" s="15"/>
      <c r="F486" s="15"/>
      <c r="G486" s="15"/>
      <c r="H486" s="15"/>
    </row>
    <row r="487" spans="5:8">
      <c r="E487" s="15"/>
      <c r="F487" s="15"/>
      <c r="G487" s="15"/>
      <c r="H487" s="15"/>
    </row>
    <row r="488" spans="5:8">
      <c r="E488" s="15"/>
      <c r="F488" s="15"/>
      <c r="G488" s="15"/>
      <c r="H488" s="15"/>
    </row>
    <row r="489" spans="5:8">
      <c r="E489" s="15"/>
      <c r="F489" s="15"/>
      <c r="G489" s="15"/>
      <c r="H489" s="15"/>
    </row>
    <row r="490" spans="5:8">
      <c r="E490" s="15"/>
      <c r="F490" s="15"/>
      <c r="G490" s="15"/>
      <c r="H490" s="15"/>
    </row>
    <row r="491" spans="5:8">
      <c r="E491" s="15"/>
      <c r="F491" s="15"/>
      <c r="G491" s="15"/>
      <c r="H491" s="15"/>
    </row>
    <row r="492" spans="5:8">
      <c r="E492" s="15"/>
      <c r="F492" s="15"/>
      <c r="G492" s="15"/>
      <c r="H492" s="15"/>
    </row>
    <row r="493" spans="5:8">
      <c r="E493" s="15"/>
      <c r="F493" s="15"/>
      <c r="G493" s="15"/>
      <c r="H493" s="15"/>
    </row>
    <row r="494" spans="5:8">
      <c r="E494" s="15"/>
      <c r="F494" s="15"/>
      <c r="G494" s="15"/>
      <c r="H494" s="15"/>
    </row>
    <row r="495" spans="5:8">
      <c r="E495" s="15"/>
      <c r="F495" s="15"/>
      <c r="G495" s="15"/>
      <c r="H495" s="15"/>
    </row>
    <row r="496" spans="5:8">
      <c r="E496" s="15"/>
      <c r="F496" s="15"/>
      <c r="G496" s="15"/>
      <c r="H496" s="15"/>
    </row>
    <row r="497" spans="5:8">
      <c r="E497" s="15"/>
      <c r="F497" s="15"/>
      <c r="G497" s="15"/>
      <c r="H497" s="15"/>
    </row>
    <row r="498" spans="5:8">
      <c r="E498" s="15"/>
      <c r="F498" s="15"/>
      <c r="G498" s="15"/>
      <c r="H498" s="15"/>
    </row>
    <row r="499" spans="5:8">
      <c r="E499" s="15"/>
      <c r="F499" s="15"/>
      <c r="G499" s="15"/>
      <c r="H499" s="15"/>
    </row>
    <row r="500" spans="5:8">
      <c r="E500" s="15"/>
      <c r="F500" s="15"/>
      <c r="G500" s="15"/>
      <c r="H500" s="15"/>
    </row>
    <row r="501" spans="5:8">
      <c r="E501" s="15"/>
      <c r="F501" s="15"/>
      <c r="G501" s="15"/>
      <c r="H501" s="15"/>
    </row>
    <row r="502" spans="5:8">
      <c r="E502" s="15"/>
      <c r="F502" s="15"/>
      <c r="G502" s="15"/>
      <c r="H502" s="15"/>
    </row>
    <row r="503" spans="5:8">
      <c r="E503" s="15"/>
      <c r="F503" s="15"/>
      <c r="G503" s="15"/>
      <c r="H503" s="15"/>
    </row>
    <row r="504" spans="5:8">
      <c r="E504" s="15"/>
      <c r="F504" s="15"/>
      <c r="G504" s="15"/>
      <c r="H504" s="15"/>
    </row>
    <row r="505" spans="5:8">
      <c r="E505" s="15"/>
      <c r="F505" s="15"/>
      <c r="G505" s="15"/>
      <c r="H505" s="15"/>
    </row>
    <row r="506" spans="5:8">
      <c r="E506" s="15"/>
      <c r="F506" s="15"/>
      <c r="G506" s="15"/>
      <c r="H506" s="15"/>
    </row>
    <row r="507" spans="5:8">
      <c r="E507" s="15"/>
      <c r="F507" s="15"/>
      <c r="G507" s="15"/>
      <c r="H507" s="15"/>
    </row>
    <row r="508" spans="5:8">
      <c r="E508" s="15"/>
      <c r="F508" s="15"/>
      <c r="G508" s="15"/>
      <c r="H508" s="15"/>
    </row>
    <row r="509" spans="5:8">
      <c r="E509" s="15"/>
      <c r="F509" s="15"/>
      <c r="G509" s="15"/>
      <c r="H509" s="15"/>
    </row>
    <row r="510" spans="5:8">
      <c r="E510" s="15"/>
      <c r="F510" s="15"/>
      <c r="G510" s="15"/>
      <c r="H510" s="15"/>
    </row>
    <row r="511" spans="5:8">
      <c r="E511" s="15"/>
      <c r="F511" s="15"/>
      <c r="G511" s="15"/>
      <c r="H511" s="15"/>
    </row>
    <row r="512" spans="5:8">
      <c r="E512" s="15"/>
      <c r="F512" s="15"/>
      <c r="G512" s="15"/>
      <c r="H512" s="15"/>
    </row>
    <row r="513" spans="5:8">
      <c r="E513" s="15"/>
      <c r="F513" s="15"/>
      <c r="G513" s="15"/>
      <c r="H513" s="15"/>
    </row>
    <row r="514" spans="5:8">
      <c r="E514" s="15"/>
      <c r="F514" s="15"/>
      <c r="G514" s="15"/>
      <c r="H514" s="15"/>
    </row>
    <row r="515" spans="5:8">
      <c r="E515" s="15"/>
      <c r="F515" s="15"/>
      <c r="G515" s="15"/>
      <c r="H515" s="15"/>
    </row>
    <row r="516" spans="5:8">
      <c r="E516" s="15"/>
      <c r="F516" s="15"/>
      <c r="G516" s="15"/>
      <c r="H516" s="15"/>
    </row>
    <row r="517" spans="5:8">
      <c r="E517" s="15"/>
      <c r="F517" s="15"/>
      <c r="G517" s="15"/>
      <c r="H517" s="15"/>
    </row>
    <row r="518" spans="5:8">
      <c r="E518" s="15"/>
      <c r="F518" s="15"/>
      <c r="G518" s="15"/>
      <c r="H518" s="15"/>
    </row>
    <row r="519" spans="5:8">
      <c r="E519" s="15"/>
      <c r="F519" s="15"/>
      <c r="G519" s="15"/>
      <c r="H519" s="15"/>
    </row>
    <row r="520" spans="5:8">
      <c r="E520" s="15"/>
      <c r="F520" s="15"/>
      <c r="G520" s="15"/>
      <c r="H520" s="15"/>
    </row>
    <row r="521" spans="5:8">
      <c r="E521" s="15"/>
      <c r="F521" s="15"/>
      <c r="G521" s="15"/>
      <c r="H521" s="15"/>
    </row>
    <row r="522" spans="5:8">
      <c r="E522" s="15"/>
      <c r="F522" s="15"/>
      <c r="G522" s="15"/>
      <c r="H522" s="15"/>
    </row>
    <row r="523" spans="5:8">
      <c r="E523" s="15"/>
      <c r="F523" s="15"/>
      <c r="G523" s="15"/>
      <c r="H523" s="15"/>
    </row>
    <row r="524" spans="5:8">
      <c r="E524" s="15"/>
      <c r="F524" s="15"/>
      <c r="G524" s="15"/>
      <c r="H524" s="15"/>
    </row>
    <row r="525" spans="5:8">
      <c r="E525" s="15"/>
      <c r="F525" s="15"/>
      <c r="G525" s="15"/>
      <c r="H525" s="15"/>
    </row>
    <row r="526" spans="5:8">
      <c r="E526" s="15"/>
      <c r="F526" s="15"/>
      <c r="G526" s="15"/>
      <c r="H526" s="15"/>
    </row>
    <row r="527" spans="5:8">
      <c r="E527" s="15"/>
      <c r="F527" s="15"/>
      <c r="G527" s="15"/>
      <c r="H527" s="15"/>
    </row>
    <row r="528" spans="5:8">
      <c r="E528" s="15"/>
      <c r="F528" s="15"/>
      <c r="G528" s="15"/>
      <c r="H528" s="15"/>
    </row>
    <row r="529" spans="5:8">
      <c r="E529" s="15"/>
      <c r="F529" s="15"/>
      <c r="G529" s="15"/>
      <c r="H529" s="15"/>
    </row>
    <row r="530" spans="5:8">
      <c r="E530" s="15"/>
      <c r="F530" s="15"/>
      <c r="G530" s="15"/>
      <c r="H530" s="15"/>
    </row>
    <row r="531" spans="5:8">
      <c r="E531" s="15"/>
      <c r="F531" s="15"/>
      <c r="G531" s="15"/>
      <c r="H531" s="15"/>
    </row>
    <row r="532" spans="5:8">
      <c r="E532" s="15"/>
      <c r="F532" s="15"/>
      <c r="G532" s="15"/>
      <c r="H532" s="15"/>
    </row>
    <row r="533" spans="5:8">
      <c r="E533" s="15"/>
      <c r="F533" s="15"/>
      <c r="G533" s="15"/>
      <c r="H533" s="15"/>
    </row>
    <row r="534" spans="5:8">
      <c r="E534" s="15"/>
      <c r="F534" s="15"/>
      <c r="G534" s="15"/>
      <c r="H534" s="15"/>
    </row>
    <row r="535" spans="5:8">
      <c r="E535" s="15"/>
      <c r="F535" s="15"/>
      <c r="G535" s="15"/>
      <c r="H535" s="15"/>
    </row>
    <row r="536" spans="5:8">
      <c r="E536" s="15"/>
      <c r="F536" s="15"/>
      <c r="G536" s="15"/>
      <c r="H536" s="15"/>
    </row>
    <row r="537" spans="5:8">
      <c r="E537" s="15"/>
      <c r="F537" s="15"/>
      <c r="G537" s="15"/>
      <c r="H537" s="15"/>
    </row>
    <row r="538" spans="5:8">
      <c r="E538" s="15"/>
      <c r="F538" s="15"/>
      <c r="G538" s="15"/>
      <c r="H538" s="15"/>
    </row>
    <row r="539" spans="5:8">
      <c r="E539" s="15"/>
      <c r="F539" s="15"/>
      <c r="G539" s="15"/>
      <c r="H539" s="15"/>
    </row>
    <row r="540" spans="5:8">
      <c r="E540" s="15"/>
      <c r="F540" s="15"/>
      <c r="G540" s="15"/>
      <c r="H540" s="15"/>
    </row>
    <row r="541" spans="5:8">
      <c r="E541" s="15"/>
      <c r="F541" s="15"/>
      <c r="G541" s="15"/>
      <c r="H541" s="15"/>
    </row>
    <row r="542" spans="5:8">
      <c r="E542" s="15"/>
      <c r="F542" s="15"/>
      <c r="G542" s="15"/>
      <c r="H542" s="15"/>
    </row>
    <row r="543" spans="5:8">
      <c r="E543" s="15"/>
      <c r="F543" s="15"/>
      <c r="G543" s="15"/>
      <c r="H543" s="15"/>
    </row>
    <row r="544" spans="5:8">
      <c r="E544" s="15"/>
      <c r="F544" s="15"/>
      <c r="G544" s="15"/>
      <c r="H544" s="15"/>
    </row>
    <row r="545" spans="5:8">
      <c r="E545" s="15"/>
      <c r="F545" s="15"/>
      <c r="G545" s="15"/>
      <c r="H545" s="15"/>
    </row>
    <row r="546" spans="5:8">
      <c r="E546" s="15"/>
      <c r="F546" s="15"/>
      <c r="G546" s="15"/>
      <c r="H546" s="15"/>
    </row>
    <row r="547" spans="5:8">
      <c r="E547" s="15"/>
      <c r="F547" s="15"/>
      <c r="G547" s="15"/>
      <c r="H547" s="15"/>
    </row>
    <row r="548" spans="5:8">
      <c r="E548" s="15"/>
      <c r="F548" s="15"/>
      <c r="G548" s="15"/>
      <c r="H548" s="15"/>
    </row>
    <row r="549" spans="5:8">
      <c r="E549" s="15"/>
      <c r="F549" s="15"/>
      <c r="G549" s="15"/>
      <c r="H549" s="15"/>
    </row>
    <row r="550" spans="5:8">
      <c r="E550" s="15"/>
      <c r="F550" s="15"/>
      <c r="G550" s="15"/>
      <c r="H550" s="15"/>
    </row>
    <row r="551" spans="5:8">
      <c r="E551" s="15"/>
      <c r="F551" s="15"/>
      <c r="G551" s="15"/>
      <c r="H551" s="15"/>
    </row>
    <row r="552" spans="5:8">
      <c r="E552" s="15"/>
      <c r="F552" s="15"/>
      <c r="G552" s="15"/>
      <c r="H552" s="15"/>
    </row>
    <row r="553" spans="5:8">
      <c r="E553" s="15"/>
      <c r="F553" s="15"/>
      <c r="G553" s="15"/>
      <c r="H553" s="15"/>
    </row>
    <row r="554" spans="5:8">
      <c r="E554" s="15"/>
      <c r="F554" s="15"/>
      <c r="G554" s="15"/>
      <c r="H554" s="15"/>
    </row>
    <row r="555" spans="5:8">
      <c r="E555" s="15"/>
      <c r="F555" s="15"/>
      <c r="G555" s="15"/>
      <c r="H555" s="15"/>
    </row>
    <row r="556" spans="5:8">
      <c r="E556" s="15"/>
      <c r="F556" s="15"/>
      <c r="G556" s="15"/>
      <c r="H556" s="15"/>
    </row>
    <row r="557" spans="5:8">
      <c r="E557" s="15"/>
      <c r="F557" s="15"/>
      <c r="G557" s="15"/>
      <c r="H557" s="15"/>
    </row>
    <row r="558" spans="5:8">
      <c r="E558" s="15"/>
      <c r="F558" s="15"/>
      <c r="G558" s="15"/>
      <c r="H558" s="15"/>
    </row>
    <row r="559" spans="5:8">
      <c r="E559" s="15"/>
      <c r="F559" s="15"/>
      <c r="G559" s="15"/>
      <c r="H559" s="15"/>
    </row>
    <row r="560" spans="5:8">
      <c r="E560" s="15"/>
      <c r="F560" s="15"/>
      <c r="G560" s="15"/>
      <c r="H560" s="15"/>
    </row>
    <row r="561" spans="5:8">
      <c r="E561" s="15"/>
      <c r="F561" s="15"/>
      <c r="G561" s="15"/>
      <c r="H561" s="15"/>
    </row>
    <row r="562" spans="5:8">
      <c r="E562" s="15"/>
      <c r="F562" s="15"/>
      <c r="G562" s="15"/>
      <c r="H562" s="15"/>
    </row>
    <row r="563" spans="5:8">
      <c r="E563" s="15"/>
      <c r="F563" s="15"/>
      <c r="G563" s="15"/>
      <c r="H563" s="15"/>
    </row>
    <row r="564" spans="5:8">
      <c r="E564" s="15"/>
      <c r="F564" s="15"/>
      <c r="G564" s="15"/>
      <c r="H564" s="15"/>
    </row>
    <row r="565" spans="5:8">
      <c r="E565" s="15"/>
      <c r="F565" s="15"/>
      <c r="G565" s="15"/>
      <c r="H565" s="15"/>
    </row>
    <row r="566" spans="5:8">
      <c r="E566" s="15"/>
      <c r="F566" s="15"/>
      <c r="G566" s="15"/>
      <c r="H566" s="15"/>
    </row>
    <row r="567" spans="5:8">
      <c r="E567" s="15"/>
      <c r="F567" s="15"/>
      <c r="G567" s="15"/>
      <c r="H567" s="15"/>
    </row>
    <row r="568" spans="5:8">
      <c r="E568" s="15"/>
      <c r="F568" s="15"/>
      <c r="G568" s="15"/>
      <c r="H568" s="15"/>
    </row>
    <row r="569" spans="5:8">
      <c r="E569" s="15"/>
      <c r="F569" s="15"/>
      <c r="G569" s="15"/>
      <c r="H569" s="15"/>
    </row>
    <row r="570" spans="5:8">
      <c r="E570" s="15"/>
      <c r="F570" s="15"/>
      <c r="G570" s="15"/>
      <c r="H570" s="15"/>
    </row>
    <row r="571" spans="5:8">
      <c r="E571" s="15"/>
      <c r="F571" s="15"/>
      <c r="G571" s="15"/>
      <c r="H571" s="15"/>
    </row>
    <row r="572" spans="5:8">
      <c r="E572" s="15"/>
      <c r="F572" s="15"/>
      <c r="G572" s="15"/>
      <c r="H572" s="15"/>
    </row>
    <row r="573" spans="5:8">
      <c r="E573" s="15"/>
      <c r="F573" s="15"/>
      <c r="G573" s="15"/>
      <c r="H573" s="15"/>
    </row>
    <row r="574" spans="5:8">
      <c r="E574" s="15"/>
      <c r="F574" s="15"/>
      <c r="G574" s="15"/>
      <c r="H574" s="15"/>
    </row>
    <row r="575" spans="5:8">
      <c r="E575" s="15"/>
      <c r="F575" s="15"/>
      <c r="G575" s="15"/>
      <c r="H575" s="15"/>
    </row>
    <row r="576" spans="5:8">
      <c r="E576" s="15"/>
      <c r="F576" s="15"/>
      <c r="G576" s="15"/>
      <c r="H576" s="15"/>
    </row>
    <row r="577" spans="5:8">
      <c r="E577" s="15"/>
      <c r="F577" s="15"/>
      <c r="G577" s="15"/>
      <c r="H577" s="15"/>
    </row>
    <row r="578" spans="5:8">
      <c r="E578" s="15"/>
      <c r="F578" s="15"/>
      <c r="G578" s="15"/>
      <c r="H578" s="15"/>
    </row>
    <row r="579" spans="5:8">
      <c r="E579" s="15"/>
      <c r="F579" s="15"/>
      <c r="G579" s="15"/>
      <c r="H579" s="15"/>
    </row>
    <row r="580" spans="5:8">
      <c r="E580" s="15"/>
      <c r="F580" s="15"/>
      <c r="G580" s="15"/>
      <c r="H580" s="15"/>
    </row>
    <row r="581" spans="5:8">
      <c r="E581" s="15"/>
      <c r="F581" s="15"/>
      <c r="G581" s="15"/>
      <c r="H581" s="15"/>
    </row>
    <row r="582" spans="5:8">
      <c r="E582" s="15"/>
      <c r="F582" s="15"/>
      <c r="G582" s="15"/>
      <c r="H582" s="15"/>
    </row>
    <row r="583" spans="5:8">
      <c r="E583" s="15"/>
      <c r="F583" s="15"/>
      <c r="G583" s="15"/>
      <c r="H583" s="15"/>
    </row>
    <row r="584" spans="5:8">
      <c r="E584" s="15"/>
      <c r="F584" s="15"/>
      <c r="G584" s="15"/>
      <c r="H584" s="15"/>
    </row>
    <row r="585" spans="5:8">
      <c r="E585" s="15"/>
      <c r="F585" s="15"/>
      <c r="G585" s="15"/>
      <c r="H585" s="15"/>
    </row>
    <row r="586" spans="5:8">
      <c r="E586" s="15"/>
      <c r="F586" s="15"/>
      <c r="G586" s="15"/>
      <c r="H586" s="15"/>
    </row>
    <row r="587" spans="5:8">
      <c r="E587" s="15"/>
      <c r="F587" s="15"/>
      <c r="G587" s="15"/>
      <c r="H587" s="15"/>
    </row>
    <row r="588" spans="5:8">
      <c r="E588" s="15"/>
      <c r="F588" s="15"/>
      <c r="G588" s="15"/>
      <c r="H588" s="15"/>
    </row>
    <row r="589" spans="5:8">
      <c r="E589" s="15"/>
      <c r="F589" s="15"/>
      <c r="G589" s="15"/>
      <c r="H589" s="15"/>
    </row>
    <row r="590" spans="5:8">
      <c r="E590" s="15"/>
      <c r="F590" s="15"/>
      <c r="G590" s="15"/>
      <c r="H590" s="15"/>
    </row>
    <row r="591" spans="5:8">
      <c r="E591" s="15"/>
      <c r="F591" s="15"/>
      <c r="G591" s="15"/>
      <c r="H591" s="15"/>
    </row>
    <row r="592" spans="5:8">
      <c r="E592" s="15"/>
      <c r="F592" s="15"/>
      <c r="G592" s="15"/>
      <c r="H592" s="15"/>
    </row>
    <row r="593" spans="5:8">
      <c r="E593" s="15"/>
      <c r="F593" s="15"/>
      <c r="G593" s="15"/>
      <c r="H593" s="15"/>
    </row>
    <row r="594" spans="5:8">
      <c r="E594" s="15"/>
      <c r="F594" s="15"/>
      <c r="G594" s="15"/>
      <c r="H594" s="15"/>
    </row>
    <row r="595" spans="5:8">
      <c r="E595" s="15"/>
      <c r="F595" s="15"/>
      <c r="G595" s="15"/>
      <c r="H595" s="15"/>
    </row>
    <row r="596" spans="5:8">
      <c r="E596" s="15"/>
      <c r="F596" s="15"/>
      <c r="G596" s="15"/>
      <c r="H596" s="15"/>
    </row>
    <row r="597" spans="5:8">
      <c r="E597" s="15"/>
      <c r="F597" s="15"/>
      <c r="G597" s="15"/>
      <c r="H597" s="15"/>
    </row>
    <row r="598" spans="5:8">
      <c r="E598" s="15"/>
      <c r="F598" s="15"/>
      <c r="G598" s="15"/>
      <c r="H598" s="15"/>
    </row>
    <row r="599" spans="5:8">
      <c r="E599" s="15"/>
      <c r="F599" s="15"/>
      <c r="G599" s="15"/>
      <c r="H599" s="15"/>
    </row>
    <row r="600" spans="5:8">
      <c r="E600" s="15"/>
      <c r="F600" s="15"/>
      <c r="G600" s="15"/>
      <c r="H600" s="15"/>
    </row>
    <row r="601" spans="5:8">
      <c r="E601" s="15"/>
      <c r="F601" s="15"/>
      <c r="G601" s="15"/>
      <c r="H601" s="15"/>
    </row>
    <row r="602" spans="5:8">
      <c r="E602" s="15"/>
      <c r="F602" s="15"/>
      <c r="G602" s="15"/>
      <c r="H602" s="15"/>
    </row>
    <row r="603" spans="5:8">
      <c r="E603" s="15"/>
      <c r="F603" s="15"/>
      <c r="G603" s="15"/>
      <c r="H603" s="15"/>
    </row>
    <row r="604" spans="5:8">
      <c r="E604" s="15"/>
      <c r="F604" s="15"/>
      <c r="G604" s="15"/>
      <c r="H604" s="15"/>
    </row>
    <row r="605" spans="5:8">
      <c r="E605" s="15"/>
      <c r="F605" s="15"/>
      <c r="G605" s="15"/>
      <c r="H605" s="15"/>
    </row>
    <row r="606" spans="5:8">
      <c r="E606" s="15"/>
      <c r="F606" s="15"/>
      <c r="G606" s="15"/>
      <c r="H606" s="15"/>
    </row>
    <row r="607" spans="5:8">
      <c r="E607" s="15"/>
      <c r="F607" s="15"/>
      <c r="G607" s="15"/>
      <c r="H607" s="15"/>
    </row>
    <row r="608" spans="5:8">
      <c r="E608" s="15"/>
      <c r="F608" s="15"/>
      <c r="G608" s="15"/>
      <c r="H608" s="15"/>
    </row>
    <row r="609" spans="5:8">
      <c r="E609" s="15"/>
      <c r="F609" s="15"/>
      <c r="G609" s="15"/>
      <c r="H609" s="15"/>
    </row>
    <row r="610" spans="5:8">
      <c r="E610" s="15"/>
      <c r="F610" s="15"/>
      <c r="G610" s="15"/>
      <c r="H610" s="15"/>
    </row>
    <row r="611" spans="5:8">
      <c r="E611" s="15"/>
      <c r="F611" s="15"/>
      <c r="G611" s="15"/>
      <c r="H611" s="15"/>
    </row>
    <row r="612" spans="5:8">
      <c r="E612" s="15"/>
      <c r="F612" s="15"/>
      <c r="G612" s="15"/>
      <c r="H612" s="15"/>
    </row>
    <row r="613" spans="5:8">
      <c r="E613" s="15"/>
      <c r="F613" s="15"/>
      <c r="G613" s="15"/>
      <c r="H613" s="15"/>
    </row>
    <row r="614" spans="5:8">
      <c r="E614" s="15"/>
      <c r="F614" s="15"/>
      <c r="G614" s="15"/>
      <c r="H614" s="15"/>
    </row>
    <row r="615" spans="5:8">
      <c r="E615" s="15"/>
      <c r="F615" s="15"/>
      <c r="G615" s="15"/>
      <c r="H615" s="15"/>
    </row>
    <row r="616" spans="5:8">
      <c r="E616" s="15"/>
      <c r="F616" s="15"/>
      <c r="G616" s="15"/>
      <c r="H616" s="15"/>
    </row>
    <row r="617" spans="5:8">
      <c r="E617" s="15"/>
      <c r="F617" s="15"/>
      <c r="G617" s="15"/>
      <c r="H617" s="15"/>
    </row>
    <row r="618" spans="5:8">
      <c r="E618" s="15"/>
      <c r="F618" s="15"/>
      <c r="G618" s="15"/>
      <c r="H618" s="15"/>
    </row>
    <row r="619" spans="5:8">
      <c r="E619" s="15"/>
      <c r="F619" s="15"/>
      <c r="G619" s="15"/>
      <c r="H619" s="15"/>
    </row>
    <row r="620" spans="5:8">
      <c r="E620" s="15"/>
      <c r="F620" s="15"/>
      <c r="G620" s="15"/>
      <c r="H620" s="15"/>
    </row>
    <row r="621" spans="5:8">
      <c r="E621" s="15"/>
      <c r="F621" s="15"/>
      <c r="G621" s="15"/>
      <c r="H621" s="15"/>
    </row>
    <row r="622" spans="5:8">
      <c r="E622" s="15"/>
      <c r="F622" s="15"/>
      <c r="G622" s="15"/>
      <c r="H622" s="15"/>
    </row>
    <row r="623" spans="5:8">
      <c r="E623" s="15"/>
      <c r="F623" s="15"/>
      <c r="G623" s="15"/>
      <c r="H623" s="15"/>
    </row>
    <row r="624" spans="5:8">
      <c r="E624" s="15"/>
      <c r="F624" s="15"/>
      <c r="G624" s="15"/>
      <c r="H624" s="15"/>
    </row>
    <row r="625" spans="5:8">
      <c r="E625" s="15"/>
      <c r="F625" s="15"/>
      <c r="G625" s="15"/>
      <c r="H625" s="15"/>
    </row>
    <row r="626" spans="5:8">
      <c r="E626" s="15"/>
      <c r="F626" s="15"/>
      <c r="G626" s="15"/>
      <c r="H626" s="15"/>
    </row>
    <row r="627" spans="5:8">
      <c r="E627" s="15"/>
      <c r="F627" s="15"/>
      <c r="G627" s="15"/>
      <c r="H627" s="15"/>
    </row>
    <row r="628" spans="5:8">
      <c r="E628" s="15"/>
      <c r="F628" s="15"/>
      <c r="G628" s="15"/>
      <c r="H628" s="15"/>
    </row>
    <row r="629" spans="5:8">
      <c r="E629" s="15"/>
      <c r="F629" s="15"/>
      <c r="G629" s="15"/>
      <c r="H629" s="15"/>
    </row>
    <row r="630" spans="5:8">
      <c r="E630" s="15"/>
      <c r="F630" s="15"/>
      <c r="G630" s="15"/>
      <c r="H630" s="15"/>
    </row>
    <row r="631" spans="5:8">
      <c r="E631" s="15"/>
      <c r="F631" s="15"/>
      <c r="G631" s="15"/>
      <c r="H631" s="15"/>
    </row>
    <row r="632" spans="5:8">
      <c r="E632" s="15"/>
      <c r="F632" s="15"/>
      <c r="G632" s="15"/>
      <c r="H632" s="15"/>
    </row>
    <row r="633" spans="5:8">
      <c r="E633" s="15"/>
      <c r="F633" s="15"/>
      <c r="G633" s="15"/>
      <c r="H633" s="15"/>
    </row>
    <row r="634" spans="5:8">
      <c r="E634" s="15"/>
      <c r="F634" s="15"/>
      <c r="G634" s="15"/>
      <c r="H634" s="15"/>
    </row>
    <row r="635" spans="5:8">
      <c r="E635" s="15"/>
      <c r="F635" s="15"/>
      <c r="G635" s="15"/>
      <c r="H635" s="15"/>
    </row>
    <row r="636" spans="5:8">
      <c r="E636" s="15"/>
      <c r="F636" s="15"/>
      <c r="G636" s="15"/>
      <c r="H636" s="15"/>
    </row>
    <row r="637" spans="5:8">
      <c r="E637" s="15"/>
      <c r="F637" s="15"/>
      <c r="G637" s="15"/>
      <c r="H637" s="15"/>
    </row>
    <row r="638" spans="5:8">
      <c r="E638" s="15"/>
      <c r="F638" s="15"/>
      <c r="G638" s="15"/>
      <c r="H638" s="15"/>
    </row>
    <row r="639" spans="5:8">
      <c r="E639" s="15"/>
      <c r="F639" s="15"/>
      <c r="G639" s="15"/>
      <c r="H639" s="15"/>
    </row>
    <row r="640" spans="5:8">
      <c r="E640" s="15"/>
      <c r="F640" s="15"/>
      <c r="G640" s="15"/>
      <c r="H640" s="15"/>
    </row>
    <row r="641" spans="5:8">
      <c r="E641" s="15"/>
      <c r="F641" s="15"/>
      <c r="G641" s="15"/>
      <c r="H641" s="15"/>
    </row>
    <row r="642" spans="5:8">
      <c r="E642" s="15"/>
      <c r="F642" s="15"/>
      <c r="G642" s="15"/>
      <c r="H642" s="15"/>
    </row>
    <row r="643" spans="5:8">
      <c r="E643" s="15"/>
      <c r="F643" s="15"/>
      <c r="G643" s="15"/>
      <c r="H643" s="15"/>
    </row>
    <row r="644" spans="5:8">
      <c r="E644" s="15"/>
      <c r="F644" s="15"/>
      <c r="G644" s="15"/>
      <c r="H644" s="15"/>
    </row>
    <row r="645" spans="5:8">
      <c r="E645" s="15"/>
      <c r="F645" s="15"/>
      <c r="G645" s="15"/>
      <c r="H645" s="15"/>
    </row>
    <row r="646" spans="5:8">
      <c r="E646" s="15"/>
      <c r="F646" s="15"/>
      <c r="G646" s="15"/>
      <c r="H646" s="15"/>
    </row>
    <row r="647" spans="5:8">
      <c r="E647" s="15"/>
      <c r="F647" s="15"/>
      <c r="G647" s="15"/>
      <c r="H647" s="15"/>
    </row>
    <row r="648" spans="5:8">
      <c r="E648" s="15"/>
      <c r="F648" s="15"/>
      <c r="G648" s="15"/>
      <c r="H648" s="15"/>
    </row>
    <row r="649" spans="5:8">
      <c r="E649" s="15"/>
      <c r="F649" s="15"/>
      <c r="G649" s="15"/>
      <c r="H649" s="15"/>
    </row>
    <row r="650" spans="5:8">
      <c r="E650" s="15"/>
      <c r="F650" s="15"/>
      <c r="G650" s="15"/>
      <c r="H650" s="15"/>
    </row>
    <row r="651" spans="5:8">
      <c r="E651" s="15"/>
      <c r="F651" s="15"/>
      <c r="G651" s="15"/>
      <c r="H651" s="15"/>
    </row>
    <row r="652" spans="5:8">
      <c r="E652" s="15"/>
      <c r="F652" s="15"/>
      <c r="G652" s="15"/>
      <c r="H652" s="15"/>
    </row>
    <row r="653" spans="5:8">
      <c r="E653" s="15"/>
      <c r="F653" s="15"/>
      <c r="G653" s="15"/>
      <c r="H653" s="15"/>
    </row>
    <row r="654" spans="5:8">
      <c r="E654" s="15"/>
      <c r="F654" s="15"/>
      <c r="G654" s="15"/>
      <c r="H654" s="15"/>
    </row>
    <row r="655" spans="5:8">
      <c r="E655" s="15"/>
      <c r="F655" s="15"/>
      <c r="G655" s="15"/>
      <c r="H655" s="15"/>
    </row>
    <row r="656" spans="5:8">
      <c r="E656" s="15"/>
      <c r="F656" s="15"/>
      <c r="G656" s="15"/>
      <c r="H656" s="15"/>
    </row>
    <row r="657" spans="5:8">
      <c r="E657" s="15"/>
      <c r="F657" s="15"/>
      <c r="G657" s="15"/>
      <c r="H657" s="15"/>
    </row>
    <row r="658" spans="5:8">
      <c r="E658" s="15"/>
      <c r="F658" s="15"/>
      <c r="G658" s="15"/>
      <c r="H658" s="15"/>
    </row>
    <row r="659" spans="5:8">
      <c r="E659" s="15"/>
      <c r="F659" s="15"/>
      <c r="G659" s="15"/>
      <c r="H659" s="15"/>
    </row>
    <row r="660" spans="5:8">
      <c r="E660" s="15"/>
      <c r="F660" s="15"/>
      <c r="G660" s="15"/>
      <c r="H660" s="15"/>
    </row>
    <row r="661" spans="5:8">
      <c r="E661" s="15"/>
      <c r="F661" s="15"/>
      <c r="G661" s="15"/>
      <c r="H661" s="15"/>
    </row>
    <row r="662" spans="5:8">
      <c r="E662" s="15"/>
      <c r="F662" s="15"/>
      <c r="G662" s="15"/>
      <c r="H662" s="15"/>
    </row>
    <row r="663" spans="5:8">
      <c r="E663" s="15"/>
      <c r="F663" s="15"/>
      <c r="G663" s="15"/>
      <c r="H663" s="15"/>
    </row>
    <row r="664" spans="5:8">
      <c r="E664" s="15"/>
      <c r="F664" s="15"/>
      <c r="G664" s="15"/>
      <c r="H664" s="15"/>
    </row>
    <row r="665" spans="5:8">
      <c r="E665" s="15"/>
      <c r="F665" s="15"/>
      <c r="G665" s="15"/>
      <c r="H665" s="15"/>
    </row>
    <row r="666" spans="5:8">
      <c r="E666" s="15"/>
      <c r="F666" s="15"/>
      <c r="G666" s="15"/>
      <c r="H666" s="15"/>
    </row>
    <row r="667" spans="5:8">
      <c r="E667" s="15"/>
      <c r="F667" s="15"/>
      <c r="G667" s="15"/>
      <c r="H667" s="15"/>
    </row>
    <row r="668" spans="5:8">
      <c r="E668" s="15"/>
      <c r="F668" s="15"/>
      <c r="G668" s="15"/>
      <c r="H668" s="15"/>
    </row>
    <row r="669" spans="5:8">
      <c r="E669" s="15"/>
      <c r="F669" s="15"/>
      <c r="G669" s="15"/>
      <c r="H669" s="15"/>
    </row>
    <row r="670" spans="5:8">
      <c r="E670" s="15"/>
      <c r="F670" s="15"/>
      <c r="G670" s="15"/>
      <c r="H670" s="15"/>
    </row>
    <row r="671" spans="5:8">
      <c r="E671" s="15"/>
      <c r="F671" s="15"/>
      <c r="G671" s="15"/>
      <c r="H671" s="15"/>
    </row>
    <row r="672" spans="5:8">
      <c r="E672" s="15"/>
      <c r="F672" s="15"/>
      <c r="G672" s="15"/>
      <c r="H672" s="15"/>
    </row>
    <row r="673" spans="5:8">
      <c r="E673" s="15"/>
      <c r="F673" s="15"/>
      <c r="G673" s="15"/>
      <c r="H673" s="15"/>
    </row>
    <row r="674" spans="5:8">
      <c r="E674" s="15"/>
      <c r="F674" s="15"/>
      <c r="G674" s="15"/>
      <c r="H674" s="15"/>
    </row>
    <row r="675" spans="5:8">
      <c r="E675" s="15"/>
      <c r="F675" s="15"/>
      <c r="G675" s="15"/>
      <c r="H675" s="15"/>
    </row>
    <row r="676" spans="5:8">
      <c r="E676" s="15"/>
      <c r="F676" s="15"/>
      <c r="G676" s="15"/>
      <c r="H676" s="15"/>
    </row>
    <row r="677" spans="5:8">
      <c r="E677" s="15"/>
      <c r="F677" s="15"/>
      <c r="G677" s="15"/>
      <c r="H677" s="15"/>
    </row>
    <row r="678" spans="5:8">
      <c r="E678" s="15"/>
      <c r="F678" s="15"/>
      <c r="G678" s="15"/>
      <c r="H678" s="15"/>
    </row>
    <row r="679" spans="5:8">
      <c r="E679" s="15"/>
      <c r="F679" s="15"/>
      <c r="G679" s="15"/>
      <c r="H679" s="15"/>
    </row>
    <row r="680" spans="5:8">
      <c r="E680" s="15"/>
      <c r="F680" s="15"/>
      <c r="G680" s="15"/>
      <c r="H680" s="15"/>
    </row>
    <row r="681" spans="5:8">
      <c r="E681" s="15"/>
      <c r="F681" s="15"/>
      <c r="G681" s="15"/>
      <c r="H681" s="15"/>
    </row>
    <row r="682" spans="5:8">
      <c r="E682" s="15"/>
      <c r="F682" s="15"/>
      <c r="G682" s="15"/>
      <c r="H682" s="15"/>
    </row>
    <row r="683" spans="5:8">
      <c r="E683" s="15"/>
      <c r="F683" s="15"/>
      <c r="G683" s="15"/>
      <c r="H683" s="15"/>
    </row>
    <row r="684" spans="5:8">
      <c r="E684" s="15"/>
      <c r="F684" s="15"/>
      <c r="G684" s="15"/>
      <c r="H684" s="15"/>
    </row>
    <row r="685" spans="5:8">
      <c r="E685" s="15"/>
      <c r="F685" s="15"/>
      <c r="G685" s="15"/>
      <c r="H685" s="15"/>
    </row>
    <row r="686" spans="5:8">
      <c r="E686" s="15"/>
      <c r="F686" s="15"/>
      <c r="G686" s="15"/>
      <c r="H686" s="15"/>
    </row>
    <row r="687" spans="5:8">
      <c r="E687" s="15"/>
      <c r="F687" s="15"/>
      <c r="G687" s="15"/>
      <c r="H687" s="15"/>
    </row>
    <row r="688" spans="5:8">
      <c r="E688" s="15"/>
      <c r="F688" s="15"/>
      <c r="G688" s="15"/>
      <c r="H688" s="15"/>
    </row>
    <row r="689" spans="5:8">
      <c r="E689" s="15"/>
      <c r="F689" s="15"/>
      <c r="G689" s="15"/>
      <c r="H689" s="15"/>
    </row>
    <row r="690" spans="5:8">
      <c r="E690" s="15"/>
      <c r="F690" s="15"/>
      <c r="G690" s="15"/>
      <c r="H690" s="15"/>
    </row>
    <row r="691" spans="5:8">
      <c r="E691" s="15"/>
      <c r="F691" s="15"/>
      <c r="G691" s="15"/>
      <c r="H691" s="15"/>
    </row>
    <row r="692" spans="5:8">
      <c r="E692" s="15"/>
      <c r="F692" s="15"/>
      <c r="G692" s="15"/>
      <c r="H692" s="15"/>
    </row>
    <row r="693" spans="5:8">
      <c r="E693" s="15"/>
      <c r="F693" s="15"/>
      <c r="G693" s="15"/>
      <c r="H693" s="15"/>
    </row>
    <row r="694" spans="5:8">
      <c r="E694" s="15"/>
      <c r="F694" s="15"/>
      <c r="G694" s="15"/>
      <c r="H694" s="15"/>
    </row>
    <row r="695" spans="5:8">
      <c r="E695" s="15"/>
      <c r="F695" s="15"/>
      <c r="G695" s="15"/>
      <c r="H695" s="15"/>
    </row>
    <row r="696" spans="5:8">
      <c r="E696" s="15"/>
      <c r="F696" s="15"/>
      <c r="G696" s="15"/>
      <c r="H696" s="15"/>
    </row>
    <row r="697" spans="5:8">
      <c r="E697" s="15"/>
      <c r="F697" s="15"/>
      <c r="G697" s="15"/>
      <c r="H697" s="15"/>
    </row>
    <row r="698" spans="5:8">
      <c r="E698" s="15"/>
      <c r="F698" s="15"/>
      <c r="G698" s="15"/>
      <c r="H698" s="15"/>
    </row>
    <row r="699" spans="5:8">
      <c r="E699" s="15"/>
      <c r="F699" s="15"/>
      <c r="G699" s="15"/>
      <c r="H699" s="15"/>
    </row>
    <row r="700" spans="5:8">
      <c r="E700" s="15"/>
      <c r="F700" s="15"/>
      <c r="G700" s="15"/>
      <c r="H700" s="15"/>
    </row>
    <row r="701" spans="5:8">
      <c r="E701" s="15"/>
      <c r="F701" s="15"/>
      <c r="G701" s="15"/>
      <c r="H701" s="15"/>
    </row>
    <row r="702" spans="5:8">
      <c r="E702" s="15"/>
      <c r="F702" s="15"/>
      <c r="G702" s="15"/>
      <c r="H702" s="15"/>
    </row>
    <row r="703" spans="5:8">
      <c r="E703" s="15"/>
      <c r="F703" s="15"/>
      <c r="G703" s="15"/>
      <c r="H703" s="15"/>
    </row>
    <row r="704" spans="5:8">
      <c r="E704" s="15"/>
      <c r="F704" s="15"/>
      <c r="G704" s="15"/>
      <c r="H704" s="15"/>
    </row>
    <row r="705" spans="5:8">
      <c r="E705" s="15"/>
      <c r="F705" s="15"/>
      <c r="G705" s="15"/>
      <c r="H705" s="15"/>
    </row>
    <row r="706" spans="5:8">
      <c r="E706" s="15"/>
      <c r="F706" s="15"/>
      <c r="G706" s="15"/>
      <c r="H706" s="15"/>
    </row>
    <row r="707" spans="5:8">
      <c r="E707" s="15"/>
      <c r="F707" s="15"/>
      <c r="G707" s="15"/>
      <c r="H707" s="15"/>
    </row>
    <row r="708" spans="5:8">
      <c r="E708" s="15"/>
      <c r="F708" s="15"/>
      <c r="G708" s="15"/>
      <c r="H708" s="15"/>
    </row>
    <row r="709" spans="5:8">
      <c r="E709" s="15"/>
      <c r="F709" s="15"/>
      <c r="G709" s="15"/>
      <c r="H709" s="15"/>
    </row>
    <row r="710" spans="5:8">
      <c r="E710" s="15"/>
      <c r="F710" s="15"/>
      <c r="G710" s="15"/>
      <c r="H710" s="15"/>
    </row>
    <row r="711" spans="5:8">
      <c r="E711" s="15"/>
      <c r="F711" s="15"/>
      <c r="G711" s="15"/>
      <c r="H711" s="15"/>
    </row>
    <row r="712" spans="5:8">
      <c r="E712" s="15"/>
      <c r="F712" s="15"/>
      <c r="G712" s="15"/>
      <c r="H712" s="15"/>
    </row>
    <row r="713" spans="5:8">
      <c r="E713" s="15"/>
      <c r="F713" s="15"/>
      <c r="G713" s="15"/>
      <c r="H713" s="15"/>
    </row>
    <row r="714" spans="5:8">
      <c r="E714" s="15"/>
      <c r="F714" s="15"/>
      <c r="G714" s="15"/>
      <c r="H714" s="15"/>
    </row>
    <row r="715" spans="5:8">
      <c r="E715" s="15"/>
      <c r="F715" s="15"/>
      <c r="G715" s="15"/>
      <c r="H715" s="15"/>
    </row>
    <row r="716" spans="5:8">
      <c r="E716" s="15"/>
      <c r="F716" s="15"/>
      <c r="G716" s="15"/>
      <c r="H716" s="15"/>
    </row>
    <row r="717" spans="5:8">
      <c r="E717" s="15"/>
      <c r="F717" s="15"/>
      <c r="G717" s="15"/>
      <c r="H717" s="15"/>
    </row>
    <row r="718" spans="5:8">
      <c r="E718" s="15"/>
      <c r="F718" s="15"/>
      <c r="G718" s="15"/>
      <c r="H718" s="15"/>
    </row>
    <row r="719" spans="5:8">
      <c r="E719" s="15"/>
      <c r="F719" s="15"/>
      <c r="G719" s="15"/>
      <c r="H719" s="15"/>
    </row>
    <row r="720" spans="5:8">
      <c r="E720" s="15"/>
      <c r="F720" s="15"/>
      <c r="G720" s="15"/>
      <c r="H720" s="15"/>
    </row>
    <row r="721" spans="5:8">
      <c r="E721" s="15"/>
      <c r="F721" s="15"/>
      <c r="G721" s="15"/>
      <c r="H721" s="15"/>
    </row>
    <row r="722" spans="5:8">
      <c r="E722" s="15"/>
      <c r="F722" s="15"/>
      <c r="G722" s="15"/>
      <c r="H722" s="15"/>
    </row>
    <row r="723" spans="5:8">
      <c r="E723" s="15"/>
      <c r="F723" s="15"/>
      <c r="G723" s="15"/>
      <c r="H723" s="15"/>
    </row>
    <row r="724" spans="5:8">
      <c r="E724" s="15"/>
      <c r="F724" s="15"/>
      <c r="G724" s="15"/>
      <c r="H724" s="15"/>
    </row>
    <row r="725" spans="5:8">
      <c r="E725" s="15"/>
      <c r="F725" s="15"/>
      <c r="G725" s="15"/>
      <c r="H725" s="15"/>
    </row>
    <row r="726" spans="5:8">
      <c r="E726" s="15"/>
      <c r="F726" s="15"/>
      <c r="G726" s="15"/>
      <c r="H726" s="15"/>
    </row>
    <row r="727" spans="5:8">
      <c r="E727" s="15"/>
      <c r="F727" s="15"/>
      <c r="G727" s="15"/>
      <c r="H727" s="15"/>
    </row>
    <row r="728" spans="5:8">
      <c r="E728" s="15"/>
      <c r="F728" s="15"/>
      <c r="G728" s="15"/>
      <c r="H728" s="15"/>
    </row>
    <row r="729" spans="5:8">
      <c r="E729" s="15"/>
      <c r="F729" s="15"/>
      <c r="G729" s="15"/>
      <c r="H729" s="15"/>
    </row>
    <row r="730" spans="5:8">
      <c r="E730" s="15"/>
      <c r="F730" s="15"/>
      <c r="G730" s="15"/>
      <c r="H730" s="15"/>
    </row>
    <row r="731" spans="5:8">
      <c r="E731" s="15"/>
      <c r="F731" s="15"/>
      <c r="G731" s="15"/>
      <c r="H731" s="15"/>
    </row>
    <row r="732" spans="5:8">
      <c r="E732" s="15"/>
      <c r="F732" s="15"/>
      <c r="G732" s="15"/>
      <c r="H732" s="15"/>
    </row>
    <row r="733" spans="5:8">
      <c r="E733" s="15"/>
      <c r="F733" s="15"/>
      <c r="G733" s="15"/>
      <c r="H733" s="15"/>
    </row>
    <row r="734" spans="5:8">
      <c r="E734" s="15"/>
      <c r="F734" s="15"/>
      <c r="G734" s="15"/>
      <c r="H734" s="15"/>
    </row>
    <row r="735" spans="5:8">
      <c r="E735" s="15"/>
      <c r="F735" s="15"/>
      <c r="G735" s="15"/>
      <c r="H735" s="15"/>
    </row>
    <row r="736" spans="5:8">
      <c r="E736" s="15"/>
      <c r="F736" s="15"/>
      <c r="G736" s="15"/>
      <c r="H736" s="15"/>
    </row>
    <row r="737" spans="5:8">
      <c r="E737" s="15"/>
      <c r="F737" s="15"/>
      <c r="G737" s="15"/>
      <c r="H737" s="15"/>
    </row>
    <row r="738" spans="5:8">
      <c r="E738" s="15"/>
      <c r="F738" s="15"/>
      <c r="G738" s="15"/>
      <c r="H738" s="15"/>
    </row>
    <row r="739" spans="5:8">
      <c r="E739" s="15"/>
      <c r="F739" s="15"/>
      <c r="G739" s="15"/>
      <c r="H739" s="15"/>
    </row>
    <row r="740" spans="5:8">
      <c r="E740" s="15"/>
      <c r="F740" s="15"/>
      <c r="G740" s="15"/>
      <c r="H740" s="15"/>
    </row>
    <row r="741" spans="5:8">
      <c r="E741" s="15"/>
      <c r="F741" s="15"/>
      <c r="G741" s="15"/>
      <c r="H741" s="15"/>
    </row>
    <row r="742" spans="5:8">
      <c r="E742" s="15"/>
      <c r="F742" s="15"/>
      <c r="G742" s="15"/>
      <c r="H742" s="15"/>
    </row>
    <row r="743" spans="5:8">
      <c r="E743" s="15"/>
      <c r="F743" s="15"/>
      <c r="G743" s="15"/>
      <c r="H743" s="15"/>
    </row>
    <row r="744" spans="5:8">
      <c r="E744" s="15"/>
      <c r="F744" s="15"/>
      <c r="G744" s="15"/>
      <c r="H744" s="15"/>
    </row>
    <row r="745" spans="5:8">
      <c r="E745" s="15"/>
      <c r="F745" s="15"/>
      <c r="G745" s="15"/>
      <c r="H745" s="15"/>
    </row>
    <row r="746" spans="5:8">
      <c r="E746" s="15"/>
      <c r="F746" s="15"/>
      <c r="G746" s="15"/>
      <c r="H746" s="15"/>
    </row>
    <row r="747" spans="5:8">
      <c r="E747" s="15"/>
      <c r="F747" s="15"/>
      <c r="G747" s="15"/>
      <c r="H747" s="15"/>
    </row>
    <row r="748" spans="5:8">
      <c r="E748" s="15"/>
      <c r="F748" s="15"/>
      <c r="G748" s="15"/>
      <c r="H748" s="15"/>
    </row>
    <row r="749" spans="5:8">
      <c r="E749" s="15"/>
      <c r="F749" s="15"/>
      <c r="G749" s="15"/>
      <c r="H749" s="15"/>
    </row>
    <row r="750" spans="5:8">
      <c r="E750" s="15"/>
      <c r="F750" s="15"/>
      <c r="G750" s="15"/>
      <c r="H750" s="15"/>
    </row>
    <row r="751" spans="5:8">
      <c r="E751" s="15"/>
      <c r="F751" s="15"/>
      <c r="G751" s="15"/>
      <c r="H751" s="15"/>
    </row>
    <row r="752" spans="5:8">
      <c r="E752" s="15"/>
      <c r="F752" s="15"/>
      <c r="G752" s="15"/>
      <c r="H752" s="15"/>
    </row>
    <row r="753" spans="5:8">
      <c r="E753" s="15"/>
      <c r="F753" s="15"/>
      <c r="G753" s="15"/>
      <c r="H753" s="15"/>
    </row>
    <row r="754" spans="5:8">
      <c r="E754" s="15"/>
      <c r="F754" s="15"/>
      <c r="G754" s="15"/>
      <c r="H754" s="15"/>
    </row>
    <row r="755" spans="5:8">
      <c r="E755" s="15"/>
      <c r="F755" s="15"/>
      <c r="G755" s="15"/>
      <c r="H755" s="15"/>
    </row>
    <row r="756" spans="5:8">
      <c r="E756" s="15"/>
      <c r="F756" s="15"/>
      <c r="G756" s="15"/>
      <c r="H756" s="15"/>
    </row>
    <row r="757" spans="5:8">
      <c r="E757" s="15"/>
      <c r="F757" s="15"/>
      <c r="G757" s="15"/>
      <c r="H757" s="15"/>
    </row>
    <row r="758" spans="5:8">
      <c r="E758" s="15"/>
      <c r="F758" s="15"/>
      <c r="G758" s="15"/>
      <c r="H758" s="15"/>
    </row>
    <row r="759" spans="5:8">
      <c r="E759" s="15"/>
      <c r="F759" s="15"/>
      <c r="G759" s="15"/>
      <c r="H759" s="15"/>
    </row>
    <row r="760" spans="5:8">
      <c r="E760" s="15"/>
      <c r="F760" s="15"/>
      <c r="G760" s="15"/>
      <c r="H760" s="15"/>
    </row>
    <row r="761" spans="5:8">
      <c r="E761" s="15"/>
      <c r="F761" s="15"/>
      <c r="G761" s="15"/>
      <c r="H761" s="15"/>
    </row>
    <row r="762" spans="5:8">
      <c r="E762" s="15"/>
      <c r="F762" s="15"/>
      <c r="G762" s="15"/>
      <c r="H762" s="15"/>
    </row>
    <row r="763" spans="5:8">
      <c r="E763" s="15"/>
      <c r="F763" s="15"/>
      <c r="G763" s="15"/>
      <c r="H763" s="15"/>
    </row>
    <row r="764" spans="5:8">
      <c r="E764" s="15"/>
      <c r="F764" s="15"/>
      <c r="G764" s="15"/>
      <c r="H764" s="15"/>
    </row>
    <row r="765" spans="5:8">
      <c r="E765" s="15"/>
      <c r="F765" s="15"/>
      <c r="G765" s="15"/>
      <c r="H765" s="15"/>
    </row>
    <row r="766" spans="5:8">
      <c r="E766" s="15"/>
      <c r="F766" s="15"/>
      <c r="G766" s="15"/>
      <c r="H766" s="15"/>
    </row>
    <row r="767" spans="5:8">
      <c r="E767" s="15"/>
      <c r="F767" s="15"/>
      <c r="G767" s="15"/>
      <c r="H767" s="15"/>
    </row>
    <row r="768" spans="5:8">
      <c r="E768" s="15"/>
      <c r="F768" s="15"/>
      <c r="G768" s="15"/>
      <c r="H768" s="15"/>
    </row>
    <row r="769" spans="5:8">
      <c r="E769" s="15"/>
      <c r="F769" s="15"/>
      <c r="G769" s="15"/>
      <c r="H769" s="15"/>
    </row>
    <row r="770" spans="5:8">
      <c r="E770" s="15"/>
      <c r="F770" s="15"/>
      <c r="G770" s="15"/>
      <c r="H770" s="15"/>
    </row>
    <row r="771" spans="5:8">
      <c r="E771" s="15"/>
      <c r="F771" s="15"/>
      <c r="G771" s="15"/>
      <c r="H771" s="15"/>
    </row>
    <row r="772" spans="5:8">
      <c r="E772" s="15"/>
      <c r="F772" s="15"/>
      <c r="G772" s="15"/>
      <c r="H772" s="15"/>
    </row>
    <row r="773" spans="5:8">
      <c r="E773" s="15"/>
      <c r="F773" s="15"/>
      <c r="G773" s="15"/>
      <c r="H773" s="15"/>
    </row>
    <row r="774" spans="5:8">
      <c r="E774" s="15"/>
      <c r="F774" s="15"/>
      <c r="G774" s="15"/>
      <c r="H774" s="15"/>
    </row>
    <row r="775" spans="5:8">
      <c r="E775" s="15"/>
      <c r="F775" s="15"/>
      <c r="G775" s="15"/>
      <c r="H775" s="15"/>
    </row>
    <row r="776" spans="5:8">
      <c r="E776" s="15"/>
      <c r="F776" s="15"/>
      <c r="G776" s="15"/>
      <c r="H776" s="15"/>
    </row>
    <row r="777" spans="5:8">
      <c r="E777" s="15"/>
      <c r="F777" s="15"/>
      <c r="G777" s="15"/>
      <c r="H777" s="15"/>
    </row>
    <row r="778" spans="5:8">
      <c r="E778" s="15"/>
      <c r="F778" s="15"/>
      <c r="G778" s="15"/>
      <c r="H778" s="15"/>
    </row>
    <row r="779" spans="5:8">
      <c r="E779" s="15"/>
      <c r="F779" s="15"/>
      <c r="G779" s="15"/>
      <c r="H779" s="15"/>
    </row>
    <row r="780" spans="5:8">
      <c r="E780" s="15"/>
      <c r="F780" s="15"/>
      <c r="G780" s="15"/>
      <c r="H780" s="15"/>
    </row>
    <row r="781" spans="5:8">
      <c r="E781" s="15"/>
      <c r="F781" s="15"/>
      <c r="G781" s="15"/>
      <c r="H781" s="15"/>
    </row>
    <row r="782" spans="5:8">
      <c r="E782" s="15"/>
      <c r="F782" s="15"/>
      <c r="G782" s="15"/>
      <c r="H782" s="15"/>
    </row>
    <row r="783" spans="5:8">
      <c r="E783" s="15"/>
      <c r="F783" s="15"/>
      <c r="G783" s="15"/>
      <c r="H783" s="15"/>
    </row>
    <row r="784" spans="5:8">
      <c r="E784" s="15"/>
      <c r="F784" s="15"/>
      <c r="G784" s="15"/>
      <c r="H784" s="15"/>
    </row>
    <row r="785" spans="5:8">
      <c r="E785" s="15"/>
      <c r="F785" s="15"/>
      <c r="G785" s="15"/>
      <c r="H785" s="15"/>
    </row>
    <row r="786" spans="5:8">
      <c r="E786" s="15"/>
      <c r="F786" s="15"/>
      <c r="G786" s="15"/>
      <c r="H786" s="15"/>
    </row>
    <row r="787" spans="5:8">
      <c r="E787" s="15"/>
      <c r="F787" s="15"/>
      <c r="G787" s="15"/>
      <c r="H787" s="15"/>
    </row>
    <row r="788" spans="5:8">
      <c r="E788" s="15"/>
      <c r="F788" s="15"/>
      <c r="G788" s="15"/>
      <c r="H788" s="15"/>
    </row>
    <row r="789" spans="5:8">
      <c r="E789" s="15"/>
      <c r="F789" s="15"/>
      <c r="G789" s="15"/>
      <c r="H789" s="15"/>
    </row>
    <row r="790" spans="5:8">
      <c r="E790" s="15"/>
      <c r="F790" s="15"/>
      <c r="G790" s="15"/>
      <c r="H790" s="15"/>
    </row>
    <row r="791" spans="5:8">
      <c r="E791" s="15"/>
      <c r="F791" s="15"/>
      <c r="G791" s="15"/>
      <c r="H791" s="15"/>
    </row>
    <row r="792" spans="5:8">
      <c r="E792" s="15"/>
      <c r="F792" s="15"/>
      <c r="G792" s="15"/>
      <c r="H792" s="15"/>
    </row>
    <row r="793" spans="5:8">
      <c r="E793" s="15"/>
      <c r="F793" s="15"/>
      <c r="G793" s="15"/>
      <c r="H793" s="15"/>
    </row>
    <row r="794" spans="5:8">
      <c r="E794" s="15"/>
      <c r="F794" s="15"/>
      <c r="G794" s="15"/>
      <c r="H794" s="15"/>
    </row>
    <row r="795" spans="5:8">
      <c r="E795" s="15"/>
      <c r="F795" s="15"/>
      <c r="G795" s="15"/>
      <c r="H795" s="15"/>
    </row>
    <row r="796" spans="5:8">
      <c r="E796" s="15"/>
      <c r="F796" s="15"/>
      <c r="G796" s="15"/>
      <c r="H796" s="15"/>
    </row>
    <row r="797" spans="5:8">
      <c r="E797" s="15"/>
      <c r="F797" s="15"/>
      <c r="G797" s="15"/>
      <c r="H797" s="15"/>
    </row>
    <row r="798" spans="5:8">
      <c r="E798" s="15"/>
      <c r="F798" s="15"/>
      <c r="G798" s="15"/>
      <c r="H798" s="15"/>
    </row>
    <row r="799" spans="5:8">
      <c r="E799" s="15"/>
      <c r="F799" s="15"/>
      <c r="G799" s="15"/>
      <c r="H799" s="15"/>
    </row>
    <row r="800" spans="5:8">
      <c r="E800" s="15"/>
      <c r="F800" s="15"/>
      <c r="G800" s="15"/>
      <c r="H800" s="15"/>
    </row>
    <row r="801" spans="5:8">
      <c r="E801" s="15"/>
      <c r="F801" s="15"/>
      <c r="G801" s="15"/>
      <c r="H801" s="15"/>
    </row>
    <row r="802" spans="5:8">
      <c r="E802" s="15"/>
      <c r="F802" s="15"/>
      <c r="G802" s="15"/>
      <c r="H802" s="15"/>
    </row>
    <row r="803" spans="5:8">
      <c r="E803" s="15"/>
      <c r="F803" s="15"/>
      <c r="G803" s="15"/>
      <c r="H803" s="15"/>
    </row>
    <row r="804" spans="5:8">
      <c r="E804" s="15"/>
      <c r="F804" s="15"/>
      <c r="G804" s="15"/>
      <c r="H804" s="15"/>
    </row>
    <row r="805" spans="5:8">
      <c r="E805" s="15"/>
      <c r="F805" s="15"/>
      <c r="G805" s="15"/>
      <c r="H805" s="15"/>
    </row>
    <row r="806" spans="5:8">
      <c r="E806" s="15"/>
      <c r="F806" s="15"/>
      <c r="G806" s="15"/>
      <c r="H806" s="15"/>
    </row>
    <row r="807" spans="5:8">
      <c r="E807" s="15"/>
      <c r="F807" s="15"/>
      <c r="G807" s="15"/>
      <c r="H807" s="15"/>
    </row>
    <row r="808" spans="5:8">
      <c r="E808" s="15"/>
      <c r="F808" s="15"/>
      <c r="G808" s="15"/>
      <c r="H808" s="15"/>
    </row>
    <row r="809" spans="5:8">
      <c r="E809" s="15"/>
      <c r="F809" s="15"/>
      <c r="G809" s="15"/>
      <c r="H809" s="15"/>
    </row>
    <row r="810" spans="5:8">
      <c r="E810" s="15"/>
      <c r="F810" s="15"/>
      <c r="G810" s="15"/>
      <c r="H810" s="15"/>
    </row>
    <row r="811" spans="5:8">
      <c r="E811" s="15"/>
      <c r="F811" s="15"/>
      <c r="G811" s="15"/>
      <c r="H811" s="15"/>
    </row>
    <row r="812" spans="5:8">
      <c r="E812" s="15"/>
      <c r="F812" s="15"/>
      <c r="G812" s="15"/>
      <c r="H812" s="15"/>
    </row>
    <row r="813" spans="5:8">
      <c r="E813" s="15"/>
      <c r="F813" s="15"/>
      <c r="G813" s="15"/>
      <c r="H813" s="15"/>
    </row>
    <row r="814" spans="5:8">
      <c r="E814" s="15"/>
      <c r="F814" s="15"/>
      <c r="G814" s="15"/>
      <c r="H814" s="15"/>
    </row>
    <row r="815" spans="5:8">
      <c r="E815" s="15"/>
      <c r="F815" s="15"/>
      <c r="G815" s="15"/>
      <c r="H815" s="15"/>
    </row>
    <row r="816" spans="5:8">
      <c r="E816" s="15"/>
      <c r="F816" s="15"/>
      <c r="G816" s="15"/>
      <c r="H816" s="15"/>
    </row>
    <row r="817" spans="5:8">
      <c r="E817" s="15"/>
      <c r="F817" s="15"/>
      <c r="G817" s="15"/>
      <c r="H817" s="15"/>
    </row>
    <row r="818" spans="5:8">
      <c r="E818" s="15"/>
      <c r="F818" s="15"/>
      <c r="G818" s="15"/>
      <c r="H818" s="15"/>
    </row>
    <row r="819" spans="5:8">
      <c r="E819" s="15"/>
      <c r="F819" s="15"/>
      <c r="G819" s="15"/>
      <c r="H819" s="15"/>
    </row>
    <row r="820" spans="5:8">
      <c r="E820" s="15"/>
      <c r="F820" s="15"/>
      <c r="G820" s="15"/>
      <c r="H820" s="15"/>
    </row>
    <row r="821" spans="5:8">
      <c r="E821" s="15"/>
      <c r="F821" s="15"/>
      <c r="G821" s="15"/>
      <c r="H821" s="15"/>
    </row>
    <row r="822" spans="5:8">
      <c r="E822" s="15"/>
      <c r="F822" s="15"/>
      <c r="G822" s="15"/>
      <c r="H822" s="15"/>
    </row>
    <row r="823" spans="5:8">
      <c r="E823" s="15"/>
      <c r="F823" s="15"/>
      <c r="G823" s="15"/>
      <c r="H823" s="15"/>
    </row>
    <row r="824" spans="5:8">
      <c r="E824" s="15"/>
      <c r="F824" s="15"/>
      <c r="G824" s="15"/>
      <c r="H824" s="15"/>
    </row>
    <row r="825" spans="5:8">
      <c r="E825" s="15"/>
      <c r="F825" s="15"/>
      <c r="G825" s="15"/>
      <c r="H825" s="15"/>
    </row>
    <row r="826" spans="5:8">
      <c r="E826" s="15"/>
      <c r="F826" s="15"/>
      <c r="G826" s="15"/>
      <c r="H826" s="15"/>
    </row>
    <row r="827" spans="5:8">
      <c r="E827" s="15"/>
      <c r="F827" s="15"/>
      <c r="G827" s="15"/>
      <c r="H827" s="15"/>
    </row>
    <row r="828" spans="5:8">
      <c r="E828" s="15"/>
      <c r="F828" s="15"/>
      <c r="G828" s="15"/>
      <c r="H828" s="15"/>
    </row>
    <row r="829" spans="5:8">
      <c r="E829" s="15"/>
      <c r="F829" s="15"/>
      <c r="G829" s="15"/>
      <c r="H829" s="15"/>
    </row>
    <row r="830" spans="5:8">
      <c r="E830" s="15"/>
      <c r="F830" s="15"/>
      <c r="G830" s="15"/>
      <c r="H830" s="15"/>
    </row>
    <row r="831" spans="5:8">
      <c r="E831" s="15"/>
      <c r="F831" s="15"/>
      <c r="G831" s="15"/>
      <c r="H831" s="15"/>
    </row>
    <row r="832" spans="5:8">
      <c r="E832" s="15"/>
      <c r="F832" s="15"/>
      <c r="G832" s="15"/>
      <c r="H832" s="15"/>
    </row>
    <row r="833" spans="5:8">
      <c r="E833" s="15"/>
      <c r="F833" s="15"/>
      <c r="G833" s="15"/>
      <c r="H833" s="15"/>
    </row>
    <row r="834" spans="5:8">
      <c r="E834" s="15"/>
      <c r="F834" s="15"/>
      <c r="G834" s="15"/>
      <c r="H834" s="15"/>
    </row>
    <row r="835" spans="5:8">
      <c r="E835" s="15"/>
      <c r="F835" s="15"/>
      <c r="G835" s="15"/>
      <c r="H835" s="15"/>
    </row>
    <row r="836" spans="5:8">
      <c r="E836" s="15"/>
      <c r="F836" s="15"/>
      <c r="G836" s="15"/>
      <c r="H836" s="15"/>
    </row>
    <row r="837" spans="5:8">
      <c r="E837" s="15"/>
      <c r="F837" s="15"/>
      <c r="G837" s="15"/>
      <c r="H837" s="15"/>
    </row>
    <row r="838" spans="5:8">
      <c r="E838" s="15"/>
      <c r="F838" s="15"/>
      <c r="G838" s="15"/>
      <c r="H838" s="15"/>
    </row>
    <row r="839" spans="5:8">
      <c r="E839" s="15"/>
      <c r="F839" s="15"/>
      <c r="G839" s="15"/>
      <c r="H839" s="15"/>
    </row>
    <row r="840" spans="5:8">
      <c r="E840" s="15"/>
      <c r="F840" s="15"/>
      <c r="G840" s="15"/>
      <c r="H840" s="15"/>
    </row>
    <row r="841" spans="5:8">
      <c r="E841" s="15"/>
      <c r="F841" s="15"/>
      <c r="G841" s="15"/>
      <c r="H841" s="15"/>
    </row>
    <row r="842" spans="5:8">
      <c r="E842" s="15"/>
      <c r="F842" s="15"/>
      <c r="G842" s="15"/>
      <c r="H842" s="15"/>
    </row>
    <row r="843" spans="5:8">
      <c r="E843" s="15"/>
      <c r="F843" s="15"/>
      <c r="G843" s="15"/>
      <c r="H843" s="15"/>
    </row>
    <row r="844" spans="5:8">
      <c r="E844" s="15"/>
      <c r="F844" s="15"/>
      <c r="G844" s="15"/>
      <c r="H844" s="15"/>
    </row>
    <row r="845" spans="5:8">
      <c r="E845" s="15"/>
      <c r="F845" s="15"/>
      <c r="G845" s="15"/>
      <c r="H845" s="15"/>
    </row>
    <row r="846" spans="5:8">
      <c r="E846" s="15"/>
      <c r="F846" s="15"/>
      <c r="G846" s="15"/>
      <c r="H846" s="15"/>
    </row>
    <row r="847" spans="5:8">
      <c r="E847" s="15"/>
      <c r="F847" s="15"/>
      <c r="G847" s="15"/>
      <c r="H847" s="15"/>
    </row>
    <row r="848" spans="5:8">
      <c r="E848" s="15"/>
      <c r="F848" s="15"/>
      <c r="G848" s="15"/>
      <c r="H848" s="15"/>
    </row>
    <row r="849" spans="5:8">
      <c r="E849" s="15"/>
      <c r="F849" s="15"/>
      <c r="G849" s="15"/>
      <c r="H849" s="15"/>
    </row>
    <row r="850" spans="5:8">
      <c r="E850" s="15"/>
      <c r="F850" s="15"/>
      <c r="G850" s="15"/>
      <c r="H850" s="15"/>
    </row>
    <row r="851" spans="5:8">
      <c r="E851" s="15"/>
      <c r="F851" s="15"/>
      <c r="G851" s="15"/>
      <c r="H851" s="15"/>
    </row>
    <row r="852" spans="5:8">
      <c r="E852" s="15"/>
      <c r="F852" s="15"/>
      <c r="G852" s="15"/>
      <c r="H852" s="15"/>
    </row>
    <row r="853" spans="5:8">
      <c r="E853" s="15"/>
      <c r="F853" s="15"/>
      <c r="G853" s="15"/>
      <c r="H853" s="15"/>
    </row>
    <row r="854" spans="5:8">
      <c r="E854" s="15"/>
      <c r="F854" s="15"/>
      <c r="G854" s="15"/>
      <c r="H854" s="15"/>
    </row>
    <row r="855" spans="5:8">
      <c r="E855" s="15"/>
      <c r="F855" s="15"/>
      <c r="G855" s="15"/>
      <c r="H855" s="15"/>
    </row>
    <row r="856" spans="5:8">
      <c r="E856" s="15"/>
      <c r="F856" s="15"/>
      <c r="G856" s="15"/>
      <c r="H856" s="15"/>
    </row>
    <row r="857" spans="5:8">
      <c r="E857" s="15"/>
      <c r="F857" s="15"/>
      <c r="G857" s="15"/>
      <c r="H857" s="15"/>
    </row>
    <row r="858" spans="5:8">
      <c r="E858" s="15"/>
      <c r="F858" s="15"/>
      <c r="G858" s="15"/>
      <c r="H858" s="15"/>
    </row>
    <row r="859" spans="5:8">
      <c r="E859" s="15"/>
      <c r="F859" s="15"/>
      <c r="G859" s="15"/>
      <c r="H859" s="15"/>
    </row>
    <row r="860" spans="5:8">
      <c r="E860" s="15"/>
      <c r="F860" s="15"/>
      <c r="G860" s="15"/>
      <c r="H860" s="15"/>
    </row>
    <row r="861" spans="5:8">
      <c r="E861" s="15"/>
      <c r="F861" s="15"/>
      <c r="G861" s="15"/>
      <c r="H861" s="15"/>
    </row>
    <row r="862" spans="5:8">
      <c r="E862" s="15"/>
      <c r="F862" s="15"/>
      <c r="G862" s="15"/>
      <c r="H862" s="15"/>
    </row>
    <row r="863" spans="5:8">
      <c r="E863" s="15"/>
      <c r="F863" s="15"/>
      <c r="G863" s="15"/>
      <c r="H863" s="15"/>
    </row>
    <row r="864" spans="5:8">
      <c r="E864" s="15"/>
      <c r="F864" s="15"/>
      <c r="G864" s="15"/>
      <c r="H864" s="15"/>
    </row>
    <row r="865" spans="5:8">
      <c r="E865" s="15"/>
      <c r="F865" s="15"/>
      <c r="G865" s="15"/>
      <c r="H865" s="15"/>
    </row>
    <row r="866" spans="5:8">
      <c r="E866" s="15"/>
      <c r="F866" s="15"/>
      <c r="G866" s="15"/>
      <c r="H866" s="15"/>
    </row>
    <row r="867" spans="5:8">
      <c r="E867" s="15"/>
      <c r="F867" s="15"/>
      <c r="G867" s="15"/>
      <c r="H867" s="15"/>
    </row>
    <row r="868" spans="5:8">
      <c r="E868" s="15"/>
      <c r="F868" s="15"/>
      <c r="G868" s="15"/>
      <c r="H868" s="15"/>
    </row>
    <row r="869" spans="5:8">
      <c r="E869" s="15"/>
      <c r="F869" s="15"/>
      <c r="G869" s="15"/>
      <c r="H869" s="15"/>
    </row>
    <row r="870" spans="5:8">
      <c r="E870" s="15"/>
      <c r="F870" s="15"/>
      <c r="G870" s="15"/>
      <c r="H870" s="15"/>
    </row>
    <row r="871" spans="5:8">
      <c r="E871" s="15"/>
      <c r="F871" s="15"/>
      <c r="G871" s="15"/>
      <c r="H871" s="15"/>
    </row>
    <row r="872" spans="5:8">
      <c r="E872" s="15"/>
      <c r="F872" s="15"/>
      <c r="G872" s="15"/>
      <c r="H872" s="15"/>
    </row>
    <row r="873" spans="5:8">
      <c r="E873" s="15"/>
      <c r="F873" s="15"/>
      <c r="G873" s="15"/>
      <c r="H873" s="15"/>
    </row>
    <row r="874" spans="5:8">
      <c r="E874" s="15"/>
      <c r="F874" s="15"/>
      <c r="G874" s="15"/>
      <c r="H874" s="15"/>
    </row>
    <row r="875" spans="5:8">
      <c r="E875" s="15"/>
      <c r="F875" s="15"/>
      <c r="G875" s="15"/>
      <c r="H875" s="15"/>
    </row>
    <row r="876" spans="5:8">
      <c r="E876" s="15"/>
      <c r="F876" s="15"/>
      <c r="G876" s="15"/>
      <c r="H876" s="15"/>
    </row>
    <row r="877" spans="5:8">
      <c r="E877" s="15"/>
      <c r="F877" s="15"/>
      <c r="G877" s="15"/>
      <c r="H877" s="15"/>
    </row>
    <row r="878" spans="5:8">
      <c r="E878" s="15"/>
      <c r="F878" s="15"/>
      <c r="G878" s="15"/>
      <c r="H878" s="15"/>
    </row>
    <row r="879" spans="5:8">
      <c r="E879" s="15"/>
      <c r="F879" s="15"/>
      <c r="G879" s="15"/>
      <c r="H879" s="15"/>
    </row>
    <row r="880" spans="5:8">
      <c r="E880" s="15"/>
      <c r="F880" s="15"/>
      <c r="G880" s="15"/>
      <c r="H880" s="15"/>
    </row>
    <row r="881" spans="5:8">
      <c r="E881" s="15"/>
      <c r="F881" s="15"/>
      <c r="G881" s="15"/>
      <c r="H881" s="15"/>
    </row>
    <row r="882" spans="5:8">
      <c r="E882" s="15"/>
      <c r="F882" s="15"/>
      <c r="G882" s="15"/>
      <c r="H882" s="15"/>
    </row>
    <row r="883" spans="5:8">
      <c r="E883" s="15"/>
      <c r="F883" s="15"/>
      <c r="G883" s="15"/>
      <c r="H883" s="15"/>
    </row>
    <row r="884" spans="5:8">
      <c r="E884" s="15"/>
      <c r="F884" s="15"/>
      <c r="G884" s="15"/>
      <c r="H884" s="15"/>
    </row>
    <row r="885" spans="5:8">
      <c r="E885" s="15"/>
      <c r="F885" s="15"/>
      <c r="G885" s="15"/>
      <c r="H885" s="15"/>
    </row>
    <row r="886" spans="5:8">
      <c r="E886" s="15"/>
      <c r="F886" s="15"/>
      <c r="G886" s="15"/>
      <c r="H886" s="15"/>
    </row>
    <row r="887" spans="5:8">
      <c r="E887" s="15"/>
      <c r="F887" s="15"/>
      <c r="G887" s="15"/>
      <c r="H887" s="15"/>
    </row>
    <row r="888" spans="5:8">
      <c r="E888" s="15"/>
      <c r="F888" s="15"/>
      <c r="G888" s="15"/>
      <c r="H888" s="15"/>
    </row>
    <row r="889" spans="5:8">
      <c r="E889" s="15"/>
      <c r="F889" s="15"/>
      <c r="G889" s="15"/>
      <c r="H889" s="15"/>
    </row>
    <row r="890" spans="5:8">
      <c r="E890" s="15"/>
      <c r="F890" s="15"/>
      <c r="G890" s="15"/>
      <c r="H890" s="15"/>
    </row>
    <row r="891" spans="5:8">
      <c r="E891" s="15"/>
      <c r="F891" s="15"/>
      <c r="G891" s="15"/>
      <c r="H891" s="15"/>
    </row>
    <row r="892" spans="5:8">
      <c r="E892" s="15"/>
      <c r="F892" s="15"/>
      <c r="G892" s="15"/>
      <c r="H892" s="15"/>
    </row>
    <row r="893" spans="5:8">
      <c r="E893" s="15"/>
      <c r="F893" s="15"/>
      <c r="G893" s="15"/>
      <c r="H893" s="15"/>
    </row>
    <row r="894" spans="5:8">
      <c r="E894" s="15"/>
      <c r="F894" s="15"/>
      <c r="G894" s="15"/>
      <c r="H894" s="15"/>
    </row>
    <row r="895" spans="5:8">
      <c r="E895" s="15"/>
      <c r="F895" s="15"/>
      <c r="G895" s="15"/>
      <c r="H895" s="15"/>
    </row>
    <row r="896" spans="5:8">
      <c r="E896" s="15"/>
      <c r="F896" s="15"/>
      <c r="G896" s="15"/>
      <c r="H896" s="15"/>
    </row>
    <row r="897" spans="5:8">
      <c r="E897" s="15"/>
      <c r="F897" s="15"/>
      <c r="G897" s="15"/>
      <c r="H897" s="15"/>
    </row>
    <row r="898" spans="5:8">
      <c r="E898" s="15"/>
      <c r="F898" s="15"/>
      <c r="G898" s="15"/>
      <c r="H898" s="15"/>
    </row>
    <row r="899" spans="5:8">
      <c r="E899" s="15"/>
      <c r="F899" s="15"/>
      <c r="G899" s="15"/>
      <c r="H899" s="15"/>
    </row>
    <row r="900" spans="5:8">
      <c r="E900" s="15"/>
      <c r="F900" s="15"/>
      <c r="G900" s="15"/>
      <c r="H900" s="15"/>
    </row>
    <row r="901" spans="5:8">
      <c r="E901" s="15"/>
      <c r="F901" s="15"/>
      <c r="G901" s="15"/>
      <c r="H901" s="15"/>
    </row>
    <row r="902" spans="5:8">
      <c r="E902" s="15"/>
      <c r="F902" s="15"/>
      <c r="G902" s="15"/>
      <c r="H902" s="15"/>
    </row>
    <row r="903" spans="5:8">
      <c r="E903" s="15"/>
      <c r="F903" s="15"/>
      <c r="G903" s="15"/>
      <c r="H903" s="15"/>
    </row>
    <row r="904" spans="5:8">
      <c r="E904" s="15"/>
      <c r="F904" s="15"/>
      <c r="G904" s="15"/>
      <c r="H904" s="15"/>
    </row>
    <row r="905" spans="5:8">
      <c r="E905" s="15"/>
      <c r="F905" s="15"/>
      <c r="G905" s="15"/>
      <c r="H905" s="15"/>
    </row>
    <row r="906" spans="5:8">
      <c r="E906" s="15"/>
      <c r="F906" s="15"/>
      <c r="G906" s="15"/>
      <c r="H906" s="15"/>
    </row>
    <row r="907" spans="5:8">
      <c r="E907" s="15"/>
      <c r="F907" s="15"/>
      <c r="G907" s="15"/>
      <c r="H907" s="15"/>
    </row>
    <row r="908" spans="5:8">
      <c r="E908" s="15"/>
      <c r="F908" s="15"/>
      <c r="G908" s="15"/>
      <c r="H908" s="15"/>
    </row>
    <row r="909" spans="5:8">
      <c r="E909" s="15"/>
      <c r="F909" s="15"/>
      <c r="G909" s="15"/>
      <c r="H909" s="15"/>
    </row>
    <row r="910" spans="5:8">
      <c r="E910" s="15"/>
      <c r="F910" s="15"/>
      <c r="G910" s="15"/>
      <c r="H910" s="15"/>
    </row>
    <row r="911" spans="5:8">
      <c r="E911" s="15"/>
      <c r="F911" s="15"/>
      <c r="G911" s="15"/>
      <c r="H911" s="15"/>
    </row>
    <row r="912" spans="5:8">
      <c r="E912" s="15"/>
      <c r="F912" s="15"/>
      <c r="G912" s="15"/>
      <c r="H912" s="15"/>
    </row>
    <row r="913" spans="5:8">
      <c r="E913" s="15"/>
      <c r="F913" s="15"/>
      <c r="G913" s="15"/>
      <c r="H913" s="15"/>
    </row>
    <row r="914" spans="5:8">
      <c r="E914" s="15"/>
      <c r="F914" s="15"/>
      <c r="G914" s="15"/>
      <c r="H914" s="15"/>
    </row>
    <row r="915" spans="5:8">
      <c r="E915" s="15"/>
      <c r="F915" s="15"/>
      <c r="G915" s="15"/>
      <c r="H915" s="15"/>
    </row>
    <row r="916" spans="5:8">
      <c r="E916" s="15"/>
      <c r="F916" s="15"/>
      <c r="G916" s="15"/>
      <c r="H916" s="15"/>
    </row>
    <row r="917" spans="5:8">
      <c r="E917" s="15"/>
      <c r="F917" s="15"/>
      <c r="G917" s="15"/>
      <c r="H917" s="15"/>
    </row>
    <row r="918" spans="5:8">
      <c r="E918" s="15"/>
      <c r="F918" s="15"/>
      <c r="G918" s="15"/>
      <c r="H918" s="15"/>
    </row>
    <row r="919" spans="5:8">
      <c r="E919" s="15"/>
      <c r="F919" s="15"/>
      <c r="G919" s="15"/>
      <c r="H919" s="15"/>
    </row>
    <row r="920" spans="5:8">
      <c r="E920" s="15"/>
      <c r="F920" s="15"/>
      <c r="G920" s="15"/>
      <c r="H920" s="15"/>
    </row>
    <row r="921" spans="5:8">
      <c r="E921" s="15"/>
      <c r="F921" s="15"/>
      <c r="G921" s="15"/>
      <c r="H921" s="15"/>
    </row>
    <row r="922" spans="5:8">
      <c r="E922" s="15"/>
      <c r="F922" s="15"/>
      <c r="G922" s="15"/>
      <c r="H922" s="15"/>
    </row>
    <row r="923" spans="5:8">
      <c r="E923" s="15"/>
      <c r="F923" s="15"/>
      <c r="G923" s="15"/>
      <c r="H923" s="15"/>
    </row>
    <row r="924" spans="5:8">
      <c r="E924" s="15"/>
      <c r="F924" s="15"/>
      <c r="G924" s="15"/>
      <c r="H924" s="15"/>
    </row>
    <row r="925" spans="5:8">
      <c r="E925" s="15"/>
      <c r="F925" s="15"/>
      <c r="G925" s="15"/>
      <c r="H925" s="15"/>
    </row>
    <row r="926" spans="5:8">
      <c r="E926" s="15"/>
      <c r="F926" s="15"/>
      <c r="G926" s="15"/>
      <c r="H926" s="15"/>
    </row>
    <row r="927" spans="5:8">
      <c r="E927" s="15"/>
      <c r="F927" s="15"/>
      <c r="G927" s="15"/>
      <c r="H927" s="15"/>
    </row>
    <row r="928" spans="5:8">
      <c r="E928" s="15"/>
      <c r="F928" s="15"/>
      <c r="G928" s="15"/>
      <c r="H928" s="15"/>
    </row>
    <row r="929" spans="5:8">
      <c r="E929" s="15"/>
      <c r="F929" s="15"/>
      <c r="G929" s="15"/>
      <c r="H929" s="15"/>
    </row>
    <row r="930" spans="5:8">
      <c r="E930" s="15"/>
      <c r="F930" s="15"/>
      <c r="G930" s="15"/>
      <c r="H930" s="15"/>
    </row>
    <row r="931" spans="5:8">
      <c r="E931" s="15"/>
      <c r="F931" s="15"/>
      <c r="G931" s="15"/>
      <c r="H931" s="15"/>
    </row>
    <row r="932" spans="5:8">
      <c r="E932" s="15"/>
      <c r="F932" s="15"/>
      <c r="G932" s="15"/>
      <c r="H932" s="15"/>
    </row>
    <row r="933" spans="5:8">
      <c r="E933" s="15"/>
      <c r="F933" s="15"/>
      <c r="G933" s="15"/>
      <c r="H933" s="15"/>
    </row>
    <row r="934" spans="5:8">
      <c r="E934" s="15"/>
      <c r="F934" s="15"/>
      <c r="G934" s="15"/>
      <c r="H934" s="15"/>
    </row>
    <row r="935" spans="5:8">
      <c r="E935" s="15"/>
      <c r="F935" s="15"/>
      <c r="G935" s="15"/>
      <c r="H935" s="15"/>
    </row>
    <row r="936" spans="5:8">
      <c r="E936" s="15"/>
      <c r="F936" s="15"/>
      <c r="G936" s="15"/>
      <c r="H936" s="15"/>
    </row>
    <row r="937" spans="5:8">
      <c r="E937" s="15"/>
      <c r="F937" s="15"/>
      <c r="G937" s="15"/>
      <c r="H937" s="15"/>
    </row>
    <row r="938" spans="5:8">
      <c r="E938" s="15"/>
      <c r="F938" s="15"/>
      <c r="G938" s="15"/>
      <c r="H938" s="15"/>
    </row>
    <row r="939" spans="5:8">
      <c r="E939" s="15"/>
      <c r="F939" s="15"/>
      <c r="G939" s="15"/>
      <c r="H939" s="15"/>
    </row>
    <row r="940" spans="5:8">
      <c r="E940" s="15"/>
      <c r="F940" s="15"/>
      <c r="G940" s="15"/>
      <c r="H940" s="15"/>
    </row>
    <row r="941" spans="5:8">
      <c r="E941" s="15"/>
      <c r="F941" s="15"/>
      <c r="G941" s="15"/>
      <c r="H941" s="15"/>
    </row>
    <row r="942" spans="5:8">
      <c r="E942" s="15"/>
      <c r="F942" s="15"/>
      <c r="G942" s="15"/>
      <c r="H942" s="15"/>
    </row>
    <row r="943" spans="5:8">
      <c r="E943" s="15"/>
      <c r="F943" s="15"/>
      <c r="G943" s="15"/>
      <c r="H943" s="15"/>
    </row>
    <row r="944" spans="5:8">
      <c r="E944" s="15"/>
      <c r="F944" s="15"/>
      <c r="G944" s="15"/>
      <c r="H944" s="15"/>
    </row>
    <row r="945" spans="5:8">
      <c r="E945" s="15"/>
      <c r="F945" s="15"/>
      <c r="G945" s="15"/>
      <c r="H945" s="15"/>
    </row>
    <row r="946" spans="5:8">
      <c r="E946" s="15"/>
      <c r="F946" s="15"/>
      <c r="G946" s="15"/>
      <c r="H946" s="15"/>
    </row>
    <row r="947" spans="5:8">
      <c r="E947" s="15"/>
      <c r="F947" s="15"/>
      <c r="G947" s="15"/>
      <c r="H947" s="15"/>
    </row>
    <row r="948" spans="5:8">
      <c r="E948" s="15"/>
      <c r="F948" s="15"/>
      <c r="G948" s="15"/>
      <c r="H948" s="15"/>
    </row>
    <row r="949" spans="5:8">
      <c r="E949" s="15"/>
      <c r="F949" s="15"/>
      <c r="G949" s="15"/>
      <c r="H949" s="15"/>
    </row>
    <row r="950" spans="5:8">
      <c r="E950" s="15"/>
      <c r="F950" s="15"/>
      <c r="G950" s="15"/>
      <c r="H950" s="15"/>
    </row>
    <row r="951" spans="5:8">
      <c r="E951" s="15"/>
      <c r="F951" s="15"/>
      <c r="G951" s="15"/>
      <c r="H951" s="15"/>
    </row>
    <row r="952" spans="5:8">
      <c r="E952" s="15"/>
      <c r="F952" s="15"/>
      <c r="G952" s="15"/>
      <c r="H952" s="15"/>
    </row>
    <row r="953" spans="5:8">
      <c r="E953" s="15"/>
      <c r="F953" s="15"/>
      <c r="G953" s="15"/>
      <c r="H953" s="15"/>
    </row>
    <row r="954" spans="5:8">
      <c r="E954" s="15"/>
      <c r="F954" s="15"/>
      <c r="G954" s="15"/>
      <c r="H954" s="15"/>
    </row>
    <row r="955" spans="5:8">
      <c r="E955" s="15"/>
      <c r="F955" s="15"/>
      <c r="G955" s="15"/>
      <c r="H955" s="15"/>
    </row>
    <row r="956" spans="5:8">
      <c r="E956" s="15"/>
      <c r="F956" s="15"/>
      <c r="G956" s="15"/>
      <c r="H956" s="15"/>
    </row>
    <row r="957" spans="5:8">
      <c r="E957" s="15"/>
      <c r="F957" s="15"/>
      <c r="G957" s="15"/>
      <c r="H957" s="15"/>
    </row>
    <row r="958" spans="5:8">
      <c r="E958" s="15"/>
      <c r="F958" s="15"/>
      <c r="G958" s="15"/>
      <c r="H958" s="15"/>
    </row>
    <row r="959" spans="5:8">
      <c r="E959" s="15"/>
      <c r="F959" s="15"/>
      <c r="G959" s="15"/>
      <c r="H959" s="15"/>
    </row>
    <row r="960" spans="5:8">
      <c r="E960" s="15"/>
      <c r="F960" s="15"/>
      <c r="G960" s="15"/>
      <c r="H960" s="15"/>
    </row>
    <row r="961" spans="5:8">
      <c r="E961" s="15"/>
      <c r="F961" s="15"/>
      <c r="G961" s="15"/>
      <c r="H961" s="15"/>
    </row>
    <row r="962" spans="5:8">
      <c r="E962" s="15"/>
      <c r="F962" s="15"/>
      <c r="G962" s="15"/>
      <c r="H962" s="15"/>
    </row>
    <row r="963" spans="5:8">
      <c r="E963" s="15"/>
      <c r="F963" s="15"/>
      <c r="G963" s="15"/>
      <c r="H963" s="15"/>
    </row>
    <row r="964" spans="5:8">
      <c r="E964" s="15"/>
      <c r="F964" s="15"/>
      <c r="G964" s="15"/>
      <c r="H964" s="15"/>
    </row>
    <row r="965" spans="5:8">
      <c r="E965" s="15"/>
      <c r="F965" s="15"/>
      <c r="G965" s="15"/>
      <c r="H965" s="15"/>
    </row>
    <row r="966" spans="5:8">
      <c r="E966" s="15"/>
      <c r="F966" s="15"/>
      <c r="G966" s="15"/>
      <c r="H966" s="15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 summaryRight="0"/>
  </sheetPr>
  <dimension ref="A1:M19"/>
  <sheetViews>
    <sheetView workbookViewId="0">
      <selection activeCell="G19" sqref="G19"/>
    </sheetView>
  </sheetViews>
  <sheetFormatPr defaultColWidth="12.5703125" defaultRowHeight="15" customHeight="1"/>
  <cols>
    <col min="1" max="16384" width="12.5703125" style="6"/>
  </cols>
  <sheetData>
    <row r="1" spans="1:13" ht="15.75">
      <c r="A1" s="2" t="s">
        <v>233</v>
      </c>
      <c r="C1" s="3" t="s">
        <v>234</v>
      </c>
      <c r="J1" s="2"/>
      <c r="M1" s="4"/>
    </row>
    <row r="2" spans="1:13" ht="15.75">
      <c r="C2" s="3"/>
      <c r="J2" s="2"/>
      <c r="M2" s="4"/>
    </row>
    <row r="3" spans="1:13" ht="15.75">
      <c r="C3" s="3"/>
      <c r="J3" s="2"/>
      <c r="M3" s="4"/>
    </row>
    <row r="4" spans="1:13" ht="15" customHeight="1">
      <c r="A4" s="3"/>
      <c r="B4" s="51" t="s">
        <v>328</v>
      </c>
    </row>
    <row r="5" spans="1:13" ht="15" customHeight="1">
      <c r="A5" s="3"/>
      <c r="B5" s="3" t="s">
        <v>344</v>
      </c>
    </row>
    <row r="6" spans="1:13" ht="15" customHeight="1">
      <c r="A6" s="5"/>
      <c r="J6" s="5"/>
    </row>
    <row r="7" spans="1:13" ht="15" customHeight="1">
      <c r="A7" s="5"/>
      <c r="B7" s="51"/>
      <c r="J7" s="5"/>
    </row>
    <row r="8" spans="1:13" ht="15" customHeight="1">
      <c r="A8" s="5"/>
      <c r="B8" s="3" t="s">
        <v>329</v>
      </c>
      <c r="J8" s="5"/>
    </row>
    <row r="9" spans="1:13" ht="15" customHeight="1">
      <c r="A9" s="5"/>
      <c r="J9" s="5"/>
    </row>
    <row r="10" spans="1:13" ht="15" customHeight="1">
      <c r="A10" s="5"/>
      <c r="J10" s="5"/>
    </row>
    <row r="12" spans="1:13">
      <c r="A12" s="2" t="s">
        <v>235</v>
      </c>
    </row>
    <row r="14" spans="1:13" ht="15" customHeight="1">
      <c r="A14" s="3" t="s">
        <v>236</v>
      </c>
    </row>
    <row r="17" spans="1:10" ht="15" customHeight="1">
      <c r="A17" s="2" t="s">
        <v>237</v>
      </c>
    </row>
    <row r="18" spans="1:10" ht="15" customHeight="1">
      <c r="A18" s="5"/>
      <c r="J18" s="5"/>
    </row>
    <row r="19" spans="1:10" ht="15" customHeight="1">
      <c r="A19" s="3" t="s">
        <v>238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4A693-5B29-47EE-9E03-20CEA048D3AD}">
  <sheetPr codeName="Sheet13"/>
  <dimension ref="A1"/>
  <sheetViews>
    <sheetView tabSelected="1" workbookViewId="0">
      <selection activeCell="G19" sqref="G19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Build</vt:lpstr>
      <vt:lpstr>Calc</vt:lpstr>
      <vt:lpstr>Decals</vt:lpstr>
      <vt:lpstr>Fighters</vt:lpstr>
      <vt:lpstr>Weapons</vt:lpstr>
      <vt:lpstr>Weapon Mastery</vt:lpstr>
      <vt:lpstr>Weapon Moves</vt:lpstr>
      <vt:lpstr>Heads</vt:lpstr>
      <vt:lpstr>Bodies</vt:lpstr>
      <vt:lpstr>Legs</vt:lpstr>
      <vt:lpstr>Lists</vt:lpstr>
      <vt:lpstr>Notes</vt:lpstr>
      <vt:lpstr>Table Parse 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Mascoutah Yard</dc:creator>
  <cp:lastModifiedBy>Mascoutah Yard</cp:lastModifiedBy>
  <dcterms:created xsi:type="dcterms:W3CDTF">2025-11-12T13:57:32Z</dcterms:created>
  <dcterms:modified xsi:type="dcterms:W3CDTF">2025-12-03T16:34:36Z</dcterms:modified>
</cp:coreProperties>
</file>