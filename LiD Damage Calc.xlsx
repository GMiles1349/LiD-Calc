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surmeier-my.sharepoint.com/personal/mascoutah_surmeier_com/Documents/Desktop/Useful Documents/Projects/"/>
    </mc:Choice>
  </mc:AlternateContent>
  <xr:revisionPtr revIDLastSave="768" documentId="11_8553CDACC7550BBEDDBDCDB16F855A7CD9EB238D" xr6:coauthVersionLast="47" xr6:coauthVersionMax="47" xr10:uidLastSave="{68038CD4-1DB7-4C61-A9B7-54F08C2B8A29}"/>
  <bookViews>
    <workbookView xWindow="-120" yWindow="-120" windowWidth="29040" windowHeight="15840" xr2:uid="{00000000-000D-0000-FFFF-FFFF00000000}"/>
  </bookViews>
  <sheets>
    <sheet name="LiD Calculator" sheetId="1" r:id="rId1"/>
    <sheet name="Decals" sheetId="2" r:id="rId2"/>
    <sheet name="Fighters" sheetId="6" r:id="rId3"/>
    <sheet name="Weapons" sheetId="7" r:id="rId4"/>
    <sheet name="Lists" sheetId="3" r:id="rId5"/>
    <sheet name="Notes" sheetId="4" r:id="rId6"/>
  </sheets>
  <definedNames>
    <definedName name="_xlnm._FilterDatabase" localSheetId="1" hidden="1">Decals!$A$1:$S$178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YLD8iuuatnypr0BgccKy1LA7xpobRz7VyycG6gyqw5I="/>
    </ext>
  </extLst>
</workbook>
</file>

<file path=xl/calcChain.xml><?xml version="1.0" encoding="utf-8"?>
<calcChain xmlns="http://schemas.openxmlformats.org/spreadsheetml/2006/main">
  <c r="C16" i="1" l="1"/>
  <c r="C17" i="1" s="1"/>
  <c r="AA3" i="1" s="1"/>
  <c r="K21" i="1"/>
  <c r="C15" i="1"/>
  <c r="C22" i="1"/>
  <c r="C21" i="1"/>
  <c r="C20" i="1"/>
  <c r="C19" i="1"/>
  <c r="C18" i="1"/>
  <c r="F18" i="1"/>
  <c r="F17" i="1"/>
  <c r="B5" i="1" a="1"/>
  <c r="B5" i="1" s="1"/>
  <c r="C5" i="1" a="1"/>
  <c r="C5" i="1" s="1"/>
  <c r="D5" i="1" a="1"/>
  <c r="D5" i="1" s="1"/>
  <c r="E5" i="1" a="1"/>
  <c r="E5" i="1" s="1"/>
  <c r="F5" i="1" a="1"/>
  <c r="F5" i="1" s="1"/>
  <c r="G5" i="1" s="1"/>
  <c r="A5" i="1" a="1"/>
  <c r="A5" i="1" s="1"/>
  <c r="Z11" i="1"/>
  <c r="Z10" i="1"/>
  <c r="Z9" i="1"/>
  <c r="Z8" i="1"/>
  <c r="Z7" i="1"/>
  <c r="Z6" i="1"/>
  <c r="Z5" i="1"/>
  <c r="Z4" i="1"/>
  <c r="Z3" i="1"/>
  <c r="Y11" i="1"/>
  <c r="Y10" i="1"/>
  <c r="Y9" i="1"/>
  <c r="Y8" i="1"/>
  <c r="Y7" i="1"/>
  <c r="Y6" i="1"/>
  <c r="Y5" i="1"/>
  <c r="Y4" i="1"/>
  <c r="Y3" i="1"/>
  <c r="X11" i="1"/>
  <c r="X10" i="1"/>
  <c r="X9" i="1"/>
  <c r="X8" i="1"/>
  <c r="X7" i="1"/>
  <c r="X6" i="1"/>
  <c r="X5" i="1"/>
  <c r="X4" i="1"/>
  <c r="X3" i="1"/>
  <c r="W11" i="1"/>
  <c r="W10" i="1"/>
  <c r="W9" i="1"/>
  <c r="W8" i="1"/>
  <c r="W7" i="1"/>
  <c r="W6" i="1"/>
  <c r="W5" i="1"/>
  <c r="W4" i="1"/>
  <c r="W3" i="1"/>
  <c r="V11" i="1"/>
  <c r="V10" i="1"/>
  <c r="V9" i="1"/>
  <c r="V8" i="1"/>
  <c r="V7" i="1"/>
  <c r="V6" i="1"/>
  <c r="V5" i="1"/>
  <c r="V4" i="1"/>
  <c r="V3" i="1"/>
  <c r="U11" i="1"/>
  <c r="U10" i="1"/>
  <c r="U9" i="1"/>
  <c r="U8" i="1"/>
  <c r="U7" i="1"/>
  <c r="U6" i="1"/>
  <c r="U5" i="1"/>
  <c r="U4" i="1"/>
  <c r="U3" i="1"/>
  <c r="T11" i="1"/>
  <c r="T10" i="1"/>
  <c r="T9" i="1"/>
  <c r="T8" i="1"/>
  <c r="T7" i="1"/>
  <c r="T6" i="1"/>
  <c r="T5" i="1"/>
  <c r="T4" i="1"/>
  <c r="T3" i="1"/>
  <c r="S11" i="1"/>
  <c r="S10" i="1"/>
  <c r="S9" i="1"/>
  <c r="S8" i="1"/>
  <c r="S7" i="1"/>
  <c r="S6" i="1"/>
  <c r="S5" i="1"/>
  <c r="S4" i="1"/>
  <c r="S3" i="1"/>
  <c r="R11" i="1"/>
  <c r="R10" i="1"/>
  <c r="R9" i="1"/>
  <c r="R8" i="1"/>
  <c r="R7" i="1"/>
  <c r="R6" i="1"/>
  <c r="R5" i="1"/>
  <c r="R4" i="1"/>
  <c r="R3" i="1"/>
  <c r="Q11" i="1"/>
  <c r="Q10" i="1"/>
  <c r="Q9" i="1"/>
  <c r="Q8" i="1"/>
  <c r="Q7" i="1"/>
  <c r="Q6" i="1"/>
  <c r="Q5" i="1"/>
  <c r="Q4" i="1"/>
  <c r="Q3" i="1"/>
  <c r="P11" i="1"/>
  <c r="P10" i="1"/>
  <c r="P9" i="1"/>
  <c r="P8" i="1"/>
  <c r="P7" i="1"/>
  <c r="P6" i="1"/>
  <c r="P5" i="1"/>
  <c r="P4" i="1"/>
  <c r="P3" i="1"/>
  <c r="O11" i="1"/>
  <c r="O10" i="1"/>
  <c r="O9" i="1"/>
  <c r="O8" i="1"/>
  <c r="O7" i="1"/>
  <c r="O6" i="1"/>
  <c r="O5" i="1"/>
  <c r="O3" i="1"/>
  <c r="O4" i="1"/>
  <c r="AA7" i="1" l="1"/>
  <c r="N15" i="1" s="1"/>
  <c r="M15" i="1"/>
  <c r="AA9" i="1"/>
  <c r="AA11" i="1"/>
  <c r="AA8" i="1"/>
  <c r="AA5" i="1"/>
  <c r="Q15" i="1" s="1"/>
  <c r="AA6" i="1"/>
  <c r="AA4" i="1"/>
  <c r="AA10" i="1"/>
  <c r="K18" i="1"/>
  <c r="N18" i="1"/>
  <c r="U15" i="1"/>
  <c r="Y15" i="1"/>
  <c r="S15" i="1"/>
  <c r="X15" i="1"/>
  <c r="R15" i="1"/>
  <c r="L15" i="1"/>
  <c r="W15" i="1"/>
  <c r="V15" i="1"/>
  <c r="P15" i="1"/>
  <c r="N21" i="1"/>
  <c r="T15" i="1"/>
  <c r="O15" i="1"/>
  <c r="K15" i="1" l="1"/>
  <c r="Z15" i="1" s="1"/>
  <c r="O23" i="1" s="1"/>
  <c r="O24" i="1" l="1"/>
  <c r="O25" i="1" s="1"/>
  <c r="O26" i="1"/>
  <c r="O27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<sst xmlns="http://schemas.openxmlformats.org/spreadsheetml/2006/main" count="1387" uniqueCount="410">
  <si>
    <t>ATK</t>
  </si>
  <si>
    <t>BASE CRIT %</t>
  </si>
  <si>
    <t>WEAPON TYPE</t>
  </si>
  <si>
    <t>Assault Rifle</t>
  </si>
  <si>
    <t>RAW TYPE</t>
  </si>
  <si>
    <t>Piercing</t>
  </si>
  <si>
    <t>%</t>
  </si>
  <si>
    <t>ELEMENT TYPE</t>
  </si>
  <si>
    <t>None</t>
  </si>
  <si>
    <t>HEADSHOT MULTI</t>
  </si>
  <si>
    <t>Decals</t>
  </si>
  <si>
    <t>Name</t>
  </si>
  <si>
    <t>A GRP</t>
  </si>
  <si>
    <t>C GRP</t>
  </si>
  <si>
    <t>REQ WEP</t>
  </si>
  <si>
    <t>REQ DAM TYPE</t>
  </si>
  <si>
    <t>REQ ELE</t>
  </si>
  <si>
    <t>REQ FAC</t>
  </si>
  <si>
    <t>ATK *</t>
  </si>
  <si>
    <t>ATK 2 *</t>
  </si>
  <si>
    <t>HS *</t>
  </si>
  <si>
    <t>CRIT %</t>
  </si>
  <si>
    <t>CRIT *</t>
  </si>
  <si>
    <t>EXPLOSIVE</t>
  </si>
  <si>
    <t>APPLICABLE MUL</t>
  </si>
  <si>
    <t>Professional Cosplayer</t>
  </si>
  <si>
    <t>Joker</t>
  </si>
  <si>
    <t>Barbarian</t>
  </si>
  <si>
    <t>Critical Attack</t>
  </si>
  <si>
    <t>Assault Rifle Addict</t>
  </si>
  <si>
    <t>Golden Gym</t>
  </si>
  <si>
    <t>Five-leaf Clover</t>
  </si>
  <si>
    <t>Serial Killer</t>
  </si>
  <si>
    <t>ATK DECAL GROUP SUMS</t>
  </si>
  <si>
    <t>FINAL ATK MULTIPLIER</t>
  </si>
  <si>
    <t>EXPLOSIVE MULTIPLIER</t>
  </si>
  <si>
    <t>HEADSHOT MULTIPLIER</t>
  </si>
  <si>
    <t>CRITICAL CHANCE</t>
  </si>
  <si>
    <t>CRIT DMG MULTIPLIER</t>
  </si>
  <si>
    <t>FINAL NON-CRIT ATTACK</t>
  </si>
  <si>
    <t>FINAL CRIT ATTACK</t>
  </si>
  <si>
    <t>FINAL AVG ATTACK</t>
  </si>
  <si>
    <t>FINAL NON-CRIT HEADSHOT</t>
  </si>
  <si>
    <t>FINAL CRIT HEADSHOT</t>
  </si>
  <si>
    <t>NAME</t>
  </si>
  <si>
    <t>RAGE DMG *</t>
  </si>
  <si>
    <t>HP &lt;= 15%</t>
  </si>
  <si>
    <t>HP 100%</t>
  </si>
  <si>
    <t>DOWN ATK *</t>
  </si>
  <si>
    <t>REQS</t>
  </si>
  <si>
    <t>Comments</t>
  </si>
  <si>
    <t>Super Hero</t>
  </si>
  <si>
    <t>Legendary Hero</t>
  </si>
  <si>
    <t>Bull</t>
  </si>
  <si>
    <t>Raging Bull</t>
  </si>
  <si>
    <t>Dumbbell</t>
  </si>
  <si>
    <t>Barbell</t>
  </si>
  <si>
    <t>Judge's Gavel</t>
  </si>
  <si>
    <t>One Shot One Kill</t>
  </si>
  <si>
    <t>Dual Wielding Master</t>
  </si>
  <si>
    <t>Master Builder</t>
  </si>
  <si>
    <t>DOD</t>
  </si>
  <si>
    <t>Drill Sergeant</t>
  </si>
  <si>
    <t>WE</t>
  </si>
  <si>
    <t>Wizard</t>
  </si>
  <si>
    <t>CW</t>
  </si>
  <si>
    <t>Medalist</t>
  </si>
  <si>
    <t>MILK</t>
  </si>
  <si>
    <t>Samurai</t>
  </si>
  <si>
    <t>Slash</t>
  </si>
  <si>
    <t>Slugger</t>
  </si>
  <si>
    <t>Blunt</t>
  </si>
  <si>
    <t>Firestarter</t>
  </si>
  <si>
    <t>Fire</t>
  </si>
  <si>
    <t>Electrifier</t>
  </si>
  <si>
    <t>Electric</t>
  </si>
  <si>
    <t>Hornet</t>
  </si>
  <si>
    <t>Poison</t>
  </si>
  <si>
    <t>Giant Killer</t>
  </si>
  <si>
    <t>Four-leaf Clover</t>
  </si>
  <si>
    <t>Superalloy</t>
  </si>
  <si>
    <t>Dengeki Playstation</t>
  </si>
  <si>
    <t>Self-Defense</t>
  </si>
  <si>
    <t>Hammer Addict</t>
  </si>
  <si>
    <t>Hammer</t>
  </si>
  <si>
    <t>Machete Addict</t>
  </si>
  <si>
    <t>Machete</t>
  </si>
  <si>
    <t>Saber Addict</t>
  </si>
  <si>
    <t>Saber</t>
  </si>
  <si>
    <t>Fireworks Addict</t>
  </si>
  <si>
    <t>Fireworks</t>
  </si>
  <si>
    <t>Trump Card</t>
  </si>
  <si>
    <t>Iron Addict</t>
  </si>
  <si>
    <t>Iron</t>
  </si>
  <si>
    <t>Crossbow Addict</t>
  </si>
  <si>
    <t>Crossbow</t>
  </si>
  <si>
    <t>Katana Addict</t>
  </si>
  <si>
    <t>Katana</t>
  </si>
  <si>
    <t>Hockey Addict</t>
  </si>
  <si>
    <t>Hockey Stick</t>
  </si>
  <si>
    <t>Panther Mode</t>
  </si>
  <si>
    <t>Jupiter Style</t>
  </si>
  <si>
    <t>Slash, Blunt</t>
  </si>
  <si>
    <t>Durga Angel</t>
  </si>
  <si>
    <t>Crowd Pleaser</t>
  </si>
  <si>
    <t>Cerberus</t>
  </si>
  <si>
    <t>Trigger Happy</t>
  </si>
  <si>
    <t>HP 100%: Requires Assault Rife</t>
  </si>
  <si>
    <t>Tiger II</t>
  </si>
  <si>
    <t>Chi-Ha</t>
  </si>
  <si>
    <t>T95E2</t>
  </si>
  <si>
    <t>INVADER (WoT)</t>
  </si>
  <si>
    <t>Full Metal Jacket</t>
  </si>
  <si>
    <t>Sniper Rifle</t>
  </si>
  <si>
    <t>Hagakure</t>
  </si>
  <si>
    <t>Buzzsaw Addict</t>
  </si>
  <si>
    <t>Buzzsaw</t>
  </si>
  <si>
    <t>Magnum Addict</t>
  </si>
  <si>
    <t>Magnum</t>
  </si>
  <si>
    <t>Sword Addict</t>
  </si>
  <si>
    <t>Sword</t>
  </si>
  <si>
    <t>Poison Master</t>
  </si>
  <si>
    <t>Sniper Rifle Addict</t>
  </si>
  <si>
    <t>Chopper Addict</t>
  </si>
  <si>
    <t>Chopper</t>
  </si>
  <si>
    <t>Claw Addict</t>
  </si>
  <si>
    <t>Claw</t>
  </si>
  <si>
    <t>Night Assassin</t>
  </si>
  <si>
    <t>Knife</t>
  </si>
  <si>
    <t>Knife Addict</t>
  </si>
  <si>
    <t>Chainsaw Addict</t>
  </si>
  <si>
    <t>Chainsaw</t>
  </si>
  <si>
    <t>Pitching Addict</t>
  </si>
  <si>
    <t>Pitching</t>
  </si>
  <si>
    <t>Pinch Hitter</t>
  </si>
  <si>
    <t>Bat</t>
  </si>
  <si>
    <t>Bowling Addict</t>
  </si>
  <si>
    <t>Bowling Ball</t>
  </si>
  <si>
    <t>Bat Addict</t>
  </si>
  <si>
    <t>Rocket Launcher Addict</t>
  </si>
  <si>
    <t>Rocket Launcher</t>
  </si>
  <si>
    <t>Con Smith</t>
  </si>
  <si>
    <t>Samantha</t>
  </si>
  <si>
    <t>Kevin Smith</t>
  </si>
  <si>
    <t>Dan Smith</t>
  </si>
  <si>
    <t>KAEDE Smith</t>
  </si>
  <si>
    <t>Mask De Smith</t>
  </si>
  <si>
    <t>Garcian Smith</t>
  </si>
  <si>
    <t>Pickaxe Addict</t>
  </si>
  <si>
    <t>Pickaxe</t>
  </si>
  <si>
    <t>Axe Addict</t>
  </si>
  <si>
    <t>Axe</t>
  </si>
  <si>
    <t>Shotgun Addict</t>
  </si>
  <si>
    <t>Shotgun</t>
  </si>
  <si>
    <t>Hammerhead</t>
  </si>
  <si>
    <t>Gravedigger</t>
  </si>
  <si>
    <t>Shovel</t>
  </si>
  <si>
    <t>Corkscrew Punch</t>
  </si>
  <si>
    <t>Boxing Gloves</t>
  </si>
  <si>
    <t>Boxing Addict</t>
  </si>
  <si>
    <t>Fire Baton Addict</t>
  </si>
  <si>
    <t>Fire Baton</t>
  </si>
  <si>
    <t>Drill Addict</t>
  </si>
  <si>
    <t>Drill</t>
  </si>
  <si>
    <t>Thunder Road</t>
  </si>
  <si>
    <t>Motorcycle</t>
  </si>
  <si>
    <t>Vigilante</t>
  </si>
  <si>
    <t>Fire Rod Addict</t>
  </si>
  <si>
    <t>Fire Rod</t>
  </si>
  <si>
    <t>Motorcycle Addict</t>
  </si>
  <si>
    <t>Welding Gun Addict</t>
  </si>
  <si>
    <t>Welding Gun</t>
  </si>
  <si>
    <t>Don Quixote</t>
  </si>
  <si>
    <t>Drill Mole</t>
  </si>
  <si>
    <t>Nail Gun Addict</t>
  </si>
  <si>
    <t>Nail Gun</t>
  </si>
  <si>
    <t>Shovel Addict</t>
  </si>
  <si>
    <t>Flamethrower Addict</t>
  </si>
  <si>
    <t>Flamethrower</t>
  </si>
  <si>
    <t>Flashdance</t>
  </si>
  <si>
    <t>ANGRY MAMA</t>
  </si>
  <si>
    <t>Death Hunt</t>
  </si>
  <si>
    <t>Requires Shotgun</t>
  </si>
  <si>
    <t>Stun Rod Addict</t>
  </si>
  <si>
    <t>Stun Rod</t>
  </si>
  <si>
    <t>Shuriken Addict</t>
  </si>
  <si>
    <t>Shuriken</t>
  </si>
  <si>
    <t>Thunder Rod Addict</t>
  </si>
  <si>
    <t>Thunder Rod</t>
  </si>
  <si>
    <t>TRAVIS TOUCHDOWN (NMH)</t>
  </si>
  <si>
    <t>Requires Machete</t>
  </si>
  <si>
    <t>SYLVIA CHRISTEL (NMH)</t>
  </si>
  <si>
    <t>Requires Full Matching Armor</t>
  </si>
  <si>
    <t>SHINOBU (NMH)</t>
  </si>
  <si>
    <t>Requires Katana</t>
  </si>
  <si>
    <t>SPEED BUSTER (NMH)</t>
  </si>
  <si>
    <t>Requires DOD</t>
  </si>
  <si>
    <t>DESTROYMAN (NMH)</t>
  </si>
  <si>
    <t>Requires Candle Wolf</t>
  </si>
  <si>
    <t>HOLLY SUMMERS (NMH)</t>
  </si>
  <si>
    <t>Requires War Ensemble</t>
  </si>
  <si>
    <t>BAD GIRL (NMH)</t>
  </si>
  <si>
    <t>Requires MILK</t>
  </si>
  <si>
    <t>HENRY (NMH)</t>
  </si>
  <si>
    <t>ATK 2: Perfect Guard</t>
  </si>
  <si>
    <t>Musketeer</t>
  </si>
  <si>
    <t>Lumberjack</t>
  </si>
  <si>
    <t>Bazooka Wake-Up</t>
  </si>
  <si>
    <t>ATK 2: Final Round</t>
  </si>
  <si>
    <t>Spear Addict</t>
  </si>
  <si>
    <t>Spear</t>
  </si>
  <si>
    <t>Warrior Monk</t>
  </si>
  <si>
    <t>Great Hero</t>
  </si>
  <si>
    <t>Requires Sword</t>
  </si>
  <si>
    <t>CENTER FORWARD</t>
  </si>
  <si>
    <t>Requires Hockey Stick</t>
  </si>
  <si>
    <t>Invader</t>
  </si>
  <si>
    <t>TDM Only</t>
  </si>
  <si>
    <t>Dragonfire</t>
  </si>
  <si>
    <t>Requires Flamethrower</t>
  </si>
  <si>
    <t>Jungle Tiger</t>
  </si>
  <si>
    <t>Flail Addict</t>
  </si>
  <si>
    <t>Flail</t>
  </si>
  <si>
    <t>Six-leaf Clover</t>
  </si>
  <si>
    <t>Salamander</t>
  </si>
  <si>
    <t>Requires Fire Rod</t>
  </si>
  <si>
    <t>Firewheel</t>
  </si>
  <si>
    <t>Perfect Closer</t>
  </si>
  <si>
    <t>Pitching Machine</t>
  </si>
  <si>
    <t>ATK 2: Random with Full Set</t>
  </si>
  <si>
    <t>Archery Addict</t>
  </si>
  <si>
    <t>Archer's Bow</t>
  </si>
  <si>
    <t>Local Butcher</t>
  </si>
  <si>
    <t>Niten Ichi-ryu</t>
  </si>
  <si>
    <t>Requires Dual Wield Same Weapon</t>
  </si>
  <si>
    <t>King of Coal</t>
  </si>
  <si>
    <t>Pro Bowler</t>
  </si>
  <si>
    <t>ATK 2: Random on Triple Strike</t>
  </si>
  <si>
    <t>Chimera</t>
  </si>
  <si>
    <t>TDM Defense Only</t>
  </si>
  <si>
    <t>Timber Addict</t>
  </si>
  <si>
    <t>Timber</t>
  </si>
  <si>
    <t>Bandit</t>
  </si>
  <si>
    <t>Stun Gun Addict</t>
  </si>
  <si>
    <t>Stun Gun</t>
  </si>
  <si>
    <t>Electric Bop</t>
  </si>
  <si>
    <t>Lion Dance Addict</t>
  </si>
  <si>
    <t>Lion Dance Knuckle</t>
  </si>
  <si>
    <t>Lion Man</t>
  </si>
  <si>
    <t>Requires Lion Dance Knuckle</t>
  </si>
  <si>
    <t>Billy the Kid</t>
  </si>
  <si>
    <t>Spin Master</t>
  </si>
  <si>
    <t>Requires Yo-Yo</t>
  </si>
  <si>
    <t>Yo-Yo Addict</t>
  </si>
  <si>
    <t>Yo-Yo</t>
  </si>
  <si>
    <t>Below the Belt</t>
  </si>
  <si>
    <t>Final Hero</t>
  </si>
  <si>
    <t>Superalloy Death Zam</t>
  </si>
  <si>
    <t>ATK 2: Enemy HP &gt;= 70%</t>
  </si>
  <si>
    <t>Rio Bravo</t>
  </si>
  <si>
    <t>Special Unit Captain</t>
  </si>
  <si>
    <t>Uncle-D2 (DEATHVERSE)</t>
  </si>
  <si>
    <t>Queen B (DEATHVERSE)</t>
  </si>
  <si>
    <t>Queen of the Wolves</t>
  </si>
  <si>
    <t>Blacksmith</t>
  </si>
  <si>
    <t>Violence Class</t>
  </si>
  <si>
    <t>Slash,Blunt</t>
  </si>
  <si>
    <t>Precocious Bouncer</t>
  </si>
  <si>
    <t>Poison General</t>
  </si>
  <si>
    <t>One Way Ticket</t>
  </si>
  <si>
    <t>Dog Day Afternoon</t>
  </si>
  <si>
    <t>Fire Angel</t>
  </si>
  <si>
    <t>Grand Master Builder</t>
  </si>
  <si>
    <t>Hellish Drill Sergeant</t>
  </si>
  <si>
    <t>Electro Beast</t>
  </si>
  <si>
    <t>Arch Wizard</t>
  </si>
  <si>
    <t>Queen Of Spades</t>
  </si>
  <si>
    <t>Platinum Medalist</t>
  </si>
  <si>
    <t>Magic Fencer</t>
  </si>
  <si>
    <t>Fire,Electric,Poison</t>
  </si>
  <si>
    <t>Requires (Blunt or Slash) + (Fire, Electric, or Poison)</t>
  </si>
  <si>
    <t>WEAPON TYPES</t>
  </si>
  <si>
    <t>LUK</t>
  </si>
  <si>
    <t>Crit Chance</t>
  </si>
  <si>
    <t>Attack Damage Formula</t>
  </si>
  <si>
    <t>(Current working formula. Will be changed as better information is gathered)</t>
  </si>
  <si>
    <t>ATK * FUN * Scale * Coeff * (1-RES)</t>
  </si>
  <si>
    <t>Defense Formula</t>
  </si>
  <si>
    <t>1.1 +((DEF * FUN * (VIT + 25)) / 23200)</t>
  </si>
  <si>
    <t>Final Damage Calculation</t>
  </si>
  <si>
    <t>ATK FORM / DEF FORM</t>
  </si>
  <si>
    <t>GRADE</t>
  </si>
  <si>
    <t>ALL-ROUNDER</t>
  </si>
  <si>
    <t>HP</t>
  </si>
  <si>
    <t>STM</t>
  </si>
  <si>
    <t>STR</t>
  </si>
  <si>
    <t>DEX</t>
  </si>
  <si>
    <t>VIT</t>
  </si>
  <si>
    <t>STRIKER</t>
  </si>
  <si>
    <t>DEFENDER</t>
  </si>
  <si>
    <t>ATTACKER</t>
  </si>
  <si>
    <t>SHOOTER</t>
  </si>
  <si>
    <t>COLLECTOR</t>
  </si>
  <si>
    <t>SKILL MASTER</t>
  </si>
  <si>
    <t>LUCKY STAR</t>
  </si>
  <si>
    <t>FIGHTER CLASS</t>
  </si>
  <si>
    <t>FIGHTER CLASSES</t>
  </si>
  <si>
    <t>All-rounder</t>
  </si>
  <si>
    <t>Striker</t>
  </si>
  <si>
    <t>Defender</t>
  </si>
  <si>
    <t>Attacker</t>
  </si>
  <si>
    <t>Shooter</t>
  </si>
  <si>
    <t>Collector</t>
  </si>
  <si>
    <t>Skill Master</t>
  </si>
  <si>
    <t>Lucky Star</t>
  </si>
  <si>
    <t>SELECT FIGHTER</t>
  </si>
  <si>
    <t>Faction</t>
  </si>
  <si>
    <t>Hands</t>
  </si>
  <si>
    <t>REQ</t>
  </si>
  <si>
    <t>T1</t>
  </si>
  <si>
    <t>T2</t>
  </si>
  <si>
    <t>T3</t>
  </si>
  <si>
    <t>T4</t>
  </si>
  <si>
    <t>1-Handed</t>
  </si>
  <si>
    <t>B</t>
  </si>
  <si>
    <t>C</t>
  </si>
  <si>
    <t>A</t>
  </si>
  <si>
    <t>2-Handed</t>
  </si>
  <si>
    <t>-</t>
  </si>
  <si>
    <t>D</t>
  </si>
  <si>
    <t>Spike Crusher</t>
  </si>
  <si>
    <t>Hell Spike Crusher</t>
  </si>
  <si>
    <t>Static Massager</t>
  </si>
  <si>
    <t>Viral Massager</t>
  </si>
  <si>
    <t>Assault Rifle RE</t>
  </si>
  <si>
    <t>M2G-87</t>
  </si>
  <si>
    <t>M2G-87 Mod.1 FireFly</t>
  </si>
  <si>
    <t>Sword RE</t>
  </si>
  <si>
    <t>Claws</t>
  </si>
  <si>
    <t>Death's Scythe</t>
  </si>
  <si>
    <t>Vajra of Light</t>
  </si>
  <si>
    <t>Vajra of God</t>
  </si>
  <si>
    <t>Head of Medusa</t>
  </si>
  <si>
    <t>Head of Euryale</t>
  </si>
  <si>
    <t>Mortal Bobslayer</t>
  </si>
  <si>
    <t>Immortal Bobslayer</t>
  </si>
  <si>
    <t>Jackal Sword</t>
  </si>
  <si>
    <t>Jackal Sword D</t>
  </si>
  <si>
    <t>Jackal Blaster</t>
  </si>
  <si>
    <t>Jackal Blaster D</t>
  </si>
  <si>
    <t>Jackal Yo-Yo</t>
  </si>
  <si>
    <t>Jackal Yo-Yo D</t>
  </si>
  <si>
    <t>Fists</t>
  </si>
  <si>
    <t>Yes</t>
  </si>
  <si>
    <t>Death's Scythe (Red)</t>
  </si>
  <si>
    <t>WA</t>
  </si>
  <si>
    <t>NONE</t>
  </si>
  <si>
    <t>RAGE</t>
  </si>
  <si>
    <t>GUARD POWER</t>
  </si>
  <si>
    <t>STAMINA</t>
  </si>
  <si>
    <t>050</t>
  </si>
  <si>
    <t>100</t>
  </si>
  <si>
    <t>010</t>
  </si>
  <si>
    <t>040</t>
  </si>
  <si>
    <t>020</t>
  </si>
  <si>
    <t>080</t>
  </si>
  <si>
    <t>70</t>
  </si>
  <si>
    <t>001</t>
  </si>
  <si>
    <t>030</t>
  </si>
  <si>
    <t>20</t>
  </si>
  <si>
    <t>RAW %</t>
  </si>
  <si>
    <t>090</t>
  </si>
  <si>
    <t>060</t>
  </si>
  <si>
    <t>30</t>
  </si>
  <si>
    <t>099</t>
  </si>
  <si>
    <t>070</t>
  </si>
  <si>
    <t>80</t>
  </si>
  <si>
    <t>E TYPE</t>
  </si>
  <si>
    <t>E %</t>
  </si>
  <si>
    <t>000</t>
  </si>
  <si>
    <t>065</t>
  </si>
  <si>
    <t>035</t>
  </si>
  <si>
    <t>DEX %</t>
  </si>
  <si>
    <t>STR %</t>
  </si>
  <si>
    <t>9</t>
  </si>
  <si>
    <t>14</t>
  </si>
  <si>
    <t>19</t>
  </si>
  <si>
    <t>Beam Katana</t>
  </si>
  <si>
    <t>Demon Gun</t>
  </si>
  <si>
    <t>GLIDER</t>
  </si>
  <si>
    <t>Assault Rifle WoT</t>
  </si>
  <si>
    <t>Lion Dance Knuckles</t>
  </si>
  <si>
    <t>Motorcycle ZX</t>
  </si>
  <si>
    <t>Yes Knife</t>
  </si>
  <si>
    <t>No Knife</t>
  </si>
  <si>
    <t>SELECT WEAPON</t>
  </si>
  <si>
    <t>WEAPON</t>
  </si>
  <si>
    <t>TIER</t>
  </si>
  <si>
    <t>STAT REQ</t>
  </si>
  <si>
    <t>HEADSHOT</t>
  </si>
  <si>
    <t>OPTIONAL FUNSHOTS</t>
  </si>
  <si>
    <t>SLASH</t>
  </si>
  <si>
    <t>BLUNT</t>
  </si>
  <si>
    <t>PIERCE</t>
  </si>
  <si>
    <t>HEAD</t>
  </si>
  <si>
    <t>BODY</t>
  </si>
  <si>
    <t>LEG</t>
  </si>
  <si>
    <t>Type</t>
  </si>
  <si>
    <t>Scythe</t>
  </si>
  <si>
    <t>Bobslayer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</si>
</sst>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6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</font>
    <font>
      <sz val="11"/>
      <name val="Aptos Narrow"/>
      <family val="2"/>
    </font>
    <font>
      <sz val="11"/>
      <color theme="1"/>
      <name val="Aptos Narrow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0"/>
      <name val="Aptos Narrow"/>
      <family val="2"/>
    </font>
    <font>
      <b/>
      <sz val="11"/>
      <color theme="1"/>
      <name val="Serif"/>
    </font>
    <font>
      <b/>
      <sz val="11"/>
      <color theme="1"/>
      <name val="Arial"/>
      <family val="2"/>
    </font>
    <font>
      <b/>
      <sz val="11"/>
      <color rgb="FF000000"/>
      <name val="Sans-serif"/>
    </font>
    <font>
      <sz val="11"/>
      <color rgb="FF000000"/>
      <name val="Sans-serif"/>
    </font>
    <font>
      <sz val="11"/>
      <color rgb="FF000000"/>
      <name val="Aptos Narrow"/>
      <family val="2"/>
    </font>
    <font>
      <sz val="11"/>
      <color theme="1"/>
      <name val="Aptos Narrow"/>
      <family val="2"/>
      <scheme val="minor"/>
    </font>
    <font>
      <b/>
      <u/>
      <sz val="11"/>
      <color theme="1"/>
      <name val="Arial"/>
      <family val="2"/>
    </font>
    <font>
      <i/>
      <sz val="11"/>
      <color theme="1"/>
      <name val="Arial"/>
      <family val="2"/>
    </font>
    <font>
      <i/>
      <sz val="12"/>
      <color theme="1"/>
      <name val="Arial"/>
      <family val="2"/>
    </font>
    <font>
      <b/>
      <i/>
      <sz val="11"/>
      <color theme="1"/>
      <name val="Arial"/>
      <family val="2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i/>
      <sz val="11"/>
      <color theme="1"/>
      <name val="Aptos Narrow"/>
      <family val="2"/>
    </font>
    <font>
      <b/>
      <i/>
      <sz val="11"/>
      <color theme="1"/>
      <name val="Aptos Narrow"/>
      <family val="2"/>
    </font>
    <font>
      <sz val="11"/>
      <color theme="1"/>
      <name val="Aptos Narrow"/>
      <family val="2"/>
      <scheme val="major"/>
    </font>
    <font>
      <sz val="11"/>
      <color rgb="FF0A0A0A"/>
      <name val="Aptos Narrow"/>
      <family val="2"/>
      <scheme val="major"/>
    </font>
    <font>
      <i/>
      <sz val="11"/>
      <name val="Aptos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F1A983"/>
        <bgColor rgb="FFF1A983"/>
      </patternFill>
    </fill>
    <fill>
      <patternFill patternType="solid">
        <fgColor theme="0"/>
        <bgColor theme="0"/>
      </patternFill>
    </fill>
    <fill>
      <patternFill patternType="solid">
        <fgColor rgb="FFFFFF99"/>
        <bgColor rgb="FFFFFF99"/>
      </patternFill>
    </fill>
    <fill>
      <patternFill patternType="solid">
        <fgColor theme="4"/>
        <bgColor theme="4"/>
      </patternFill>
    </fill>
    <fill>
      <patternFill patternType="solid">
        <fgColor rgb="FFBF4F14"/>
        <bgColor rgb="FFBF4F14"/>
      </patternFill>
    </fill>
    <fill>
      <patternFill patternType="solid">
        <fgColor rgb="FFBFBFBF"/>
        <bgColor rgb="FFBFBFBF"/>
      </patternFill>
    </fill>
    <fill>
      <patternFill patternType="solid">
        <fgColor theme="1"/>
        <bgColor theme="1"/>
      </patternFill>
    </fill>
    <fill>
      <patternFill patternType="solid">
        <fgColor rgb="FFA6C9EB"/>
        <bgColor rgb="FFA6C9EB"/>
      </patternFill>
    </fill>
    <fill>
      <patternFill patternType="solid">
        <fgColor rgb="FFFF6464"/>
        <bgColor rgb="FFFF6464"/>
      </patternFill>
    </fill>
    <fill>
      <patternFill patternType="solid">
        <fgColor rgb="FFC1E4F5"/>
        <bgColor rgb="FFC1E4F5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rgb="FFFF5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59999389629810485"/>
        <bgColor theme="0"/>
      </patternFill>
    </fill>
    <fill>
      <patternFill patternType="solid">
        <fgColor theme="5" tint="0.39997558519241921"/>
        <bgColor rgb="FFF1A983"/>
      </patternFill>
    </fill>
    <fill>
      <patternFill patternType="solid">
        <fgColor theme="0"/>
        <bgColor rgb="FFFFFF99"/>
      </patternFill>
    </fill>
    <fill>
      <patternFill patternType="solid">
        <fgColor rgb="FFFFFF99"/>
        <bgColor theme="0"/>
      </patternFill>
    </fill>
    <fill>
      <patternFill patternType="solid">
        <fgColor rgb="FFFFFF99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rgb="FFFFFF99"/>
        <bgColor rgb="FFD8D8D8"/>
      </patternFill>
    </fill>
  </fills>
  <borders count="3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E8E8E8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E8E8E8"/>
      </right>
      <top/>
      <bottom/>
      <diagonal/>
    </border>
    <border>
      <left style="thin">
        <color rgb="FFE8E8E8"/>
      </left>
      <right style="thin">
        <color rgb="FFE8E8E8"/>
      </right>
      <top/>
      <bottom/>
      <diagonal/>
    </border>
    <border>
      <left style="thin">
        <color rgb="FFE8E8E8"/>
      </left>
      <right style="thin">
        <color rgb="FFE8E8E8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 style="double">
        <color rgb="FF000000"/>
      </top>
      <bottom/>
      <diagonal/>
    </border>
    <border>
      <left style="medium">
        <color rgb="FF000000"/>
      </left>
      <right/>
      <top style="thin">
        <color rgb="FF45B0E1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0">
    <xf numFmtId="0" fontId="0" fillId="0" borderId="0" xfId="0"/>
    <xf numFmtId="0" fontId="2" fillId="3" borderId="0" xfId="0" applyFont="1" applyFill="1" applyAlignment="1">
      <alignment horizontal="right" vertical="center" wrapText="1"/>
    </xf>
    <xf numFmtId="0" fontId="2" fillId="4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/>
    </xf>
    <xf numFmtId="0" fontId="4" fillId="3" borderId="9" xfId="0" applyFont="1" applyFill="1" applyBorder="1" applyAlignment="1">
      <alignment horizontal="center"/>
    </xf>
    <xf numFmtId="0" fontId="7" fillId="5" borderId="13" xfId="0" applyFont="1" applyFill="1" applyBorder="1"/>
    <xf numFmtId="0" fontId="7" fillId="5" borderId="13" xfId="0" applyFont="1" applyFill="1" applyBorder="1" applyAlignment="1">
      <alignment horizontal="left"/>
    </xf>
    <xf numFmtId="0" fontId="2" fillId="7" borderId="5" xfId="0" applyFont="1" applyFill="1" applyBorder="1" applyAlignment="1">
      <alignment horizontal="center"/>
    </xf>
    <xf numFmtId="0" fontId="7" fillId="5" borderId="22" xfId="0" applyFont="1" applyFill="1" applyBorder="1" applyAlignment="1">
      <alignment horizontal="center"/>
    </xf>
    <xf numFmtId="0" fontId="7" fillId="5" borderId="23" xfId="0" applyFont="1" applyFill="1" applyBorder="1"/>
    <xf numFmtId="0" fontId="7" fillId="5" borderId="23" xfId="0" applyFont="1" applyFill="1" applyBorder="1" applyAlignment="1">
      <alignment horizontal="left"/>
    </xf>
    <xf numFmtId="0" fontId="2" fillId="11" borderId="24" xfId="0" applyFont="1" applyFill="1" applyBorder="1" applyAlignment="1">
      <alignment horizontal="left"/>
    </xf>
    <xf numFmtId="0" fontId="2" fillId="11" borderId="13" xfId="0" applyFont="1" applyFill="1" applyBorder="1"/>
    <xf numFmtId="0" fontId="2" fillId="11" borderId="13" xfId="0" applyFont="1" applyFill="1" applyBorder="1" applyAlignment="1">
      <alignment horizontal="left"/>
    </xf>
    <xf numFmtId="0" fontId="4" fillId="11" borderId="13" xfId="0" applyFont="1" applyFill="1" applyBorder="1"/>
    <xf numFmtId="0" fontId="4" fillId="11" borderId="13" xfId="0" applyFont="1" applyFill="1" applyBorder="1" applyAlignment="1">
      <alignment horizontal="right"/>
    </xf>
    <xf numFmtId="0" fontId="4" fillId="11" borderId="25" xfId="0" applyFont="1" applyFill="1" applyBorder="1"/>
    <xf numFmtId="0" fontId="2" fillId="3" borderId="26" xfId="0" applyFont="1" applyFill="1" applyBorder="1" applyAlignment="1">
      <alignment horizontal="left"/>
    </xf>
    <xf numFmtId="0" fontId="4" fillId="3" borderId="20" xfId="0" applyFont="1" applyFill="1" applyBorder="1"/>
    <xf numFmtId="0" fontId="4" fillId="3" borderId="20" xfId="0" applyFont="1" applyFill="1" applyBorder="1" applyAlignment="1">
      <alignment horizontal="left"/>
    </xf>
    <xf numFmtId="0" fontId="4" fillId="3" borderId="20" xfId="0" applyFont="1" applyFill="1" applyBorder="1" applyAlignment="1">
      <alignment horizontal="right"/>
    </xf>
    <xf numFmtId="0" fontId="2" fillId="11" borderId="26" xfId="0" applyFont="1" applyFill="1" applyBorder="1" applyAlignment="1">
      <alignment horizontal="left"/>
    </xf>
    <xf numFmtId="0" fontId="4" fillId="11" borderId="13" xfId="0" applyFont="1" applyFill="1" applyBorder="1" applyAlignment="1">
      <alignment horizontal="left"/>
    </xf>
    <xf numFmtId="0" fontId="4" fillId="0" borderId="0" xfId="0" applyFont="1" applyAlignment="1">
      <alignment horizontal="left"/>
    </xf>
    <xf numFmtId="0" fontId="4" fillId="3" borderId="0" xfId="0" applyFont="1" applyFill="1" applyAlignment="1">
      <alignment horizontal="left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6" fillId="0" borderId="0" xfId="0" applyFont="1"/>
    <xf numFmtId="0" fontId="9" fillId="12" borderId="0" xfId="0" applyFont="1" applyFill="1"/>
    <xf numFmtId="0" fontId="9" fillId="13" borderId="0" xfId="0" applyFont="1" applyFill="1"/>
    <xf numFmtId="0" fontId="10" fillId="13" borderId="0" xfId="0" applyFont="1" applyFill="1" applyAlignment="1">
      <alignment horizontal="center"/>
    </xf>
    <xf numFmtId="0" fontId="0" fillId="12" borderId="0" xfId="0" applyFill="1"/>
    <xf numFmtId="0" fontId="6" fillId="13" borderId="0" xfId="0" applyFont="1" applyFill="1" applyAlignment="1">
      <alignment horizontal="left"/>
    </xf>
    <xf numFmtId="0" fontId="4" fillId="13" borderId="0" xfId="0" applyFont="1" applyFill="1" applyAlignment="1">
      <alignment horizontal="left"/>
    </xf>
    <xf numFmtId="0" fontId="11" fillId="13" borderId="0" xfId="0" applyFont="1" applyFill="1"/>
    <xf numFmtId="0" fontId="12" fillId="13" borderId="0" xfId="0" applyFont="1" applyFill="1" applyAlignment="1">
      <alignment horizontal="left"/>
    </xf>
    <xf numFmtId="0" fontId="13" fillId="13" borderId="0" xfId="0" applyFont="1" applyFill="1"/>
    <xf numFmtId="0" fontId="11" fillId="13" borderId="0" xfId="0" applyFont="1" applyFill="1" applyAlignment="1">
      <alignment horizontal="left"/>
    </xf>
    <xf numFmtId="0" fontId="1" fillId="13" borderId="0" xfId="0" applyFont="1" applyFill="1"/>
    <xf numFmtId="0" fontId="0" fillId="0" borderId="22" xfId="0" applyBorder="1"/>
    <xf numFmtId="0" fontId="18" fillId="14" borderId="30" xfId="0" applyFont="1" applyFill="1" applyBorder="1" applyAlignment="1">
      <alignment horizontal="center"/>
    </xf>
    <xf numFmtId="0" fontId="18" fillId="15" borderId="31" xfId="0" applyFont="1" applyFill="1" applyBorder="1" applyAlignment="1">
      <alignment horizontal="center"/>
    </xf>
    <xf numFmtId="0" fontId="18" fillId="16" borderId="31" xfId="0" applyFont="1" applyFill="1" applyBorder="1" applyAlignment="1">
      <alignment horizontal="center"/>
    </xf>
    <xf numFmtId="0" fontId="18" fillId="19" borderId="31" xfId="0" applyFont="1" applyFill="1" applyBorder="1" applyAlignment="1">
      <alignment horizontal="center"/>
    </xf>
    <xf numFmtId="0" fontId="18" fillId="20" borderId="31" xfId="0" applyFont="1" applyFill="1" applyBorder="1" applyAlignment="1">
      <alignment horizontal="center"/>
    </xf>
    <xf numFmtId="0" fontId="18" fillId="21" borderId="31" xfId="0" applyFont="1" applyFill="1" applyBorder="1" applyAlignment="1">
      <alignment horizontal="center"/>
    </xf>
    <xf numFmtId="0" fontId="0" fillId="22" borderId="32" xfId="0" applyFill="1" applyBorder="1"/>
    <xf numFmtId="0" fontId="0" fillId="22" borderId="34" xfId="0" applyFill="1" applyBorder="1"/>
    <xf numFmtId="0" fontId="0" fillId="23" borderId="28" xfId="0" applyFill="1" applyBorder="1"/>
    <xf numFmtId="0" fontId="0" fillId="23" borderId="35" xfId="0" applyFill="1" applyBorder="1"/>
    <xf numFmtId="0" fontId="0" fillId="24" borderId="28" xfId="0" applyFill="1" applyBorder="1"/>
    <xf numFmtId="0" fontId="0" fillId="24" borderId="35" xfId="0" applyFill="1" applyBorder="1"/>
    <xf numFmtId="0" fontId="0" fillId="17" borderId="28" xfId="0" applyFill="1" applyBorder="1"/>
    <xf numFmtId="0" fontId="0" fillId="17" borderId="35" xfId="0" applyFill="1" applyBorder="1"/>
    <xf numFmtId="0" fontId="0" fillId="18" borderId="28" xfId="0" applyFill="1" applyBorder="1"/>
    <xf numFmtId="0" fontId="0" fillId="18" borderId="35" xfId="0" applyFill="1" applyBorder="1"/>
    <xf numFmtId="0" fontId="0" fillId="25" borderId="33" xfId="0" applyFill="1" applyBorder="1"/>
    <xf numFmtId="0" fontId="0" fillId="25" borderId="36" xfId="0" applyFill="1" applyBorder="1"/>
    <xf numFmtId="0" fontId="18" fillId="27" borderId="29" xfId="0" applyFont="1" applyFill="1" applyBorder="1" applyAlignment="1">
      <alignment horizontal="right"/>
    </xf>
    <xf numFmtId="0" fontId="18" fillId="26" borderId="27" xfId="0" applyFont="1" applyFill="1" applyBorder="1" applyAlignment="1">
      <alignment horizontal="right"/>
    </xf>
    <xf numFmtId="0" fontId="0" fillId="28" borderId="0" xfId="0" applyFill="1"/>
    <xf numFmtId="0" fontId="18" fillId="12" borderId="0" xfId="0" applyFont="1" applyFill="1"/>
    <xf numFmtId="0" fontId="1" fillId="12" borderId="0" xfId="0" applyFont="1" applyFill="1"/>
    <xf numFmtId="0" fontId="18" fillId="14" borderId="27" xfId="0" applyFont="1" applyFill="1" applyBorder="1" applyAlignment="1">
      <alignment horizontal="center"/>
    </xf>
    <xf numFmtId="0" fontId="18" fillId="15" borderId="27" xfId="0" applyFont="1" applyFill="1" applyBorder="1" applyAlignment="1">
      <alignment horizontal="center"/>
    </xf>
    <xf numFmtId="0" fontId="18" fillId="16" borderId="27" xfId="0" applyFont="1" applyFill="1" applyBorder="1" applyAlignment="1">
      <alignment horizontal="center"/>
    </xf>
    <xf numFmtId="0" fontId="18" fillId="21" borderId="27" xfId="0" applyFont="1" applyFill="1" applyBorder="1" applyAlignment="1">
      <alignment horizontal="center"/>
    </xf>
    <xf numFmtId="0" fontId="18" fillId="20" borderId="27" xfId="0" applyFont="1" applyFill="1" applyBorder="1" applyAlignment="1">
      <alignment horizontal="center"/>
    </xf>
    <xf numFmtId="0" fontId="18" fillId="19" borderId="27" xfId="0" applyFont="1" applyFill="1" applyBorder="1" applyAlignment="1">
      <alignment horizontal="center"/>
    </xf>
    <xf numFmtId="0" fontId="3" fillId="12" borderId="22" xfId="0" applyFont="1" applyFill="1" applyBorder="1"/>
    <xf numFmtId="0" fontId="21" fillId="3" borderId="27" xfId="0" applyFont="1" applyFill="1" applyBorder="1" applyAlignment="1">
      <alignment vertical="center" wrapText="1"/>
    </xf>
    <xf numFmtId="0" fontId="23" fillId="0" borderId="0" xfId="0" applyFont="1"/>
    <xf numFmtId="0" fontId="24" fillId="0" borderId="0" xfId="0" applyFont="1"/>
    <xf numFmtId="0" fontId="18" fillId="34" borderId="27" xfId="0" applyFont="1" applyFill="1" applyBorder="1" applyAlignment="1">
      <alignment horizontal="center"/>
    </xf>
    <xf numFmtId="0" fontId="21" fillId="3" borderId="5" xfId="0" applyFont="1" applyFill="1" applyBorder="1" applyAlignment="1">
      <alignment horizontal="right" vertical="center" wrapText="1"/>
    </xf>
    <xf numFmtId="0" fontId="2" fillId="0" borderId="22" xfId="0" applyFont="1" applyBorder="1" applyAlignment="1">
      <alignment horizontal="center"/>
    </xf>
    <xf numFmtId="0" fontId="2" fillId="3" borderId="16" xfId="0" applyFont="1" applyFill="1" applyBorder="1" applyAlignment="1">
      <alignment horizontal="center"/>
    </xf>
    <xf numFmtId="0" fontId="2" fillId="3" borderId="22" xfId="0" applyFont="1" applyFill="1" applyBorder="1"/>
    <xf numFmtId="0" fontId="19" fillId="0" borderId="27" xfId="0" applyFont="1" applyBorder="1"/>
    <xf numFmtId="0" fontId="0" fillId="0" borderId="22" xfId="0" applyBorder="1" applyAlignment="1">
      <alignment horizontal="center"/>
    </xf>
    <xf numFmtId="0" fontId="18" fillId="35" borderId="37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3" borderId="22" xfId="0" applyFont="1" applyFill="1" applyBorder="1" applyAlignment="1">
      <alignment horizontal="center"/>
    </xf>
    <xf numFmtId="0" fontId="21" fillId="0" borderId="5" xfId="0" applyFont="1" applyBorder="1" applyAlignment="1">
      <alignment horizontal="right"/>
    </xf>
    <xf numFmtId="0" fontId="21" fillId="0" borderId="5" xfId="0" applyFont="1" applyBorder="1"/>
    <xf numFmtId="0" fontId="2" fillId="31" borderId="27" xfId="0" applyFont="1" applyFill="1" applyBorder="1" applyAlignment="1">
      <alignment horizontal="center"/>
    </xf>
    <xf numFmtId="0" fontId="2" fillId="33" borderId="31" xfId="0" applyFont="1" applyFill="1" applyBorder="1" applyAlignment="1">
      <alignment horizontal="center"/>
    </xf>
    <xf numFmtId="0" fontId="4" fillId="3" borderId="27" xfId="0" applyFont="1" applyFill="1" applyBorder="1" applyAlignment="1">
      <alignment horizontal="center" vertical="center" wrapText="1"/>
    </xf>
    <xf numFmtId="0" fontId="4" fillId="3" borderId="27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right"/>
    </xf>
    <xf numFmtId="0" fontId="3" fillId="0" borderId="2" xfId="0" applyFont="1" applyBorder="1"/>
    <xf numFmtId="0" fontId="3" fillId="0" borderId="3" xfId="0" applyFont="1" applyBorder="1"/>
    <xf numFmtId="0" fontId="22" fillId="0" borderId="1" xfId="0" applyFont="1" applyBorder="1" applyAlignment="1">
      <alignment horizontal="center"/>
    </xf>
    <xf numFmtId="0" fontId="25" fillId="0" borderId="3" xfId="0" applyFont="1" applyBorder="1"/>
    <xf numFmtId="0" fontId="21" fillId="0" borderId="1" xfId="0" applyFont="1" applyBorder="1" applyAlignment="1">
      <alignment horizontal="center"/>
    </xf>
    <xf numFmtId="0" fontId="25" fillId="0" borderId="2" xfId="0" applyFont="1" applyBorder="1"/>
    <xf numFmtId="0" fontId="2" fillId="10" borderId="14" xfId="0" applyFont="1" applyFill="1" applyBorder="1" applyAlignment="1">
      <alignment horizontal="right"/>
    </xf>
    <xf numFmtId="0" fontId="3" fillId="0" borderId="19" xfId="0" applyFont="1" applyBorder="1"/>
    <xf numFmtId="0" fontId="3" fillId="0" borderId="15" xfId="0" applyFont="1" applyBorder="1"/>
    <xf numFmtId="0" fontId="22" fillId="0" borderId="20" xfId="0" applyFont="1" applyBorder="1" applyAlignment="1">
      <alignment horizontal="center"/>
    </xf>
    <xf numFmtId="0" fontId="25" fillId="0" borderId="21" xfId="0" applyFont="1" applyBorder="1"/>
    <xf numFmtId="0" fontId="2" fillId="4" borderId="16" xfId="0" applyFont="1" applyFill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1" fillId="0" borderId="27" xfId="0" applyFont="1" applyBorder="1" applyAlignment="1">
      <alignment horizontal="center"/>
    </xf>
    <xf numFmtId="0" fontId="25" fillId="0" borderId="27" xfId="0" applyFont="1" applyBorder="1"/>
    <xf numFmtId="0" fontId="2" fillId="4" borderId="37" xfId="0" applyFont="1" applyFill="1" applyBorder="1" applyAlignment="1">
      <alignment horizontal="center"/>
    </xf>
    <xf numFmtId="0" fontId="3" fillId="0" borderId="37" xfId="0" applyFont="1" applyBorder="1" applyAlignment="1">
      <alignment horizontal="center"/>
    </xf>
    <xf numFmtId="0" fontId="2" fillId="30" borderId="27" xfId="0" applyFont="1" applyFill="1" applyBorder="1" applyAlignment="1">
      <alignment horizontal="center"/>
    </xf>
    <xf numFmtId="0" fontId="21" fillId="3" borderId="27" xfId="0" applyFont="1" applyFill="1" applyBorder="1" applyAlignment="1">
      <alignment horizontal="center"/>
    </xf>
    <xf numFmtId="0" fontId="18" fillId="16" borderId="27" xfId="0" applyFont="1" applyFill="1" applyBorder="1" applyAlignment="1">
      <alignment horizontal="center"/>
    </xf>
    <xf numFmtId="0" fontId="0" fillId="16" borderId="27" xfId="0" applyFill="1" applyBorder="1" applyAlignment="1">
      <alignment horizontal="center"/>
    </xf>
    <xf numFmtId="0" fontId="0" fillId="16" borderId="31" xfId="0" applyFill="1" applyBorder="1" applyAlignment="1">
      <alignment horizontal="center"/>
    </xf>
    <xf numFmtId="0" fontId="18" fillId="34" borderId="27" xfId="0" applyFont="1" applyFill="1" applyBorder="1" applyAlignment="1">
      <alignment horizontal="center"/>
    </xf>
    <xf numFmtId="0" fontId="18" fillId="34" borderId="31" xfId="0" applyFont="1" applyFill="1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27" xfId="0" applyBorder="1" applyAlignment="1">
      <alignment horizontal="center"/>
    </xf>
    <xf numFmtId="0" fontId="19" fillId="0" borderId="27" xfId="0" applyFont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15" fillId="3" borderId="16" xfId="0" applyFont="1" applyFill="1" applyBorder="1" applyAlignment="1">
      <alignment horizontal="center"/>
    </xf>
    <xf numFmtId="0" fontId="25" fillId="0" borderId="18" xfId="0" applyFont="1" applyBorder="1"/>
    <xf numFmtId="0" fontId="15" fillId="3" borderId="1" xfId="0" applyFont="1" applyFill="1" applyBorder="1" applyAlignment="1">
      <alignment horizontal="center"/>
    </xf>
    <xf numFmtId="0" fontId="2" fillId="4" borderId="20" xfId="0" applyFont="1" applyFill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15" fillId="3" borderId="20" xfId="0" applyFont="1" applyFill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21" fillId="3" borderId="16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36" borderId="10" xfId="0" applyFont="1" applyFill="1" applyBorder="1" applyAlignment="1">
      <alignment horizontal="center"/>
    </xf>
    <xf numFmtId="0" fontId="3" fillId="34" borderId="11" xfId="0" applyFont="1" applyFill="1" applyBorder="1"/>
    <xf numFmtId="0" fontId="3" fillId="34" borderId="12" xfId="0" applyFont="1" applyFill="1" applyBorder="1"/>
    <xf numFmtId="0" fontId="5" fillId="6" borderId="14" xfId="0" applyFont="1" applyFill="1" applyBorder="1" applyAlignment="1">
      <alignment horizontal="center"/>
    </xf>
    <xf numFmtId="0" fontId="0" fillId="28" borderId="27" xfId="0" applyFill="1" applyBorder="1" applyAlignment="1">
      <alignment horizontal="center"/>
    </xf>
    <xf numFmtId="0" fontId="5" fillId="32" borderId="17" xfId="0" applyFont="1" applyFill="1" applyBorder="1" applyAlignment="1">
      <alignment horizontal="left"/>
    </xf>
    <xf numFmtId="0" fontId="3" fillId="12" borderId="17" xfId="0" applyFont="1" applyFill="1" applyBorder="1"/>
    <xf numFmtId="0" fontId="3" fillId="12" borderId="18" xfId="0" applyFont="1" applyFill="1" applyBorder="1"/>
    <xf numFmtId="0" fontId="21" fillId="0" borderId="1" xfId="0" applyFont="1" applyBorder="1" applyAlignment="1">
      <alignment horizontal="right"/>
    </xf>
    <xf numFmtId="0" fontId="8" fillId="32" borderId="2" xfId="0" applyFont="1" applyFill="1" applyBorder="1" applyAlignment="1">
      <alignment horizontal="left"/>
    </xf>
    <xf numFmtId="0" fontId="3" fillId="12" borderId="2" xfId="0" applyFont="1" applyFill="1" applyBorder="1"/>
    <xf numFmtId="0" fontId="3" fillId="12" borderId="3" xfId="0" applyFont="1" applyFill="1" applyBorder="1"/>
    <xf numFmtId="0" fontId="4" fillId="8" borderId="1" xfId="0" applyFont="1" applyFill="1" applyBorder="1" applyAlignment="1">
      <alignment horizontal="center"/>
    </xf>
    <xf numFmtId="0" fontId="5" fillId="32" borderId="2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center"/>
    </xf>
    <xf numFmtId="0" fontId="2" fillId="32" borderId="2" xfId="0" applyFont="1" applyFill="1" applyBorder="1" applyAlignment="1">
      <alignment horizontal="left"/>
    </xf>
    <xf numFmtId="0" fontId="18" fillId="29" borderId="27" xfId="0" applyFont="1" applyFill="1" applyBorder="1" applyAlignment="1">
      <alignment horizontal="center"/>
    </xf>
    <xf numFmtId="0" fontId="0" fillId="29" borderId="27" xfId="0" applyFill="1" applyBorder="1" applyAlignment="1">
      <alignment horizontal="center"/>
    </xf>
  </cellXfs>
  <cellStyles count="1">
    <cellStyle name="Normal" xfId="0" builtinId="0"/>
  </cellStyles>
  <dxfs count="2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A0A0A"/>
        <name val="Aptos Narrow"/>
        <family val="2"/>
        <scheme val="maj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A0A0A"/>
        <name val="Aptos Narrow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A0A0A"/>
        <name val="Aptos Narrow"/>
        <family val="2"/>
        <scheme val="maj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A0A0A"/>
        <name val="Aptos Narrow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A0A0A"/>
        <name val="Aptos Narrow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ajor"/>
      </font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</dxfs>
  <tableStyles count="1">
    <tableStyle name="Lists-style" pivot="0" count="2" xr9:uid="{00000000-0011-0000-FFFF-FFFF00000000}">
      <tableStyleElement type="firstRowStripe" dxfId="25"/>
      <tableStyleElement type="secondRowStripe" dxfId="24"/>
    </tableStyle>
  </tableStyles>
  <colors>
    <mruColors>
      <color rgb="FFFFFF99"/>
      <color rgb="FFFFFF66"/>
      <color rgb="FFFF7C80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2B25D4-9767-4D0E-A5FB-3C9806934C67}" name="Table1" displayName="Table1" ref="A1:V74" totalsRowShown="0" headerRowDxfId="23" dataDxfId="22">
  <autoFilter ref="A1:V74" xr:uid="{F82B25D4-9767-4D0E-A5FB-3C9806934C67}"/>
  <tableColumns count="22">
    <tableColumn id="1" xr3:uid="{D6003D26-3350-4558-81AA-B5288EC25CB7}" name="Name" dataDxfId="21"/>
    <tableColumn id="2" xr3:uid="{3BDF7038-E613-4C82-B3E4-D450682D7C89}" name="Type" dataDxfId="0"/>
    <tableColumn id="3" xr3:uid="{88FC19EC-BD35-419C-879D-4FD47F0E939B}" name="Faction" dataDxfId="20"/>
    <tableColumn id="4" xr3:uid="{4F745570-C6B4-411A-A647-7D7E3437C986}" name="Hands" dataDxfId="19"/>
    <tableColumn id="5" xr3:uid="{618D6A98-7CBD-4106-830B-0EBAC8D9EE0E}" name="RAGE" dataDxfId="18"/>
    <tableColumn id="6" xr3:uid="{00201C20-73A7-4E35-AC51-EE208A3DB420}" name="GUARD POWER" dataDxfId="17"/>
    <tableColumn id="7" xr3:uid="{1DA1DFD8-C2A1-41C1-A039-8059E3B47C9D}" name="STAMINA" dataDxfId="16"/>
    <tableColumn id="8" xr3:uid="{1928815A-489D-48FD-965D-A05CCF041D40}" name="REQ" dataDxfId="15"/>
    <tableColumn id="9" xr3:uid="{24140181-848B-4ABF-B8FB-654F0A9EE82C}" name="RAW TYPE" dataDxfId="14"/>
    <tableColumn id="10" xr3:uid="{468F6FF0-3D25-45DE-BCFA-B5502FB9B7C1}" name="RAW %" dataDxfId="13"/>
    <tableColumn id="11" xr3:uid="{C8F00D7D-698F-4E56-BBBE-0C207F591510}" name="E TYPE" dataDxfId="12"/>
    <tableColumn id="12" xr3:uid="{ABD0D640-9165-4D8A-AE60-DEFED6CDCB90}" name="E %" dataDxfId="11"/>
    <tableColumn id="13" xr3:uid="{78AF09F7-D704-4237-B498-C865C605A10F}" name="STR %" dataDxfId="10"/>
    <tableColumn id="14" xr3:uid="{D6F8C6ED-DCC2-4C77-9ED1-D3D5DAEB18B9}" name="DEX %" dataDxfId="9"/>
    <tableColumn id="15" xr3:uid="{899F8242-CBFD-45E4-B779-F6DF2F84BF03}" name="T1" dataDxfId="8"/>
    <tableColumn id="16" xr3:uid="{27FE88A6-2009-48F3-8B84-5B811B59EEF5}" name="T2" dataDxfId="7"/>
    <tableColumn id="17" xr3:uid="{36BF8E8D-728E-44F7-9793-1DDDD5097DBF}" name="T3" dataDxfId="6"/>
    <tableColumn id="18" xr3:uid="{904CF4F0-EAF3-4EA7-8FB0-9F0EB0AA3E0F}" name="T4" dataDxfId="5"/>
    <tableColumn id="19" xr3:uid="{BEFED345-5D2B-4103-9D75-BD461F5B8C94}" name="9" dataDxfId="4"/>
    <tableColumn id="20" xr3:uid="{90542C8E-57F4-4BCC-80A2-E492045DD806}" name="14" dataDxfId="3"/>
    <tableColumn id="21" xr3:uid="{7F32673B-6702-4C9D-9CC9-6EFFC357334F}" name="19" dataDxfId="2"/>
    <tableColumn id="22" xr3:uid="{359921F5-95F9-4679-BF68-A0A54B533504}" name="HEADSHOT" dataDxfId="1"/>
  </tableColumns>
  <tableStyleInfo name="TableStyleMedium19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1"/>
  <sheetViews>
    <sheetView tabSelected="1" workbookViewId="0">
      <selection activeCell="H22" sqref="H22"/>
    </sheetView>
  </sheetViews>
  <sheetFormatPr defaultColWidth="12.5703125" defaultRowHeight="15" customHeight="1"/>
  <cols>
    <col min="1" max="14" width="8.5703125" customWidth="1"/>
    <col min="15" max="15" width="11.42578125" customWidth="1"/>
    <col min="16" max="16" width="8.5703125" customWidth="1"/>
    <col min="17" max="17" width="12.28515625" customWidth="1"/>
    <col min="18" max="26" width="8.5703125" customWidth="1"/>
  </cols>
  <sheetData>
    <row r="1" spans="1:28" ht="15.75" thickBot="1">
      <c r="A1" s="89" t="s">
        <v>315</v>
      </c>
      <c r="B1" s="89"/>
      <c r="C1" s="89"/>
      <c r="D1" s="89"/>
      <c r="E1" s="89"/>
      <c r="F1" s="89"/>
      <c r="G1" s="89"/>
      <c r="H1" s="73"/>
      <c r="I1" s="73"/>
      <c r="K1" s="131" t="s">
        <v>10</v>
      </c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  <c r="AA1" s="94"/>
      <c r="AB1" s="95"/>
    </row>
    <row r="2" spans="1:28" ht="15.75" thickBot="1">
      <c r="A2" s="109" t="s">
        <v>305</v>
      </c>
      <c r="B2" s="110"/>
      <c r="C2" s="91" t="s">
        <v>311</v>
      </c>
      <c r="D2" s="91"/>
      <c r="E2" s="91"/>
      <c r="F2" s="91"/>
      <c r="G2" s="91"/>
      <c r="H2" s="43"/>
      <c r="I2" s="43"/>
      <c r="K2" s="132" t="s">
        <v>11</v>
      </c>
      <c r="L2" s="133"/>
      <c r="M2" s="133"/>
      <c r="N2" s="134"/>
      <c r="O2" s="7" t="s">
        <v>12</v>
      </c>
      <c r="P2" s="7" t="s">
        <v>13</v>
      </c>
      <c r="Q2" s="8" t="s">
        <v>14</v>
      </c>
      <c r="R2" s="8" t="s">
        <v>15</v>
      </c>
      <c r="S2" s="8" t="s">
        <v>16</v>
      </c>
      <c r="T2" s="8" t="s">
        <v>17</v>
      </c>
      <c r="U2" s="7" t="s">
        <v>18</v>
      </c>
      <c r="V2" s="7" t="s">
        <v>19</v>
      </c>
      <c r="W2" s="7" t="s">
        <v>20</v>
      </c>
      <c r="X2" s="7" t="s">
        <v>21</v>
      </c>
      <c r="Y2" s="7" t="s">
        <v>22</v>
      </c>
      <c r="Z2" s="7" t="s">
        <v>23</v>
      </c>
      <c r="AA2" s="135" t="s">
        <v>24</v>
      </c>
      <c r="AB2" s="102"/>
    </row>
    <row r="3" spans="1:28" ht="15.75" thickBot="1">
      <c r="A3" s="90" t="s">
        <v>291</v>
      </c>
      <c r="B3" s="90"/>
      <c r="C3" s="92">
        <v>8</v>
      </c>
      <c r="D3" s="92"/>
      <c r="E3" s="92"/>
      <c r="F3" s="92"/>
      <c r="G3" s="92"/>
      <c r="I3" s="43"/>
      <c r="J3" s="77">
        <v>1</v>
      </c>
      <c r="K3" s="137" t="s">
        <v>25</v>
      </c>
      <c r="L3" s="138"/>
      <c r="M3" s="138"/>
      <c r="N3" s="139"/>
      <c r="O3" s="87">
        <f>_xlfn.XLOOKUP(K3,Decals!$A$3:$A$178,Decals!$B$3:$B$178,0)</f>
        <v>3</v>
      </c>
      <c r="P3" s="87">
        <f>_xlfn.XLOOKUP(K3,Decals!$A$3:$A$178,Decals!$C$3:$C$178,0)</f>
        <v>0</v>
      </c>
      <c r="Q3" s="87">
        <f>_xlfn.XLOOKUP(K3,Decals!$A$3:$A$178,Decals!$D$3:$D$178,0)</f>
        <v>0</v>
      </c>
      <c r="R3" s="87">
        <f>_xlfn.XLOOKUP(K3,Decals!$A$3:$A$178,Decals!$E$3:$E$178,0)</f>
        <v>0</v>
      </c>
      <c r="S3" s="87">
        <f>_xlfn.XLOOKUP(K3,Decals!$A$3:$A$178,Decals!$F$3:$F$178,0)</f>
        <v>0</v>
      </c>
      <c r="T3" s="87">
        <f>_xlfn.XLOOKUP(K3,Decals!$A$3:$A$178,Decals!$G$3:$G$178,0)</f>
        <v>0</v>
      </c>
      <c r="U3" s="87">
        <f>_xlfn.XLOOKUP(K3,Decals!$A$3:$A$178,Decals!$H$3:$H$178,0)</f>
        <v>20</v>
      </c>
      <c r="V3" s="87">
        <f>_xlfn.XLOOKUP(K3,Decals!$A$3:$A$178,Decals!$I$3:$I$178,0)</f>
        <v>0</v>
      </c>
      <c r="W3" s="87">
        <f>_xlfn.XLOOKUP(K3,Decals!$A$3:$A$178,Decals!$J$3:$J$178,0)</f>
        <v>0</v>
      </c>
      <c r="X3" s="87">
        <f>_xlfn.XLOOKUP(K3,Decals!$A$3:$A$178,Decals!$K$3:$K$178,0)</f>
        <v>20</v>
      </c>
      <c r="Y3" s="87">
        <f>_xlfn.XLOOKUP(K3,Decals!$A$3:$A$178,Decals!$L$3:$L$178,0)</f>
        <v>0</v>
      </c>
      <c r="Z3" s="87">
        <f>_xlfn.XLOOKUP(K3,Decals!$A$3:$A$178,Decals!$M$3:$M$178,0)</f>
        <v>0</v>
      </c>
      <c r="AA3" s="140">
        <f>IF(
  AND(
    OR(ISNUMBER(SEARCH($C$17,R3)),R3=0), OR(ISNUMBER(SEARCH($C$18,S3)),S3=0),
    OR(ISNUMBER(SEARCH($C$16,Q3)),Q3=0)
  ),
U3,0)</f>
        <v>20</v>
      </c>
      <c r="AB3" s="97"/>
    </row>
    <row r="4" spans="1:28" ht="15.75" thickBot="1">
      <c r="A4" s="67" t="s">
        <v>293</v>
      </c>
      <c r="B4" s="68" t="s">
        <v>294</v>
      </c>
      <c r="C4" s="69" t="s">
        <v>295</v>
      </c>
      <c r="D4" s="70" t="s">
        <v>296</v>
      </c>
      <c r="E4" s="71" t="s">
        <v>297</v>
      </c>
      <c r="F4" s="72" t="s">
        <v>282</v>
      </c>
      <c r="G4" s="111" t="s">
        <v>1</v>
      </c>
      <c r="H4" s="111"/>
      <c r="I4" s="43"/>
      <c r="J4" s="77">
        <v>2</v>
      </c>
      <c r="K4" s="141" t="s">
        <v>26</v>
      </c>
      <c r="L4" s="142"/>
      <c r="M4" s="142"/>
      <c r="N4" s="143"/>
      <c r="O4" s="87">
        <f>_xlfn.XLOOKUP(K4,Decals!$A$3:$A$178,Decals!$B$3:$B$178,0)</f>
        <v>1</v>
      </c>
      <c r="P4" s="87">
        <f>_xlfn.XLOOKUP(K4,Decals!$A$3:$A$178,Decals!$C$3:$C$178,0)</f>
        <v>0</v>
      </c>
      <c r="Q4" s="87">
        <f>_xlfn.XLOOKUP(K4,Decals!$A$3:$A$178,Decals!$D$3:$D$178,0)</f>
        <v>0</v>
      </c>
      <c r="R4" s="87">
        <f>_xlfn.XLOOKUP(K4,Decals!$A$3:$A$178,Decals!$E$3:$E$178,0)</f>
        <v>0</v>
      </c>
      <c r="S4" s="87">
        <f>_xlfn.XLOOKUP(K4,Decals!$A$3:$A$178,Decals!$F$3:$F$178,0)</f>
        <v>0</v>
      </c>
      <c r="T4" s="87">
        <f>_xlfn.XLOOKUP(K4,Decals!$A$3:$A$178,Decals!$G$3:$G$178,0)</f>
        <v>0</v>
      </c>
      <c r="U4" s="87">
        <f>_xlfn.XLOOKUP(K4,Decals!$A$3:$A$178,Decals!$H$3:$H$178,0)</f>
        <v>15</v>
      </c>
      <c r="V4" s="87">
        <f>_xlfn.XLOOKUP(K4,Decals!$A$3:$A$178,Decals!$I$3:$I$178,0)</f>
        <v>0</v>
      </c>
      <c r="W4" s="87">
        <f>_xlfn.XLOOKUP(K4,Decals!$A$3:$A$178,Decals!$J$3:$J$178,0)</f>
        <v>0</v>
      </c>
      <c r="X4" s="87">
        <f>_xlfn.XLOOKUP(K4,Decals!$A$3:$A$178,Decals!$K$3:$K$178,0)</f>
        <v>0</v>
      </c>
      <c r="Y4" s="87">
        <f>_xlfn.XLOOKUP(K4,Decals!$A$3:$A$178,Decals!$L$3:$L$178,0)</f>
        <v>0</v>
      </c>
      <c r="Z4" s="87">
        <f>_xlfn.XLOOKUP(K4,Decals!$A$3:$A$178,Decals!$M$3:$M$178,0)</f>
        <v>0</v>
      </c>
      <c r="AA4" s="140">
        <f t="shared" ref="AA3:AA11" si="0">IF(
  AND(
    OR(ISNUMBER(SEARCH($C$17,R4)),R4=0), OR(ISNUMBER(SEARCH($C$18,S4)),S4=0),
    OR(ISNUMBER(SEARCH($C$16,Q4)),Q4=0)
  ),
U4,0)</f>
        <v>15</v>
      </c>
      <c r="AB4" s="97"/>
    </row>
    <row r="5" spans="1:28" ht="15.75" thickBot="1">
      <c r="A5" s="74" cm="1">
        <f t="array" ref="A5">INDEX(Fighters!$B$3:$AW$10,
  MATCH('LiD Calculator'!$C$3,Fighters!$A$3:$A$10,0),
  MATCH('LiD Calculator'!$C$2,Fighters!$B$1:$AW$1,0) + MATCH(A4,Fighters!$B$2:$G$2,0) - 1
)</f>
        <v>20295</v>
      </c>
      <c r="B5" s="74" cm="1">
        <f t="array" ref="B5">INDEX(Fighters!$B$3:$AW$10,
  MATCH('LiD Calculator'!$C$3,Fighters!$A$3:$A$10,0),
  MATCH('LiD Calculator'!$C$2,Fighters!$B$1:$AW$1,0) + MATCH(B4,Fighters!$B$2:$G$2,0) - 1
)</f>
        <v>282</v>
      </c>
      <c r="C5" s="74" cm="1">
        <f t="array" ref="C5">INDEX(Fighters!$B$3:$AW$10,
  MATCH('LiD Calculator'!$C$3,Fighters!$A$3:$A$10,0),
  MATCH('LiD Calculator'!$C$2,Fighters!$B$1:$AW$1,0) + MATCH(C4,Fighters!$B$2:$G$2,0) - 1
)</f>
        <v>206</v>
      </c>
      <c r="D5" s="74" cm="1">
        <f t="array" ref="D5">INDEX(Fighters!$B$3:$AW$10,
  MATCH('LiD Calculator'!$C$3,Fighters!$A$3:$A$10,0),
  MATCH('LiD Calculator'!$C$2,Fighters!$B$1:$AW$1,0) + MATCH(D4,Fighters!$B$2:$G$2,0) - 1
)</f>
        <v>540</v>
      </c>
      <c r="E5" s="74" cm="1">
        <f t="array" ref="E5">INDEX(Fighters!$B$3:$AW$10,
  MATCH('LiD Calculator'!$C$3,Fighters!$A$3:$A$10,0),
  MATCH('LiD Calculator'!$C$2,Fighters!$B$1:$AW$1,0) + MATCH(E4,Fighters!$B$2:$G$2,0) - 1
)</f>
        <v>174</v>
      </c>
      <c r="F5" s="74" cm="1">
        <f t="array" ref="F5">INDEX(Fighters!$B$3:$AW$10,
  MATCH('LiD Calculator'!$C$3,Fighters!$A$3:$A$10,0),
  MATCH('LiD Calculator'!$C$2,Fighters!$B$1:$AW$1,0) + MATCH(F4,Fighters!$B$2:$G$2,0) - 1
)</f>
        <v>53</v>
      </c>
      <c r="G5" s="112">
        <f>_xlfn.XLOOKUP(F5,Lists!I2:I192,Lists!J2:J192)</f>
        <v>35.5</v>
      </c>
      <c r="H5" s="112"/>
      <c r="I5" s="43"/>
      <c r="J5" s="77">
        <v>3</v>
      </c>
      <c r="K5" s="141" t="s">
        <v>27</v>
      </c>
      <c r="L5" s="142"/>
      <c r="M5" s="142"/>
      <c r="N5" s="143"/>
      <c r="O5" s="87">
        <f>_xlfn.XLOOKUP(K5,Decals!$A$3:$A$178,Decals!$B$3:$B$178,0)</f>
        <v>7</v>
      </c>
      <c r="P5" s="87">
        <f>_xlfn.XLOOKUP(K5,Decals!$A$3:$A$178,Decals!$C$3:$C$178,0)</f>
        <v>0</v>
      </c>
      <c r="Q5" s="87">
        <f>_xlfn.XLOOKUP(K5,Decals!$A$3:$A$178,Decals!$D$3:$D$178,0)</f>
        <v>0</v>
      </c>
      <c r="R5" s="87">
        <f>_xlfn.XLOOKUP(K5,Decals!$A$3:$A$178,Decals!$E$3:$E$178,0)</f>
        <v>0</v>
      </c>
      <c r="S5" s="87">
        <f>_xlfn.XLOOKUP(K5,Decals!$A$3:$A$178,Decals!$F$3:$F$178,0)</f>
        <v>0</v>
      </c>
      <c r="T5" s="87">
        <f>_xlfn.XLOOKUP(K5,Decals!$A$3:$A$178,Decals!$G$3:$G$178,0)</f>
        <v>0</v>
      </c>
      <c r="U5" s="87">
        <f>_xlfn.XLOOKUP(K5,Decals!$A$3:$A$178,Decals!$H$3:$H$178,0)</f>
        <v>20</v>
      </c>
      <c r="V5" s="87">
        <f>_xlfn.XLOOKUP(K5,Decals!$A$3:$A$178,Decals!$I$3:$I$178,0)</f>
        <v>0</v>
      </c>
      <c r="W5" s="87">
        <f>_xlfn.XLOOKUP(K5,Decals!$A$3:$A$178,Decals!$J$3:$J$178,0)</f>
        <v>0</v>
      </c>
      <c r="X5" s="87">
        <f>_xlfn.XLOOKUP(K5,Decals!$A$3:$A$178,Decals!$K$3:$K$178,0)</f>
        <v>0</v>
      </c>
      <c r="Y5" s="87">
        <f>_xlfn.XLOOKUP(K5,Decals!$A$3:$A$178,Decals!$L$3:$L$178,0)</f>
        <v>0</v>
      </c>
      <c r="Z5" s="87">
        <f>_xlfn.XLOOKUP(K5,Decals!$A$3:$A$178,Decals!$M$3:$M$178,0)</f>
        <v>0</v>
      </c>
      <c r="AA5" s="140">
        <f t="shared" si="0"/>
        <v>20</v>
      </c>
      <c r="AB5" s="97"/>
    </row>
    <row r="6" spans="1:28" ht="15.75" thickBot="1">
      <c r="H6" s="5"/>
      <c r="I6" s="85"/>
      <c r="J6" s="77">
        <v>4</v>
      </c>
      <c r="K6" s="145" t="s">
        <v>28</v>
      </c>
      <c r="L6" s="142"/>
      <c r="M6" s="142"/>
      <c r="N6" s="143"/>
      <c r="O6" s="87">
        <f>_xlfn.XLOOKUP(K6,Decals!$A$3:$A$178,Decals!$B$3:$B$178,0)</f>
        <v>0</v>
      </c>
      <c r="P6" s="87">
        <f>_xlfn.XLOOKUP(K6,Decals!$A$3:$A$178,Decals!$C$3:$C$178,0)</f>
        <v>2</v>
      </c>
      <c r="Q6" s="87">
        <f>_xlfn.XLOOKUP(K6,Decals!$A$3:$A$178,Decals!$D$3:$D$178,0)</f>
        <v>0</v>
      </c>
      <c r="R6" s="87">
        <f>_xlfn.XLOOKUP(K6,Decals!$A$3:$A$178,Decals!$E$3:$E$178,0)</f>
        <v>0</v>
      </c>
      <c r="S6" s="87">
        <f>_xlfn.XLOOKUP(K6,Decals!$A$3:$A$178,Decals!$F$3:$F$178,0)</f>
        <v>0</v>
      </c>
      <c r="T6" s="87">
        <f>_xlfn.XLOOKUP(K6,Decals!$A$3:$A$178,Decals!$G$3:$G$178,0)</f>
        <v>0</v>
      </c>
      <c r="U6" s="87">
        <f>_xlfn.XLOOKUP(K6,Decals!$A$3:$A$178,Decals!$H$3:$H$178,0)</f>
        <v>0</v>
      </c>
      <c r="V6" s="87">
        <f>_xlfn.XLOOKUP(K6,Decals!$A$3:$A$178,Decals!$I$3:$I$178,0)</f>
        <v>0</v>
      </c>
      <c r="W6" s="87">
        <f>_xlfn.XLOOKUP(K6,Decals!$A$3:$A$178,Decals!$J$3:$J$178,0)</f>
        <v>0</v>
      </c>
      <c r="X6" s="87">
        <f>_xlfn.XLOOKUP(K6,Decals!$A$3:$A$178,Decals!$K$3:$K$178,0)</f>
        <v>0</v>
      </c>
      <c r="Y6" s="87">
        <f>_xlfn.XLOOKUP(K6,Decals!$A$3:$A$178,Decals!$L$3:$L$178,0)</f>
        <v>30</v>
      </c>
      <c r="Z6" s="87">
        <f>_xlfn.XLOOKUP(K6,Decals!$A$3:$A$178,Decals!$M$3:$M$178,0)</f>
        <v>0</v>
      </c>
      <c r="AA6" s="140">
        <f t="shared" si="0"/>
        <v>0</v>
      </c>
      <c r="AB6" s="97"/>
    </row>
    <row r="7" spans="1:28" ht="15.75" thickBot="1">
      <c r="A7" s="113" t="s">
        <v>400</v>
      </c>
      <c r="B7" s="113"/>
      <c r="C7" s="113"/>
      <c r="D7" s="113"/>
      <c r="E7" s="113"/>
      <c r="F7" s="113"/>
      <c r="G7" s="113"/>
      <c r="H7" s="6"/>
      <c r="I7" s="86"/>
      <c r="J7" s="77">
        <v>5</v>
      </c>
      <c r="K7" s="145" t="s">
        <v>29</v>
      </c>
      <c r="L7" s="142"/>
      <c r="M7" s="142"/>
      <c r="N7" s="143"/>
      <c r="O7" s="87">
        <f>_xlfn.XLOOKUP(K7,Decals!$A$3:$A$178,Decals!$B$3:$B$178,0)</f>
        <v>4</v>
      </c>
      <c r="P7" s="87">
        <f>_xlfn.XLOOKUP(K7,Decals!$A$3:$A$178,Decals!$C$3:$C$178,0)</f>
        <v>0</v>
      </c>
      <c r="Q7" s="87" t="str">
        <f>_xlfn.XLOOKUP(K7,Decals!$A$3:$A$178,Decals!$D$3:$D$178,0)</f>
        <v>Assault Rifle</v>
      </c>
      <c r="R7" s="87">
        <f>_xlfn.XLOOKUP(K7,Decals!$A$3:$A$178,Decals!$E$3:$E$178,0)</f>
        <v>0</v>
      </c>
      <c r="S7" s="87">
        <f>_xlfn.XLOOKUP(K7,Decals!$A$3:$A$178,Decals!$F$3:$F$178,0)</f>
        <v>0</v>
      </c>
      <c r="T7" s="87">
        <f>_xlfn.XLOOKUP(K7,Decals!$A$3:$A$178,Decals!$G$3:$G$178,0)</f>
        <v>0</v>
      </c>
      <c r="U7" s="87">
        <f>_xlfn.XLOOKUP(K7,Decals!$A$3:$A$178,Decals!$H$3:$H$178,0)</f>
        <v>30</v>
      </c>
      <c r="V7" s="87">
        <f>_xlfn.XLOOKUP(K7,Decals!$A$3:$A$178,Decals!$I$3:$I$178,0)</f>
        <v>0</v>
      </c>
      <c r="W7" s="87">
        <f>_xlfn.XLOOKUP(K7,Decals!$A$3:$A$178,Decals!$J$3:$J$178,0)</f>
        <v>0</v>
      </c>
      <c r="X7" s="87">
        <f>_xlfn.XLOOKUP(K7,Decals!$A$3:$A$178,Decals!$K$3:$K$178,0)</f>
        <v>0</v>
      </c>
      <c r="Y7" s="87">
        <f>_xlfn.XLOOKUP(K7,Decals!$A$3:$A$178,Decals!$L$3:$L$178,0)</f>
        <v>0</v>
      </c>
      <c r="Z7" s="87">
        <f>_xlfn.XLOOKUP(K7,Decals!$A$3:$A$178,Decals!$M$3:$M$178,0)</f>
        <v>0</v>
      </c>
      <c r="AA7" s="140">
        <f t="shared" si="0"/>
        <v>30</v>
      </c>
      <c r="AB7" s="97"/>
    </row>
    <row r="8" spans="1:28" ht="15.75" thickBot="1">
      <c r="A8" s="84" t="s">
        <v>401</v>
      </c>
      <c r="B8" s="84" t="s">
        <v>402</v>
      </c>
      <c r="C8" s="84" t="s">
        <v>403</v>
      </c>
      <c r="D8" s="84" t="s">
        <v>404</v>
      </c>
      <c r="E8" s="84" t="s">
        <v>405</v>
      </c>
      <c r="F8" s="84" t="s">
        <v>406</v>
      </c>
      <c r="G8" s="83"/>
      <c r="I8" s="43"/>
      <c r="J8" s="77">
        <v>6</v>
      </c>
      <c r="K8" s="141" t="s">
        <v>30</v>
      </c>
      <c r="L8" s="142"/>
      <c r="M8" s="142"/>
      <c r="N8" s="143"/>
      <c r="O8" s="87">
        <f>_xlfn.XLOOKUP(K8,Decals!$A$3:$A$178,Decals!$B$3:$B$178,0)</f>
        <v>1</v>
      </c>
      <c r="P8" s="87">
        <f>_xlfn.XLOOKUP(K8,Decals!$A$3:$A$178,Decals!$C$3:$C$178,0)</f>
        <v>0</v>
      </c>
      <c r="Q8" s="87">
        <f>_xlfn.XLOOKUP(K8,Decals!$A$3:$A$178,Decals!$D$3:$D$178,0)</f>
        <v>0</v>
      </c>
      <c r="R8" s="87">
        <f>_xlfn.XLOOKUP(K8,Decals!$A$3:$A$178,Decals!$E$3:$E$178,0)</f>
        <v>0</v>
      </c>
      <c r="S8" s="87">
        <f>_xlfn.XLOOKUP(K8,Decals!$A$3:$A$178,Decals!$F$3:$F$178,0)</f>
        <v>0</v>
      </c>
      <c r="T8" s="87">
        <f>_xlfn.XLOOKUP(K8,Decals!$A$3:$A$178,Decals!$G$3:$G$178,0)</f>
        <v>0</v>
      </c>
      <c r="U8" s="87">
        <f>_xlfn.XLOOKUP(K8,Decals!$A$3:$A$178,Decals!$H$3:$H$178,0)</f>
        <v>30</v>
      </c>
      <c r="V8" s="87">
        <f>_xlfn.XLOOKUP(K8,Decals!$A$3:$A$178,Decals!$I$3:$I$178,0)</f>
        <v>0</v>
      </c>
      <c r="W8" s="87">
        <f>_xlfn.XLOOKUP(K8,Decals!$A$3:$A$178,Decals!$J$3:$J$178,0)</f>
        <v>0</v>
      </c>
      <c r="X8" s="87">
        <f>_xlfn.XLOOKUP(K8,Decals!$A$3:$A$178,Decals!$K$3:$K$178,0)</f>
        <v>0</v>
      </c>
      <c r="Y8" s="87">
        <f>_xlfn.XLOOKUP(K8,Decals!$A$3:$A$178,Decals!$L$3:$L$178,0)</f>
        <v>0</v>
      </c>
      <c r="Z8" s="87">
        <f>_xlfn.XLOOKUP(K8,Decals!$A$3:$A$178,Decals!$M$3:$M$178,0)</f>
        <v>0</v>
      </c>
      <c r="AA8" s="140">
        <f t="shared" si="0"/>
        <v>30</v>
      </c>
      <c r="AB8" s="97"/>
    </row>
    <row r="9" spans="1:28" ht="15.75" thickBot="1">
      <c r="A9" s="82">
        <v>0</v>
      </c>
      <c r="B9" s="82">
        <v>0</v>
      </c>
      <c r="C9" s="82">
        <v>0</v>
      </c>
      <c r="D9" s="82">
        <v>0</v>
      </c>
      <c r="E9" s="82">
        <v>0</v>
      </c>
      <c r="F9" s="82">
        <v>0</v>
      </c>
      <c r="I9" s="43"/>
      <c r="J9" s="77">
        <v>7</v>
      </c>
      <c r="K9" s="141" t="s">
        <v>31</v>
      </c>
      <c r="L9" s="142"/>
      <c r="M9" s="142"/>
      <c r="N9" s="143"/>
      <c r="O9" s="87">
        <f>_xlfn.XLOOKUP(K9,Decals!$A$3:$A$178,Decals!$B$3:$B$178,0)</f>
        <v>0</v>
      </c>
      <c r="P9" s="87">
        <f>_xlfn.XLOOKUP(K9,Decals!$A$3:$A$178,Decals!$C$3:$C$178,0)</f>
        <v>0</v>
      </c>
      <c r="Q9" s="87">
        <f>_xlfn.XLOOKUP(K9,Decals!$A$3:$A$178,Decals!$D$3:$D$178,0)</f>
        <v>0</v>
      </c>
      <c r="R9" s="87">
        <f>_xlfn.XLOOKUP(K9,Decals!$A$3:$A$178,Decals!$E$3:$E$178,0)</f>
        <v>0</v>
      </c>
      <c r="S9" s="87">
        <f>_xlfn.XLOOKUP(K9,Decals!$A$3:$A$178,Decals!$F$3:$F$178,0)</f>
        <v>0</v>
      </c>
      <c r="T9" s="87">
        <f>_xlfn.XLOOKUP(K9,Decals!$A$3:$A$178,Decals!$G$3:$G$178,0)</f>
        <v>0</v>
      </c>
      <c r="U9" s="87">
        <f>_xlfn.XLOOKUP(K9,Decals!$A$3:$A$178,Decals!$H$3:$H$178,0)</f>
        <v>0</v>
      </c>
      <c r="V9" s="87">
        <f>_xlfn.XLOOKUP(K9,Decals!$A$3:$A$178,Decals!$I$3:$I$178,0)</f>
        <v>0</v>
      </c>
      <c r="W9" s="87">
        <f>_xlfn.XLOOKUP(K9,Decals!$A$3:$A$178,Decals!$J$3:$J$178,0)</f>
        <v>0</v>
      </c>
      <c r="X9" s="87">
        <f>_xlfn.XLOOKUP(K9,Decals!$A$3:$A$178,Decals!$K$3:$K$178,0)</f>
        <v>20</v>
      </c>
      <c r="Y9" s="87">
        <f>_xlfn.XLOOKUP(K9,Decals!$A$3:$A$178,Decals!$L$3:$L$178,0)</f>
        <v>0</v>
      </c>
      <c r="Z9" s="87">
        <f>_xlfn.XLOOKUP(K9,Decals!$A$3:$A$178,Decals!$M$3:$M$178,0)</f>
        <v>0</v>
      </c>
      <c r="AA9" s="140">
        <f t="shared" si="0"/>
        <v>0</v>
      </c>
      <c r="AB9" s="97"/>
    </row>
    <row r="10" spans="1:28" ht="15.75" thickBot="1">
      <c r="I10" s="43"/>
      <c r="J10" s="77">
        <v>8</v>
      </c>
      <c r="K10" s="141" t="s">
        <v>32</v>
      </c>
      <c r="L10" s="142"/>
      <c r="M10" s="142"/>
      <c r="N10" s="143"/>
      <c r="O10" s="87">
        <f>_xlfn.XLOOKUP(K10,Decals!$A$3:$A$178,Decals!$B$3:$B$178,0)</f>
        <v>1</v>
      </c>
      <c r="P10" s="87">
        <f>_xlfn.XLOOKUP(K10,Decals!$A$3:$A$178,Decals!$C$3:$C$178,0)</f>
        <v>0</v>
      </c>
      <c r="Q10" s="87">
        <f>_xlfn.XLOOKUP(K10,Decals!$A$3:$A$178,Decals!$D$3:$D$178,0)</f>
        <v>0</v>
      </c>
      <c r="R10" s="87">
        <f>_xlfn.XLOOKUP(K10,Decals!$A$3:$A$178,Decals!$E$3:$E$178,0)</f>
        <v>0</v>
      </c>
      <c r="S10" s="87">
        <f>_xlfn.XLOOKUP(K10,Decals!$A$3:$A$178,Decals!$F$3:$F$178,0)</f>
        <v>0</v>
      </c>
      <c r="T10" s="87">
        <f>_xlfn.XLOOKUP(K10,Decals!$A$3:$A$178,Decals!$G$3:$G$178,0)</f>
        <v>0</v>
      </c>
      <c r="U10" s="87">
        <f>_xlfn.XLOOKUP(K10,Decals!$A$3:$A$178,Decals!$H$3:$H$178,0)</f>
        <v>100</v>
      </c>
      <c r="V10" s="87">
        <f>_xlfn.XLOOKUP(K10,Decals!$A$3:$A$178,Decals!$I$3:$I$178,0)</f>
        <v>0</v>
      </c>
      <c r="W10" s="87">
        <f>_xlfn.XLOOKUP(K10,Decals!$A$3:$A$178,Decals!$J$3:$J$178,0)</f>
        <v>0</v>
      </c>
      <c r="X10" s="87">
        <f>_xlfn.XLOOKUP(K10,Decals!$A$3:$A$178,Decals!$K$3:$K$178,0)</f>
        <v>0</v>
      </c>
      <c r="Y10" s="87">
        <f>_xlfn.XLOOKUP(K10,Decals!$A$3:$A$178,Decals!$L$3:$L$178,0)</f>
        <v>0</v>
      </c>
      <c r="Z10" s="87">
        <f>_xlfn.XLOOKUP(K10,Decals!$A$3:$A$178,Decals!$M$3:$M$178,0)</f>
        <v>0</v>
      </c>
      <c r="AA10" s="140">
        <f t="shared" si="0"/>
        <v>100</v>
      </c>
      <c r="AB10" s="97"/>
    </row>
    <row r="11" spans="1:28" ht="15.75" thickBot="1">
      <c r="A11" s="113" t="s">
        <v>395</v>
      </c>
      <c r="B11" s="114"/>
      <c r="C11" s="115"/>
      <c r="D11" s="115"/>
      <c r="E11" s="115"/>
      <c r="F11" s="115"/>
      <c r="G11" s="115"/>
      <c r="I11" s="43"/>
      <c r="J11" s="77">
        <v>9</v>
      </c>
      <c r="K11" s="147"/>
      <c r="L11" s="142"/>
      <c r="M11" s="142"/>
      <c r="N11" s="143"/>
      <c r="O11" s="87">
        <f>_xlfn.XLOOKUP(K11,Decals!$A$3:$A$178,Decals!$B$3:$B$178,0)</f>
        <v>0</v>
      </c>
      <c r="P11" s="87">
        <f>_xlfn.XLOOKUP(K11,Decals!$A$3:$A$178,Decals!$C$3:$C$178,0)</f>
        <v>0</v>
      </c>
      <c r="Q11" s="87">
        <f>_xlfn.XLOOKUP(K11,Decals!$A$3:$A$178,Decals!$D$3:$D$178,0)</f>
        <v>0</v>
      </c>
      <c r="R11" s="87">
        <f>_xlfn.XLOOKUP(K11,Decals!$A$3:$A$178,Decals!$E$3:$E$178,0)</f>
        <v>0</v>
      </c>
      <c r="S11" s="87">
        <f>_xlfn.XLOOKUP(K11,Decals!$A$3:$A$178,Decals!$F$3:$F$178,0)</f>
        <v>0</v>
      </c>
      <c r="T11" s="87">
        <f>_xlfn.XLOOKUP(K11,Decals!$A$3:$A$178,Decals!$G$3:$G$178,0)</f>
        <v>0</v>
      </c>
      <c r="U11" s="87">
        <f>_xlfn.XLOOKUP(K11,Decals!$A$3:$A$178,Decals!$H$3:$H$178,0)</f>
        <v>0</v>
      </c>
      <c r="V11" s="87">
        <f>_xlfn.XLOOKUP(K11,Decals!$A$3:$A$178,Decals!$I$3:$I$178,0)</f>
        <v>0</v>
      </c>
      <c r="W11" s="87">
        <f>_xlfn.XLOOKUP(K11,Decals!$A$3:$A$178,Decals!$J$3:$J$178,0)</f>
        <v>0</v>
      </c>
      <c r="X11" s="87">
        <f>_xlfn.XLOOKUP(K11,Decals!$A$3:$A$178,Decals!$K$3:$K$178,0)</f>
        <v>0</v>
      </c>
      <c r="Y11" s="87">
        <f>_xlfn.XLOOKUP(K11,Decals!$A$3:$A$178,Decals!$L$3:$L$178,0)</f>
        <v>0</v>
      </c>
      <c r="Z11" s="87">
        <f>_xlfn.XLOOKUP(K11,Decals!$A$3:$A$178,Decals!$M$3:$M$178,0)</f>
        <v>0</v>
      </c>
      <c r="AA11" s="140">
        <f t="shared" si="0"/>
        <v>0</v>
      </c>
      <c r="AB11" s="97"/>
    </row>
    <row r="12" spans="1:28" ht="15.75" thickBot="1">
      <c r="A12" s="116" t="s">
        <v>396</v>
      </c>
      <c r="B12" s="116"/>
      <c r="C12" s="119" t="s">
        <v>334</v>
      </c>
      <c r="D12" s="119"/>
      <c r="E12" s="119"/>
      <c r="F12" s="119"/>
      <c r="G12" s="119"/>
    </row>
    <row r="13" spans="1:28" ht="15.75" thickBot="1">
      <c r="A13" s="117" t="s">
        <v>397</v>
      </c>
      <c r="B13" s="117"/>
      <c r="C13" s="118" t="s">
        <v>384</v>
      </c>
      <c r="D13" s="118"/>
      <c r="E13" s="118"/>
      <c r="F13" s="118"/>
      <c r="G13" s="118"/>
      <c r="K13" s="131" t="s">
        <v>33</v>
      </c>
      <c r="L13" s="94"/>
      <c r="M13" s="94"/>
      <c r="N13" s="94"/>
      <c r="O13" s="94"/>
      <c r="P13" s="94"/>
      <c r="Q13" s="94"/>
      <c r="R13" s="94"/>
      <c r="S13" s="94"/>
      <c r="T13" s="94"/>
      <c r="U13" s="94"/>
      <c r="V13" s="94"/>
      <c r="W13" s="94"/>
      <c r="X13" s="94"/>
      <c r="Y13" s="95"/>
      <c r="Z13" s="131" t="s">
        <v>34</v>
      </c>
      <c r="AA13" s="94"/>
      <c r="AB13" s="95"/>
    </row>
    <row r="14" spans="1:28" ht="15.75" thickBot="1">
      <c r="A14" s="136"/>
      <c r="B14" s="136"/>
      <c r="C14" s="136"/>
      <c r="D14" s="136"/>
      <c r="E14" s="136"/>
      <c r="F14" s="136"/>
      <c r="G14" s="136"/>
      <c r="K14" s="9">
        <v>1</v>
      </c>
      <c r="L14" s="9">
        <v>2</v>
      </c>
      <c r="M14" s="9">
        <v>3</v>
      </c>
      <c r="N14" s="9">
        <v>4</v>
      </c>
      <c r="O14" s="9">
        <v>5</v>
      </c>
      <c r="P14" s="9">
        <v>6</v>
      </c>
      <c r="Q14" s="9">
        <v>7</v>
      </c>
      <c r="R14" s="9">
        <v>8</v>
      </c>
      <c r="S14" s="9">
        <v>9</v>
      </c>
      <c r="T14" s="9">
        <v>10</v>
      </c>
      <c r="U14" s="9">
        <v>11</v>
      </c>
      <c r="V14" s="9">
        <v>12</v>
      </c>
      <c r="W14" s="9">
        <v>13</v>
      </c>
      <c r="X14" s="9">
        <v>14</v>
      </c>
      <c r="Y14" s="9">
        <v>15</v>
      </c>
      <c r="Z14" s="144"/>
      <c r="AA14" s="94"/>
      <c r="AB14" s="95"/>
    </row>
    <row r="15" spans="1:28" ht="15.75" thickBot="1">
      <c r="A15" s="105" t="s">
        <v>0</v>
      </c>
      <c r="B15" s="106"/>
      <c r="C15" s="107">
        <f>INDEX(Weapons!$O$2:$U$74,
  MATCH('LiD Calculator'!$C$12:$G$12,Weapons!$A$2:$A$74, 0),
  MATCH('LiD Calculator'!$C$13:$G$13,Weapons!$O$1:$U$1, 0)
)</f>
        <v>3187</v>
      </c>
      <c r="D15" s="108"/>
      <c r="E15" s="79"/>
      <c r="F15" s="81"/>
      <c r="G15" s="43"/>
      <c r="K15" s="88">
        <f>SUMIFS($AA$3:$AA$11,$O$3:$O$11,1) / 100 + 1</f>
        <v>2.4500000000000002</v>
      </c>
      <c r="L15" s="88">
        <f>SUMIFS($AA$3:$AA$11,$O$3:$O$11,2) / 100 + 1</f>
        <v>1</v>
      </c>
      <c r="M15" s="88">
        <f>SUMIFS($AA$3:$AA$11,$O$3:$O$11,3) / 100 + 1</f>
        <v>1.2</v>
      </c>
      <c r="N15" s="88">
        <f>SUMIFS($AA$3:$AA$11,$O$3:$O$11,4) / 100 + 1</f>
        <v>1.3</v>
      </c>
      <c r="O15" s="88">
        <f>SUMIFS($AA$3:$AA$11,$O$3:$O$11,5) / 100 + 1</f>
        <v>1</v>
      </c>
      <c r="P15" s="88">
        <f>SUMIFS($AA$3:$AA$11,$O$3:$O$11,6) / 100 + 1</f>
        <v>1</v>
      </c>
      <c r="Q15" s="88">
        <f>SUMIFS($AA$3:$AA$11,$O$3:$O$11,7) / 100 + 1</f>
        <v>1.2</v>
      </c>
      <c r="R15" s="88">
        <f>SUMIFS($AA$3:$AA$11,$O$3:$O$11,8) / 100 + 1</f>
        <v>1</v>
      </c>
      <c r="S15" s="88">
        <f>SUMIFS($AA$3:$AA$11,$O$3:$O$11,9) / 100 + 1</f>
        <v>1</v>
      </c>
      <c r="T15" s="88">
        <f>SUMIFS($AA$3:$AA$11,$O$3:$O$11,10) / 100 + 1</f>
        <v>1</v>
      </c>
      <c r="U15" s="88">
        <f>SUMIFS($AA$3:$AA$11,$O$3:$O$11,11) / 100 + 1</f>
        <v>1</v>
      </c>
      <c r="V15" s="88">
        <f>SUMIFS($AA$3:$AA$11,$O$3:$O$11,12) / 100 + 1</f>
        <v>1</v>
      </c>
      <c r="W15" s="88">
        <f>SUMIFS($AA$3:$AA$11,$O$3:$O$11,13) / 100 + 1</f>
        <v>1</v>
      </c>
      <c r="X15" s="88">
        <f>SUMIFS($AA$3:$AA$11,$O$3:$O$11,14) / 100 + 1</f>
        <v>1</v>
      </c>
      <c r="Y15" s="88">
        <f>SUMIFS($AA$3:$AA$11,$O$3:$O$11,15) / 100 + 1</f>
        <v>1</v>
      </c>
      <c r="Z15" s="96">
        <f>K15 * L15 * M15 * N15 * O15 * P15 * Q15 * R15 * S15 * T15 * U15 * V15 * W15 * X15 * Y15</f>
        <v>4.5864000000000003</v>
      </c>
      <c r="AA15" s="99"/>
      <c r="AB15" s="97"/>
    </row>
    <row r="16" spans="1:28" ht="15.75" thickBot="1">
      <c r="A16" s="121" t="s">
        <v>2</v>
      </c>
      <c r="B16" s="122"/>
      <c r="C16" s="123" t="str">
        <f>_xlfn.XLOOKUP(C12,Table1[Name],Table1[Type])</f>
        <v>Assault Rifle</v>
      </c>
      <c r="D16" s="124"/>
      <c r="E16" s="80"/>
      <c r="F16" s="1"/>
    </row>
    <row r="17" spans="1:16" ht="15.75" thickBot="1">
      <c r="A17" s="121" t="s">
        <v>4</v>
      </c>
      <c r="B17" s="122"/>
      <c r="C17" s="125" t="str">
        <f>_xlfn.XLOOKUP(C16,Weapons!A2:A74,Weapons!I2:I74)</f>
        <v>Piercing</v>
      </c>
      <c r="D17" s="97"/>
      <c r="E17" s="2" t="s">
        <v>6</v>
      </c>
      <c r="F17" s="78" t="str">
        <f>_xlfn.XLOOKUP(C12,Table1[Name],Table1[RAW %])</f>
        <v>100</v>
      </c>
      <c r="K17" s="131" t="s">
        <v>35</v>
      </c>
      <c r="L17" s="94"/>
      <c r="M17" s="95"/>
      <c r="N17" s="131" t="s">
        <v>36</v>
      </c>
      <c r="O17" s="94"/>
      <c r="P17" s="95"/>
    </row>
    <row r="18" spans="1:16" ht="15.75" thickBot="1">
      <c r="A18" s="126" t="s">
        <v>7</v>
      </c>
      <c r="B18" s="127"/>
      <c r="C18" s="128">
        <f>_xlfn.XLOOKUP(C12,Table1[Name],Table1[E TYPE])</f>
        <v>0</v>
      </c>
      <c r="D18" s="104"/>
      <c r="E18" s="2" t="s">
        <v>6</v>
      </c>
      <c r="F18" s="78">
        <f>_xlfn.XLOOKUP(C12,Table1[Name], Table1[E %])</f>
        <v>0</v>
      </c>
      <c r="K18" s="98">
        <f>SUM(Y3:Y11)/100+1</f>
        <v>1.3</v>
      </c>
      <c r="L18" s="99"/>
      <c r="M18" s="97"/>
      <c r="N18" s="98">
        <f>C22+(SUM(W3:W11) / 100 + 1)</f>
        <v>2.5</v>
      </c>
      <c r="O18" s="99"/>
      <c r="P18" s="97"/>
    </row>
    <row r="19" spans="1:16" ht="15" customHeight="1" thickBot="1">
      <c r="A19" s="116" t="s">
        <v>398</v>
      </c>
      <c r="B19" s="116"/>
      <c r="C19" s="120" t="str">
        <f>_xlfn.XLOOKUP(C12,Table1[Name], Table1[REQ])</f>
        <v>DEX</v>
      </c>
      <c r="D19" s="120"/>
      <c r="E19" s="3"/>
      <c r="F19" s="4"/>
    </row>
    <row r="20" spans="1:16" ht="15.75" thickBot="1">
      <c r="A20" s="116" t="s">
        <v>383</v>
      </c>
      <c r="B20" s="116"/>
      <c r="C20" s="120" t="str">
        <f>_xlfn.XLOOKUP(C12,Table1[Name],Table1[STR %])</f>
        <v>000</v>
      </c>
      <c r="D20" s="120"/>
      <c r="K20" s="146" t="s">
        <v>37</v>
      </c>
      <c r="L20" s="94"/>
      <c r="M20" s="95"/>
      <c r="N20" s="146" t="s">
        <v>38</v>
      </c>
      <c r="O20" s="94"/>
      <c r="P20" s="95"/>
    </row>
    <row r="21" spans="1:16" ht="15.75" thickBot="1">
      <c r="A21" s="116" t="s">
        <v>382</v>
      </c>
      <c r="B21" s="116"/>
      <c r="C21" s="120" t="str">
        <f>_xlfn.XLOOKUP(C12,Table1[Name],Table1[DEX %])</f>
        <v>100</v>
      </c>
      <c r="D21" s="120"/>
      <c r="K21" s="98">
        <f>IF( SUM(X3:X11,G5)&lt;=99.9, SUM(X3:X11,G5), 99.9)</f>
        <v>75.5</v>
      </c>
      <c r="L21" s="99"/>
      <c r="M21" s="97"/>
      <c r="N21" s="98">
        <f>SUM(Y3:Y11)/100+1</f>
        <v>1.3</v>
      </c>
      <c r="O21" s="99"/>
      <c r="P21" s="97"/>
    </row>
    <row r="22" spans="1:16" ht="15.75" customHeight="1" thickBot="1">
      <c r="A22" s="105" t="s">
        <v>9</v>
      </c>
      <c r="B22" s="129"/>
      <c r="C22" s="130">
        <f>_xlfn.XLOOKUP(C12,Table1[Name],Table1[HEADSHOT])</f>
        <v>1.5</v>
      </c>
      <c r="D22" s="124"/>
    </row>
    <row r="23" spans="1:16" ht="15.75" customHeight="1" thickBot="1">
      <c r="K23" s="93" t="s">
        <v>39</v>
      </c>
      <c r="L23" s="94"/>
      <c r="M23" s="94"/>
      <c r="N23" s="95"/>
      <c r="O23" s="96">
        <f>SUM(C15*Z15)</f>
        <v>14616.856800000001</v>
      </c>
      <c r="P23" s="97"/>
    </row>
    <row r="24" spans="1:16" ht="15.75" customHeight="1" thickBot="1">
      <c r="K24" s="100" t="s">
        <v>40</v>
      </c>
      <c r="L24" s="101"/>
      <c r="M24" s="101"/>
      <c r="N24" s="102"/>
      <c r="O24" s="103">
        <f>SUM(O23 * (1.5 * N21))</f>
        <v>28502.870760000005</v>
      </c>
      <c r="P24" s="104"/>
    </row>
    <row r="25" spans="1:16" ht="15.75" customHeight="1" thickBot="1">
      <c r="K25" s="93" t="s">
        <v>41</v>
      </c>
      <c r="L25" s="94"/>
      <c r="M25" s="94"/>
      <c r="N25" s="95"/>
      <c r="O25" s="96">
        <f>O23 + ((O24 - O23) * (K21 / 100))</f>
        <v>25100.797339800003</v>
      </c>
      <c r="P25" s="97"/>
    </row>
    <row r="26" spans="1:16" ht="15.75" customHeight="1" thickBot="1">
      <c r="K26" s="93" t="s">
        <v>42</v>
      </c>
      <c r="L26" s="94"/>
      <c r="M26" s="94"/>
      <c r="N26" s="95"/>
      <c r="O26" s="96">
        <f>O23 * N18</f>
        <v>36542.142000000007</v>
      </c>
      <c r="P26" s="97"/>
    </row>
    <row r="27" spans="1:16" ht="15.75" customHeight="1" thickBot="1">
      <c r="K27" s="93" t="s">
        <v>43</v>
      </c>
      <c r="L27" s="94"/>
      <c r="M27" s="94"/>
      <c r="N27" s="95"/>
      <c r="O27" s="96">
        <f>O26 * (1.5 * N21)</f>
        <v>71257.17690000002</v>
      </c>
      <c r="P27" s="97"/>
    </row>
    <row r="28" spans="1:16" ht="15.75" customHeight="1"/>
    <row r="29" spans="1:16" ht="15.75" customHeight="1"/>
    <row r="30" spans="1:16" ht="15.75" customHeight="1"/>
    <row r="31" spans="1:16" ht="15.75" customHeight="1"/>
    <row r="32" spans="1:16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73">
    <mergeCell ref="K20:M20"/>
    <mergeCell ref="N20:P20"/>
    <mergeCell ref="K13:Y13"/>
    <mergeCell ref="K11:N11"/>
    <mergeCell ref="K17:M17"/>
    <mergeCell ref="N17:P17"/>
    <mergeCell ref="K18:M18"/>
    <mergeCell ref="N18:P18"/>
    <mergeCell ref="K6:N6"/>
    <mergeCell ref="K7:N7"/>
    <mergeCell ref="K8:N8"/>
    <mergeCell ref="K9:N9"/>
    <mergeCell ref="K10:N10"/>
    <mergeCell ref="Z15:AB15"/>
    <mergeCell ref="AA6:AB6"/>
    <mergeCell ref="AA7:AB7"/>
    <mergeCell ref="AA8:AB8"/>
    <mergeCell ref="AA9:AB9"/>
    <mergeCell ref="AA10:AB10"/>
    <mergeCell ref="AA11:AB11"/>
    <mergeCell ref="Z13:AB13"/>
    <mergeCell ref="A22:B22"/>
    <mergeCell ref="C22:D22"/>
    <mergeCell ref="K1:AB1"/>
    <mergeCell ref="K2:N2"/>
    <mergeCell ref="AA2:AB2"/>
    <mergeCell ref="C20:D20"/>
    <mergeCell ref="C19:D19"/>
    <mergeCell ref="A14:G14"/>
    <mergeCell ref="A7:G7"/>
    <mergeCell ref="K3:N3"/>
    <mergeCell ref="AA3:AB3"/>
    <mergeCell ref="K4:N4"/>
    <mergeCell ref="AA4:AB4"/>
    <mergeCell ref="AA5:AB5"/>
    <mergeCell ref="K5:N5"/>
    <mergeCell ref="Z14:AB14"/>
    <mergeCell ref="A21:B21"/>
    <mergeCell ref="A20:B20"/>
    <mergeCell ref="A19:B19"/>
    <mergeCell ref="C21:D21"/>
    <mergeCell ref="A16:B16"/>
    <mergeCell ref="C16:D16"/>
    <mergeCell ref="A17:B17"/>
    <mergeCell ref="C17:D17"/>
    <mergeCell ref="A18:B18"/>
    <mergeCell ref="C18:D18"/>
    <mergeCell ref="A11:G11"/>
    <mergeCell ref="A12:B12"/>
    <mergeCell ref="A13:B13"/>
    <mergeCell ref="C13:G13"/>
    <mergeCell ref="C12:G12"/>
    <mergeCell ref="K26:N26"/>
    <mergeCell ref="O26:P26"/>
    <mergeCell ref="K27:N27"/>
    <mergeCell ref="O27:P27"/>
    <mergeCell ref="O25:P25"/>
    <mergeCell ref="A1:G1"/>
    <mergeCell ref="A3:B3"/>
    <mergeCell ref="C2:G2"/>
    <mergeCell ref="C3:G3"/>
    <mergeCell ref="K25:N25"/>
    <mergeCell ref="K21:M21"/>
    <mergeCell ref="N21:P21"/>
    <mergeCell ref="K23:N23"/>
    <mergeCell ref="O23:P23"/>
    <mergeCell ref="K24:N24"/>
    <mergeCell ref="O24:P24"/>
    <mergeCell ref="A15:B15"/>
    <mergeCell ref="C15:D15"/>
    <mergeCell ref="A2:B2"/>
    <mergeCell ref="G4:H4"/>
    <mergeCell ref="G5:H5"/>
  </mergeCells>
  <dataValidations count="3">
    <dataValidation type="decimal" allowBlank="1" showErrorMessage="1" sqref="F16" xr:uid="{00000000-0002-0000-0000-000002000000}">
      <formula1>0</formula1>
      <formula2>100</formula2>
    </dataValidation>
    <dataValidation allowBlank="1" showErrorMessage="1" sqref="F17:F18 C22:D22" xr:uid="{FF7B25D5-DFAE-4FE2-BFF2-48C4AF3821F5}"/>
    <dataValidation operator="greaterThanOrEqual" allowBlank="1" showErrorMessage="1" sqref="C15:D15" xr:uid="{1E9CBA08-36F4-4BBB-80A5-B77EF4C55F4E}"/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ErrorMessage="1" xr:uid="{00000000-0002-0000-0000-000003000000}">
          <x14:formula1>
            <xm:f>Decals!$A$3:$A$161</xm:f>
          </x14:formula1>
          <xm:sqref>K3:K11</xm:sqref>
        </x14:dataValidation>
        <x14:dataValidation type="list" allowBlank="1" showErrorMessage="1" xr:uid="{00000000-0002-0000-0000-000006000000}">
          <x14:formula1>
            <xm:f>Lists!$C$2:$C$45</xm:f>
          </x14:formula1>
          <xm:sqref>C16</xm:sqref>
        </x14:dataValidation>
        <x14:dataValidation type="list" allowBlank="1" showInputMessage="1" showErrorMessage="1" xr:uid="{AE53961D-6F3A-4AC2-AEA5-CC6017FDA4A8}">
          <x14:formula1>
            <xm:f>Lists!$A$2:$A$9</xm:f>
          </x14:formula1>
          <xm:sqref>C2</xm:sqref>
        </x14:dataValidation>
        <x14:dataValidation type="list" allowBlank="1" showInputMessage="1" showErrorMessage="1" xr:uid="{37785C5E-CFEA-4179-8811-797262460C6E}">
          <x14:formula1>
            <xm:f>Fighters!$A$3:$A$10</xm:f>
          </x14:formula1>
          <xm:sqref>C3</xm:sqref>
        </x14:dataValidation>
        <x14:dataValidation type="list" allowBlank="1" showInputMessage="1" showErrorMessage="1" xr:uid="{80CD9FA2-16EC-4403-9774-5841C6A8AB00}">
          <x14:formula1>
            <xm:f>Weapons!$A$2:$A$74</xm:f>
          </x14:formula1>
          <xm:sqref>C12:G12</xm:sqref>
        </x14:dataValidation>
        <x14:dataValidation type="list" allowBlank="1" showInputMessage="1" showErrorMessage="1" xr:uid="{FA280FC1-195E-4B72-AC69-B86279207F28}">
          <x14:formula1>
            <xm:f>Weapons!$O$1:$U$1</xm:f>
          </x14:formula1>
          <xm:sqref>C13:G13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000"/>
  <sheetViews>
    <sheetView workbookViewId="0">
      <selection activeCell="K13" sqref="K13"/>
    </sheetView>
  </sheetViews>
  <sheetFormatPr defaultColWidth="12.5703125" defaultRowHeight="15" customHeight="1"/>
  <cols>
    <col min="1" max="1" width="27.28515625" customWidth="1"/>
    <col min="2" max="2" width="8.7109375" customWidth="1"/>
    <col min="3" max="3" width="9" customWidth="1"/>
    <col min="4" max="4" width="18.42578125" customWidth="1"/>
    <col min="5" max="5" width="16.7109375" customWidth="1"/>
    <col min="6" max="6" width="10.85546875" customWidth="1"/>
    <col min="7" max="7" width="11.140625" customWidth="1"/>
    <col min="8" max="8" width="8" customWidth="1"/>
    <col min="9" max="9" width="9.42578125" customWidth="1"/>
    <col min="10" max="10" width="7.28515625" customWidth="1"/>
    <col min="11" max="11" width="9.5703125" customWidth="1"/>
    <col min="12" max="12" width="9" customWidth="1"/>
    <col min="13" max="13" width="13.140625" customWidth="1"/>
    <col min="14" max="14" width="14.5703125" customWidth="1"/>
    <col min="15" max="15" width="12.28515625" customWidth="1"/>
    <col min="16" max="16" width="10.85546875" customWidth="1"/>
    <col min="17" max="17" width="14.5703125" customWidth="1"/>
    <col min="18" max="18" width="8.28515625" customWidth="1"/>
    <col min="19" max="19" width="47.42578125" customWidth="1"/>
    <col min="20" max="26" width="8.5703125" customWidth="1"/>
  </cols>
  <sheetData>
    <row r="1" spans="1:19">
      <c r="A1" s="10" t="s">
        <v>44</v>
      </c>
      <c r="B1" s="11" t="s">
        <v>12</v>
      </c>
      <c r="C1" s="11" t="s">
        <v>13</v>
      </c>
      <c r="D1" s="12" t="s">
        <v>14</v>
      </c>
      <c r="E1" s="12" t="s">
        <v>15</v>
      </c>
      <c r="F1" s="12" t="s">
        <v>16</v>
      </c>
      <c r="G1" s="12" t="s">
        <v>17</v>
      </c>
      <c r="H1" s="11" t="s">
        <v>18</v>
      </c>
      <c r="I1" s="11" t="s">
        <v>19</v>
      </c>
      <c r="J1" s="11" t="s">
        <v>20</v>
      </c>
      <c r="K1" s="11" t="s">
        <v>21</v>
      </c>
      <c r="L1" s="11" t="s">
        <v>22</v>
      </c>
      <c r="M1" s="11" t="s">
        <v>23</v>
      </c>
      <c r="N1" s="11" t="s">
        <v>45</v>
      </c>
      <c r="O1" s="11" t="s">
        <v>46</v>
      </c>
      <c r="P1" s="11" t="s">
        <v>47</v>
      </c>
      <c r="Q1" s="11" t="s">
        <v>48</v>
      </c>
      <c r="R1" s="11" t="s">
        <v>49</v>
      </c>
      <c r="S1" s="11" t="s">
        <v>50</v>
      </c>
    </row>
    <row r="2" spans="1:19">
      <c r="A2" s="13"/>
      <c r="B2" s="14"/>
      <c r="C2" s="14"/>
      <c r="D2" s="15"/>
      <c r="E2" s="15"/>
      <c r="F2" s="15"/>
      <c r="G2" s="15"/>
      <c r="H2" s="14"/>
      <c r="I2" s="14"/>
      <c r="J2" s="16"/>
      <c r="K2" s="16"/>
      <c r="L2" s="16"/>
      <c r="M2" s="17"/>
      <c r="N2" s="18"/>
      <c r="O2" s="18"/>
      <c r="P2" s="18"/>
      <c r="Q2" s="18"/>
      <c r="R2" s="18"/>
      <c r="S2" s="18"/>
    </row>
    <row r="3" spans="1:19">
      <c r="A3" s="19" t="s">
        <v>51</v>
      </c>
      <c r="B3" s="20">
        <v>1</v>
      </c>
      <c r="C3" s="20"/>
      <c r="D3" s="21"/>
      <c r="E3" s="21"/>
      <c r="F3" s="21"/>
      <c r="G3" s="21"/>
      <c r="H3" s="20"/>
      <c r="I3" s="20"/>
      <c r="J3" s="20"/>
      <c r="K3" s="20"/>
      <c r="L3" s="20"/>
      <c r="M3" s="22"/>
      <c r="N3" s="20"/>
      <c r="O3" s="20"/>
      <c r="P3" s="20">
        <v>15</v>
      </c>
      <c r="Q3" s="20"/>
      <c r="R3" s="20"/>
      <c r="S3" s="20"/>
    </row>
    <row r="4" spans="1:19">
      <c r="A4" s="23" t="s">
        <v>52</v>
      </c>
      <c r="B4" s="16">
        <v>1</v>
      </c>
      <c r="C4" s="16"/>
      <c r="D4" s="24"/>
      <c r="E4" s="24"/>
      <c r="F4" s="24"/>
      <c r="G4" s="24"/>
      <c r="H4" s="16"/>
      <c r="I4" s="16"/>
      <c r="J4" s="16"/>
      <c r="K4" s="16"/>
      <c r="L4" s="16"/>
      <c r="M4" s="17"/>
      <c r="N4" s="16"/>
      <c r="O4" s="16"/>
      <c r="P4" s="16">
        <v>30</v>
      </c>
      <c r="Q4" s="16"/>
      <c r="R4" s="16"/>
      <c r="S4" s="16"/>
    </row>
    <row r="5" spans="1:19">
      <c r="A5" s="19" t="s">
        <v>53</v>
      </c>
      <c r="B5" s="20">
        <v>1</v>
      </c>
      <c r="C5" s="20"/>
      <c r="D5" s="21"/>
      <c r="E5" s="21"/>
      <c r="F5" s="21"/>
      <c r="G5" s="21"/>
      <c r="H5" s="20"/>
      <c r="I5" s="20"/>
      <c r="J5" s="20"/>
      <c r="K5" s="20"/>
      <c r="L5" s="20"/>
      <c r="M5" s="22"/>
      <c r="N5" s="20"/>
      <c r="O5" s="20">
        <v>30</v>
      </c>
      <c r="P5" s="20"/>
      <c r="Q5" s="20"/>
      <c r="R5" s="20"/>
      <c r="S5" s="20"/>
    </row>
    <row r="6" spans="1:19">
      <c r="A6" s="23" t="s">
        <v>54</v>
      </c>
      <c r="B6" s="16">
        <v>1</v>
      </c>
      <c r="C6" s="16"/>
      <c r="D6" s="24"/>
      <c r="E6" s="24"/>
      <c r="F6" s="24"/>
      <c r="G6" s="24"/>
      <c r="H6" s="16"/>
      <c r="I6" s="16"/>
      <c r="J6" s="16"/>
      <c r="K6" s="16"/>
      <c r="L6" s="16"/>
      <c r="M6" s="17"/>
      <c r="N6" s="16"/>
      <c r="O6" s="16">
        <v>60</v>
      </c>
      <c r="P6" s="16"/>
      <c r="Q6" s="16"/>
      <c r="R6" s="16"/>
      <c r="S6" s="16"/>
    </row>
    <row r="7" spans="1:19">
      <c r="A7" s="19" t="s">
        <v>32</v>
      </c>
      <c r="B7" s="20">
        <v>1</v>
      </c>
      <c r="C7" s="20"/>
      <c r="D7" s="21"/>
      <c r="E7" s="21"/>
      <c r="F7" s="21"/>
      <c r="G7" s="21"/>
      <c r="H7" s="20">
        <v>100</v>
      </c>
      <c r="I7" s="20"/>
      <c r="J7" s="20"/>
      <c r="K7" s="20"/>
      <c r="L7" s="20"/>
      <c r="M7" s="22"/>
      <c r="N7" s="20"/>
      <c r="O7" s="20"/>
      <c r="P7" s="20"/>
      <c r="Q7" s="20"/>
      <c r="R7" s="20"/>
      <c r="S7" s="20"/>
    </row>
    <row r="8" spans="1:19">
      <c r="A8" s="23" t="s">
        <v>55</v>
      </c>
      <c r="B8" s="16">
        <v>1</v>
      </c>
      <c r="C8" s="16"/>
      <c r="D8" s="24"/>
      <c r="E8" s="24"/>
      <c r="F8" s="24"/>
      <c r="G8" s="24"/>
      <c r="H8" s="16">
        <v>7</v>
      </c>
      <c r="I8" s="16"/>
      <c r="J8" s="16"/>
      <c r="K8" s="16"/>
      <c r="L8" s="16"/>
      <c r="M8" s="17"/>
      <c r="N8" s="16"/>
      <c r="O8" s="16"/>
      <c r="P8" s="16"/>
      <c r="Q8" s="16"/>
      <c r="R8" s="16"/>
      <c r="S8" s="16"/>
    </row>
    <row r="9" spans="1:19">
      <c r="A9" s="19" t="s">
        <v>56</v>
      </c>
      <c r="B9" s="20">
        <v>1</v>
      </c>
      <c r="C9" s="20"/>
      <c r="D9" s="21"/>
      <c r="E9" s="21"/>
      <c r="F9" s="21"/>
      <c r="G9" s="21"/>
      <c r="H9" s="20">
        <v>15</v>
      </c>
      <c r="I9" s="20"/>
      <c r="J9" s="20"/>
      <c r="K9" s="20"/>
      <c r="L9" s="20"/>
      <c r="M9" s="22"/>
      <c r="N9" s="20"/>
      <c r="O9" s="20"/>
      <c r="P9" s="20"/>
      <c r="Q9" s="20"/>
      <c r="R9" s="20"/>
      <c r="S9" s="20"/>
    </row>
    <row r="10" spans="1:19">
      <c r="A10" s="23" t="s">
        <v>57</v>
      </c>
      <c r="B10" s="16"/>
      <c r="C10" s="16"/>
      <c r="D10" s="24"/>
      <c r="E10" s="24"/>
      <c r="F10" s="24"/>
      <c r="G10" s="24"/>
      <c r="H10" s="16"/>
      <c r="I10" s="16"/>
      <c r="J10" s="16"/>
      <c r="K10" s="16"/>
      <c r="L10" s="16"/>
      <c r="M10" s="17"/>
      <c r="N10" s="16"/>
      <c r="O10" s="16"/>
      <c r="P10" s="16"/>
      <c r="Q10" s="16">
        <v>100</v>
      </c>
      <c r="R10" s="16"/>
      <c r="S10" s="16"/>
    </row>
    <row r="11" spans="1:19">
      <c r="A11" s="19" t="s">
        <v>58</v>
      </c>
      <c r="B11" s="20">
        <v>11</v>
      </c>
      <c r="C11" s="20"/>
      <c r="D11" s="21"/>
      <c r="E11" s="21"/>
      <c r="F11" s="21"/>
      <c r="G11" s="21"/>
      <c r="H11" s="20"/>
      <c r="I11" s="20"/>
      <c r="J11" s="20">
        <v>70</v>
      </c>
      <c r="K11" s="20"/>
      <c r="L11" s="20"/>
      <c r="M11" s="22"/>
      <c r="N11" s="20"/>
      <c r="O11" s="20"/>
      <c r="P11" s="20"/>
      <c r="Q11" s="20"/>
      <c r="R11" s="20"/>
      <c r="S11" s="20"/>
    </row>
    <row r="12" spans="1:19">
      <c r="A12" s="23" t="s">
        <v>27</v>
      </c>
      <c r="B12" s="16">
        <v>7</v>
      </c>
      <c r="C12" s="16"/>
      <c r="D12" s="24"/>
      <c r="E12" s="24"/>
      <c r="F12" s="24"/>
      <c r="G12" s="24"/>
      <c r="H12" s="16">
        <v>20</v>
      </c>
      <c r="I12" s="16"/>
      <c r="J12" s="16"/>
      <c r="K12" s="16"/>
      <c r="L12" s="16"/>
      <c r="M12" s="17"/>
      <c r="N12" s="16"/>
      <c r="O12" s="16"/>
      <c r="P12" s="16"/>
      <c r="Q12" s="16"/>
      <c r="R12" s="16"/>
      <c r="S12" s="16"/>
    </row>
    <row r="13" spans="1:19">
      <c r="A13" s="19" t="s">
        <v>59</v>
      </c>
      <c r="B13" s="20">
        <v>6</v>
      </c>
      <c r="C13" s="20"/>
      <c r="D13" s="21"/>
      <c r="E13" s="21"/>
      <c r="F13" s="21"/>
      <c r="G13" s="21"/>
      <c r="H13" s="20">
        <v>10</v>
      </c>
      <c r="I13" s="20"/>
      <c r="J13" s="20"/>
      <c r="K13" s="20"/>
      <c r="L13" s="20"/>
      <c r="M13" s="22"/>
      <c r="N13" s="20"/>
      <c r="O13" s="20"/>
      <c r="P13" s="20"/>
      <c r="Q13" s="20"/>
      <c r="R13" s="20"/>
      <c r="S13" s="20"/>
    </row>
    <row r="14" spans="1:19">
      <c r="A14" s="23" t="s">
        <v>60</v>
      </c>
      <c r="B14" s="16">
        <v>3</v>
      </c>
      <c r="C14" s="16"/>
      <c r="D14" s="24"/>
      <c r="E14" s="24"/>
      <c r="F14" s="24"/>
      <c r="G14" s="24" t="s">
        <v>61</v>
      </c>
      <c r="H14" s="16">
        <v>7</v>
      </c>
      <c r="I14" s="16"/>
      <c r="J14" s="16"/>
      <c r="K14" s="16"/>
      <c r="L14" s="16"/>
      <c r="M14" s="17"/>
      <c r="N14" s="16"/>
      <c r="O14" s="16"/>
      <c r="P14" s="16"/>
      <c r="Q14" s="16"/>
      <c r="R14" s="16"/>
      <c r="S14" s="16"/>
    </row>
    <row r="15" spans="1:19">
      <c r="A15" s="19" t="s">
        <v>62</v>
      </c>
      <c r="B15" s="20">
        <v>3</v>
      </c>
      <c r="C15" s="20"/>
      <c r="D15" s="21"/>
      <c r="E15" s="21"/>
      <c r="F15" s="21"/>
      <c r="G15" s="21" t="s">
        <v>63</v>
      </c>
      <c r="H15" s="20">
        <v>7</v>
      </c>
      <c r="I15" s="20"/>
      <c r="J15" s="20"/>
      <c r="K15" s="20"/>
      <c r="L15" s="20"/>
      <c r="M15" s="22"/>
      <c r="N15" s="20"/>
      <c r="O15" s="20"/>
      <c r="P15" s="20"/>
      <c r="Q15" s="20"/>
      <c r="R15" s="20"/>
      <c r="S15" s="20"/>
    </row>
    <row r="16" spans="1:19">
      <c r="A16" s="23" t="s">
        <v>64</v>
      </c>
      <c r="B16" s="16">
        <v>3</v>
      </c>
      <c r="C16" s="16"/>
      <c r="D16" s="24"/>
      <c r="E16" s="24"/>
      <c r="F16" s="24"/>
      <c r="G16" s="24" t="s">
        <v>65</v>
      </c>
      <c r="H16" s="16">
        <v>7</v>
      </c>
      <c r="I16" s="16"/>
      <c r="J16" s="16"/>
      <c r="K16" s="16"/>
      <c r="L16" s="16"/>
      <c r="M16" s="17"/>
      <c r="N16" s="16"/>
      <c r="O16" s="16"/>
      <c r="P16" s="16"/>
      <c r="Q16" s="16"/>
      <c r="R16" s="16"/>
      <c r="S16" s="16"/>
    </row>
    <row r="17" spans="1:19">
      <c r="A17" s="19" t="s">
        <v>66</v>
      </c>
      <c r="B17" s="20">
        <v>3</v>
      </c>
      <c r="C17" s="20"/>
      <c r="D17" s="21"/>
      <c r="E17" s="21"/>
      <c r="F17" s="21"/>
      <c r="G17" s="21" t="s">
        <v>67</v>
      </c>
      <c r="H17" s="20">
        <v>7</v>
      </c>
      <c r="I17" s="20"/>
      <c r="J17" s="20"/>
      <c r="K17" s="20"/>
      <c r="L17" s="20"/>
      <c r="M17" s="22"/>
      <c r="N17" s="20"/>
      <c r="O17" s="20"/>
      <c r="P17" s="20"/>
      <c r="Q17" s="20"/>
      <c r="R17" s="20"/>
      <c r="S17" s="20"/>
    </row>
    <row r="18" spans="1:19">
      <c r="A18" s="23" t="s">
        <v>68</v>
      </c>
      <c r="B18" s="16">
        <v>5</v>
      </c>
      <c r="C18" s="16"/>
      <c r="D18" s="24"/>
      <c r="E18" s="24" t="s">
        <v>69</v>
      </c>
      <c r="F18" s="24"/>
      <c r="G18" s="24"/>
      <c r="H18" s="16">
        <v>10</v>
      </c>
      <c r="I18" s="16"/>
      <c r="J18" s="16"/>
      <c r="K18" s="16"/>
      <c r="L18" s="16"/>
      <c r="M18" s="17"/>
      <c r="N18" s="16"/>
      <c r="O18" s="16"/>
      <c r="P18" s="16"/>
      <c r="Q18" s="16"/>
      <c r="R18" s="16"/>
      <c r="S18" s="16"/>
    </row>
    <row r="19" spans="1:19">
      <c r="A19" s="19" t="s">
        <v>70</v>
      </c>
      <c r="B19" s="20">
        <v>5</v>
      </c>
      <c r="C19" s="20"/>
      <c r="D19" s="21"/>
      <c r="E19" s="21" t="s">
        <v>71</v>
      </c>
      <c r="F19" s="21"/>
      <c r="G19" s="21"/>
      <c r="H19" s="20">
        <v>10</v>
      </c>
      <c r="I19" s="20"/>
      <c r="J19" s="20"/>
      <c r="K19" s="20"/>
      <c r="L19" s="20"/>
      <c r="M19" s="22"/>
      <c r="N19" s="20"/>
      <c r="O19" s="20"/>
      <c r="P19" s="20"/>
      <c r="Q19" s="20"/>
      <c r="R19" s="20"/>
      <c r="S19" s="20"/>
    </row>
    <row r="20" spans="1:19">
      <c r="A20" s="23" t="s">
        <v>72</v>
      </c>
      <c r="B20" s="16">
        <v>5</v>
      </c>
      <c r="C20" s="16"/>
      <c r="D20" s="24"/>
      <c r="E20" s="24"/>
      <c r="F20" s="24" t="s">
        <v>73</v>
      </c>
      <c r="G20" s="24"/>
      <c r="H20" s="16">
        <v>10</v>
      </c>
      <c r="I20" s="16"/>
      <c r="J20" s="16"/>
      <c r="K20" s="16"/>
      <c r="L20" s="16"/>
      <c r="M20" s="17"/>
      <c r="N20" s="16"/>
      <c r="O20" s="16"/>
      <c r="P20" s="16"/>
      <c r="Q20" s="16"/>
      <c r="R20" s="16"/>
      <c r="S20" s="16"/>
    </row>
    <row r="21" spans="1:19" ht="15.75" customHeight="1">
      <c r="A21" s="19" t="s">
        <v>74</v>
      </c>
      <c r="B21" s="20">
        <v>5</v>
      </c>
      <c r="C21" s="20"/>
      <c r="D21" s="21"/>
      <c r="E21" s="21"/>
      <c r="F21" s="21" t="s">
        <v>75</v>
      </c>
      <c r="G21" s="21"/>
      <c r="H21" s="20">
        <v>10</v>
      </c>
      <c r="I21" s="20"/>
      <c r="J21" s="20"/>
      <c r="K21" s="20"/>
      <c r="L21" s="20"/>
      <c r="M21" s="22"/>
      <c r="N21" s="20"/>
      <c r="O21" s="20"/>
      <c r="P21" s="20"/>
      <c r="Q21" s="20"/>
      <c r="R21" s="20"/>
      <c r="S21" s="20"/>
    </row>
    <row r="22" spans="1:19" ht="15.75" customHeight="1">
      <c r="A22" s="23" t="s">
        <v>76</v>
      </c>
      <c r="B22" s="16">
        <v>5</v>
      </c>
      <c r="C22" s="16"/>
      <c r="D22" s="24"/>
      <c r="E22" s="24"/>
      <c r="F22" s="24" t="s">
        <v>77</v>
      </c>
      <c r="G22" s="24"/>
      <c r="H22" s="16">
        <v>10</v>
      </c>
      <c r="I22" s="16"/>
      <c r="J22" s="16"/>
      <c r="K22" s="16"/>
      <c r="L22" s="16"/>
      <c r="M22" s="17"/>
      <c r="N22" s="16"/>
      <c r="O22" s="16"/>
      <c r="P22" s="16"/>
      <c r="Q22" s="16"/>
      <c r="R22" s="16"/>
      <c r="S22" s="16"/>
    </row>
    <row r="23" spans="1:19" ht="15.75" customHeight="1">
      <c r="A23" s="19" t="s">
        <v>78</v>
      </c>
      <c r="B23" s="20">
        <v>8</v>
      </c>
      <c r="C23" s="20"/>
      <c r="D23" s="21"/>
      <c r="E23" s="21"/>
      <c r="F23" s="21"/>
      <c r="G23" s="21"/>
      <c r="H23" s="20">
        <v>30</v>
      </c>
      <c r="I23" s="20"/>
      <c r="J23" s="20"/>
      <c r="K23" s="20"/>
      <c r="L23" s="20"/>
      <c r="M23" s="22"/>
      <c r="N23" s="20"/>
      <c r="O23" s="20"/>
      <c r="P23" s="20"/>
      <c r="Q23" s="20"/>
      <c r="R23" s="20"/>
      <c r="S23" s="20"/>
    </row>
    <row r="24" spans="1:19" ht="15.75" customHeight="1">
      <c r="A24" s="23" t="s">
        <v>79</v>
      </c>
      <c r="B24" s="16"/>
      <c r="C24" s="16"/>
      <c r="D24" s="24"/>
      <c r="E24" s="24"/>
      <c r="F24" s="24"/>
      <c r="G24" s="24"/>
      <c r="H24" s="16"/>
      <c r="I24" s="16"/>
      <c r="J24" s="16"/>
      <c r="K24" s="16">
        <v>10</v>
      </c>
      <c r="L24" s="16"/>
      <c r="M24" s="17"/>
      <c r="N24" s="16"/>
      <c r="O24" s="16"/>
      <c r="P24" s="16"/>
      <c r="Q24" s="16"/>
      <c r="R24" s="16"/>
      <c r="S24" s="16"/>
    </row>
    <row r="25" spans="1:19" ht="15.75" customHeight="1">
      <c r="A25" s="19" t="s">
        <v>31</v>
      </c>
      <c r="B25" s="20"/>
      <c r="C25" s="20"/>
      <c r="D25" s="21"/>
      <c r="E25" s="21"/>
      <c r="F25" s="21"/>
      <c r="G25" s="21"/>
      <c r="H25" s="20"/>
      <c r="I25" s="20"/>
      <c r="J25" s="20"/>
      <c r="K25" s="20">
        <v>20</v>
      </c>
      <c r="L25" s="20"/>
      <c r="M25" s="22"/>
      <c r="N25" s="20"/>
      <c r="O25" s="20"/>
      <c r="P25" s="20"/>
      <c r="Q25" s="20"/>
      <c r="R25" s="20"/>
      <c r="S25" s="20"/>
    </row>
    <row r="26" spans="1:19" ht="15.75" customHeight="1">
      <c r="A26" s="23" t="s">
        <v>80</v>
      </c>
      <c r="B26" s="16">
        <v>9</v>
      </c>
      <c r="C26" s="16"/>
      <c r="D26" s="24"/>
      <c r="E26" s="24"/>
      <c r="F26" s="24"/>
      <c r="G26" s="24"/>
      <c r="H26" s="16">
        <v>20</v>
      </c>
      <c r="I26" s="16"/>
      <c r="J26" s="16"/>
      <c r="K26" s="16"/>
      <c r="L26" s="16"/>
      <c r="M26" s="17"/>
      <c r="N26" s="16"/>
      <c r="O26" s="16"/>
      <c r="P26" s="16"/>
      <c r="Q26" s="16"/>
      <c r="R26" s="16"/>
      <c r="S26" s="16"/>
    </row>
    <row r="27" spans="1:19" ht="15.75" customHeight="1">
      <c r="A27" s="19" t="s">
        <v>81</v>
      </c>
      <c r="B27" s="20"/>
      <c r="C27" s="20"/>
      <c r="D27" s="21"/>
      <c r="E27" s="21"/>
      <c r="F27" s="21"/>
      <c r="G27" s="21"/>
      <c r="H27" s="20"/>
      <c r="I27" s="20"/>
      <c r="J27" s="20"/>
      <c r="K27" s="20"/>
      <c r="L27" s="20"/>
      <c r="M27" s="22"/>
      <c r="N27" s="20"/>
      <c r="O27" s="20"/>
      <c r="P27" s="20"/>
      <c r="Q27" s="20">
        <v>10</v>
      </c>
      <c r="R27" s="20"/>
      <c r="S27" s="20"/>
    </row>
    <row r="28" spans="1:19" ht="15.75" customHeight="1">
      <c r="A28" s="23" t="s">
        <v>82</v>
      </c>
      <c r="B28" s="16"/>
      <c r="C28" s="16"/>
      <c r="D28" s="24"/>
      <c r="E28" s="24"/>
      <c r="F28" s="24"/>
      <c r="G28" s="24"/>
      <c r="H28" s="16">
        <v>50</v>
      </c>
      <c r="I28" s="16"/>
      <c r="J28" s="16"/>
      <c r="K28" s="16"/>
      <c r="L28" s="16"/>
      <c r="M28" s="17"/>
      <c r="N28" s="16"/>
      <c r="O28" s="16"/>
      <c r="P28" s="16"/>
      <c r="Q28" s="16"/>
      <c r="R28" s="16"/>
      <c r="S28" s="16"/>
    </row>
    <row r="29" spans="1:19" ht="15.75" customHeight="1">
      <c r="A29" s="19" t="s">
        <v>83</v>
      </c>
      <c r="B29" s="20">
        <v>4</v>
      </c>
      <c r="C29" s="20"/>
      <c r="D29" s="21" t="s">
        <v>84</v>
      </c>
      <c r="E29" s="21"/>
      <c r="F29" s="21"/>
      <c r="G29" s="21"/>
      <c r="H29" s="20">
        <v>30</v>
      </c>
      <c r="I29" s="20"/>
      <c r="J29" s="20"/>
      <c r="K29" s="20"/>
      <c r="L29" s="20"/>
      <c r="M29" s="22"/>
      <c r="N29" s="20"/>
      <c r="O29" s="20"/>
      <c r="P29" s="20"/>
      <c r="Q29" s="20"/>
      <c r="R29" s="20"/>
      <c r="S29" s="20"/>
    </row>
    <row r="30" spans="1:19" ht="15.75" customHeight="1">
      <c r="A30" s="23" t="s">
        <v>85</v>
      </c>
      <c r="B30" s="16">
        <v>4</v>
      </c>
      <c r="C30" s="16"/>
      <c r="D30" s="24" t="s">
        <v>86</v>
      </c>
      <c r="E30" s="24"/>
      <c r="F30" s="24"/>
      <c r="G30" s="24"/>
      <c r="H30" s="16">
        <v>30</v>
      </c>
      <c r="I30" s="16"/>
      <c r="J30" s="16"/>
      <c r="K30" s="16"/>
      <c r="L30" s="16"/>
      <c r="M30" s="17"/>
      <c r="N30" s="16"/>
      <c r="O30" s="16"/>
      <c r="P30" s="16"/>
      <c r="Q30" s="16"/>
      <c r="R30" s="16"/>
      <c r="S30" s="16"/>
    </row>
    <row r="31" spans="1:19" ht="15.75" customHeight="1">
      <c r="A31" s="19" t="s">
        <v>29</v>
      </c>
      <c r="B31" s="20">
        <v>4</v>
      </c>
      <c r="C31" s="20"/>
      <c r="D31" s="21" t="s">
        <v>3</v>
      </c>
      <c r="E31" s="21"/>
      <c r="F31" s="21"/>
      <c r="G31" s="21"/>
      <c r="H31" s="20">
        <v>30</v>
      </c>
      <c r="I31" s="20"/>
      <c r="J31" s="20"/>
      <c r="K31" s="20"/>
      <c r="L31" s="20"/>
      <c r="M31" s="22"/>
      <c r="N31" s="20"/>
      <c r="O31" s="20"/>
      <c r="P31" s="20"/>
      <c r="Q31" s="20"/>
      <c r="R31" s="20"/>
      <c r="S31" s="20"/>
    </row>
    <row r="32" spans="1:19" ht="15.75" customHeight="1">
      <c r="A32" s="23" t="s">
        <v>87</v>
      </c>
      <c r="B32" s="16">
        <v>4</v>
      </c>
      <c r="C32" s="16"/>
      <c r="D32" s="24" t="s">
        <v>88</v>
      </c>
      <c r="E32" s="24"/>
      <c r="F32" s="24"/>
      <c r="G32" s="24"/>
      <c r="H32" s="16">
        <v>30</v>
      </c>
      <c r="I32" s="16"/>
      <c r="J32" s="16"/>
      <c r="K32" s="16"/>
      <c r="L32" s="16"/>
      <c r="M32" s="17"/>
      <c r="N32" s="16"/>
      <c r="O32" s="16"/>
      <c r="P32" s="16"/>
      <c r="Q32" s="16"/>
      <c r="R32" s="16"/>
      <c r="S32" s="16"/>
    </row>
    <row r="33" spans="1:19" ht="15.75" customHeight="1">
      <c r="A33" s="19" t="s">
        <v>89</v>
      </c>
      <c r="B33" s="20">
        <v>4</v>
      </c>
      <c r="C33" s="20"/>
      <c r="D33" s="21" t="s">
        <v>90</v>
      </c>
      <c r="E33" s="21"/>
      <c r="F33" s="21"/>
      <c r="G33" s="21"/>
      <c r="H33" s="20">
        <v>30</v>
      </c>
      <c r="I33" s="20"/>
      <c r="J33" s="20"/>
      <c r="K33" s="20"/>
      <c r="L33" s="20"/>
      <c r="M33" s="22"/>
      <c r="N33" s="20"/>
      <c r="O33" s="20"/>
      <c r="P33" s="20"/>
      <c r="Q33" s="20"/>
      <c r="R33" s="20"/>
      <c r="S33" s="20"/>
    </row>
    <row r="34" spans="1:19" ht="15.75" customHeight="1">
      <c r="A34" s="23" t="s">
        <v>91</v>
      </c>
      <c r="B34" s="16"/>
      <c r="C34" s="16"/>
      <c r="D34" s="24"/>
      <c r="E34" s="24"/>
      <c r="F34" s="24"/>
      <c r="G34" s="24"/>
      <c r="H34" s="16">
        <v>20</v>
      </c>
      <c r="I34" s="16"/>
      <c r="J34" s="16"/>
      <c r="K34" s="16"/>
      <c r="L34" s="16"/>
      <c r="M34" s="17"/>
      <c r="N34" s="16"/>
      <c r="O34" s="16"/>
      <c r="P34" s="16"/>
      <c r="Q34" s="16"/>
      <c r="R34" s="16"/>
      <c r="S34" s="16"/>
    </row>
    <row r="35" spans="1:19" ht="15.75" customHeight="1">
      <c r="A35" s="19" t="s">
        <v>92</v>
      </c>
      <c r="B35" s="20">
        <v>4</v>
      </c>
      <c r="C35" s="20"/>
      <c r="D35" s="21" t="s">
        <v>93</v>
      </c>
      <c r="E35" s="21"/>
      <c r="F35" s="21"/>
      <c r="G35" s="21"/>
      <c r="H35" s="20">
        <v>30</v>
      </c>
      <c r="I35" s="20"/>
      <c r="J35" s="20"/>
      <c r="K35" s="20"/>
      <c r="L35" s="20"/>
      <c r="M35" s="22"/>
      <c r="N35" s="20"/>
      <c r="O35" s="20"/>
      <c r="P35" s="20"/>
      <c r="Q35" s="20"/>
      <c r="R35" s="20"/>
      <c r="S35" s="20"/>
    </row>
    <row r="36" spans="1:19" ht="15.75" customHeight="1">
      <c r="A36" s="23" t="s">
        <v>94</v>
      </c>
      <c r="B36" s="16">
        <v>4</v>
      </c>
      <c r="C36" s="16"/>
      <c r="D36" s="24" t="s">
        <v>95</v>
      </c>
      <c r="E36" s="24"/>
      <c r="F36" s="24"/>
      <c r="G36" s="24"/>
      <c r="H36" s="16">
        <v>30</v>
      </c>
      <c r="I36" s="16"/>
      <c r="J36" s="16"/>
      <c r="K36" s="16"/>
      <c r="L36" s="16"/>
      <c r="M36" s="17"/>
      <c r="N36" s="16"/>
      <c r="O36" s="16"/>
      <c r="P36" s="16"/>
      <c r="Q36" s="16"/>
      <c r="R36" s="16"/>
      <c r="S36" s="16"/>
    </row>
    <row r="37" spans="1:19" ht="15.75" customHeight="1">
      <c r="A37" s="19" t="s">
        <v>96</v>
      </c>
      <c r="B37" s="20">
        <v>4</v>
      </c>
      <c r="C37" s="20"/>
      <c r="D37" s="21" t="s">
        <v>97</v>
      </c>
      <c r="E37" s="21"/>
      <c r="F37" s="21"/>
      <c r="G37" s="21"/>
      <c r="H37" s="20">
        <v>30</v>
      </c>
      <c r="I37" s="20"/>
      <c r="J37" s="20"/>
      <c r="K37" s="20"/>
      <c r="L37" s="20"/>
      <c r="M37" s="22"/>
      <c r="N37" s="20"/>
      <c r="O37" s="20"/>
      <c r="P37" s="20"/>
      <c r="Q37" s="20"/>
      <c r="R37" s="20"/>
      <c r="S37" s="20"/>
    </row>
    <row r="38" spans="1:19" ht="15.75" customHeight="1">
      <c r="A38" s="23" t="s">
        <v>98</v>
      </c>
      <c r="B38" s="16">
        <v>4</v>
      </c>
      <c r="C38" s="16"/>
      <c r="D38" s="24" t="s">
        <v>99</v>
      </c>
      <c r="E38" s="24"/>
      <c r="F38" s="24"/>
      <c r="G38" s="24"/>
      <c r="H38" s="16">
        <v>30</v>
      </c>
      <c r="I38" s="16"/>
      <c r="J38" s="16"/>
      <c r="K38" s="16"/>
      <c r="L38" s="16"/>
      <c r="M38" s="17"/>
      <c r="N38" s="16"/>
      <c r="O38" s="16"/>
      <c r="P38" s="16"/>
      <c r="Q38" s="16"/>
      <c r="R38" s="16"/>
      <c r="S38" s="16"/>
    </row>
    <row r="39" spans="1:19" ht="15.75" customHeight="1">
      <c r="A39" s="19" t="s">
        <v>100</v>
      </c>
      <c r="B39" s="20"/>
      <c r="C39" s="20"/>
      <c r="D39" s="21"/>
      <c r="E39" s="21"/>
      <c r="F39" s="21"/>
      <c r="G39" s="21"/>
      <c r="H39" s="20">
        <v>5</v>
      </c>
      <c r="I39" s="20"/>
      <c r="J39" s="20"/>
      <c r="K39" s="20"/>
      <c r="L39" s="20"/>
      <c r="M39" s="22"/>
      <c r="N39" s="20"/>
      <c r="O39" s="20"/>
      <c r="P39" s="20"/>
      <c r="Q39" s="20"/>
      <c r="R39" s="20"/>
      <c r="S39" s="20"/>
    </row>
    <row r="40" spans="1:19" ht="15.75" customHeight="1">
      <c r="A40" s="23" t="s">
        <v>101</v>
      </c>
      <c r="B40" s="16"/>
      <c r="C40" s="16"/>
      <c r="D40" s="24"/>
      <c r="E40" s="24" t="s">
        <v>102</v>
      </c>
      <c r="F40" s="24"/>
      <c r="G40" s="24"/>
      <c r="H40" s="16">
        <v>10</v>
      </c>
      <c r="I40" s="16"/>
      <c r="J40" s="16"/>
      <c r="K40" s="16"/>
      <c r="L40" s="16"/>
      <c r="M40" s="17"/>
      <c r="N40" s="16"/>
      <c r="O40" s="16"/>
      <c r="P40" s="16"/>
      <c r="Q40" s="16"/>
      <c r="R40" s="16"/>
      <c r="S40" s="16"/>
    </row>
    <row r="41" spans="1:19" ht="15.75" customHeight="1">
      <c r="A41" s="19" t="s">
        <v>103</v>
      </c>
      <c r="B41" s="20"/>
      <c r="C41" s="20"/>
      <c r="D41" s="21"/>
      <c r="E41" s="21"/>
      <c r="F41" s="21"/>
      <c r="G41" s="21"/>
      <c r="H41" s="20"/>
      <c r="I41" s="20"/>
      <c r="J41" s="20"/>
      <c r="K41" s="20">
        <v>15</v>
      </c>
      <c r="L41" s="20"/>
      <c r="M41" s="22"/>
      <c r="N41" s="20"/>
      <c r="O41" s="20"/>
      <c r="P41" s="20"/>
      <c r="Q41" s="20"/>
      <c r="R41" s="20"/>
      <c r="S41" s="20"/>
    </row>
    <row r="42" spans="1:19" ht="15.75" customHeight="1">
      <c r="A42" s="23" t="s">
        <v>104</v>
      </c>
      <c r="B42" s="16">
        <v>13</v>
      </c>
      <c r="C42" s="16"/>
      <c r="D42" s="24"/>
      <c r="E42" s="24"/>
      <c r="F42" s="24"/>
      <c r="G42" s="24"/>
      <c r="H42" s="16">
        <v>50</v>
      </c>
      <c r="I42" s="16"/>
      <c r="J42" s="16"/>
      <c r="K42" s="16"/>
      <c r="L42" s="16"/>
      <c r="M42" s="17"/>
      <c r="N42" s="16"/>
      <c r="O42" s="16"/>
      <c r="P42" s="16"/>
      <c r="Q42" s="16"/>
      <c r="R42" s="16"/>
      <c r="S42" s="16"/>
    </row>
    <row r="43" spans="1:19" ht="15.75" customHeight="1">
      <c r="A43" s="19" t="s">
        <v>105</v>
      </c>
      <c r="B43" s="20"/>
      <c r="C43" s="20"/>
      <c r="D43" s="21"/>
      <c r="E43" s="21"/>
      <c r="F43" s="21"/>
      <c r="G43" s="21"/>
      <c r="H43" s="20">
        <v>30</v>
      </c>
      <c r="I43" s="20"/>
      <c r="J43" s="20"/>
      <c r="K43" s="20"/>
      <c r="L43" s="20"/>
      <c r="M43" s="22"/>
      <c r="N43" s="20"/>
      <c r="O43" s="20"/>
      <c r="P43" s="20"/>
      <c r="Q43" s="20"/>
      <c r="R43" s="20"/>
      <c r="S43" s="20"/>
    </row>
    <row r="44" spans="1:19" ht="15.75" customHeight="1">
      <c r="A44" s="23" t="s">
        <v>28</v>
      </c>
      <c r="B44" s="16"/>
      <c r="C44" s="16">
        <v>2</v>
      </c>
      <c r="D44" s="24"/>
      <c r="E44" s="24"/>
      <c r="F44" s="24"/>
      <c r="G44" s="24"/>
      <c r="H44" s="16"/>
      <c r="I44" s="16"/>
      <c r="J44" s="16"/>
      <c r="K44" s="16"/>
      <c r="L44" s="16">
        <v>30</v>
      </c>
      <c r="M44" s="17"/>
      <c r="N44" s="16"/>
      <c r="O44" s="16"/>
      <c r="P44" s="16"/>
      <c r="Q44" s="16"/>
      <c r="R44" s="16"/>
      <c r="S44" s="16"/>
    </row>
    <row r="45" spans="1:19" ht="15.75" customHeight="1">
      <c r="A45" s="19" t="s">
        <v>106</v>
      </c>
      <c r="B45" s="20"/>
      <c r="C45" s="20"/>
      <c r="D45" s="21" t="s">
        <v>3</v>
      </c>
      <c r="E45" s="21"/>
      <c r="F45" s="21"/>
      <c r="G45" s="21"/>
      <c r="H45" s="20"/>
      <c r="I45" s="20"/>
      <c r="J45" s="20"/>
      <c r="K45" s="20"/>
      <c r="L45" s="20"/>
      <c r="M45" s="22"/>
      <c r="N45" s="20"/>
      <c r="O45" s="20"/>
      <c r="P45" s="20">
        <v>15</v>
      </c>
      <c r="Q45" s="20"/>
      <c r="R45" s="20"/>
      <c r="S45" s="20" t="s">
        <v>107</v>
      </c>
    </row>
    <row r="46" spans="1:19" ht="15.75" customHeight="1">
      <c r="A46" s="23" t="s">
        <v>108</v>
      </c>
      <c r="B46" s="16">
        <v>12</v>
      </c>
      <c r="C46" s="16"/>
      <c r="D46" s="24"/>
      <c r="E46" s="24"/>
      <c r="F46" s="24"/>
      <c r="G46" s="24"/>
      <c r="H46" s="16"/>
      <c r="I46" s="16"/>
      <c r="J46" s="16"/>
      <c r="K46" s="16"/>
      <c r="L46" s="16"/>
      <c r="M46" s="17">
        <v>20</v>
      </c>
      <c r="N46" s="16"/>
      <c r="O46" s="16"/>
      <c r="P46" s="16"/>
      <c r="Q46" s="16"/>
      <c r="R46" s="16"/>
      <c r="S46" s="16"/>
    </row>
    <row r="47" spans="1:19" ht="15.75" customHeight="1">
      <c r="A47" s="19" t="s">
        <v>109</v>
      </c>
      <c r="B47" s="20"/>
      <c r="C47" s="20"/>
      <c r="D47" s="21"/>
      <c r="E47" s="21"/>
      <c r="F47" s="21"/>
      <c r="G47" s="21"/>
      <c r="H47" s="20">
        <v>30</v>
      </c>
      <c r="I47" s="20"/>
      <c r="J47" s="20"/>
      <c r="K47" s="20"/>
      <c r="L47" s="20"/>
      <c r="M47" s="22"/>
      <c r="N47" s="20"/>
      <c r="O47" s="20"/>
      <c r="P47" s="20"/>
      <c r="Q47" s="20"/>
      <c r="R47" s="20"/>
      <c r="S47" s="20"/>
    </row>
    <row r="48" spans="1:19" ht="15.75" customHeight="1">
      <c r="A48" s="23" t="s">
        <v>110</v>
      </c>
      <c r="B48" s="16"/>
      <c r="C48" s="16"/>
      <c r="D48" s="24"/>
      <c r="E48" s="24"/>
      <c r="F48" s="24"/>
      <c r="G48" s="24"/>
      <c r="H48" s="16"/>
      <c r="I48" s="16"/>
      <c r="J48" s="16"/>
      <c r="K48" s="16"/>
      <c r="L48" s="16"/>
      <c r="M48" s="17"/>
      <c r="N48" s="16"/>
      <c r="O48" s="16"/>
      <c r="P48" s="16"/>
      <c r="Q48" s="16"/>
      <c r="R48" s="16"/>
      <c r="S48" s="16"/>
    </row>
    <row r="49" spans="1:19" ht="15.75" customHeight="1">
      <c r="A49" s="19" t="s">
        <v>111</v>
      </c>
      <c r="B49" s="20">
        <v>1</v>
      </c>
      <c r="C49" s="20"/>
      <c r="D49" s="21"/>
      <c r="E49" s="21"/>
      <c r="F49" s="21"/>
      <c r="G49" s="21"/>
      <c r="H49" s="20">
        <v>20</v>
      </c>
      <c r="I49" s="20"/>
      <c r="J49" s="20"/>
      <c r="K49" s="20"/>
      <c r="L49" s="20"/>
      <c r="M49" s="22"/>
      <c r="N49" s="20"/>
      <c r="O49" s="20"/>
      <c r="P49" s="20"/>
      <c r="Q49" s="20"/>
      <c r="R49" s="20"/>
      <c r="S49" s="20"/>
    </row>
    <row r="50" spans="1:19" ht="15.75" customHeight="1">
      <c r="A50" s="23" t="s">
        <v>112</v>
      </c>
      <c r="B50" s="16">
        <v>11</v>
      </c>
      <c r="C50" s="16"/>
      <c r="D50" s="24" t="s">
        <v>113</v>
      </c>
      <c r="E50" s="24"/>
      <c r="F50" s="24"/>
      <c r="G50" s="24"/>
      <c r="H50" s="16"/>
      <c r="I50" s="16">
        <v>30</v>
      </c>
      <c r="J50" s="16">
        <v>70</v>
      </c>
      <c r="K50" s="16"/>
      <c r="L50" s="16"/>
      <c r="M50" s="17"/>
      <c r="N50" s="16"/>
      <c r="O50" s="16"/>
      <c r="P50" s="16"/>
      <c r="Q50" s="16"/>
      <c r="R50" s="16"/>
      <c r="S50" s="16"/>
    </row>
    <row r="51" spans="1:19" ht="15.75" customHeight="1">
      <c r="A51" s="19" t="s">
        <v>114</v>
      </c>
      <c r="B51" s="20"/>
      <c r="C51" s="20">
        <v>2</v>
      </c>
      <c r="D51" s="21" t="s">
        <v>97</v>
      </c>
      <c r="E51" s="21"/>
      <c r="F51" s="21"/>
      <c r="G51" s="21"/>
      <c r="H51" s="20"/>
      <c r="I51" s="20"/>
      <c r="J51" s="20"/>
      <c r="K51" s="20">
        <v>60</v>
      </c>
      <c r="L51" s="20">
        <v>30</v>
      </c>
      <c r="M51" s="22"/>
      <c r="N51" s="20"/>
      <c r="O51" s="20"/>
      <c r="P51" s="20"/>
      <c r="Q51" s="20"/>
      <c r="R51" s="20"/>
      <c r="S51" s="20"/>
    </row>
    <row r="52" spans="1:19" ht="15.75" customHeight="1">
      <c r="A52" s="23" t="s">
        <v>115</v>
      </c>
      <c r="B52" s="16">
        <v>4</v>
      </c>
      <c r="C52" s="16"/>
      <c r="D52" s="24" t="s">
        <v>116</v>
      </c>
      <c r="E52" s="24"/>
      <c r="F52" s="24"/>
      <c r="G52" s="24"/>
      <c r="H52" s="16">
        <v>30</v>
      </c>
      <c r="I52" s="16"/>
      <c r="J52" s="16"/>
      <c r="K52" s="16"/>
      <c r="L52" s="16"/>
      <c r="M52" s="17"/>
      <c r="N52" s="16"/>
      <c r="O52" s="16"/>
      <c r="P52" s="16"/>
      <c r="Q52" s="16"/>
      <c r="R52" s="16"/>
      <c r="S52" s="16"/>
    </row>
    <row r="53" spans="1:19" ht="15.75" customHeight="1">
      <c r="A53" s="19" t="s">
        <v>117</v>
      </c>
      <c r="B53" s="20">
        <v>4</v>
      </c>
      <c r="C53" s="20"/>
      <c r="D53" s="21" t="s">
        <v>118</v>
      </c>
      <c r="E53" s="21"/>
      <c r="F53" s="21"/>
      <c r="G53" s="21"/>
      <c r="H53" s="20">
        <v>30</v>
      </c>
      <c r="I53" s="20"/>
      <c r="J53" s="20"/>
      <c r="K53" s="20"/>
      <c r="L53" s="20"/>
      <c r="M53" s="22"/>
      <c r="N53" s="20"/>
      <c r="O53" s="20"/>
      <c r="P53" s="20"/>
      <c r="Q53" s="20"/>
      <c r="R53" s="20"/>
      <c r="S53" s="20"/>
    </row>
    <row r="54" spans="1:19" ht="15.75" customHeight="1">
      <c r="A54" s="23" t="s">
        <v>119</v>
      </c>
      <c r="B54" s="16">
        <v>4</v>
      </c>
      <c r="C54" s="16"/>
      <c r="D54" s="24" t="s">
        <v>120</v>
      </c>
      <c r="E54" s="24"/>
      <c r="F54" s="24"/>
      <c r="G54" s="24"/>
      <c r="H54" s="16">
        <v>30</v>
      </c>
      <c r="I54" s="16"/>
      <c r="J54" s="16"/>
      <c r="K54" s="16"/>
      <c r="L54" s="16"/>
      <c r="M54" s="17"/>
      <c r="N54" s="16"/>
      <c r="O54" s="16"/>
      <c r="P54" s="16"/>
      <c r="Q54" s="16"/>
      <c r="R54" s="16"/>
      <c r="S54" s="16"/>
    </row>
    <row r="55" spans="1:19" ht="15.75" customHeight="1">
      <c r="A55" s="19" t="s">
        <v>121</v>
      </c>
      <c r="B55" s="20">
        <v>5</v>
      </c>
      <c r="C55" s="20"/>
      <c r="D55" s="21"/>
      <c r="E55" s="21"/>
      <c r="F55" s="21" t="s">
        <v>77</v>
      </c>
      <c r="G55" s="21"/>
      <c r="H55" s="20">
        <v>10</v>
      </c>
      <c r="I55" s="20"/>
      <c r="J55" s="20"/>
      <c r="K55" s="20"/>
      <c r="L55" s="20"/>
      <c r="M55" s="22"/>
      <c r="N55" s="20"/>
      <c r="O55" s="20"/>
      <c r="P55" s="20"/>
      <c r="Q55" s="20"/>
      <c r="R55" s="20"/>
      <c r="S55" s="20"/>
    </row>
    <row r="56" spans="1:19" ht="15.75" customHeight="1">
      <c r="A56" s="23" t="s">
        <v>122</v>
      </c>
      <c r="B56" s="16">
        <v>4</v>
      </c>
      <c r="C56" s="16"/>
      <c r="D56" s="24" t="s">
        <v>113</v>
      </c>
      <c r="E56" s="24"/>
      <c r="F56" s="24"/>
      <c r="G56" s="24"/>
      <c r="H56" s="16">
        <v>30</v>
      </c>
      <c r="I56" s="16"/>
      <c r="J56" s="16"/>
      <c r="K56" s="16"/>
      <c r="L56" s="16"/>
      <c r="M56" s="17"/>
      <c r="N56" s="16"/>
      <c r="O56" s="16"/>
      <c r="P56" s="16"/>
      <c r="Q56" s="16"/>
      <c r="R56" s="16"/>
      <c r="S56" s="16"/>
    </row>
    <row r="57" spans="1:19" ht="15.75" customHeight="1">
      <c r="A57" s="19" t="s">
        <v>123</v>
      </c>
      <c r="B57" s="20">
        <v>4</v>
      </c>
      <c r="C57" s="20"/>
      <c r="D57" s="21" t="s">
        <v>124</v>
      </c>
      <c r="E57" s="21"/>
      <c r="F57" s="21"/>
      <c r="G57" s="21"/>
      <c r="H57" s="20">
        <v>30</v>
      </c>
      <c r="I57" s="20"/>
      <c r="J57" s="20"/>
      <c r="K57" s="20"/>
      <c r="L57" s="20"/>
      <c r="M57" s="22"/>
      <c r="N57" s="20"/>
      <c r="O57" s="20"/>
      <c r="P57" s="20"/>
      <c r="Q57" s="20"/>
      <c r="R57" s="20"/>
      <c r="S57" s="20"/>
    </row>
    <row r="58" spans="1:19" ht="15.75" customHeight="1">
      <c r="A58" s="23" t="s">
        <v>125</v>
      </c>
      <c r="B58" s="16">
        <v>4</v>
      </c>
      <c r="C58" s="16"/>
      <c r="D58" s="24" t="s">
        <v>126</v>
      </c>
      <c r="E58" s="24"/>
      <c r="F58" s="24"/>
      <c r="G58" s="24"/>
      <c r="H58" s="16">
        <v>30</v>
      </c>
      <c r="I58" s="16"/>
      <c r="J58" s="16"/>
      <c r="K58" s="16"/>
      <c r="L58" s="16"/>
      <c r="M58" s="17"/>
      <c r="N58" s="16"/>
      <c r="O58" s="16"/>
      <c r="P58" s="16"/>
      <c r="Q58" s="16"/>
      <c r="R58" s="16"/>
      <c r="S58" s="16"/>
    </row>
    <row r="59" spans="1:19" ht="15.75" customHeight="1">
      <c r="A59" s="19" t="s">
        <v>127</v>
      </c>
      <c r="B59" s="20"/>
      <c r="C59" s="20"/>
      <c r="D59" s="21" t="s">
        <v>128</v>
      </c>
      <c r="E59" s="21"/>
      <c r="F59" s="21"/>
      <c r="G59" s="21"/>
      <c r="H59" s="20"/>
      <c r="I59" s="20">
        <v>100</v>
      </c>
      <c r="J59" s="20"/>
      <c r="K59" s="20"/>
      <c r="L59" s="20"/>
      <c r="M59" s="22"/>
      <c r="N59" s="20"/>
      <c r="O59" s="20"/>
      <c r="P59" s="20"/>
      <c r="Q59" s="20"/>
      <c r="R59" s="20"/>
      <c r="S59" s="20"/>
    </row>
    <row r="60" spans="1:19" ht="15.75" customHeight="1">
      <c r="A60" s="23" t="s">
        <v>129</v>
      </c>
      <c r="B60" s="16">
        <v>4</v>
      </c>
      <c r="C60" s="16"/>
      <c r="D60" s="24" t="s">
        <v>128</v>
      </c>
      <c r="E60" s="24"/>
      <c r="F60" s="24"/>
      <c r="G60" s="24"/>
      <c r="H60" s="16">
        <v>30</v>
      </c>
      <c r="I60" s="16"/>
      <c r="J60" s="16"/>
      <c r="K60" s="16"/>
      <c r="L60" s="16"/>
      <c r="M60" s="17"/>
      <c r="N60" s="16"/>
      <c r="O60" s="16"/>
      <c r="P60" s="16"/>
      <c r="Q60" s="16"/>
      <c r="R60" s="16"/>
      <c r="S60" s="16"/>
    </row>
    <row r="61" spans="1:19" ht="15.75" customHeight="1">
      <c r="A61" s="19" t="s">
        <v>130</v>
      </c>
      <c r="B61" s="20">
        <v>4</v>
      </c>
      <c r="C61" s="20"/>
      <c r="D61" s="21" t="s">
        <v>131</v>
      </c>
      <c r="E61" s="21"/>
      <c r="F61" s="21"/>
      <c r="G61" s="21"/>
      <c r="H61" s="20">
        <v>30</v>
      </c>
      <c r="I61" s="20"/>
      <c r="J61" s="20"/>
      <c r="K61" s="20"/>
      <c r="L61" s="20"/>
      <c r="M61" s="22"/>
      <c r="N61" s="20"/>
      <c r="O61" s="20"/>
      <c r="P61" s="20"/>
      <c r="Q61" s="20"/>
      <c r="R61" s="20"/>
      <c r="S61" s="20"/>
    </row>
    <row r="62" spans="1:19" ht="15.75" customHeight="1">
      <c r="A62" s="23" t="s">
        <v>132</v>
      </c>
      <c r="B62" s="16">
        <v>4</v>
      </c>
      <c r="C62" s="16"/>
      <c r="D62" s="24" t="s">
        <v>133</v>
      </c>
      <c r="E62" s="24"/>
      <c r="F62" s="24"/>
      <c r="G62" s="24"/>
      <c r="H62" s="16">
        <v>30</v>
      </c>
      <c r="I62" s="16"/>
      <c r="J62" s="16"/>
      <c r="K62" s="16"/>
      <c r="L62" s="16"/>
      <c r="M62" s="17"/>
      <c r="N62" s="16"/>
      <c r="O62" s="16"/>
      <c r="P62" s="16"/>
      <c r="Q62" s="16"/>
      <c r="R62" s="16"/>
      <c r="S62" s="16"/>
    </row>
    <row r="63" spans="1:19" ht="15.75" customHeight="1">
      <c r="A63" s="19" t="s">
        <v>134</v>
      </c>
      <c r="B63" s="20"/>
      <c r="C63" s="20"/>
      <c r="D63" s="21" t="s">
        <v>135</v>
      </c>
      <c r="E63" s="21"/>
      <c r="F63" s="21"/>
      <c r="G63" s="21"/>
      <c r="H63" s="20">
        <v>44</v>
      </c>
      <c r="I63" s="20">
        <v>100</v>
      </c>
      <c r="J63" s="20"/>
      <c r="K63" s="20"/>
      <c r="L63" s="20"/>
      <c r="M63" s="22"/>
      <c r="N63" s="20"/>
      <c r="O63" s="20"/>
      <c r="P63" s="20"/>
      <c r="Q63" s="20"/>
      <c r="R63" s="20"/>
      <c r="S63" s="20"/>
    </row>
    <row r="64" spans="1:19" ht="15.75" customHeight="1">
      <c r="A64" s="23" t="s">
        <v>136</v>
      </c>
      <c r="B64" s="16">
        <v>4</v>
      </c>
      <c r="C64" s="16"/>
      <c r="D64" s="24" t="s">
        <v>137</v>
      </c>
      <c r="E64" s="24"/>
      <c r="F64" s="24"/>
      <c r="G64" s="24"/>
      <c r="H64" s="16">
        <v>30</v>
      </c>
      <c r="I64" s="16"/>
      <c r="J64" s="16"/>
      <c r="K64" s="16"/>
      <c r="L64" s="16"/>
      <c r="M64" s="17"/>
      <c r="N64" s="16"/>
      <c r="O64" s="16"/>
      <c r="P64" s="16"/>
      <c r="Q64" s="16"/>
      <c r="R64" s="16"/>
      <c r="S64" s="16"/>
    </row>
    <row r="65" spans="1:19" ht="15.75" customHeight="1">
      <c r="A65" s="19" t="s">
        <v>138</v>
      </c>
      <c r="B65" s="20">
        <v>4</v>
      </c>
      <c r="C65" s="20"/>
      <c r="D65" s="21" t="s">
        <v>135</v>
      </c>
      <c r="E65" s="21"/>
      <c r="F65" s="21"/>
      <c r="G65" s="21"/>
      <c r="H65" s="20">
        <v>30</v>
      </c>
      <c r="I65" s="20"/>
      <c r="J65" s="20"/>
      <c r="K65" s="20"/>
      <c r="L65" s="20"/>
      <c r="M65" s="22"/>
      <c r="N65" s="20"/>
      <c r="O65" s="20"/>
      <c r="P65" s="20"/>
      <c r="Q65" s="20"/>
      <c r="R65" s="20"/>
      <c r="S65" s="20"/>
    </row>
    <row r="66" spans="1:19" ht="15.75" customHeight="1">
      <c r="A66" s="23" t="s">
        <v>139</v>
      </c>
      <c r="B66" s="16">
        <v>4</v>
      </c>
      <c r="C66" s="16"/>
      <c r="D66" s="24" t="s">
        <v>140</v>
      </c>
      <c r="E66" s="24"/>
      <c r="F66" s="24"/>
      <c r="G66" s="24"/>
      <c r="H66" s="16">
        <v>30</v>
      </c>
      <c r="I66" s="16"/>
      <c r="J66" s="16"/>
      <c r="K66" s="16"/>
      <c r="L66" s="16"/>
      <c r="M66" s="17"/>
      <c r="N66" s="16"/>
      <c r="O66" s="16"/>
      <c r="P66" s="16"/>
      <c r="Q66" s="16"/>
      <c r="R66" s="16"/>
      <c r="S66" s="16"/>
    </row>
    <row r="67" spans="1:19" ht="15.75" customHeight="1">
      <c r="A67" s="19" t="s">
        <v>141</v>
      </c>
      <c r="B67" s="20">
        <v>6</v>
      </c>
      <c r="C67" s="20"/>
      <c r="D67" s="21"/>
      <c r="E67" s="21"/>
      <c r="F67" s="21"/>
      <c r="G67" s="21"/>
      <c r="H67" s="20">
        <v>20</v>
      </c>
      <c r="I67" s="20"/>
      <c r="J67" s="20"/>
      <c r="K67" s="20"/>
      <c r="L67" s="20"/>
      <c r="M67" s="22"/>
      <c r="N67" s="20"/>
      <c r="O67" s="20"/>
      <c r="P67" s="20"/>
      <c r="Q67" s="20"/>
      <c r="R67" s="20"/>
      <c r="S67" s="20"/>
    </row>
    <row r="68" spans="1:19" ht="15.75" customHeight="1">
      <c r="A68" s="23" t="s">
        <v>142</v>
      </c>
      <c r="B68" s="16"/>
      <c r="C68" s="16"/>
      <c r="D68" s="24"/>
      <c r="E68" s="24"/>
      <c r="F68" s="24"/>
      <c r="G68" s="24"/>
      <c r="H68" s="16"/>
      <c r="I68" s="16"/>
      <c r="J68" s="16"/>
      <c r="K68" s="16"/>
      <c r="L68" s="16"/>
      <c r="M68" s="17"/>
      <c r="N68" s="16">
        <v>20</v>
      </c>
      <c r="O68" s="16"/>
      <c r="P68" s="16"/>
      <c r="Q68" s="16"/>
      <c r="R68" s="16"/>
      <c r="S68" s="16"/>
    </row>
    <row r="69" spans="1:19" ht="15.75" customHeight="1">
      <c r="A69" s="19" t="s">
        <v>143</v>
      </c>
      <c r="B69" s="20"/>
      <c r="C69" s="20"/>
      <c r="D69" s="21" t="s">
        <v>128</v>
      </c>
      <c r="E69" s="21"/>
      <c r="F69" s="21"/>
      <c r="G69" s="21"/>
      <c r="H69" s="20">
        <v>15</v>
      </c>
      <c r="I69" s="20"/>
      <c r="J69" s="20"/>
      <c r="K69" s="20"/>
      <c r="L69" s="20"/>
      <c r="M69" s="22"/>
      <c r="N69" s="20"/>
      <c r="O69" s="20"/>
      <c r="P69" s="20"/>
      <c r="Q69" s="20"/>
      <c r="R69" s="20"/>
      <c r="S69" s="20"/>
    </row>
    <row r="70" spans="1:19" ht="15.75" customHeight="1">
      <c r="A70" s="23" t="s">
        <v>144</v>
      </c>
      <c r="B70" s="16"/>
      <c r="C70" s="16"/>
      <c r="D70" s="24" t="s">
        <v>118</v>
      </c>
      <c r="E70" s="24"/>
      <c r="F70" s="24"/>
      <c r="G70" s="24"/>
      <c r="H70" s="16">
        <v>15</v>
      </c>
      <c r="I70" s="16"/>
      <c r="J70" s="16"/>
      <c r="K70" s="16"/>
      <c r="L70" s="16"/>
      <c r="M70" s="17"/>
      <c r="N70" s="16"/>
      <c r="O70" s="16"/>
      <c r="P70" s="16"/>
      <c r="Q70" s="16"/>
      <c r="R70" s="16"/>
      <c r="S70" s="16"/>
    </row>
    <row r="71" spans="1:19" ht="15.75" customHeight="1">
      <c r="A71" s="19" t="s">
        <v>145</v>
      </c>
      <c r="B71" s="20"/>
      <c r="C71" s="20"/>
      <c r="D71" s="21" t="s">
        <v>113</v>
      </c>
      <c r="E71" s="21"/>
      <c r="F71" s="21"/>
      <c r="G71" s="21"/>
      <c r="H71" s="20">
        <v>15</v>
      </c>
      <c r="I71" s="20"/>
      <c r="J71" s="20"/>
      <c r="K71" s="20"/>
      <c r="L71" s="20"/>
      <c r="M71" s="22"/>
      <c r="N71" s="20"/>
      <c r="O71" s="20"/>
      <c r="P71" s="20"/>
      <c r="Q71" s="20"/>
      <c r="R71" s="20"/>
      <c r="S71" s="20"/>
    </row>
    <row r="72" spans="1:19" ht="15.75" customHeight="1">
      <c r="A72" s="23" t="s">
        <v>146</v>
      </c>
      <c r="B72" s="16"/>
      <c r="C72" s="16"/>
      <c r="D72" s="24" t="s">
        <v>140</v>
      </c>
      <c r="E72" s="24"/>
      <c r="F72" s="24"/>
      <c r="G72" s="24"/>
      <c r="H72" s="16">
        <v>15</v>
      </c>
      <c r="I72" s="16"/>
      <c r="J72" s="16"/>
      <c r="K72" s="16"/>
      <c r="L72" s="16"/>
      <c r="M72" s="17"/>
      <c r="N72" s="16"/>
      <c r="O72" s="16"/>
      <c r="P72" s="16"/>
      <c r="Q72" s="16"/>
      <c r="R72" s="16"/>
      <c r="S72" s="16"/>
    </row>
    <row r="73" spans="1:19" ht="15.75" customHeight="1">
      <c r="A73" s="19" t="s">
        <v>147</v>
      </c>
      <c r="B73" s="20"/>
      <c r="C73" s="20">
        <v>2</v>
      </c>
      <c r="D73" s="21"/>
      <c r="E73" s="21"/>
      <c r="F73" s="21"/>
      <c r="G73" s="21"/>
      <c r="H73" s="20"/>
      <c r="I73" s="20"/>
      <c r="J73" s="20"/>
      <c r="K73" s="20">
        <v>15</v>
      </c>
      <c r="L73" s="20">
        <v>15</v>
      </c>
      <c r="M73" s="22"/>
      <c r="N73" s="20"/>
      <c r="O73" s="20"/>
      <c r="P73" s="20"/>
      <c r="Q73" s="20"/>
      <c r="R73" s="20"/>
      <c r="S73" s="20"/>
    </row>
    <row r="74" spans="1:19" ht="15.75" customHeight="1">
      <c r="A74" s="23" t="s">
        <v>148</v>
      </c>
      <c r="B74" s="16">
        <v>4</v>
      </c>
      <c r="C74" s="16"/>
      <c r="D74" s="24" t="s">
        <v>149</v>
      </c>
      <c r="E74" s="24"/>
      <c r="F74" s="24"/>
      <c r="G74" s="24"/>
      <c r="H74" s="16">
        <v>30</v>
      </c>
      <c r="I74" s="16"/>
      <c r="J74" s="16"/>
      <c r="K74" s="16"/>
      <c r="L74" s="16"/>
      <c r="M74" s="17"/>
      <c r="N74" s="16"/>
      <c r="O74" s="16"/>
      <c r="P74" s="16"/>
      <c r="Q74" s="16"/>
      <c r="R74" s="16"/>
      <c r="S74" s="16"/>
    </row>
    <row r="75" spans="1:19" ht="15.75" customHeight="1">
      <c r="A75" s="19" t="s">
        <v>150</v>
      </c>
      <c r="B75" s="20">
        <v>4</v>
      </c>
      <c r="C75" s="20"/>
      <c r="D75" s="21" t="s">
        <v>151</v>
      </c>
      <c r="E75" s="21"/>
      <c r="F75" s="21"/>
      <c r="G75" s="21"/>
      <c r="H75" s="20">
        <v>30</v>
      </c>
      <c r="I75" s="20"/>
      <c r="J75" s="20"/>
      <c r="K75" s="20"/>
      <c r="L75" s="20"/>
      <c r="M75" s="22"/>
      <c r="N75" s="20"/>
      <c r="O75" s="20"/>
      <c r="P75" s="20"/>
      <c r="Q75" s="20"/>
      <c r="R75" s="20"/>
      <c r="S75" s="20"/>
    </row>
    <row r="76" spans="1:19" ht="15.75" customHeight="1">
      <c r="A76" s="23" t="s">
        <v>152</v>
      </c>
      <c r="B76" s="16">
        <v>4</v>
      </c>
      <c r="C76" s="16"/>
      <c r="D76" s="24" t="s">
        <v>153</v>
      </c>
      <c r="E76" s="24"/>
      <c r="F76" s="24"/>
      <c r="G76" s="24"/>
      <c r="H76" s="16">
        <v>30</v>
      </c>
      <c r="I76" s="16"/>
      <c r="J76" s="16"/>
      <c r="K76" s="16"/>
      <c r="L76" s="16"/>
      <c r="M76" s="17"/>
      <c r="N76" s="16"/>
      <c r="O76" s="16"/>
      <c r="P76" s="16"/>
      <c r="Q76" s="16"/>
      <c r="R76" s="16"/>
      <c r="S76" s="16"/>
    </row>
    <row r="77" spans="1:19" ht="15.75" customHeight="1">
      <c r="A77" s="19" t="s">
        <v>154</v>
      </c>
      <c r="B77" s="20"/>
      <c r="C77" s="20"/>
      <c r="D77" s="21" t="s">
        <v>84</v>
      </c>
      <c r="E77" s="21"/>
      <c r="F77" s="21"/>
      <c r="G77" s="21"/>
      <c r="H77" s="20">
        <v>70</v>
      </c>
      <c r="I77" s="20"/>
      <c r="J77" s="20"/>
      <c r="K77" s="20"/>
      <c r="L77" s="20"/>
      <c r="M77" s="22"/>
      <c r="N77" s="20"/>
      <c r="O77" s="20"/>
      <c r="P77" s="20"/>
      <c r="Q77" s="20"/>
      <c r="R77" s="20"/>
      <c r="S77" s="20"/>
    </row>
    <row r="78" spans="1:19" ht="15.75" customHeight="1">
      <c r="A78" s="23" t="s">
        <v>155</v>
      </c>
      <c r="B78" s="16"/>
      <c r="C78" s="16"/>
      <c r="D78" s="24" t="s">
        <v>156</v>
      </c>
      <c r="E78" s="24"/>
      <c r="F78" s="24"/>
      <c r="G78" s="24"/>
      <c r="H78" s="16">
        <v>30</v>
      </c>
      <c r="I78" s="16"/>
      <c r="J78" s="16"/>
      <c r="K78" s="16"/>
      <c r="L78" s="16"/>
      <c r="M78" s="17"/>
      <c r="N78" s="16"/>
      <c r="O78" s="16"/>
      <c r="P78" s="16"/>
      <c r="Q78" s="16"/>
      <c r="R78" s="16"/>
      <c r="S78" s="16"/>
    </row>
    <row r="79" spans="1:19" ht="15.75" customHeight="1">
      <c r="A79" s="19" t="s">
        <v>157</v>
      </c>
      <c r="B79" s="20"/>
      <c r="C79" s="20"/>
      <c r="D79" s="21" t="s">
        <v>158</v>
      </c>
      <c r="E79" s="21"/>
      <c r="F79" s="21"/>
      <c r="G79" s="21"/>
      <c r="H79" s="20">
        <v>15</v>
      </c>
      <c r="I79" s="20"/>
      <c r="J79" s="20"/>
      <c r="K79" s="20"/>
      <c r="L79" s="20"/>
      <c r="M79" s="22"/>
      <c r="N79" s="20"/>
      <c r="O79" s="20"/>
      <c r="P79" s="20"/>
      <c r="Q79" s="20"/>
      <c r="R79" s="20"/>
      <c r="S79" s="20"/>
    </row>
    <row r="80" spans="1:19" ht="15.75" customHeight="1">
      <c r="A80" s="23" t="s">
        <v>159</v>
      </c>
      <c r="B80" s="16">
        <v>4</v>
      </c>
      <c r="C80" s="16"/>
      <c r="D80" s="24"/>
      <c r="E80" s="24"/>
      <c r="F80" s="24"/>
      <c r="G80" s="24"/>
      <c r="H80" s="16">
        <v>30</v>
      </c>
      <c r="I80" s="16"/>
      <c r="J80" s="16"/>
      <c r="K80" s="16"/>
      <c r="L80" s="16"/>
      <c r="M80" s="17"/>
      <c r="N80" s="16"/>
      <c r="O80" s="16"/>
      <c r="P80" s="16"/>
      <c r="Q80" s="16"/>
      <c r="R80" s="16"/>
      <c r="S80" s="16"/>
    </row>
    <row r="81" spans="1:19" ht="15.75" customHeight="1">
      <c r="A81" s="19" t="s">
        <v>160</v>
      </c>
      <c r="B81" s="20">
        <v>4</v>
      </c>
      <c r="C81" s="20"/>
      <c r="D81" s="21" t="s">
        <v>161</v>
      </c>
      <c r="E81" s="21"/>
      <c r="F81" s="21"/>
      <c r="G81" s="21"/>
      <c r="H81" s="20">
        <v>30</v>
      </c>
      <c r="I81" s="20"/>
      <c r="J81" s="20"/>
      <c r="K81" s="20"/>
      <c r="L81" s="20"/>
      <c r="M81" s="22"/>
      <c r="N81" s="20"/>
      <c r="O81" s="20"/>
      <c r="P81" s="20"/>
      <c r="Q81" s="20"/>
      <c r="R81" s="20"/>
      <c r="S81" s="20"/>
    </row>
    <row r="82" spans="1:19" ht="15.75" customHeight="1">
      <c r="A82" s="23" t="s">
        <v>162</v>
      </c>
      <c r="B82" s="16">
        <v>4</v>
      </c>
      <c r="C82" s="16"/>
      <c r="D82" s="24" t="s">
        <v>163</v>
      </c>
      <c r="E82" s="24"/>
      <c r="F82" s="24"/>
      <c r="G82" s="24"/>
      <c r="H82" s="16">
        <v>30</v>
      </c>
      <c r="I82" s="16"/>
      <c r="J82" s="16"/>
      <c r="K82" s="16"/>
      <c r="L82" s="16"/>
      <c r="M82" s="17"/>
      <c r="N82" s="16"/>
      <c r="O82" s="16"/>
      <c r="P82" s="16"/>
      <c r="Q82" s="16"/>
      <c r="R82" s="16"/>
      <c r="S82" s="16"/>
    </row>
    <row r="83" spans="1:19" ht="15.75" customHeight="1">
      <c r="A83" s="19" t="s">
        <v>164</v>
      </c>
      <c r="B83" s="20"/>
      <c r="C83" s="20"/>
      <c r="D83" s="21" t="s">
        <v>165</v>
      </c>
      <c r="E83" s="21"/>
      <c r="F83" s="21"/>
      <c r="G83" s="21"/>
      <c r="H83" s="20">
        <v>30</v>
      </c>
      <c r="I83" s="20"/>
      <c r="J83" s="20"/>
      <c r="K83" s="20"/>
      <c r="L83" s="20"/>
      <c r="M83" s="22"/>
      <c r="N83" s="20">
        <v>20</v>
      </c>
      <c r="O83" s="20"/>
      <c r="P83" s="20"/>
      <c r="Q83" s="20"/>
      <c r="R83" s="20"/>
      <c r="S83" s="20"/>
    </row>
    <row r="84" spans="1:19" ht="15.75" customHeight="1">
      <c r="A84" s="23" t="s">
        <v>166</v>
      </c>
      <c r="B84" s="16"/>
      <c r="C84" s="16"/>
      <c r="D84" s="24" t="s">
        <v>118</v>
      </c>
      <c r="E84" s="24"/>
      <c r="F84" s="24"/>
      <c r="G84" s="24"/>
      <c r="H84" s="16">
        <v>30</v>
      </c>
      <c r="I84" s="16"/>
      <c r="J84" s="16"/>
      <c r="K84" s="16"/>
      <c r="L84" s="16"/>
      <c r="M84" s="17"/>
      <c r="N84" s="16"/>
      <c r="O84" s="16"/>
      <c r="P84" s="16"/>
      <c r="Q84" s="16"/>
      <c r="R84" s="16"/>
      <c r="S84" s="16"/>
    </row>
    <row r="85" spans="1:19" ht="15.75" customHeight="1">
      <c r="A85" s="19" t="s">
        <v>167</v>
      </c>
      <c r="B85" s="20">
        <v>4</v>
      </c>
      <c r="C85" s="20"/>
      <c r="D85" s="21" t="s">
        <v>168</v>
      </c>
      <c r="E85" s="21"/>
      <c r="F85" s="21"/>
      <c r="G85" s="21"/>
      <c r="H85" s="20">
        <v>30</v>
      </c>
      <c r="I85" s="20"/>
      <c r="J85" s="20"/>
      <c r="K85" s="20"/>
      <c r="L85" s="20"/>
      <c r="M85" s="22"/>
      <c r="N85" s="20"/>
      <c r="O85" s="20"/>
      <c r="P85" s="20"/>
      <c r="Q85" s="20"/>
      <c r="R85" s="20"/>
      <c r="S85" s="20"/>
    </row>
    <row r="86" spans="1:19" ht="15.75" customHeight="1">
      <c r="A86" s="23" t="s">
        <v>169</v>
      </c>
      <c r="B86" s="16">
        <v>4</v>
      </c>
      <c r="C86" s="16"/>
      <c r="D86" s="24" t="s">
        <v>165</v>
      </c>
      <c r="E86" s="24"/>
      <c r="F86" s="24"/>
      <c r="G86" s="24"/>
      <c r="H86" s="16">
        <v>30</v>
      </c>
      <c r="I86" s="16"/>
      <c r="J86" s="16"/>
      <c r="K86" s="16"/>
      <c r="L86" s="16"/>
      <c r="M86" s="17"/>
      <c r="N86" s="16"/>
      <c r="O86" s="16"/>
      <c r="P86" s="16"/>
      <c r="Q86" s="16"/>
      <c r="R86" s="16"/>
      <c r="S86" s="16"/>
    </row>
    <row r="87" spans="1:19" ht="15.75" customHeight="1">
      <c r="A87" s="19" t="s">
        <v>170</v>
      </c>
      <c r="B87" s="20">
        <v>4</v>
      </c>
      <c r="C87" s="20"/>
      <c r="D87" s="21" t="s">
        <v>171</v>
      </c>
      <c r="E87" s="21"/>
      <c r="F87" s="21"/>
      <c r="G87" s="21"/>
      <c r="H87" s="20">
        <v>30</v>
      </c>
      <c r="I87" s="20"/>
      <c r="J87" s="20"/>
      <c r="K87" s="20"/>
      <c r="L87" s="20"/>
      <c r="M87" s="22"/>
      <c r="N87" s="20"/>
      <c r="O87" s="20"/>
      <c r="P87" s="20"/>
      <c r="Q87" s="20"/>
      <c r="R87" s="20"/>
      <c r="S87" s="20"/>
    </row>
    <row r="88" spans="1:19" ht="15.75" customHeight="1">
      <c r="A88" s="23" t="s">
        <v>172</v>
      </c>
      <c r="B88" s="16"/>
      <c r="C88" s="16"/>
      <c r="D88" s="24"/>
      <c r="E88" s="24"/>
      <c r="F88" s="24"/>
      <c r="G88" s="24"/>
      <c r="H88" s="16">
        <v>50</v>
      </c>
      <c r="I88" s="16"/>
      <c r="J88" s="16"/>
      <c r="K88" s="16"/>
      <c r="L88" s="16"/>
      <c r="M88" s="17"/>
      <c r="N88" s="16"/>
      <c r="O88" s="16"/>
      <c r="P88" s="16"/>
      <c r="Q88" s="16"/>
      <c r="R88" s="16"/>
      <c r="S88" s="16"/>
    </row>
    <row r="89" spans="1:19" ht="15.75" customHeight="1">
      <c r="A89" s="19" t="s">
        <v>173</v>
      </c>
      <c r="B89" s="20"/>
      <c r="C89" s="20"/>
      <c r="D89" s="21" t="s">
        <v>163</v>
      </c>
      <c r="E89" s="21"/>
      <c r="F89" s="21"/>
      <c r="G89" s="21"/>
      <c r="H89" s="20">
        <v>40</v>
      </c>
      <c r="I89" s="20"/>
      <c r="J89" s="20"/>
      <c r="K89" s="20"/>
      <c r="L89" s="20"/>
      <c r="M89" s="22"/>
      <c r="N89" s="20"/>
      <c r="O89" s="20"/>
      <c r="P89" s="20"/>
      <c r="Q89" s="20"/>
      <c r="R89" s="20"/>
      <c r="S89" s="20"/>
    </row>
    <row r="90" spans="1:19" ht="15.75" customHeight="1">
      <c r="A90" s="23" t="s">
        <v>174</v>
      </c>
      <c r="B90" s="16">
        <v>4</v>
      </c>
      <c r="C90" s="16"/>
      <c r="D90" s="24" t="s">
        <v>175</v>
      </c>
      <c r="E90" s="24"/>
      <c r="F90" s="24"/>
      <c r="G90" s="24"/>
      <c r="H90" s="16">
        <v>30</v>
      </c>
      <c r="I90" s="16"/>
      <c r="J90" s="16"/>
      <c r="K90" s="16"/>
      <c r="L90" s="16"/>
      <c r="M90" s="17"/>
      <c r="N90" s="16"/>
      <c r="O90" s="16"/>
      <c r="P90" s="16"/>
      <c r="Q90" s="16"/>
      <c r="R90" s="16"/>
      <c r="S90" s="16"/>
    </row>
    <row r="91" spans="1:19" ht="15.75" customHeight="1">
      <c r="A91" s="19" t="s">
        <v>176</v>
      </c>
      <c r="B91" s="20">
        <v>4</v>
      </c>
      <c r="C91" s="20"/>
      <c r="D91" s="21" t="s">
        <v>156</v>
      </c>
      <c r="E91" s="21"/>
      <c r="F91" s="21"/>
      <c r="G91" s="21"/>
      <c r="H91" s="20">
        <v>30</v>
      </c>
      <c r="I91" s="20"/>
      <c r="J91" s="20"/>
      <c r="K91" s="20"/>
      <c r="L91" s="20"/>
      <c r="M91" s="22"/>
      <c r="N91" s="20"/>
      <c r="O91" s="20"/>
      <c r="P91" s="20"/>
      <c r="Q91" s="20"/>
      <c r="R91" s="20"/>
      <c r="S91" s="20"/>
    </row>
    <row r="92" spans="1:19" ht="15.75" customHeight="1">
      <c r="A92" s="23" t="s">
        <v>177</v>
      </c>
      <c r="B92" s="16">
        <v>4</v>
      </c>
      <c r="C92" s="16"/>
      <c r="D92" s="24" t="s">
        <v>178</v>
      </c>
      <c r="E92" s="24"/>
      <c r="F92" s="24"/>
      <c r="G92" s="24"/>
      <c r="H92" s="16">
        <v>30</v>
      </c>
      <c r="I92" s="16"/>
      <c r="J92" s="16"/>
      <c r="K92" s="16"/>
      <c r="L92" s="16"/>
      <c r="M92" s="17"/>
      <c r="N92" s="16"/>
      <c r="O92" s="16"/>
      <c r="P92" s="16"/>
      <c r="Q92" s="16"/>
      <c r="R92" s="16"/>
      <c r="S92" s="16"/>
    </row>
    <row r="93" spans="1:19" ht="15.75" customHeight="1">
      <c r="A93" s="19" t="s">
        <v>179</v>
      </c>
      <c r="B93" s="20"/>
      <c r="C93" s="20"/>
      <c r="D93" s="21" t="s">
        <v>171</v>
      </c>
      <c r="E93" s="21"/>
      <c r="F93" s="21"/>
      <c r="G93" s="21"/>
      <c r="H93" s="20">
        <v>40</v>
      </c>
      <c r="I93" s="20"/>
      <c r="J93" s="20"/>
      <c r="K93" s="20"/>
      <c r="L93" s="20"/>
      <c r="M93" s="22"/>
      <c r="N93" s="20"/>
      <c r="O93" s="20"/>
      <c r="P93" s="20"/>
      <c r="Q93" s="20"/>
      <c r="R93" s="20"/>
      <c r="S93" s="20"/>
    </row>
    <row r="94" spans="1:19" ht="15.75" customHeight="1">
      <c r="A94" s="23" t="s">
        <v>180</v>
      </c>
      <c r="B94" s="16"/>
      <c r="C94" s="16"/>
      <c r="D94" s="24" t="s">
        <v>93</v>
      </c>
      <c r="E94" s="24"/>
      <c r="F94" s="24"/>
      <c r="G94" s="24"/>
      <c r="H94" s="16">
        <v>60</v>
      </c>
      <c r="I94" s="16"/>
      <c r="J94" s="16"/>
      <c r="K94" s="16"/>
      <c r="L94" s="16"/>
      <c r="M94" s="17"/>
      <c r="N94" s="16"/>
      <c r="O94" s="16"/>
      <c r="P94" s="16"/>
      <c r="Q94" s="16"/>
      <c r="R94" s="16"/>
      <c r="S94" s="16"/>
    </row>
    <row r="95" spans="1:19" ht="15.75" customHeight="1">
      <c r="A95" s="19" t="s">
        <v>181</v>
      </c>
      <c r="B95" s="20"/>
      <c r="C95" s="20"/>
      <c r="D95" s="21" t="s">
        <v>153</v>
      </c>
      <c r="E95" s="21"/>
      <c r="F95" s="21"/>
      <c r="G95" s="21"/>
      <c r="H95" s="20">
        <v>30</v>
      </c>
      <c r="I95" s="20"/>
      <c r="J95" s="20"/>
      <c r="K95" s="20"/>
      <c r="L95" s="20"/>
      <c r="M95" s="22"/>
      <c r="N95" s="20">
        <v>80</v>
      </c>
      <c r="O95" s="20"/>
      <c r="P95" s="20"/>
      <c r="Q95" s="20"/>
      <c r="R95" s="20"/>
      <c r="S95" s="20" t="s">
        <v>182</v>
      </c>
    </row>
    <row r="96" spans="1:19" ht="15.75" customHeight="1">
      <c r="A96" s="23" t="s">
        <v>183</v>
      </c>
      <c r="B96" s="16">
        <v>4</v>
      </c>
      <c r="C96" s="16"/>
      <c r="D96" s="24" t="s">
        <v>184</v>
      </c>
      <c r="E96" s="24"/>
      <c r="F96" s="24"/>
      <c r="G96" s="24"/>
      <c r="H96" s="16">
        <v>30</v>
      </c>
      <c r="I96" s="16"/>
      <c r="J96" s="16"/>
      <c r="K96" s="16"/>
      <c r="L96" s="16"/>
      <c r="M96" s="17"/>
      <c r="N96" s="16"/>
      <c r="O96" s="16"/>
      <c r="P96" s="16"/>
      <c r="Q96" s="16"/>
      <c r="R96" s="16"/>
      <c r="S96" s="16"/>
    </row>
    <row r="97" spans="1:19" ht="15.75" customHeight="1">
      <c r="A97" s="19" t="s">
        <v>185</v>
      </c>
      <c r="B97" s="20">
        <v>4</v>
      </c>
      <c r="C97" s="20"/>
      <c r="D97" s="21" t="s">
        <v>186</v>
      </c>
      <c r="E97" s="21"/>
      <c r="F97" s="21"/>
      <c r="G97" s="21"/>
      <c r="H97" s="20">
        <v>30</v>
      </c>
      <c r="I97" s="20"/>
      <c r="J97" s="20"/>
      <c r="K97" s="20"/>
      <c r="L97" s="20"/>
      <c r="M97" s="22"/>
      <c r="N97" s="20"/>
      <c r="O97" s="20"/>
      <c r="P97" s="20"/>
      <c r="Q97" s="20"/>
      <c r="R97" s="20"/>
      <c r="S97" s="20"/>
    </row>
    <row r="98" spans="1:19" ht="15.75" customHeight="1">
      <c r="A98" s="23" t="s">
        <v>187</v>
      </c>
      <c r="B98" s="16">
        <v>4</v>
      </c>
      <c r="C98" s="16"/>
      <c r="D98" s="24" t="s">
        <v>188</v>
      </c>
      <c r="E98" s="24"/>
      <c r="F98" s="24"/>
      <c r="G98" s="24"/>
      <c r="H98" s="16">
        <v>30</v>
      </c>
      <c r="I98" s="16"/>
      <c r="J98" s="16"/>
      <c r="K98" s="16"/>
      <c r="L98" s="16"/>
      <c r="M98" s="17"/>
      <c r="N98" s="16"/>
      <c r="O98" s="16"/>
      <c r="P98" s="16"/>
      <c r="Q98" s="16"/>
      <c r="R98" s="16"/>
      <c r="S98" s="16"/>
    </row>
    <row r="99" spans="1:19" ht="15.75" customHeight="1">
      <c r="A99" s="19" t="s">
        <v>189</v>
      </c>
      <c r="B99" s="20"/>
      <c r="C99" s="20"/>
      <c r="D99" s="21" t="s">
        <v>86</v>
      </c>
      <c r="E99" s="21"/>
      <c r="F99" s="21"/>
      <c r="G99" s="21"/>
      <c r="H99" s="20">
        <v>20</v>
      </c>
      <c r="I99" s="20">
        <v>30</v>
      </c>
      <c r="J99" s="20"/>
      <c r="K99" s="20"/>
      <c r="L99" s="20"/>
      <c r="M99" s="22"/>
      <c r="N99" s="20"/>
      <c r="O99" s="20"/>
      <c r="P99" s="20"/>
      <c r="Q99" s="20"/>
      <c r="R99" s="20"/>
      <c r="S99" s="20" t="s">
        <v>190</v>
      </c>
    </row>
    <row r="100" spans="1:19" ht="15.75" customHeight="1">
      <c r="A100" s="23" t="s">
        <v>191</v>
      </c>
      <c r="B100" s="16">
        <v>3</v>
      </c>
      <c r="C100" s="16"/>
      <c r="D100" s="24"/>
      <c r="E100" s="24"/>
      <c r="F100" s="24"/>
      <c r="G100" s="24"/>
      <c r="H100" s="16">
        <v>10</v>
      </c>
      <c r="I100" s="16"/>
      <c r="J100" s="16"/>
      <c r="K100" s="16">
        <v>20</v>
      </c>
      <c r="L100" s="16"/>
      <c r="M100" s="17"/>
      <c r="N100" s="16"/>
      <c r="O100" s="16"/>
      <c r="P100" s="16"/>
      <c r="Q100" s="16"/>
      <c r="R100" s="16"/>
      <c r="S100" s="16" t="s">
        <v>192</v>
      </c>
    </row>
    <row r="101" spans="1:19" ht="15.75" customHeight="1">
      <c r="A101" s="19" t="s">
        <v>193</v>
      </c>
      <c r="B101" s="20"/>
      <c r="C101" s="20"/>
      <c r="D101" s="21" t="s">
        <v>97</v>
      </c>
      <c r="E101" s="21"/>
      <c r="F101" s="21"/>
      <c r="G101" s="21"/>
      <c r="H101" s="20">
        <v>20</v>
      </c>
      <c r="I101" s="20"/>
      <c r="J101" s="20"/>
      <c r="K101" s="20"/>
      <c r="L101" s="20"/>
      <c r="M101" s="22"/>
      <c r="N101" s="20"/>
      <c r="O101" s="20"/>
      <c r="P101" s="20"/>
      <c r="Q101" s="20"/>
      <c r="R101" s="20"/>
      <c r="S101" s="20" t="s">
        <v>194</v>
      </c>
    </row>
    <row r="102" spans="1:19" ht="15.75" customHeight="1">
      <c r="A102" s="23" t="s">
        <v>195</v>
      </c>
      <c r="B102" s="16"/>
      <c r="C102" s="16"/>
      <c r="D102" s="24"/>
      <c r="E102" s="24"/>
      <c r="F102" s="24"/>
      <c r="G102" s="24" t="s">
        <v>61</v>
      </c>
      <c r="H102" s="16">
        <v>10</v>
      </c>
      <c r="I102" s="16"/>
      <c r="J102" s="16"/>
      <c r="K102" s="16"/>
      <c r="L102" s="16"/>
      <c r="M102" s="17"/>
      <c r="N102" s="16"/>
      <c r="O102" s="16"/>
      <c r="P102" s="16"/>
      <c r="Q102" s="16"/>
      <c r="R102" s="16"/>
      <c r="S102" s="16" t="s">
        <v>196</v>
      </c>
    </row>
    <row r="103" spans="1:19" ht="15.75" customHeight="1">
      <c r="A103" s="19" t="s">
        <v>197</v>
      </c>
      <c r="B103" s="20"/>
      <c r="C103" s="20"/>
      <c r="D103" s="21"/>
      <c r="E103" s="21"/>
      <c r="F103" s="21"/>
      <c r="G103" s="21" t="s">
        <v>65</v>
      </c>
      <c r="H103" s="20">
        <v>10</v>
      </c>
      <c r="I103" s="20"/>
      <c r="J103" s="20"/>
      <c r="K103" s="20"/>
      <c r="L103" s="20"/>
      <c r="M103" s="22"/>
      <c r="N103" s="20"/>
      <c r="O103" s="20"/>
      <c r="P103" s="20"/>
      <c r="Q103" s="20"/>
      <c r="R103" s="20"/>
      <c r="S103" s="20" t="s">
        <v>198</v>
      </c>
    </row>
    <row r="104" spans="1:19" ht="15.75" customHeight="1">
      <c r="A104" s="23" t="s">
        <v>199</v>
      </c>
      <c r="B104" s="16"/>
      <c r="C104" s="16"/>
      <c r="D104" s="24"/>
      <c r="E104" s="24"/>
      <c r="F104" s="24"/>
      <c r="G104" s="24" t="s">
        <v>63</v>
      </c>
      <c r="H104" s="16">
        <v>10</v>
      </c>
      <c r="I104" s="16"/>
      <c r="J104" s="16"/>
      <c r="K104" s="16"/>
      <c r="L104" s="16"/>
      <c r="M104" s="17"/>
      <c r="N104" s="16"/>
      <c r="O104" s="16"/>
      <c r="P104" s="16"/>
      <c r="Q104" s="16"/>
      <c r="R104" s="16"/>
      <c r="S104" s="16" t="s">
        <v>200</v>
      </c>
    </row>
    <row r="105" spans="1:19" ht="15.75" customHeight="1">
      <c r="A105" s="19" t="s">
        <v>201</v>
      </c>
      <c r="B105" s="20"/>
      <c r="C105" s="20"/>
      <c r="D105" s="21"/>
      <c r="E105" s="21"/>
      <c r="F105" s="21"/>
      <c r="G105" s="21" t="s">
        <v>67</v>
      </c>
      <c r="H105" s="20">
        <v>10</v>
      </c>
      <c r="I105" s="20"/>
      <c r="J105" s="20"/>
      <c r="K105" s="20"/>
      <c r="L105" s="20"/>
      <c r="M105" s="22"/>
      <c r="N105" s="20"/>
      <c r="O105" s="20"/>
      <c r="P105" s="20"/>
      <c r="Q105" s="20"/>
      <c r="R105" s="20"/>
      <c r="S105" s="20" t="s">
        <v>202</v>
      </c>
    </row>
    <row r="106" spans="1:19" ht="15.75" customHeight="1">
      <c r="A106" s="23" t="s">
        <v>203</v>
      </c>
      <c r="B106" s="16"/>
      <c r="C106" s="16"/>
      <c r="D106" s="24"/>
      <c r="E106" s="24"/>
      <c r="F106" s="24"/>
      <c r="G106" s="24"/>
      <c r="H106" s="16"/>
      <c r="I106" s="16">
        <v>30</v>
      </c>
      <c r="J106" s="16"/>
      <c r="K106" s="16"/>
      <c r="L106" s="16"/>
      <c r="M106" s="17"/>
      <c r="N106" s="16"/>
      <c r="O106" s="16"/>
      <c r="P106" s="16"/>
      <c r="Q106" s="16"/>
      <c r="R106" s="16"/>
      <c r="S106" s="16" t="s">
        <v>204</v>
      </c>
    </row>
    <row r="107" spans="1:19" ht="15.75" customHeight="1">
      <c r="A107" s="19" t="s">
        <v>205</v>
      </c>
      <c r="B107" s="20"/>
      <c r="C107" s="20"/>
      <c r="D107" s="21" t="s">
        <v>88</v>
      </c>
      <c r="E107" s="21"/>
      <c r="F107" s="21"/>
      <c r="G107" s="21"/>
      <c r="H107" s="20"/>
      <c r="I107" s="20"/>
      <c r="J107" s="20"/>
      <c r="K107" s="20">
        <v>30</v>
      </c>
      <c r="L107" s="20"/>
      <c r="M107" s="22"/>
      <c r="N107" s="20"/>
      <c r="O107" s="20"/>
      <c r="P107" s="20"/>
      <c r="Q107" s="20"/>
      <c r="R107" s="20"/>
      <c r="S107" s="20"/>
    </row>
    <row r="108" spans="1:19" ht="15.75" customHeight="1">
      <c r="A108" s="23" t="s">
        <v>206</v>
      </c>
      <c r="B108" s="16"/>
      <c r="C108" s="16"/>
      <c r="D108" s="24" t="s">
        <v>131</v>
      </c>
      <c r="E108" s="24"/>
      <c r="F108" s="24"/>
      <c r="G108" s="24"/>
      <c r="H108" s="16">
        <v>40</v>
      </c>
      <c r="I108" s="16"/>
      <c r="J108" s="16"/>
      <c r="K108" s="16"/>
      <c r="L108" s="16"/>
      <c r="M108" s="17"/>
      <c r="N108" s="16"/>
      <c r="O108" s="16"/>
      <c r="P108" s="16"/>
      <c r="Q108" s="16"/>
      <c r="R108" s="16"/>
      <c r="S108" s="16"/>
    </row>
    <row r="109" spans="1:19" ht="15.75" customHeight="1">
      <c r="A109" s="19" t="s">
        <v>207</v>
      </c>
      <c r="B109" s="20"/>
      <c r="C109" s="20"/>
      <c r="D109" s="21" t="s">
        <v>140</v>
      </c>
      <c r="E109" s="21"/>
      <c r="F109" s="21"/>
      <c r="G109" s="21"/>
      <c r="H109" s="20">
        <v>80</v>
      </c>
      <c r="I109" s="20">
        <v>100</v>
      </c>
      <c r="J109" s="20"/>
      <c r="K109" s="20"/>
      <c r="L109" s="20"/>
      <c r="M109" s="22"/>
      <c r="N109" s="20"/>
      <c r="O109" s="20"/>
      <c r="P109" s="20"/>
      <c r="Q109" s="20"/>
      <c r="R109" s="20"/>
      <c r="S109" s="20" t="s">
        <v>208</v>
      </c>
    </row>
    <row r="110" spans="1:19" ht="15.75" customHeight="1">
      <c r="A110" s="23" t="s">
        <v>209</v>
      </c>
      <c r="B110" s="16">
        <v>4</v>
      </c>
      <c r="C110" s="16"/>
      <c r="D110" s="24" t="s">
        <v>210</v>
      </c>
      <c r="E110" s="24"/>
      <c r="F110" s="24"/>
      <c r="G110" s="24"/>
      <c r="H110" s="16">
        <v>30</v>
      </c>
      <c r="I110" s="16"/>
      <c r="J110" s="16"/>
      <c r="K110" s="16"/>
      <c r="L110" s="16"/>
      <c r="M110" s="17"/>
      <c r="N110" s="16"/>
      <c r="O110" s="16"/>
      <c r="P110" s="16"/>
      <c r="Q110" s="16"/>
      <c r="R110" s="16"/>
      <c r="S110" s="16"/>
    </row>
    <row r="111" spans="1:19" ht="15.75" customHeight="1">
      <c r="A111" s="19" t="s">
        <v>30</v>
      </c>
      <c r="B111" s="20">
        <v>1</v>
      </c>
      <c r="C111" s="20"/>
      <c r="D111" s="21"/>
      <c r="E111" s="21"/>
      <c r="F111" s="21"/>
      <c r="G111" s="21"/>
      <c r="H111" s="20">
        <v>30</v>
      </c>
      <c r="I111" s="20"/>
      <c r="J111" s="20"/>
      <c r="K111" s="20"/>
      <c r="L111" s="20"/>
      <c r="M111" s="22"/>
      <c r="N111" s="20"/>
      <c r="O111" s="20"/>
      <c r="P111" s="20"/>
      <c r="Q111" s="20"/>
      <c r="R111" s="20"/>
      <c r="S111" s="20"/>
    </row>
    <row r="112" spans="1:19" ht="15.75" customHeight="1">
      <c r="A112" s="23" t="s">
        <v>211</v>
      </c>
      <c r="B112" s="16">
        <v>5</v>
      </c>
      <c r="C112" s="16"/>
      <c r="D112" s="24"/>
      <c r="E112" s="24" t="s">
        <v>102</v>
      </c>
      <c r="F112" s="24"/>
      <c r="G112" s="24"/>
      <c r="H112" s="16">
        <v>20</v>
      </c>
      <c r="I112" s="16"/>
      <c r="J112" s="16"/>
      <c r="K112" s="16"/>
      <c r="L112" s="16"/>
      <c r="M112" s="17"/>
      <c r="N112" s="16"/>
      <c r="O112" s="16"/>
      <c r="P112" s="16"/>
      <c r="Q112" s="16"/>
      <c r="R112" s="16"/>
      <c r="S112" s="16"/>
    </row>
    <row r="113" spans="1:19" ht="15.75" customHeight="1">
      <c r="A113" s="19" t="s">
        <v>212</v>
      </c>
      <c r="B113" s="20"/>
      <c r="C113" s="20"/>
      <c r="D113" s="21" t="s">
        <v>120</v>
      </c>
      <c r="E113" s="21"/>
      <c r="F113" s="21"/>
      <c r="G113" s="21"/>
      <c r="H113" s="20"/>
      <c r="I113" s="20"/>
      <c r="J113" s="20"/>
      <c r="K113" s="20"/>
      <c r="L113" s="20"/>
      <c r="M113" s="22"/>
      <c r="N113" s="20">
        <v>100</v>
      </c>
      <c r="O113" s="20"/>
      <c r="P113" s="20"/>
      <c r="Q113" s="20"/>
      <c r="R113" s="20"/>
      <c r="S113" s="20" t="s">
        <v>213</v>
      </c>
    </row>
    <row r="114" spans="1:19" ht="15.75" customHeight="1">
      <c r="A114" s="23" t="s">
        <v>214</v>
      </c>
      <c r="B114" s="16"/>
      <c r="C114" s="16"/>
      <c r="D114" s="24" t="s">
        <v>99</v>
      </c>
      <c r="E114" s="24"/>
      <c r="F114" s="24"/>
      <c r="G114" s="24"/>
      <c r="H114" s="16">
        <v>100</v>
      </c>
      <c r="I114" s="16"/>
      <c r="J114" s="16"/>
      <c r="K114" s="16"/>
      <c r="L114" s="16"/>
      <c r="M114" s="17"/>
      <c r="N114" s="16">
        <v>100</v>
      </c>
      <c r="O114" s="16"/>
      <c r="P114" s="16"/>
      <c r="Q114" s="16"/>
      <c r="R114" s="16"/>
      <c r="S114" s="16" t="s">
        <v>215</v>
      </c>
    </row>
    <row r="115" spans="1:19" ht="15.75" customHeight="1">
      <c r="A115" s="19" t="s">
        <v>216</v>
      </c>
      <c r="B115" s="20"/>
      <c r="C115" s="20"/>
      <c r="D115" s="21"/>
      <c r="E115" s="21"/>
      <c r="F115" s="21"/>
      <c r="G115" s="21"/>
      <c r="H115" s="20">
        <v>30</v>
      </c>
      <c r="I115" s="20"/>
      <c r="J115" s="20"/>
      <c r="K115" s="20"/>
      <c r="L115" s="20"/>
      <c r="M115" s="22"/>
      <c r="N115" s="20"/>
      <c r="O115" s="20"/>
      <c r="P115" s="20"/>
      <c r="Q115" s="20"/>
      <c r="R115" s="20"/>
      <c r="S115" s="20" t="s">
        <v>217</v>
      </c>
    </row>
    <row r="116" spans="1:19" ht="15.75" customHeight="1">
      <c r="A116" s="23" t="s">
        <v>218</v>
      </c>
      <c r="B116" s="16"/>
      <c r="C116" s="16"/>
      <c r="D116" s="24" t="s">
        <v>178</v>
      </c>
      <c r="E116" s="24"/>
      <c r="F116" s="24"/>
      <c r="G116" s="24"/>
      <c r="H116" s="16">
        <v>100</v>
      </c>
      <c r="I116" s="16"/>
      <c r="J116" s="16"/>
      <c r="K116" s="16"/>
      <c r="L116" s="16"/>
      <c r="M116" s="17"/>
      <c r="N116" s="16"/>
      <c r="O116" s="16"/>
      <c r="P116" s="16"/>
      <c r="Q116" s="16"/>
      <c r="R116" s="16"/>
      <c r="S116" s="16" t="s">
        <v>219</v>
      </c>
    </row>
    <row r="117" spans="1:19" ht="15.75" customHeight="1">
      <c r="A117" s="19" t="s">
        <v>220</v>
      </c>
      <c r="B117" s="20"/>
      <c r="C117" s="20"/>
      <c r="D117" s="21" t="s">
        <v>86</v>
      </c>
      <c r="E117" s="21"/>
      <c r="F117" s="21"/>
      <c r="G117" s="21"/>
      <c r="H117" s="20"/>
      <c r="I117" s="20"/>
      <c r="J117" s="20"/>
      <c r="K117" s="20"/>
      <c r="L117" s="20"/>
      <c r="M117" s="22"/>
      <c r="N117" s="20">
        <v>30</v>
      </c>
      <c r="O117" s="20"/>
      <c r="P117" s="20"/>
      <c r="Q117" s="20"/>
      <c r="R117" s="20"/>
      <c r="S117" s="20" t="s">
        <v>190</v>
      </c>
    </row>
    <row r="118" spans="1:19" ht="15.75" customHeight="1">
      <c r="A118" s="23" t="s">
        <v>221</v>
      </c>
      <c r="B118" s="16">
        <v>4</v>
      </c>
      <c r="C118" s="16"/>
      <c r="D118" s="24" t="s">
        <v>222</v>
      </c>
      <c r="E118" s="24"/>
      <c r="F118" s="24"/>
      <c r="G118" s="24"/>
      <c r="H118" s="16">
        <v>30</v>
      </c>
      <c r="I118" s="16"/>
      <c r="J118" s="16"/>
      <c r="K118" s="16"/>
      <c r="L118" s="16"/>
      <c r="M118" s="17"/>
      <c r="N118" s="16"/>
      <c r="O118" s="16"/>
      <c r="P118" s="16"/>
      <c r="Q118" s="16"/>
      <c r="R118" s="16"/>
      <c r="S118" s="16"/>
    </row>
    <row r="119" spans="1:19" ht="15.75" customHeight="1">
      <c r="A119" s="19" t="s">
        <v>223</v>
      </c>
      <c r="B119" s="20"/>
      <c r="C119" s="20"/>
      <c r="D119" s="21"/>
      <c r="E119" s="21"/>
      <c r="F119" s="21"/>
      <c r="G119" s="21"/>
      <c r="H119" s="20"/>
      <c r="I119" s="20"/>
      <c r="J119" s="20"/>
      <c r="K119" s="20">
        <v>30</v>
      </c>
      <c r="L119" s="20"/>
      <c r="M119" s="22"/>
      <c r="N119" s="20"/>
      <c r="O119" s="20"/>
      <c r="P119" s="20"/>
      <c r="Q119" s="20"/>
      <c r="R119" s="20"/>
      <c r="S119" s="20"/>
    </row>
    <row r="120" spans="1:19" ht="15.75" customHeight="1">
      <c r="A120" s="23" t="s">
        <v>224</v>
      </c>
      <c r="B120" s="16"/>
      <c r="C120" s="16"/>
      <c r="D120" s="24" t="s">
        <v>168</v>
      </c>
      <c r="E120" s="24"/>
      <c r="F120" s="24"/>
      <c r="G120" s="24"/>
      <c r="H120" s="16"/>
      <c r="I120" s="16"/>
      <c r="J120" s="16"/>
      <c r="K120" s="16"/>
      <c r="L120" s="16"/>
      <c r="M120" s="17">
        <v>30</v>
      </c>
      <c r="N120" s="16"/>
      <c r="O120" s="16"/>
      <c r="P120" s="16"/>
      <c r="Q120" s="16"/>
      <c r="R120" s="16"/>
      <c r="S120" s="16" t="s">
        <v>225</v>
      </c>
    </row>
    <row r="121" spans="1:19" ht="15.75" customHeight="1">
      <c r="A121" s="19" t="s">
        <v>226</v>
      </c>
      <c r="B121" s="20"/>
      <c r="C121" s="20"/>
      <c r="D121" s="21" t="s">
        <v>161</v>
      </c>
      <c r="E121" s="21"/>
      <c r="F121" s="21"/>
      <c r="G121" s="21"/>
      <c r="H121" s="20">
        <v>80</v>
      </c>
      <c r="I121" s="20"/>
      <c r="J121" s="20"/>
      <c r="K121" s="20"/>
      <c r="L121" s="20"/>
      <c r="M121" s="22"/>
      <c r="N121" s="20"/>
      <c r="O121" s="20"/>
      <c r="P121" s="20"/>
      <c r="Q121" s="20"/>
      <c r="R121" s="20"/>
      <c r="S121" s="20"/>
    </row>
    <row r="122" spans="1:19" ht="15.75" customHeight="1">
      <c r="A122" s="23" t="s">
        <v>227</v>
      </c>
      <c r="B122" s="16"/>
      <c r="C122" s="16"/>
      <c r="D122" s="24" t="s">
        <v>228</v>
      </c>
      <c r="E122" s="24"/>
      <c r="F122" s="24"/>
      <c r="G122" s="24"/>
      <c r="H122" s="16"/>
      <c r="I122" s="16">
        <v>200</v>
      </c>
      <c r="J122" s="16"/>
      <c r="K122" s="16"/>
      <c r="L122" s="16"/>
      <c r="M122" s="17"/>
      <c r="N122" s="16"/>
      <c r="O122" s="16"/>
      <c r="P122" s="16"/>
      <c r="Q122" s="16"/>
      <c r="R122" s="16"/>
      <c r="S122" s="16" t="s">
        <v>229</v>
      </c>
    </row>
    <row r="123" spans="1:19" ht="15.75" customHeight="1">
      <c r="A123" s="19" t="s">
        <v>230</v>
      </c>
      <c r="B123" s="20">
        <v>4</v>
      </c>
      <c r="C123" s="20"/>
      <c r="D123" s="21" t="s">
        <v>231</v>
      </c>
      <c r="E123" s="21"/>
      <c r="F123" s="21"/>
      <c r="G123" s="21"/>
      <c r="H123" s="20">
        <v>30</v>
      </c>
      <c r="I123" s="20"/>
      <c r="J123" s="20"/>
      <c r="K123" s="20"/>
      <c r="L123" s="20"/>
      <c r="M123" s="22"/>
      <c r="N123" s="20"/>
      <c r="O123" s="20"/>
      <c r="P123" s="20"/>
      <c r="Q123" s="20"/>
      <c r="R123" s="20"/>
      <c r="S123" s="20"/>
    </row>
    <row r="124" spans="1:19" ht="15.75" customHeight="1">
      <c r="A124" s="23" t="s">
        <v>232</v>
      </c>
      <c r="B124" s="16"/>
      <c r="C124" s="16"/>
      <c r="D124" s="24" t="s">
        <v>124</v>
      </c>
      <c r="E124" s="24"/>
      <c r="F124" s="24"/>
      <c r="G124" s="24"/>
      <c r="H124" s="16">
        <v>40</v>
      </c>
      <c r="I124" s="16"/>
      <c r="J124" s="16"/>
      <c r="K124" s="16"/>
      <c r="L124" s="16"/>
      <c r="M124" s="17"/>
      <c r="N124" s="16"/>
      <c r="O124" s="16"/>
      <c r="P124" s="16"/>
      <c r="Q124" s="16"/>
      <c r="R124" s="16"/>
      <c r="S124" s="16"/>
    </row>
    <row r="125" spans="1:19" ht="15.75" customHeight="1">
      <c r="A125" s="19" t="s">
        <v>233</v>
      </c>
      <c r="B125" s="20">
        <v>6</v>
      </c>
      <c r="C125" s="20"/>
      <c r="D125" s="21"/>
      <c r="E125" s="21"/>
      <c r="F125" s="21"/>
      <c r="G125" s="21"/>
      <c r="H125" s="20">
        <v>30</v>
      </c>
      <c r="I125" s="20"/>
      <c r="J125" s="20"/>
      <c r="K125" s="20"/>
      <c r="L125" s="20"/>
      <c r="M125" s="22"/>
      <c r="N125" s="20"/>
      <c r="O125" s="20"/>
      <c r="P125" s="20"/>
      <c r="Q125" s="20"/>
      <c r="R125" s="20"/>
      <c r="S125" s="20" t="s">
        <v>234</v>
      </c>
    </row>
    <row r="126" spans="1:19" ht="15.75" customHeight="1">
      <c r="A126" s="23" t="s">
        <v>235</v>
      </c>
      <c r="B126" s="16"/>
      <c r="C126" s="16"/>
      <c r="D126" s="24" t="s">
        <v>149</v>
      </c>
      <c r="E126" s="24"/>
      <c r="F126" s="24"/>
      <c r="G126" s="24"/>
      <c r="H126" s="16">
        <v>30</v>
      </c>
      <c r="I126" s="16"/>
      <c r="J126" s="16"/>
      <c r="K126" s="16"/>
      <c r="L126" s="16"/>
      <c r="M126" s="17"/>
      <c r="N126" s="16"/>
      <c r="O126" s="16"/>
      <c r="P126" s="16"/>
      <c r="Q126" s="16"/>
      <c r="R126" s="16"/>
      <c r="S126" s="16"/>
    </row>
    <row r="127" spans="1:19" ht="15.75" customHeight="1">
      <c r="A127" s="19" t="s">
        <v>236</v>
      </c>
      <c r="B127" s="20"/>
      <c r="C127" s="20"/>
      <c r="D127" s="21" t="s">
        <v>137</v>
      </c>
      <c r="E127" s="21"/>
      <c r="F127" s="21"/>
      <c r="G127" s="21"/>
      <c r="H127" s="20"/>
      <c r="I127" s="20">
        <v>100</v>
      </c>
      <c r="J127" s="20"/>
      <c r="K127" s="20"/>
      <c r="L127" s="20"/>
      <c r="M127" s="22"/>
      <c r="N127" s="20"/>
      <c r="O127" s="20"/>
      <c r="P127" s="20"/>
      <c r="Q127" s="20"/>
      <c r="R127" s="20"/>
      <c r="S127" s="20" t="s">
        <v>237</v>
      </c>
    </row>
    <row r="128" spans="1:19" ht="15.75" customHeight="1">
      <c r="A128" s="23" t="s">
        <v>238</v>
      </c>
      <c r="B128" s="16"/>
      <c r="C128" s="16"/>
      <c r="D128" s="24"/>
      <c r="E128" s="24"/>
      <c r="F128" s="24"/>
      <c r="G128" s="24"/>
      <c r="H128" s="16">
        <v>20</v>
      </c>
      <c r="I128" s="16"/>
      <c r="J128" s="16"/>
      <c r="K128" s="16"/>
      <c r="L128" s="16"/>
      <c r="M128" s="17"/>
      <c r="N128" s="16"/>
      <c r="O128" s="16"/>
      <c r="P128" s="16"/>
      <c r="Q128" s="16"/>
      <c r="R128" s="16"/>
      <c r="S128" s="16" t="s">
        <v>239</v>
      </c>
    </row>
    <row r="129" spans="1:19" ht="15.75" customHeight="1">
      <c r="A129" s="19" t="s">
        <v>240</v>
      </c>
      <c r="B129" s="20">
        <v>4</v>
      </c>
      <c r="C129" s="20"/>
      <c r="D129" s="21" t="s">
        <v>241</v>
      </c>
      <c r="E129" s="21"/>
      <c r="F129" s="21"/>
      <c r="G129" s="21"/>
      <c r="H129" s="20">
        <v>30</v>
      </c>
      <c r="I129" s="20"/>
      <c r="J129" s="20"/>
      <c r="K129" s="20"/>
      <c r="L129" s="20"/>
      <c r="M129" s="22"/>
      <c r="N129" s="20"/>
      <c r="O129" s="20"/>
      <c r="P129" s="20"/>
      <c r="Q129" s="20"/>
      <c r="R129" s="20"/>
      <c r="S129" s="20"/>
    </row>
    <row r="130" spans="1:19" ht="15.75" customHeight="1">
      <c r="A130" s="23" t="s">
        <v>242</v>
      </c>
      <c r="B130" s="16"/>
      <c r="C130" s="16"/>
      <c r="D130" s="24" t="s">
        <v>95</v>
      </c>
      <c r="E130" s="24"/>
      <c r="F130" s="24"/>
      <c r="G130" s="24"/>
      <c r="H130" s="16"/>
      <c r="I130" s="16"/>
      <c r="J130" s="16"/>
      <c r="K130" s="16">
        <v>30</v>
      </c>
      <c r="L130" s="16"/>
      <c r="M130" s="17"/>
      <c r="N130" s="16"/>
      <c r="O130" s="16"/>
      <c r="P130" s="16"/>
      <c r="Q130" s="16"/>
      <c r="R130" s="16"/>
      <c r="S130" s="16"/>
    </row>
    <row r="131" spans="1:19" ht="15.75" customHeight="1">
      <c r="A131" s="19" t="s">
        <v>26</v>
      </c>
      <c r="B131" s="20">
        <v>1</v>
      </c>
      <c r="C131" s="20"/>
      <c r="D131" s="21"/>
      <c r="E131" s="21"/>
      <c r="F131" s="21"/>
      <c r="G131" s="21"/>
      <c r="H131" s="20">
        <v>15</v>
      </c>
      <c r="I131" s="20"/>
      <c r="J131" s="20"/>
      <c r="K131" s="20"/>
      <c r="L131" s="20"/>
      <c r="M131" s="22"/>
      <c r="N131" s="20"/>
      <c r="O131" s="20"/>
      <c r="P131" s="20"/>
      <c r="Q131" s="20"/>
      <c r="R131" s="20"/>
      <c r="S131" s="20"/>
    </row>
    <row r="132" spans="1:19" ht="15.75" customHeight="1">
      <c r="A132" s="23" t="s">
        <v>243</v>
      </c>
      <c r="B132" s="16">
        <v>4</v>
      </c>
      <c r="C132" s="16"/>
      <c r="D132" s="24" t="s">
        <v>244</v>
      </c>
      <c r="E132" s="24"/>
      <c r="F132" s="24"/>
      <c r="G132" s="24"/>
      <c r="H132" s="16">
        <v>30</v>
      </c>
      <c r="I132" s="16"/>
      <c r="J132" s="16"/>
      <c r="K132" s="16"/>
      <c r="L132" s="16"/>
      <c r="M132" s="17"/>
      <c r="N132" s="16"/>
      <c r="O132" s="16"/>
      <c r="P132" s="16"/>
      <c r="Q132" s="16"/>
      <c r="R132" s="16"/>
      <c r="S132" s="16"/>
    </row>
    <row r="133" spans="1:19" ht="15.75" customHeight="1">
      <c r="A133" s="19" t="s">
        <v>245</v>
      </c>
      <c r="B133" s="20"/>
      <c r="C133" s="20"/>
      <c r="D133" s="21" t="s">
        <v>244</v>
      </c>
      <c r="E133" s="21"/>
      <c r="F133" s="21"/>
      <c r="G133" s="21"/>
      <c r="H133" s="20">
        <v>30</v>
      </c>
      <c r="I133" s="20"/>
      <c r="J133" s="20"/>
      <c r="K133" s="20"/>
      <c r="L133" s="20"/>
      <c r="M133" s="22"/>
      <c r="N133" s="20"/>
      <c r="O133" s="20"/>
      <c r="P133" s="20"/>
      <c r="Q133" s="20"/>
      <c r="R133" s="20"/>
      <c r="S133" s="20"/>
    </row>
    <row r="134" spans="1:19" ht="15.75" customHeight="1">
      <c r="A134" s="23" t="s">
        <v>25</v>
      </c>
      <c r="B134" s="16">
        <v>3</v>
      </c>
      <c r="C134" s="16"/>
      <c r="D134" s="24"/>
      <c r="E134" s="24"/>
      <c r="F134" s="24"/>
      <c r="G134" s="24"/>
      <c r="H134" s="16">
        <v>20</v>
      </c>
      <c r="I134" s="16"/>
      <c r="J134" s="16"/>
      <c r="K134" s="16">
        <v>20</v>
      </c>
      <c r="L134" s="16"/>
      <c r="M134" s="17"/>
      <c r="N134" s="16"/>
      <c r="O134" s="16"/>
      <c r="P134" s="16"/>
      <c r="Q134" s="16"/>
      <c r="R134" s="16"/>
      <c r="S134" s="16"/>
    </row>
    <row r="135" spans="1:19" ht="15.75" customHeight="1">
      <c r="A135" s="19" t="s">
        <v>246</v>
      </c>
      <c r="B135" s="20">
        <v>4</v>
      </c>
      <c r="C135" s="20"/>
      <c r="D135" s="21" t="s">
        <v>247</v>
      </c>
      <c r="E135" s="21"/>
      <c r="F135" s="21"/>
      <c r="G135" s="21"/>
      <c r="H135" s="20">
        <v>30</v>
      </c>
      <c r="I135" s="20"/>
      <c r="J135" s="20"/>
      <c r="K135" s="20"/>
      <c r="L135" s="20"/>
      <c r="M135" s="22"/>
      <c r="N135" s="20"/>
      <c r="O135" s="20"/>
      <c r="P135" s="20"/>
      <c r="Q135" s="20"/>
      <c r="R135" s="20"/>
      <c r="S135" s="20"/>
    </row>
    <row r="136" spans="1:19" ht="15.75" customHeight="1">
      <c r="A136" s="23" t="s">
        <v>248</v>
      </c>
      <c r="B136" s="16"/>
      <c r="C136" s="16">
        <v>2</v>
      </c>
      <c r="D136" s="24" t="s">
        <v>247</v>
      </c>
      <c r="E136" s="24"/>
      <c r="F136" s="24"/>
      <c r="G136" s="24"/>
      <c r="H136" s="16">
        <v>30</v>
      </c>
      <c r="I136" s="16"/>
      <c r="J136" s="16"/>
      <c r="K136" s="16"/>
      <c r="L136" s="16">
        <v>30</v>
      </c>
      <c r="M136" s="17"/>
      <c r="N136" s="16"/>
      <c r="O136" s="16"/>
      <c r="P136" s="16"/>
      <c r="Q136" s="16"/>
      <c r="R136" s="16"/>
      <c r="S136" s="16" t="s">
        <v>249</v>
      </c>
    </row>
    <row r="137" spans="1:19" ht="15.75" customHeight="1">
      <c r="A137" s="19" t="s">
        <v>250</v>
      </c>
      <c r="B137" s="20">
        <v>5</v>
      </c>
      <c r="C137" s="20"/>
      <c r="D137" s="21"/>
      <c r="E137" s="21" t="s">
        <v>5</v>
      </c>
      <c r="F137" s="21"/>
      <c r="G137" s="21"/>
      <c r="H137" s="20">
        <v>15</v>
      </c>
      <c r="I137" s="20"/>
      <c r="J137" s="20"/>
      <c r="K137" s="20"/>
      <c r="L137" s="20"/>
      <c r="M137" s="22"/>
      <c r="N137" s="20"/>
      <c r="O137" s="20"/>
      <c r="P137" s="20"/>
      <c r="Q137" s="20"/>
      <c r="R137" s="20"/>
      <c r="S137" s="20"/>
    </row>
    <row r="138" spans="1:19" ht="15.75" customHeight="1">
      <c r="A138" s="23" t="s">
        <v>251</v>
      </c>
      <c r="B138" s="16"/>
      <c r="C138" s="16">
        <v>2</v>
      </c>
      <c r="D138" s="24"/>
      <c r="E138" s="24"/>
      <c r="F138" s="24"/>
      <c r="G138" s="24"/>
      <c r="H138" s="16"/>
      <c r="I138" s="16"/>
      <c r="J138" s="16"/>
      <c r="K138" s="16">
        <v>30</v>
      </c>
      <c r="L138" s="16">
        <v>30</v>
      </c>
      <c r="M138" s="17"/>
      <c r="N138" s="16"/>
      <c r="O138" s="16"/>
      <c r="P138" s="16"/>
      <c r="Q138" s="16"/>
      <c r="R138" s="16"/>
      <c r="S138" s="16" t="s">
        <v>252</v>
      </c>
    </row>
    <row r="139" spans="1:19" ht="15.75" customHeight="1">
      <c r="A139" s="19" t="s">
        <v>253</v>
      </c>
      <c r="B139" s="20">
        <v>4</v>
      </c>
      <c r="C139" s="20"/>
      <c r="D139" s="21" t="s">
        <v>254</v>
      </c>
      <c r="E139" s="21"/>
      <c r="F139" s="21"/>
      <c r="G139" s="21"/>
      <c r="H139" s="20">
        <v>30</v>
      </c>
      <c r="I139" s="20"/>
      <c r="J139" s="20"/>
      <c r="K139" s="20"/>
      <c r="L139" s="20"/>
      <c r="M139" s="22"/>
      <c r="N139" s="20"/>
      <c r="O139" s="20"/>
      <c r="P139" s="20"/>
      <c r="Q139" s="20"/>
      <c r="R139" s="20"/>
      <c r="S139" s="20"/>
    </row>
    <row r="140" spans="1:19" ht="15.75" customHeight="1">
      <c r="A140" s="23" t="s">
        <v>255</v>
      </c>
      <c r="B140" s="16"/>
      <c r="C140" s="16">
        <v>2</v>
      </c>
      <c r="D140" s="24"/>
      <c r="E140" s="24"/>
      <c r="F140" s="24"/>
      <c r="G140" s="24"/>
      <c r="H140" s="16"/>
      <c r="I140" s="16"/>
      <c r="J140" s="16"/>
      <c r="K140" s="16">
        <v>20</v>
      </c>
      <c r="L140" s="16">
        <v>30</v>
      </c>
      <c r="M140" s="17"/>
      <c r="N140" s="16"/>
      <c r="O140" s="16"/>
      <c r="P140" s="16"/>
      <c r="Q140" s="16"/>
      <c r="R140" s="16"/>
      <c r="S140" s="16"/>
    </row>
    <row r="141" spans="1:19" ht="15.75" customHeight="1">
      <c r="A141" s="19" t="s">
        <v>256</v>
      </c>
      <c r="B141" s="20">
        <v>1</v>
      </c>
      <c r="C141" s="20"/>
      <c r="D141" s="21"/>
      <c r="E141" s="21"/>
      <c r="F141" s="21"/>
      <c r="G141" s="21"/>
      <c r="H141" s="20"/>
      <c r="I141" s="20"/>
      <c r="J141" s="20"/>
      <c r="K141" s="20"/>
      <c r="L141" s="20"/>
      <c r="M141" s="22"/>
      <c r="N141" s="20"/>
      <c r="O141" s="20"/>
      <c r="P141" s="20">
        <v>40</v>
      </c>
      <c r="Q141" s="20"/>
      <c r="R141" s="20"/>
      <c r="S141" s="20"/>
    </row>
    <row r="142" spans="1:19" ht="15.75" customHeight="1">
      <c r="A142" s="23" t="s">
        <v>257</v>
      </c>
      <c r="B142" s="16">
        <v>9</v>
      </c>
      <c r="C142" s="16"/>
      <c r="D142" s="24"/>
      <c r="E142" s="24"/>
      <c r="F142" s="24"/>
      <c r="G142" s="24"/>
      <c r="H142" s="16"/>
      <c r="I142" s="16">
        <v>30</v>
      </c>
      <c r="J142" s="16"/>
      <c r="K142" s="16"/>
      <c r="L142" s="16"/>
      <c r="M142" s="17"/>
      <c r="N142" s="16"/>
      <c r="O142" s="16"/>
      <c r="P142" s="16"/>
      <c r="Q142" s="16"/>
      <c r="R142" s="16"/>
      <c r="S142" s="16" t="s">
        <v>258</v>
      </c>
    </row>
    <row r="143" spans="1:19" ht="15.75" customHeight="1">
      <c r="A143" s="19" t="s">
        <v>259</v>
      </c>
      <c r="B143" s="20">
        <v>5</v>
      </c>
      <c r="C143" s="20"/>
      <c r="D143" s="21"/>
      <c r="E143" s="21" t="s">
        <v>5</v>
      </c>
      <c r="F143" s="21"/>
      <c r="G143" s="21"/>
      <c r="H143" s="20">
        <v>15</v>
      </c>
      <c r="I143" s="20"/>
      <c r="J143" s="20"/>
      <c r="K143" s="20"/>
      <c r="L143" s="20"/>
      <c r="M143" s="22">
        <v>100</v>
      </c>
      <c r="N143" s="20"/>
      <c r="O143" s="20"/>
      <c r="P143" s="20"/>
      <c r="Q143" s="20"/>
      <c r="R143" s="20"/>
      <c r="S143" s="20"/>
    </row>
    <row r="144" spans="1:19" ht="15.75" customHeight="1">
      <c r="A144" s="23" t="s">
        <v>260</v>
      </c>
      <c r="B144" s="16">
        <v>1</v>
      </c>
      <c r="C144" s="16"/>
      <c r="D144" s="24"/>
      <c r="E144" s="24"/>
      <c r="F144" s="24"/>
      <c r="G144" s="24"/>
      <c r="H144" s="16">
        <v>40</v>
      </c>
      <c r="I144" s="16"/>
      <c r="J144" s="16"/>
      <c r="K144" s="16">
        <v>10</v>
      </c>
      <c r="L144" s="16"/>
      <c r="M144" s="17"/>
      <c r="N144" s="16"/>
      <c r="O144" s="16"/>
      <c r="P144" s="16"/>
      <c r="Q144" s="16"/>
      <c r="R144" s="16"/>
      <c r="S144" s="16"/>
    </row>
    <row r="145" spans="1:19" ht="15.75" customHeight="1">
      <c r="A145" s="19" t="s">
        <v>261</v>
      </c>
      <c r="B145" s="20">
        <v>1</v>
      </c>
      <c r="C145" s="20"/>
      <c r="D145" s="21"/>
      <c r="E145" s="21"/>
      <c r="F145" s="21"/>
      <c r="G145" s="21"/>
      <c r="H145" s="20">
        <v>10</v>
      </c>
      <c r="I145" s="20"/>
      <c r="J145" s="20"/>
      <c r="K145" s="20"/>
      <c r="L145" s="20"/>
      <c r="M145" s="22"/>
      <c r="N145" s="20"/>
      <c r="O145" s="20"/>
      <c r="P145" s="20"/>
      <c r="Q145" s="20"/>
      <c r="R145" s="20"/>
      <c r="S145" s="20"/>
    </row>
    <row r="146" spans="1:19" ht="15.75" customHeight="1">
      <c r="A146" s="23" t="s">
        <v>262</v>
      </c>
      <c r="B146" s="16">
        <v>3</v>
      </c>
      <c r="C146" s="16"/>
      <c r="D146" s="24"/>
      <c r="E146" s="24"/>
      <c r="F146" s="24"/>
      <c r="G146" s="24"/>
      <c r="H146" s="16">
        <v>10</v>
      </c>
      <c r="I146" s="16"/>
      <c r="J146" s="16"/>
      <c r="K146" s="16">
        <v>20</v>
      </c>
      <c r="L146" s="16"/>
      <c r="M146" s="17"/>
      <c r="N146" s="16"/>
      <c r="O146" s="16"/>
      <c r="P146" s="16"/>
      <c r="Q146" s="16"/>
      <c r="R146" s="16"/>
      <c r="S146" s="16"/>
    </row>
    <row r="147" spans="1:19" ht="15.75" customHeight="1">
      <c r="A147" s="19" t="s">
        <v>263</v>
      </c>
      <c r="B147" s="20">
        <v>14</v>
      </c>
      <c r="C147" s="20"/>
      <c r="D147" s="21"/>
      <c r="E147" s="21"/>
      <c r="F147" s="21"/>
      <c r="G147" s="21"/>
      <c r="H147" s="20"/>
      <c r="I147" s="20"/>
      <c r="J147" s="20"/>
      <c r="K147" s="20"/>
      <c r="L147" s="20"/>
      <c r="M147" s="22"/>
      <c r="N147" s="20">
        <v>30</v>
      </c>
      <c r="O147" s="20"/>
      <c r="P147" s="20"/>
      <c r="Q147" s="20"/>
      <c r="R147" s="20"/>
      <c r="S147" s="20"/>
    </row>
    <row r="148" spans="1:19" ht="15.75" customHeight="1">
      <c r="A148" s="23" t="s">
        <v>264</v>
      </c>
      <c r="B148" s="16"/>
      <c r="C148" s="16"/>
      <c r="D148" s="24"/>
      <c r="E148" s="24"/>
      <c r="F148" s="24"/>
      <c r="G148" s="24"/>
      <c r="H148" s="16"/>
      <c r="I148" s="16"/>
      <c r="J148" s="16"/>
      <c r="K148" s="16">
        <v>15</v>
      </c>
      <c r="L148" s="16"/>
      <c r="M148" s="17"/>
      <c r="N148" s="16"/>
      <c r="O148" s="16"/>
      <c r="P148" s="16"/>
      <c r="Q148" s="16"/>
      <c r="R148" s="16"/>
      <c r="S148" s="16"/>
    </row>
    <row r="149" spans="1:19" ht="15.75" customHeight="1">
      <c r="A149" s="19" t="s">
        <v>265</v>
      </c>
      <c r="B149" s="20">
        <v>5</v>
      </c>
      <c r="C149" s="20"/>
      <c r="D149" s="21"/>
      <c r="E149" s="21" t="s">
        <v>266</v>
      </c>
      <c r="F149" s="21"/>
      <c r="G149" s="21"/>
      <c r="H149" s="20">
        <v>40</v>
      </c>
      <c r="I149" s="20"/>
      <c r="J149" s="20"/>
      <c r="K149" s="20"/>
      <c r="L149" s="20"/>
      <c r="M149" s="22"/>
      <c r="N149" s="20"/>
      <c r="O149" s="20"/>
      <c r="P149" s="20"/>
      <c r="Q149" s="20"/>
      <c r="R149" s="20"/>
      <c r="S149" s="20"/>
    </row>
    <row r="150" spans="1:19" ht="15.75" customHeight="1">
      <c r="A150" s="23" t="s">
        <v>267</v>
      </c>
      <c r="B150" s="16"/>
      <c r="C150" s="16"/>
      <c r="D150" s="24"/>
      <c r="E150" s="24"/>
      <c r="F150" s="24"/>
      <c r="G150" s="24"/>
      <c r="H150" s="16">
        <v>30</v>
      </c>
      <c r="I150" s="16"/>
      <c r="J150" s="16"/>
      <c r="K150" s="16"/>
      <c r="L150" s="16"/>
      <c r="M150" s="17"/>
      <c r="N150" s="16"/>
      <c r="O150" s="16"/>
      <c r="P150" s="16"/>
      <c r="Q150" s="16"/>
      <c r="R150" s="16"/>
      <c r="S150" s="16" t="s">
        <v>239</v>
      </c>
    </row>
    <row r="151" spans="1:19" ht="15.75" customHeight="1">
      <c r="A151" s="19" t="s">
        <v>268</v>
      </c>
      <c r="B151" s="20">
        <v>5</v>
      </c>
      <c r="C151" s="20"/>
      <c r="D151" s="21"/>
      <c r="E151" s="21"/>
      <c r="F151" s="21" t="s">
        <v>77</v>
      </c>
      <c r="G151" s="21"/>
      <c r="H151" s="20">
        <v>30</v>
      </c>
      <c r="I151" s="20"/>
      <c r="J151" s="20"/>
      <c r="K151" s="20"/>
      <c r="L151" s="20"/>
      <c r="M151" s="22"/>
      <c r="N151" s="20"/>
      <c r="O151" s="20"/>
      <c r="P151" s="20"/>
      <c r="Q151" s="20"/>
      <c r="R151" s="20"/>
      <c r="S151" s="20"/>
    </row>
    <row r="152" spans="1:19" ht="15.75" customHeight="1">
      <c r="A152" s="23" t="s">
        <v>269</v>
      </c>
      <c r="B152" s="16">
        <v>1</v>
      </c>
      <c r="C152" s="16"/>
      <c r="D152" s="24"/>
      <c r="E152" s="24"/>
      <c r="F152" s="24"/>
      <c r="G152" s="24"/>
      <c r="H152" s="16">
        <v>40</v>
      </c>
      <c r="I152" s="16"/>
      <c r="J152" s="16"/>
      <c r="K152" s="16"/>
      <c r="L152" s="16"/>
      <c r="M152" s="17"/>
      <c r="N152" s="16"/>
      <c r="O152" s="16"/>
      <c r="P152" s="16"/>
      <c r="Q152" s="16"/>
      <c r="R152" s="16"/>
      <c r="S152" s="16"/>
    </row>
    <row r="153" spans="1:19" ht="15.75" customHeight="1">
      <c r="A153" s="19" t="s">
        <v>270</v>
      </c>
      <c r="B153" s="20">
        <v>1</v>
      </c>
      <c r="C153" s="20">
        <v>2</v>
      </c>
      <c r="D153" s="21"/>
      <c r="E153" s="21"/>
      <c r="F153" s="21"/>
      <c r="G153" s="21"/>
      <c r="H153" s="20">
        <v>15</v>
      </c>
      <c r="I153" s="20"/>
      <c r="J153" s="20"/>
      <c r="K153" s="20"/>
      <c r="L153" s="20">
        <v>15</v>
      </c>
      <c r="M153" s="22"/>
      <c r="N153" s="20"/>
      <c r="O153" s="20"/>
      <c r="P153" s="20"/>
      <c r="Q153" s="20"/>
      <c r="R153" s="20"/>
      <c r="S153" s="20"/>
    </row>
    <row r="154" spans="1:19" ht="15.75" customHeight="1">
      <c r="A154" s="23" t="s">
        <v>271</v>
      </c>
      <c r="B154" s="16">
        <v>5</v>
      </c>
      <c r="C154" s="16"/>
      <c r="D154" s="24"/>
      <c r="E154" s="24"/>
      <c r="F154" s="24" t="s">
        <v>73</v>
      </c>
      <c r="G154" s="24"/>
      <c r="H154" s="16">
        <v>30</v>
      </c>
      <c r="I154" s="16"/>
      <c r="J154" s="16"/>
      <c r="K154" s="16"/>
      <c r="L154" s="16"/>
      <c r="M154" s="17"/>
      <c r="N154" s="16"/>
      <c r="O154" s="16"/>
      <c r="P154" s="16"/>
      <c r="Q154" s="16"/>
      <c r="R154" s="16"/>
      <c r="S154" s="16"/>
    </row>
    <row r="155" spans="1:19" ht="15.75" customHeight="1">
      <c r="A155" s="19" t="s">
        <v>272</v>
      </c>
      <c r="B155" s="20">
        <v>3</v>
      </c>
      <c r="C155" s="20"/>
      <c r="D155" s="21"/>
      <c r="E155" s="21"/>
      <c r="F155" s="21"/>
      <c r="G155" s="21" t="s">
        <v>61</v>
      </c>
      <c r="H155" s="20">
        <v>24</v>
      </c>
      <c r="I155" s="20"/>
      <c r="J155" s="20"/>
      <c r="K155" s="20"/>
      <c r="L155" s="20"/>
      <c r="M155" s="22"/>
      <c r="N155" s="20"/>
      <c r="O155" s="20"/>
      <c r="P155" s="20"/>
      <c r="Q155" s="20"/>
      <c r="R155" s="20"/>
      <c r="S155" s="20" t="s">
        <v>196</v>
      </c>
    </row>
    <row r="156" spans="1:19" ht="15.75" customHeight="1">
      <c r="A156" s="23" t="s">
        <v>273</v>
      </c>
      <c r="B156" s="16">
        <v>3</v>
      </c>
      <c r="C156" s="16"/>
      <c r="D156" s="24"/>
      <c r="E156" s="24"/>
      <c r="F156" s="24"/>
      <c r="G156" s="24" t="s">
        <v>63</v>
      </c>
      <c r="H156" s="16">
        <v>24</v>
      </c>
      <c r="I156" s="16"/>
      <c r="J156" s="16"/>
      <c r="K156" s="16"/>
      <c r="L156" s="16"/>
      <c r="M156" s="17"/>
      <c r="N156" s="16"/>
      <c r="O156" s="16"/>
      <c r="P156" s="16"/>
      <c r="Q156" s="16"/>
      <c r="R156" s="16"/>
      <c r="S156" s="16" t="s">
        <v>200</v>
      </c>
    </row>
    <row r="157" spans="1:19" ht="15.75" customHeight="1">
      <c r="A157" s="19" t="s">
        <v>274</v>
      </c>
      <c r="B157" s="20">
        <v>5</v>
      </c>
      <c r="C157" s="20"/>
      <c r="D157" s="21"/>
      <c r="E157" s="21"/>
      <c r="F157" s="21" t="s">
        <v>75</v>
      </c>
      <c r="G157" s="21"/>
      <c r="H157" s="20">
        <v>30</v>
      </c>
      <c r="I157" s="20"/>
      <c r="J157" s="20"/>
      <c r="K157" s="20"/>
      <c r="L157" s="20"/>
      <c r="M157" s="22"/>
      <c r="N157" s="20"/>
      <c r="O157" s="20"/>
      <c r="P157" s="20"/>
      <c r="Q157" s="20"/>
      <c r="R157" s="20"/>
      <c r="S157" s="20"/>
    </row>
    <row r="158" spans="1:19" ht="15.75" customHeight="1">
      <c r="A158" s="23" t="s">
        <v>275</v>
      </c>
      <c r="B158" s="16">
        <v>3</v>
      </c>
      <c r="C158" s="16"/>
      <c r="D158" s="24"/>
      <c r="E158" s="24"/>
      <c r="F158" s="24"/>
      <c r="G158" s="24" t="s">
        <v>65</v>
      </c>
      <c r="H158" s="16">
        <v>24</v>
      </c>
      <c r="I158" s="16"/>
      <c r="J158" s="16"/>
      <c r="K158" s="16"/>
      <c r="L158" s="16"/>
      <c r="M158" s="17"/>
      <c r="N158" s="16"/>
      <c r="O158" s="16"/>
      <c r="P158" s="16"/>
      <c r="Q158" s="16"/>
      <c r="R158" s="16"/>
      <c r="S158" s="16" t="s">
        <v>198</v>
      </c>
    </row>
    <row r="159" spans="1:19" ht="15.75" customHeight="1">
      <c r="A159" s="19" t="s">
        <v>276</v>
      </c>
      <c r="B159" s="20">
        <v>3</v>
      </c>
      <c r="C159" s="20"/>
      <c r="D159" s="21"/>
      <c r="E159" s="21"/>
      <c r="F159" s="21"/>
      <c r="G159" s="21"/>
      <c r="H159" s="20">
        <v>30</v>
      </c>
      <c r="I159" s="20"/>
      <c r="J159" s="20"/>
      <c r="K159" s="20">
        <v>20</v>
      </c>
      <c r="L159" s="20"/>
      <c r="M159" s="22"/>
      <c r="N159" s="20"/>
      <c r="O159" s="20"/>
      <c r="P159" s="20"/>
      <c r="Q159" s="20"/>
      <c r="R159" s="20"/>
      <c r="S159" s="20" t="s">
        <v>192</v>
      </c>
    </row>
    <row r="160" spans="1:19" ht="15.75" customHeight="1">
      <c r="A160" s="23" t="s">
        <v>277</v>
      </c>
      <c r="B160" s="16">
        <v>3</v>
      </c>
      <c r="C160" s="16"/>
      <c r="D160" s="24"/>
      <c r="E160" s="24"/>
      <c r="F160" s="24"/>
      <c r="G160" s="24" t="s">
        <v>67</v>
      </c>
      <c r="H160" s="16">
        <v>24</v>
      </c>
      <c r="I160" s="16"/>
      <c r="J160" s="16"/>
      <c r="K160" s="16"/>
      <c r="L160" s="16"/>
      <c r="M160" s="17"/>
      <c r="N160" s="16"/>
      <c r="O160" s="16"/>
      <c r="P160" s="16"/>
      <c r="Q160" s="16"/>
      <c r="R160" s="16"/>
      <c r="S160" s="16" t="s">
        <v>202</v>
      </c>
    </row>
    <row r="161" spans="1:19" ht="15.75" customHeight="1">
      <c r="A161" s="19" t="s">
        <v>278</v>
      </c>
      <c r="B161" s="20">
        <v>5</v>
      </c>
      <c r="C161" s="20">
        <v>2</v>
      </c>
      <c r="D161" s="21"/>
      <c r="E161" s="21" t="s">
        <v>266</v>
      </c>
      <c r="F161" s="21" t="s">
        <v>279</v>
      </c>
      <c r="G161" s="21"/>
      <c r="H161" s="20">
        <v>50</v>
      </c>
      <c r="I161" s="20"/>
      <c r="J161" s="20"/>
      <c r="K161" s="20"/>
      <c r="L161" s="20">
        <v>10</v>
      </c>
      <c r="M161" s="22"/>
      <c r="N161" s="20"/>
      <c r="O161" s="20"/>
      <c r="P161" s="20"/>
      <c r="Q161" s="20"/>
      <c r="R161" s="20"/>
      <c r="S161" s="20" t="s">
        <v>280</v>
      </c>
    </row>
    <row r="162" spans="1:19" ht="15.75" customHeight="1">
      <c r="A162" s="23"/>
      <c r="B162" s="16"/>
      <c r="C162" s="16"/>
      <c r="D162" s="24"/>
      <c r="E162" s="24"/>
      <c r="F162" s="24"/>
      <c r="G162" s="24"/>
      <c r="H162" s="16"/>
      <c r="I162" s="16"/>
      <c r="J162" s="16"/>
      <c r="K162" s="16"/>
      <c r="L162" s="16"/>
      <c r="M162" s="17"/>
      <c r="N162" s="16"/>
      <c r="O162" s="16"/>
      <c r="P162" s="16"/>
      <c r="Q162" s="16"/>
      <c r="R162" s="16"/>
      <c r="S162" s="16"/>
    </row>
    <row r="163" spans="1:19" ht="15.75" customHeight="1">
      <c r="A163" s="19"/>
      <c r="B163" s="20"/>
      <c r="C163" s="20"/>
      <c r="D163" s="21"/>
      <c r="E163" s="21"/>
      <c r="F163" s="21"/>
      <c r="G163" s="21"/>
      <c r="H163" s="20"/>
      <c r="I163" s="20"/>
      <c r="J163" s="20"/>
      <c r="K163" s="20"/>
      <c r="L163" s="20"/>
      <c r="M163" s="22"/>
      <c r="N163" s="20"/>
      <c r="O163" s="20"/>
      <c r="P163" s="20"/>
      <c r="Q163" s="20"/>
      <c r="R163" s="20"/>
      <c r="S163" s="20"/>
    </row>
    <row r="164" spans="1:19" ht="15.75" customHeight="1">
      <c r="A164" s="23"/>
      <c r="B164" s="16"/>
      <c r="C164" s="16"/>
      <c r="D164" s="24"/>
      <c r="E164" s="24"/>
      <c r="F164" s="24"/>
      <c r="G164" s="24"/>
      <c r="H164" s="16"/>
      <c r="I164" s="16"/>
      <c r="J164" s="16"/>
      <c r="K164" s="16"/>
      <c r="L164" s="16"/>
      <c r="M164" s="17"/>
      <c r="N164" s="16"/>
      <c r="O164" s="16"/>
      <c r="P164" s="16"/>
      <c r="Q164" s="16"/>
      <c r="R164" s="16"/>
      <c r="S164" s="16"/>
    </row>
    <row r="165" spans="1:19" ht="15.75" customHeight="1">
      <c r="A165" s="19"/>
      <c r="B165" s="20"/>
      <c r="C165" s="20"/>
      <c r="D165" s="21"/>
      <c r="E165" s="21"/>
      <c r="F165" s="21"/>
      <c r="G165" s="21"/>
      <c r="H165" s="20"/>
      <c r="I165" s="20"/>
      <c r="J165" s="20"/>
      <c r="K165" s="20"/>
      <c r="L165" s="20"/>
      <c r="M165" s="22"/>
      <c r="N165" s="20"/>
      <c r="O165" s="20"/>
      <c r="P165" s="20"/>
      <c r="Q165" s="20"/>
      <c r="R165" s="20"/>
      <c r="S165" s="20"/>
    </row>
    <row r="166" spans="1:19" ht="15.75" customHeight="1">
      <c r="A166" s="23"/>
      <c r="B166" s="16"/>
      <c r="C166" s="16"/>
      <c r="D166" s="24"/>
      <c r="E166" s="24"/>
      <c r="F166" s="24"/>
      <c r="G166" s="24"/>
      <c r="H166" s="16"/>
      <c r="I166" s="16"/>
      <c r="J166" s="16"/>
      <c r="K166" s="16"/>
      <c r="L166" s="16"/>
      <c r="M166" s="17"/>
      <c r="N166" s="16"/>
      <c r="O166" s="16"/>
      <c r="P166" s="16"/>
      <c r="Q166" s="16"/>
      <c r="R166" s="16"/>
      <c r="S166" s="16"/>
    </row>
    <row r="167" spans="1:19" ht="15.75" customHeight="1">
      <c r="A167" s="19"/>
      <c r="B167" s="20"/>
      <c r="C167" s="20"/>
      <c r="D167" s="21"/>
      <c r="E167" s="21"/>
      <c r="F167" s="21"/>
      <c r="G167" s="21"/>
      <c r="H167" s="20"/>
      <c r="I167" s="20"/>
      <c r="J167" s="20"/>
      <c r="K167" s="20"/>
      <c r="L167" s="20"/>
      <c r="M167" s="22"/>
      <c r="N167" s="20"/>
      <c r="O167" s="20"/>
      <c r="P167" s="20"/>
      <c r="Q167" s="20"/>
      <c r="R167" s="20"/>
      <c r="S167" s="20"/>
    </row>
    <row r="168" spans="1:19" ht="15.75" customHeight="1">
      <c r="A168" s="23"/>
      <c r="B168" s="16"/>
      <c r="C168" s="16"/>
      <c r="D168" s="24"/>
      <c r="E168" s="24"/>
      <c r="F168" s="24"/>
      <c r="G168" s="24"/>
      <c r="H168" s="16"/>
      <c r="I168" s="16"/>
      <c r="J168" s="16"/>
      <c r="K168" s="16"/>
      <c r="L168" s="16"/>
      <c r="M168" s="17"/>
      <c r="N168" s="16"/>
      <c r="O168" s="16"/>
      <c r="P168" s="16"/>
      <c r="Q168" s="16"/>
      <c r="R168" s="16"/>
      <c r="S168" s="16"/>
    </row>
    <row r="169" spans="1:19" ht="15.75" customHeight="1">
      <c r="A169" s="19"/>
      <c r="B169" s="20"/>
      <c r="C169" s="20"/>
      <c r="D169" s="21"/>
      <c r="E169" s="21"/>
      <c r="F169" s="21"/>
      <c r="G169" s="21"/>
      <c r="H169" s="20"/>
      <c r="I169" s="20"/>
      <c r="J169" s="20"/>
      <c r="K169" s="20"/>
      <c r="L169" s="20"/>
      <c r="M169" s="22"/>
      <c r="N169" s="20"/>
      <c r="O169" s="20"/>
      <c r="P169" s="20"/>
      <c r="Q169" s="20"/>
      <c r="R169" s="20"/>
      <c r="S169" s="20"/>
    </row>
    <row r="170" spans="1:19" ht="15.75" customHeight="1">
      <c r="A170" s="23"/>
      <c r="B170" s="16"/>
      <c r="C170" s="16"/>
      <c r="D170" s="24"/>
      <c r="E170" s="24"/>
      <c r="F170" s="24"/>
      <c r="G170" s="24"/>
      <c r="H170" s="16"/>
      <c r="I170" s="16"/>
      <c r="J170" s="16"/>
      <c r="K170" s="16"/>
      <c r="L170" s="16"/>
      <c r="M170" s="17"/>
      <c r="N170" s="16"/>
      <c r="O170" s="16"/>
      <c r="P170" s="16"/>
      <c r="Q170" s="16"/>
      <c r="R170" s="16"/>
      <c r="S170" s="16"/>
    </row>
    <row r="171" spans="1:19" ht="15.75" customHeight="1">
      <c r="A171" s="19"/>
      <c r="B171" s="20"/>
      <c r="C171" s="20"/>
      <c r="D171" s="21"/>
      <c r="E171" s="21"/>
      <c r="F171" s="21"/>
      <c r="G171" s="21"/>
      <c r="H171" s="20"/>
      <c r="I171" s="20"/>
      <c r="J171" s="20"/>
      <c r="K171" s="20"/>
      <c r="L171" s="20"/>
      <c r="M171" s="22"/>
      <c r="N171" s="20"/>
      <c r="O171" s="20"/>
      <c r="P171" s="20"/>
      <c r="Q171" s="20"/>
      <c r="R171" s="20"/>
      <c r="S171" s="20"/>
    </row>
    <row r="172" spans="1:19" ht="15.75" customHeight="1">
      <c r="A172" s="23"/>
      <c r="B172" s="16"/>
      <c r="C172" s="16"/>
      <c r="D172" s="24"/>
      <c r="E172" s="24"/>
      <c r="F172" s="24"/>
      <c r="G172" s="24"/>
      <c r="H172" s="16"/>
      <c r="I172" s="16"/>
      <c r="J172" s="16"/>
      <c r="K172" s="16"/>
      <c r="L172" s="16"/>
      <c r="M172" s="17"/>
      <c r="N172" s="16"/>
      <c r="O172" s="16"/>
      <c r="P172" s="16"/>
      <c r="Q172" s="16"/>
      <c r="R172" s="16"/>
      <c r="S172" s="16"/>
    </row>
    <row r="173" spans="1:19" ht="15.75" customHeight="1">
      <c r="A173" s="19"/>
      <c r="B173" s="20"/>
      <c r="C173" s="20"/>
      <c r="D173" s="21"/>
      <c r="E173" s="21"/>
      <c r="F173" s="21"/>
      <c r="G173" s="21"/>
      <c r="H173" s="20"/>
      <c r="I173" s="20"/>
      <c r="J173" s="20"/>
      <c r="K173" s="20"/>
      <c r="L173" s="20"/>
      <c r="M173" s="22"/>
      <c r="N173" s="20"/>
      <c r="O173" s="20"/>
      <c r="P173" s="20"/>
      <c r="Q173" s="20"/>
      <c r="R173" s="20"/>
      <c r="S173" s="20"/>
    </row>
    <row r="174" spans="1:19" ht="15.75" customHeight="1">
      <c r="A174" s="23"/>
      <c r="B174" s="16"/>
      <c r="C174" s="16"/>
      <c r="D174" s="24"/>
      <c r="E174" s="24"/>
      <c r="F174" s="24"/>
      <c r="G174" s="24"/>
      <c r="H174" s="16"/>
      <c r="I174" s="16"/>
      <c r="J174" s="16"/>
      <c r="K174" s="16"/>
      <c r="L174" s="16"/>
      <c r="M174" s="17"/>
      <c r="N174" s="16"/>
      <c r="O174" s="16"/>
      <c r="P174" s="16"/>
      <c r="Q174" s="16"/>
      <c r="R174" s="16"/>
      <c r="S174" s="16"/>
    </row>
    <row r="175" spans="1:19" ht="15.75" customHeight="1">
      <c r="A175" s="19"/>
      <c r="B175" s="20"/>
      <c r="C175" s="20"/>
      <c r="D175" s="21"/>
      <c r="E175" s="21"/>
      <c r="F175" s="21"/>
      <c r="G175" s="21"/>
      <c r="H175" s="20"/>
      <c r="I175" s="20"/>
      <c r="J175" s="20"/>
      <c r="K175" s="20"/>
      <c r="L175" s="20"/>
      <c r="M175" s="22"/>
      <c r="N175" s="20"/>
      <c r="O175" s="20"/>
      <c r="P175" s="20"/>
      <c r="Q175" s="20"/>
      <c r="R175" s="20"/>
      <c r="S175" s="20"/>
    </row>
    <row r="176" spans="1:19" ht="15.75" customHeight="1">
      <c r="A176" s="23"/>
      <c r="B176" s="16"/>
      <c r="C176" s="16"/>
      <c r="D176" s="24"/>
      <c r="E176" s="24"/>
      <c r="F176" s="24"/>
      <c r="G176" s="24"/>
      <c r="H176" s="16"/>
      <c r="I176" s="16"/>
      <c r="J176" s="16"/>
      <c r="K176" s="16"/>
      <c r="L176" s="16"/>
      <c r="M176" s="17"/>
      <c r="N176" s="16"/>
      <c r="O176" s="16"/>
      <c r="P176" s="16"/>
      <c r="Q176" s="16"/>
      <c r="R176" s="16"/>
      <c r="S176" s="16"/>
    </row>
    <row r="177" spans="1:19" ht="15.75" customHeight="1">
      <c r="A177" s="19"/>
      <c r="B177" s="20"/>
      <c r="C177" s="20"/>
      <c r="D177" s="21"/>
      <c r="E177" s="21"/>
      <c r="F177" s="21"/>
      <c r="G177" s="21"/>
      <c r="H177" s="20"/>
      <c r="I177" s="20"/>
      <c r="J177" s="20"/>
      <c r="K177" s="20"/>
      <c r="L177" s="20"/>
      <c r="M177" s="22"/>
      <c r="N177" s="20"/>
      <c r="O177" s="20"/>
      <c r="P177" s="20"/>
      <c r="Q177" s="20"/>
      <c r="R177" s="20"/>
      <c r="S177" s="20"/>
    </row>
    <row r="178" spans="1:19" ht="15.75" customHeight="1">
      <c r="A178" s="23"/>
      <c r="B178" s="16"/>
      <c r="C178" s="16"/>
      <c r="D178" s="24"/>
      <c r="E178" s="24"/>
      <c r="F178" s="24"/>
      <c r="G178" s="24"/>
      <c r="H178" s="16"/>
      <c r="I178" s="16"/>
      <c r="J178" s="16"/>
      <c r="K178" s="16"/>
      <c r="L178" s="16"/>
      <c r="M178" s="17"/>
      <c r="N178" s="16"/>
      <c r="O178" s="16"/>
      <c r="P178" s="16"/>
      <c r="Q178" s="16"/>
      <c r="R178" s="16"/>
      <c r="S178" s="16"/>
    </row>
    <row r="179" spans="1:19" ht="15.75" customHeight="1">
      <c r="D179" s="25"/>
      <c r="E179" s="25"/>
    </row>
    <row r="180" spans="1:19" ht="15.75" customHeight="1">
      <c r="D180" s="25"/>
      <c r="E180" s="25"/>
    </row>
    <row r="181" spans="1:19" ht="15.75" customHeight="1">
      <c r="D181" s="25"/>
      <c r="E181" s="25"/>
    </row>
    <row r="182" spans="1:19" ht="15.75" customHeight="1">
      <c r="D182" s="25"/>
      <c r="E182" s="25"/>
    </row>
    <row r="183" spans="1:19" ht="15.75" customHeight="1">
      <c r="D183" s="25"/>
      <c r="E183" s="25"/>
    </row>
    <row r="184" spans="1:19" ht="15.75" customHeight="1">
      <c r="D184" s="25"/>
      <c r="E184" s="25"/>
    </row>
    <row r="185" spans="1:19" ht="15.75" customHeight="1">
      <c r="D185" s="25"/>
      <c r="E185" s="25"/>
    </row>
    <row r="186" spans="1:19" ht="15.75" customHeight="1">
      <c r="D186" s="25"/>
      <c r="E186" s="25"/>
    </row>
    <row r="187" spans="1:19" ht="15.75" customHeight="1">
      <c r="D187" s="25"/>
      <c r="E187" s="25"/>
    </row>
    <row r="188" spans="1:19" ht="15.75" customHeight="1">
      <c r="D188" s="25"/>
      <c r="E188" s="25"/>
    </row>
    <row r="189" spans="1:19" ht="15.75" customHeight="1">
      <c r="D189" s="25"/>
      <c r="E189" s="25"/>
    </row>
    <row r="190" spans="1:19" ht="15.75" customHeight="1">
      <c r="D190" s="25"/>
      <c r="E190" s="25"/>
    </row>
    <row r="191" spans="1:19" ht="15.75" customHeight="1">
      <c r="D191" s="25"/>
      <c r="E191" s="25"/>
    </row>
    <row r="192" spans="1:19" ht="15.75" customHeight="1">
      <c r="D192" s="25"/>
      <c r="E192" s="25"/>
    </row>
    <row r="193" spans="4:5" ht="15.75" customHeight="1">
      <c r="D193" s="25"/>
      <c r="E193" s="25"/>
    </row>
    <row r="194" spans="4:5" ht="15.75" customHeight="1">
      <c r="D194" s="25"/>
      <c r="E194" s="25"/>
    </row>
    <row r="195" spans="4:5" ht="15.75" customHeight="1">
      <c r="D195" s="25"/>
      <c r="E195" s="25"/>
    </row>
    <row r="196" spans="4:5" ht="15.75" customHeight="1">
      <c r="D196" s="25"/>
      <c r="E196" s="25"/>
    </row>
    <row r="197" spans="4:5" ht="15.75" customHeight="1">
      <c r="D197" s="25"/>
      <c r="E197" s="25"/>
    </row>
    <row r="198" spans="4:5" ht="15.75" customHeight="1">
      <c r="D198" s="25"/>
      <c r="E198" s="25"/>
    </row>
    <row r="199" spans="4:5" ht="15.75" customHeight="1">
      <c r="D199" s="25"/>
      <c r="E199" s="25"/>
    </row>
    <row r="200" spans="4:5" ht="15.75" customHeight="1">
      <c r="D200" s="25"/>
      <c r="E200" s="25"/>
    </row>
    <row r="201" spans="4:5" ht="15.75" customHeight="1">
      <c r="D201" s="25"/>
      <c r="E201" s="25"/>
    </row>
    <row r="202" spans="4:5" ht="15.75" customHeight="1">
      <c r="D202" s="25"/>
      <c r="E202" s="25"/>
    </row>
    <row r="203" spans="4:5" ht="15.75" customHeight="1">
      <c r="D203" s="25"/>
      <c r="E203" s="25"/>
    </row>
    <row r="204" spans="4:5" ht="15.75" customHeight="1">
      <c r="D204" s="25"/>
      <c r="E204" s="25"/>
    </row>
    <row r="205" spans="4:5" ht="15.75" customHeight="1">
      <c r="D205" s="25"/>
      <c r="E205" s="25"/>
    </row>
    <row r="206" spans="4:5" ht="15.75" customHeight="1">
      <c r="D206" s="25"/>
      <c r="E206" s="25"/>
    </row>
    <row r="207" spans="4:5" ht="15.75" customHeight="1">
      <c r="D207" s="25"/>
      <c r="E207" s="25"/>
    </row>
    <row r="208" spans="4:5" ht="15.75" customHeight="1">
      <c r="D208" s="25"/>
      <c r="E208" s="25"/>
    </row>
    <row r="209" spans="4:5" ht="15.75" customHeight="1">
      <c r="D209" s="25"/>
      <c r="E209" s="25"/>
    </row>
    <row r="210" spans="4:5" ht="15.75" customHeight="1">
      <c r="D210" s="25"/>
      <c r="E210" s="25"/>
    </row>
    <row r="211" spans="4:5" ht="15.75" customHeight="1">
      <c r="D211" s="25"/>
      <c r="E211" s="25"/>
    </row>
    <row r="212" spans="4:5" ht="15.75" customHeight="1">
      <c r="D212" s="25"/>
      <c r="E212" s="25"/>
    </row>
    <row r="213" spans="4:5" ht="15.75" customHeight="1">
      <c r="D213" s="25"/>
      <c r="E213" s="25"/>
    </row>
    <row r="214" spans="4:5" ht="15.75" customHeight="1">
      <c r="D214" s="25"/>
      <c r="E214" s="25"/>
    </row>
    <row r="215" spans="4:5" ht="15.75" customHeight="1">
      <c r="D215" s="25"/>
      <c r="E215" s="25"/>
    </row>
    <row r="216" spans="4:5" ht="15.75" customHeight="1">
      <c r="D216" s="25"/>
      <c r="E216" s="25"/>
    </row>
    <row r="217" spans="4:5" ht="15.75" customHeight="1">
      <c r="D217" s="25"/>
      <c r="E217" s="25"/>
    </row>
    <row r="218" spans="4:5" ht="15.75" customHeight="1">
      <c r="D218" s="25"/>
      <c r="E218" s="25"/>
    </row>
    <row r="219" spans="4:5" ht="15.75" customHeight="1">
      <c r="D219" s="25"/>
      <c r="E219" s="25"/>
    </row>
    <row r="220" spans="4:5" ht="15.75" customHeight="1">
      <c r="D220" s="25"/>
      <c r="E220" s="25"/>
    </row>
    <row r="221" spans="4:5" ht="15.75" customHeight="1">
      <c r="D221" s="25"/>
      <c r="E221" s="25"/>
    </row>
    <row r="222" spans="4:5" ht="15.75" customHeight="1">
      <c r="D222" s="25"/>
      <c r="E222" s="25"/>
    </row>
    <row r="223" spans="4:5" ht="15.75" customHeight="1">
      <c r="D223" s="25"/>
      <c r="E223" s="25"/>
    </row>
    <row r="224" spans="4:5" ht="15.75" customHeight="1">
      <c r="D224" s="25"/>
      <c r="E224" s="25"/>
    </row>
    <row r="225" spans="4:5" ht="15.75" customHeight="1">
      <c r="D225" s="25"/>
      <c r="E225" s="25"/>
    </row>
    <row r="226" spans="4:5" ht="15.75" customHeight="1">
      <c r="D226" s="25"/>
      <c r="E226" s="25"/>
    </row>
    <row r="227" spans="4:5" ht="15.75" customHeight="1">
      <c r="D227" s="25"/>
      <c r="E227" s="25"/>
    </row>
    <row r="228" spans="4:5" ht="15.75" customHeight="1">
      <c r="D228" s="25"/>
      <c r="E228" s="25"/>
    </row>
    <row r="229" spans="4:5" ht="15.75" customHeight="1">
      <c r="D229" s="25"/>
      <c r="E229" s="25"/>
    </row>
    <row r="230" spans="4:5" ht="15.75" customHeight="1">
      <c r="D230" s="25"/>
      <c r="E230" s="25"/>
    </row>
    <row r="231" spans="4:5" ht="15.75" customHeight="1">
      <c r="D231" s="25"/>
      <c r="E231" s="25"/>
    </row>
    <row r="232" spans="4:5" ht="15.75" customHeight="1">
      <c r="D232" s="25"/>
      <c r="E232" s="25"/>
    </row>
    <row r="233" spans="4:5" ht="15.75" customHeight="1">
      <c r="D233" s="25"/>
      <c r="E233" s="25"/>
    </row>
    <row r="234" spans="4:5" ht="15.75" customHeight="1">
      <c r="D234" s="25"/>
      <c r="E234" s="25"/>
    </row>
    <row r="235" spans="4:5" ht="15.75" customHeight="1">
      <c r="D235" s="25"/>
      <c r="E235" s="25"/>
    </row>
    <row r="236" spans="4:5" ht="15.75" customHeight="1">
      <c r="D236" s="25"/>
      <c r="E236" s="25"/>
    </row>
    <row r="237" spans="4:5" ht="15.75" customHeight="1">
      <c r="D237" s="25"/>
      <c r="E237" s="25"/>
    </row>
    <row r="238" spans="4:5" ht="15.75" customHeight="1">
      <c r="D238" s="25"/>
      <c r="E238" s="25"/>
    </row>
    <row r="239" spans="4:5" ht="15.75" customHeight="1">
      <c r="D239" s="25"/>
      <c r="E239" s="25"/>
    </row>
    <row r="240" spans="4:5" ht="15.75" customHeight="1">
      <c r="D240" s="25"/>
      <c r="E240" s="25"/>
    </row>
    <row r="241" spans="4:5" ht="15.75" customHeight="1">
      <c r="D241" s="25"/>
      <c r="E241" s="25"/>
    </row>
    <row r="242" spans="4:5" ht="15.75" customHeight="1">
      <c r="D242" s="25"/>
      <c r="E242" s="25"/>
    </row>
    <row r="243" spans="4:5" ht="15.75" customHeight="1">
      <c r="D243" s="25"/>
      <c r="E243" s="25"/>
    </row>
    <row r="244" spans="4:5" ht="15.75" customHeight="1">
      <c r="D244" s="25"/>
      <c r="E244" s="25"/>
    </row>
    <row r="245" spans="4:5" ht="15.75" customHeight="1">
      <c r="D245" s="25"/>
      <c r="E245" s="25"/>
    </row>
    <row r="246" spans="4:5" ht="15.75" customHeight="1">
      <c r="D246" s="25"/>
      <c r="E246" s="25"/>
    </row>
    <row r="247" spans="4:5" ht="15.75" customHeight="1">
      <c r="D247" s="25"/>
      <c r="E247" s="25"/>
    </row>
    <row r="248" spans="4:5" ht="15.75" customHeight="1">
      <c r="D248" s="25"/>
      <c r="E248" s="25"/>
    </row>
    <row r="249" spans="4:5" ht="15.75" customHeight="1">
      <c r="D249" s="25"/>
      <c r="E249" s="25"/>
    </row>
    <row r="250" spans="4:5" ht="15.75" customHeight="1">
      <c r="D250" s="25"/>
      <c r="E250" s="25"/>
    </row>
    <row r="251" spans="4:5" ht="15.75" customHeight="1">
      <c r="D251" s="25"/>
      <c r="E251" s="25"/>
    </row>
    <row r="252" spans="4:5" ht="15.75" customHeight="1">
      <c r="D252" s="25"/>
      <c r="E252" s="25"/>
    </row>
    <row r="253" spans="4:5" ht="15.75" customHeight="1">
      <c r="D253" s="25"/>
      <c r="E253" s="25"/>
    </row>
    <row r="254" spans="4:5" ht="15.75" customHeight="1">
      <c r="D254" s="25"/>
      <c r="E254" s="25"/>
    </row>
    <row r="255" spans="4:5" ht="15.75" customHeight="1">
      <c r="D255" s="25"/>
      <c r="E255" s="25"/>
    </row>
    <row r="256" spans="4:5" ht="15.75" customHeight="1">
      <c r="D256" s="25"/>
      <c r="E256" s="25"/>
    </row>
    <row r="257" spans="4:5" ht="15.75" customHeight="1">
      <c r="D257" s="25"/>
      <c r="E257" s="25"/>
    </row>
    <row r="258" spans="4:5" ht="15.75" customHeight="1">
      <c r="D258" s="25"/>
      <c r="E258" s="25"/>
    </row>
    <row r="259" spans="4:5" ht="15.75" customHeight="1">
      <c r="D259" s="25"/>
      <c r="E259" s="25"/>
    </row>
    <row r="260" spans="4:5" ht="15.75" customHeight="1">
      <c r="D260" s="25"/>
      <c r="E260" s="25"/>
    </row>
    <row r="261" spans="4:5" ht="15.75" customHeight="1">
      <c r="D261" s="25"/>
      <c r="E261" s="25"/>
    </row>
    <row r="262" spans="4:5" ht="15.75" customHeight="1">
      <c r="D262" s="25"/>
      <c r="E262" s="25"/>
    </row>
    <row r="263" spans="4:5" ht="15.75" customHeight="1">
      <c r="D263" s="25"/>
      <c r="E263" s="25"/>
    </row>
    <row r="264" spans="4:5" ht="15.75" customHeight="1">
      <c r="D264" s="25"/>
      <c r="E264" s="25"/>
    </row>
    <row r="265" spans="4:5" ht="15.75" customHeight="1">
      <c r="D265" s="25"/>
      <c r="E265" s="25"/>
    </row>
    <row r="266" spans="4:5" ht="15.75" customHeight="1">
      <c r="D266" s="25"/>
      <c r="E266" s="25"/>
    </row>
    <row r="267" spans="4:5" ht="15.75" customHeight="1">
      <c r="D267" s="25"/>
      <c r="E267" s="25"/>
    </row>
    <row r="268" spans="4:5" ht="15.75" customHeight="1">
      <c r="D268" s="25"/>
      <c r="E268" s="25"/>
    </row>
    <row r="269" spans="4:5" ht="15.75" customHeight="1">
      <c r="D269" s="25"/>
      <c r="E269" s="25"/>
    </row>
    <row r="270" spans="4:5" ht="15.75" customHeight="1">
      <c r="D270" s="25"/>
      <c r="E270" s="25"/>
    </row>
    <row r="271" spans="4:5" ht="15.75" customHeight="1">
      <c r="D271" s="25"/>
      <c r="E271" s="25"/>
    </row>
    <row r="272" spans="4:5" ht="15.75" customHeight="1">
      <c r="D272" s="25"/>
      <c r="E272" s="25"/>
    </row>
    <row r="273" spans="4:5" ht="15.75" customHeight="1">
      <c r="D273" s="25"/>
      <c r="E273" s="25"/>
    </row>
    <row r="274" spans="4:5" ht="15.75" customHeight="1">
      <c r="D274" s="25"/>
      <c r="E274" s="25"/>
    </row>
    <row r="275" spans="4:5" ht="15.75" customHeight="1">
      <c r="D275" s="25"/>
      <c r="E275" s="25"/>
    </row>
    <row r="276" spans="4:5" ht="15.75" customHeight="1">
      <c r="D276" s="25"/>
      <c r="E276" s="25"/>
    </row>
    <row r="277" spans="4:5" ht="15.75" customHeight="1">
      <c r="D277" s="25"/>
      <c r="E277" s="25"/>
    </row>
    <row r="278" spans="4:5" ht="15.75" customHeight="1">
      <c r="D278" s="25"/>
      <c r="E278" s="25"/>
    </row>
    <row r="279" spans="4:5" ht="15.75" customHeight="1">
      <c r="D279" s="25"/>
      <c r="E279" s="25"/>
    </row>
    <row r="280" spans="4:5" ht="15.75" customHeight="1">
      <c r="D280" s="25"/>
      <c r="E280" s="25"/>
    </row>
    <row r="281" spans="4:5" ht="15.75" customHeight="1">
      <c r="D281" s="25"/>
      <c r="E281" s="25"/>
    </row>
    <row r="282" spans="4:5" ht="15.75" customHeight="1">
      <c r="D282" s="25"/>
      <c r="E282" s="25"/>
    </row>
    <row r="283" spans="4:5" ht="15.75" customHeight="1">
      <c r="D283" s="25"/>
      <c r="E283" s="25"/>
    </row>
    <row r="284" spans="4:5" ht="15.75" customHeight="1">
      <c r="D284" s="25"/>
      <c r="E284" s="25"/>
    </row>
    <row r="285" spans="4:5" ht="15.75" customHeight="1">
      <c r="D285" s="25"/>
      <c r="E285" s="25"/>
    </row>
    <row r="286" spans="4:5" ht="15.75" customHeight="1">
      <c r="D286" s="25"/>
      <c r="E286" s="25"/>
    </row>
    <row r="287" spans="4:5" ht="15.75" customHeight="1">
      <c r="D287" s="25"/>
      <c r="E287" s="25"/>
    </row>
    <row r="288" spans="4:5" ht="15.75" customHeight="1">
      <c r="D288" s="25"/>
      <c r="E288" s="25"/>
    </row>
    <row r="289" spans="4:5" ht="15.75" customHeight="1">
      <c r="D289" s="25"/>
      <c r="E289" s="25"/>
    </row>
    <row r="290" spans="4:5" ht="15.75" customHeight="1">
      <c r="D290" s="25"/>
      <c r="E290" s="25"/>
    </row>
    <row r="291" spans="4:5" ht="15.75" customHeight="1">
      <c r="D291" s="25"/>
      <c r="E291" s="25"/>
    </row>
    <row r="292" spans="4:5" ht="15.75" customHeight="1">
      <c r="D292" s="25"/>
      <c r="E292" s="25"/>
    </row>
    <row r="293" spans="4:5" ht="15.75" customHeight="1">
      <c r="D293" s="25"/>
      <c r="E293" s="25"/>
    </row>
    <row r="294" spans="4:5" ht="15.75" customHeight="1">
      <c r="D294" s="25"/>
      <c r="E294" s="25"/>
    </row>
    <row r="295" spans="4:5" ht="15.75" customHeight="1">
      <c r="D295" s="25"/>
      <c r="E295" s="25"/>
    </row>
    <row r="296" spans="4:5" ht="15.75" customHeight="1">
      <c r="D296" s="25"/>
      <c r="E296" s="25"/>
    </row>
    <row r="297" spans="4:5" ht="15.75" customHeight="1">
      <c r="D297" s="25"/>
      <c r="E297" s="25"/>
    </row>
    <row r="298" spans="4:5" ht="15.75" customHeight="1">
      <c r="D298" s="25"/>
      <c r="E298" s="25"/>
    </row>
    <row r="299" spans="4:5" ht="15.75" customHeight="1">
      <c r="D299" s="25"/>
      <c r="E299" s="25"/>
    </row>
    <row r="300" spans="4:5" ht="15.75" customHeight="1">
      <c r="D300" s="25"/>
      <c r="E300" s="25"/>
    </row>
    <row r="301" spans="4:5" ht="15.75" customHeight="1">
      <c r="D301" s="25"/>
      <c r="E301" s="25"/>
    </row>
    <row r="302" spans="4:5" ht="15.75" customHeight="1">
      <c r="D302" s="25"/>
      <c r="E302" s="25"/>
    </row>
    <row r="303" spans="4:5" ht="15.75" customHeight="1">
      <c r="D303" s="25"/>
      <c r="E303" s="25"/>
    </row>
    <row r="304" spans="4:5" ht="15.75" customHeight="1">
      <c r="D304" s="25"/>
      <c r="E304" s="25"/>
    </row>
    <row r="305" spans="4:5" ht="15.75" customHeight="1">
      <c r="D305" s="25"/>
      <c r="E305" s="25"/>
    </row>
    <row r="306" spans="4:5" ht="15.75" customHeight="1">
      <c r="D306" s="25"/>
      <c r="E306" s="25"/>
    </row>
    <row r="307" spans="4:5" ht="15.75" customHeight="1">
      <c r="D307" s="25"/>
      <c r="E307" s="25"/>
    </row>
    <row r="308" spans="4:5" ht="15.75" customHeight="1">
      <c r="D308" s="25"/>
      <c r="E308" s="25"/>
    </row>
    <row r="309" spans="4:5" ht="15.75" customHeight="1">
      <c r="D309" s="25"/>
      <c r="E309" s="25"/>
    </row>
    <row r="310" spans="4:5" ht="15.75" customHeight="1">
      <c r="D310" s="25"/>
      <c r="E310" s="25"/>
    </row>
    <row r="311" spans="4:5" ht="15.75" customHeight="1">
      <c r="D311" s="25"/>
      <c r="E311" s="25"/>
    </row>
    <row r="312" spans="4:5" ht="15.75" customHeight="1">
      <c r="D312" s="25"/>
      <c r="E312" s="25"/>
    </row>
    <row r="313" spans="4:5" ht="15.75" customHeight="1">
      <c r="D313" s="25"/>
      <c r="E313" s="25"/>
    </row>
    <row r="314" spans="4:5" ht="15.75" customHeight="1">
      <c r="D314" s="25"/>
      <c r="E314" s="25"/>
    </row>
    <row r="315" spans="4:5" ht="15.75" customHeight="1">
      <c r="D315" s="25"/>
      <c r="E315" s="25"/>
    </row>
    <row r="316" spans="4:5" ht="15.75" customHeight="1">
      <c r="D316" s="25"/>
      <c r="E316" s="25"/>
    </row>
    <row r="317" spans="4:5" ht="15.75" customHeight="1">
      <c r="D317" s="25"/>
      <c r="E317" s="25"/>
    </row>
    <row r="318" spans="4:5" ht="15.75" customHeight="1">
      <c r="D318" s="25"/>
      <c r="E318" s="25"/>
    </row>
    <row r="319" spans="4:5" ht="15.75" customHeight="1">
      <c r="D319" s="25"/>
      <c r="E319" s="25"/>
    </row>
    <row r="320" spans="4:5" ht="15.75" customHeight="1">
      <c r="D320" s="25"/>
      <c r="E320" s="25"/>
    </row>
    <row r="321" spans="4:5" ht="15.75" customHeight="1">
      <c r="D321" s="25"/>
      <c r="E321" s="25"/>
    </row>
    <row r="322" spans="4:5" ht="15.75" customHeight="1">
      <c r="D322" s="25"/>
      <c r="E322" s="25"/>
    </row>
    <row r="323" spans="4:5" ht="15.75" customHeight="1">
      <c r="D323" s="25"/>
      <c r="E323" s="25"/>
    </row>
    <row r="324" spans="4:5" ht="15.75" customHeight="1">
      <c r="D324" s="25"/>
      <c r="E324" s="25"/>
    </row>
    <row r="325" spans="4:5" ht="15.75" customHeight="1">
      <c r="D325" s="25"/>
      <c r="E325" s="25"/>
    </row>
    <row r="326" spans="4:5" ht="15.75" customHeight="1">
      <c r="D326" s="25"/>
      <c r="E326" s="25"/>
    </row>
    <row r="327" spans="4:5" ht="15.75" customHeight="1">
      <c r="D327" s="25"/>
      <c r="E327" s="25"/>
    </row>
    <row r="328" spans="4:5" ht="15.75" customHeight="1">
      <c r="D328" s="25"/>
      <c r="E328" s="25"/>
    </row>
    <row r="329" spans="4:5" ht="15.75" customHeight="1">
      <c r="D329" s="25"/>
      <c r="E329" s="25"/>
    </row>
    <row r="330" spans="4:5" ht="15.75" customHeight="1">
      <c r="D330" s="25"/>
      <c r="E330" s="25"/>
    </row>
    <row r="331" spans="4:5" ht="15.75" customHeight="1">
      <c r="D331" s="25"/>
      <c r="E331" s="25"/>
    </row>
    <row r="332" spans="4:5" ht="15.75" customHeight="1">
      <c r="D332" s="25"/>
      <c r="E332" s="25"/>
    </row>
    <row r="333" spans="4:5" ht="15.75" customHeight="1">
      <c r="D333" s="25"/>
      <c r="E333" s="25"/>
    </row>
    <row r="334" spans="4:5" ht="15.75" customHeight="1">
      <c r="D334" s="25"/>
      <c r="E334" s="25"/>
    </row>
    <row r="335" spans="4:5" ht="15.75" customHeight="1">
      <c r="D335" s="25"/>
      <c r="E335" s="25"/>
    </row>
    <row r="336" spans="4:5" ht="15.75" customHeight="1">
      <c r="D336" s="25"/>
      <c r="E336" s="25"/>
    </row>
    <row r="337" spans="4:5" ht="15.75" customHeight="1">
      <c r="D337" s="25"/>
      <c r="E337" s="25"/>
    </row>
    <row r="338" spans="4:5" ht="15.75" customHeight="1">
      <c r="D338" s="25"/>
      <c r="E338" s="25"/>
    </row>
    <row r="339" spans="4:5" ht="15.75" customHeight="1">
      <c r="D339" s="25"/>
      <c r="E339" s="25"/>
    </row>
    <row r="340" spans="4:5" ht="15.75" customHeight="1">
      <c r="D340" s="25"/>
      <c r="E340" s="25"/>
    </row>
    <row r="341" spans="4:5" ht="15.75" customHeight="1">
      <c r="D341" s="25"/>
      <c r="E341" s="25"/>
    </row>
    <row r="342" spans="4:5" ht="15.75" customHeight="1">
      <c r="D342" s="25"/>
      <c r="E342" s="25"/>
    </row>
    <row r="343" spans="4:5" ht="15.75" customHeight="1">
      <c r="D343" s="25"/>
      <c r="E343" s="25"/>
    </row>
    <row r="344" spans="4:5" ht="15.75" customHeight="1">
      <c r="D344" s="25"/>
      <c r="E344" s="25"/>
    </row>
    <row r="345" spans="4:5" ht="15.75" customHeight="1">
      <c r="D345" s="25"/>
      <c r="E345" s="25"/>
    </row>
    <row r="346" spans="4:5" ht="15.75" customHeight="1">
      <c r="D346" s="25"/>
      <c r="E346" s="25"/>
    </row>
    <row r="347" spans="4:5" ht="15.75" customHeight="1">
      <c r="D347" s="25"/>
      <c r="E347" s="25"/>
    </row>
    <row r="348" spans="4:5" ht="15.75" customHeight="1">
      <c r="D348" s="25"/>
      <c r="E348" s="25"/>
    </row>
    <row r="349" spans="4:5" ht="15.75" customHeight="1">
      <c r="D349" s="25"/>
      <c r="E349" s="25"/>
    </row>
    <row r="350" spans="4:5" ht="15.75" customHeight="1">
      <c r="D350" s="25"/>
      <c r="E350" s="25"/>
    </row>
    <row r="351" spans="4:5" ht="15.75" customHeight="1">
      <c r="D351" s="25"/>
      <c r="E351" s="25"/>
    </row>
    <row r="352" spans="4:5" ht="15.75" customHeight="1">
      <c r="D352" s="25"/>
      <c r="E352" s="25"/>
    </row>
    <row r="353" spans="4:5" ht="15.75" customHeight="1">
      <c r="D353" s="25"/>
      <c r="E353" s="25"/>
    </row>
    <row r="354" spans="4:5" ht="15.75" customHeight="1">
      <c r="D354" s="25"/>
      <c r="E354" s="25"/>
    </row>
    <row r="355" spans="4:5" ht="15.75" customHeight="1">
      <c r="D355" s="25"/>
      <c r="E355" s="25"/>
    </row>
    <row r="356" spans="4:5" ht="15.75" customHeight="1">
      <c r="D356" s="25"/>
      <c r="E356" s="25"/>
    </row>
    <row r="357" spans="4:5" ht="15.75" customHeight="1">
      <c r="D357" s="25"/>
      <c r="E357" s="25"/>
    </row>
    <row r="358" spans="4:5" ht="15.75" customHeight="1">
      <c r="D358" s="25"/>
      <c r="E358" s="25"/>
    </row>
    <row r="359" spans="4:5" ht="15.75" customHeight="1">
      <c r="D359" s="25"/>
      <c r="E359" s="25"/>
    </row>
    <row r="360" spans="4:5" ht="15.75" customHeight="1">
      <c r="D360" s="25"/>
      <c r="E360" s="25"/>
    </row>
    <row r="361" spans="4:5" ht="15.75" customHeight="1">
      <c r="D361" s="25"/>
      <c r="E361" s="25"/>
    </row>
    <row r="362" spans="4:5" ht="15.75" customHeight="1">
      <c r="D362" s="25"/>
      <c r="E362" s="25"/>
    </row>
    <row r="363" spans="4:5" ht="15.75" customHeight="1">
      <c r="D363" s="25"/>
      <c r="E363" s="25"/>
    </row>
    <row r="364" spans="4:5" ht="15.75" customHeight="1">
      <c r="D364" s="25"/>
      <c r="E364" s="25"/>
    </row>
    <row r="365" spans="4:5" ht="15.75" customHeight="1">
      <c r="D365" s="25"/>
      <c r="E365" s="25"/>
    </row>
    <row r="366" spans="4:5" ht="15.75" customHeight="1">
      <c r="D366" s="25"/>
      <c r="E366" s="25"/>
    </row>
    <row r="367" spans="4:5" ht="15.75" customHeight="1">
      <c r="D367" s="25"/>
      <c r="E367" s="25"/>
    </row>
    <row r="368" spans="4:5" ht="15.75" customHeight="1">
      <c r="D368" s="25"/>
      <c r="E368" s="25"/>
    </row>
    <row r="369" spans="4:5" ht="15.75" customHeight="1">
      <c r="D369" s="25"/>
      <c r="E369" s="25"/>
    </row>
    <row r="370" spans="4:5" ht="15.75" customHeight="1">
      <c r="D370" s="25"/>
      <c r="E370" s="25"/>
    </row>
    <row r="371" spans="4:5" ht="15.75" customHeight="1">
      <c r="D371" s="25"/>
      <c r="E371" s="25"/>
    </row>
    <row r="372" spans="4:5" ht="15.75" customHeight="1">
      <c r="D372" s="25"/>
      <c r="E372" s="25"/>
    </row>
    <row r="373" spans="4:5" ht="15.75" customHeight="1">
      <c r="D373" s="25"/>
      <c r="E373" s="25"/>
    </row>
    <row r="374" spans="4:5" ht="15.75" customHeight="1">
      <c r="D374" s="25"/>
      <c r="E374" s="25"/>
    </row>
    <row r="375" spans="4:5" ht="15.75" customHeight="1">
      <c r="D375" s="25"/>
      <c r="E375" s="25"/>
    </row>
    <row r="376" spans="4:5" ht="15.75" customHeight="1">
      <c r="D376" s="25"/>
      <c r="E376" s="25"/>
    </row>
    <row r="377" spans="4:5" ht="15.75" customHeight="1">
      <c r="D377" s="25"/>
      <c r="E377" s="25"/>
    </row>
    <row r="378" spans="4:5" ht="15.75" customHeight="1">
      <c r="D378" s="25"/>
      <c r="E378" s="25"/>
    </row>
    <row r="379" spans="4:5" ht="15.75" customHeight="1">
      <c r="D379" s="25"/>
      <c r="E379" s="25"/>
    </row>
    <row r="380" spans="4:5" ht="15.75" customHeight="1">
      <c r="D380" s="25"/>
      <c r="E380" s="25"/>
    </row>
    <row r="381" spans="4:5" ht="15.75" customHeight="1">
      <c r="D381" s="25"/>
      <c r="E381" s="25"/>
    </row>
    <row r="382" spans="4:5" ht="15.75" customHeight="1">
      <c r="D382" s="25"/>
      <c r="E382" s="25"/>
    </row>
    <row r="383" spans="4:5" ht="15.75" customHeight="1">
      <c r="D383" s="25"/>
      <c r="E383" s="25"/>
    </row>
    <row r="384" spans="4:5" ht="15.75" customHeight="1">
      <c r="D384" s="25"/>
      <c r="E384" s="25"/>
    </row>
    <row r="385" spans="4:5" ht="15.75" customHeight="1">
      <c r="D385" s="25"/>
      <c r="E385" s="25"/>
    </row>
    <row r="386" spans="4:5" ht="15.75" customHeight="1">
      <c r="D386" s="25"/>
      <c r="E386" s="25"/>
    </row>
    <row r="387" spans="4:5" ht="15.75" customHeight="1">
      <c r="D387" s="25"/>
      <c r="E387" s="25"/>
    </row>
    <row r="388" spans="4:5" ht="15.75" customHeight="1">
      <c r="D388" s="25"/>
      <c r="E388" s="25"/>
    </row>
    <row r="389" spans="4:5" ht="15.75" customHeight="1">
      <c r="D389" s="25"/>
      <c r="E389" s="25"/>
    </row>
    <row r="390" spans="4:5" ht="15.75" customHeight="1">
      <c r="D390" s="25"/>
      <c r="E390" s="25"/>
    </row>
    <row r="391" spans="4:5" ht="15.75" customHeight="1">
      <c r="D391" s="25"/>
      <c r="E391" s="25"/>
    </row>
    <row r="392" spans="4:5" ht="15.75" customHeight="1">
      <c r="D392" s="25"/>
      <c r="E392" s="25"/>
    </row>
    <row r="393" spans="4:5" ht="15.75" customHeight="1">
      <c r="D393" s="25"/>
      <c r="E393" s="25"/>
    </row>
    <row r="394" spans="4:5" ht="15.75" customHeight="1">
      <c r="D394" s="25"/>
      <c r="E394" s="25"/>
    </row>
    <row r="395" spans="4:5" ht="15.75" customHeight="1">
      <c r="D395" s="25"/>
      <c r="E395" s="25"/>
    </row>
    <row r="396" spans="4:5" ht="15.75" customHeight="1">
      <c r="D396" s="25"/>
      <c r="E396" s="25"/>
    </row>
    <row r="397" spans="4:5" ht="15.75" customHeight="1">
      <c r="D397" s="25"/>
      <c r="E397" s="25"/>
    </row>
    <row r="398" spans="4:5" ht="15.75" customHeight="1">
      <c r="D398" s="25"/>
      <c r="E398" s="25"/>
    </row>
    <row r="399" spans="4:5" ht="15.75" customHeight="1">
      <c r="D399" s="25"/>
      <c r="E399" s="25"/>
    </row>
    <row r="400" spans="4:5" ht="15.75" customHeight="1">
      <c r="D400" s="25"/>
      <c r="E400" s="25"/>
    </row>
    <row r="401" spans="4:5" ht="15.75" customHeight="1">
      <c r="D401" s="25"/>
      <c r="E401" s="25"/>
    </row>
    <row r="402" spans="4:5" ht="15.75" customHeight="1">
      <c r="D402" s="25"/>
      <c r="E402" s="25"/>
    </row>
    <row r="403" spans="4:5" ht="15.75" customHeight="1">
      <c r="D403" s="25"/>
      <c r="E403" s="25"/>
    </row>
    <row r="404" spans="4:5" ht="15.75" customHeight="1">
      <c r="D404" s="25"/>
      <c r="E404" s="25"/>
    </row>
    <row r="405" spans="4:5" ht="15.75" customHeight="1">
      <c r="D405" s="25"/>
      <c r="E405" s="25"/>
    </row>
    <row r="406" spans="4:5" ht="15.75" customHeight="1">
      <c r="D406" s="25"/>
      <c r="E406" s="25"/>
    </row>
    <row r="407" spans="4:5" ht="15.75" customHeight="1">
      <c r="D407" s="25"/>
      <c r="E407" s="25"/>
    </row>
    <row r="408" spans="4:5" ht="15.75" customHeight="1">
      <c r="D408" s="25"/>
      <c r="E408" s="25"/>
    </row>
    <row r="409" spans="4:5" ht="15.75" customHeight="1">
      <c r="D409" s="25"/>
      <c r="E409" s="25"/>
    </row>
    <row r="410" spans="4:5" ht="15.75" customHeight="1">
      <c r="D410" s="25"/>
      <c r="E410" s="25"/>
    </row>
    <row r="411" spans="4:5" ht="15.75" customHeight="1">
      <c r="D411" s="25"/>
      <c r="E411" s="25"/>
    </row>
    <row r="412" spans="4:5" ht="15.75" customHeight="1">
      <c r="D412" s="25"/>
      <c r="E412" s="25"/>
    </row>
    <row r="413" spans="4:5" ht="15.75" customHeight="1">
      <c r="D413" s="25"/>
      <c r="E413" s="25"/>
    </row>
    <row r="414" spans="4:5" ht="15.75" customHeight="1">
      <c r="D414" s="25"/>
      <c r="E414" s="25"/>
    </row>
    <row r="415" spans="4:5" ht="15.75" customHeight="1">
      <c r="D415" s="25"/>
      <c r="E415" s="25"/>
    </row>
    <row r="416" spans="4:5" ht="15.75" customHeight="1">
      <c r="D416" s="25"/>
      <c r="E416" s="25"/>
    </row>
    <row r="417" spans="4:5" ht="15.75" customHeight="1">
      <c r="D417" s="25"/>
      <c r="E417" s="25"/>
    </row>
    <row r="418" spans="4:5" ht="15.75" customHeight="1">
      <c r="D418" s="25"/>
      <c r="E418" s="25"/>
    </row>
    <row r="419" spans="4:5" ht="15.75" customHeight="1">
      <c r="D419" s="25"/>
      <c r="E419" s="25"/>
    </row>
    <row r="420" spans="4:5" ht="15.75" customHeight="1">
      <c r="D420" s="25"/>
      <c r="E420" s="25"/>
    </row>
    <row r="421" spans="4:5" ht="15.75" customHeight="1">
      <c r="D421" s="25"/>
      <c r="E421" s="25"/>
    </row>
    <row r="422" spans="4:5" ht="15.75" customHeight="1">
      <c r="D422" s="25"/>
      <c r="E422" s="25"/>
    </row>
    <row r="423" spans="4:5" ht="15.75" customHeight="1">
      <c r="D423" s="25"/>
      <c r="E423" s="25"/>
    </row>
    <row r="424" spans="4:5" ht="15.75" customHeight="1">
      <c r="D424" s="25"/>
      <c r="E424" s="25"/>
    </row>
    <row r="425" spans="4:5" ht="15.75" customHeight="1">
      <c r="D425" s="25"/>
      <c r="E425" s="25"/>
    </row>
    <row r="426" spans="4:5" ht="15.75" customHeight="1">
      <c r="D426" s="25"/>
      <c r="E426" s="25"/>
    </row>
    <row r="427" spans="4:5" ht="15.75" customHeight="1">
      <c r="D427" s="25"/>
      <c r="E427" s="25"/>
    </row>
    <row r="428" spans="4:5" ht="15.75" customHeight="1">
      <c r="D428" s="25"/>
      <c r="E428" s="25"/>
    </row>
    <row r="429" spans="4:5" ht="15.75" customHeight="1">
      <c r="D429" s="25"/>
      <c r="E429" s="25"/>
    </row>
    <row r="430" spans="4:5" ht="15.75" customHeight="1">
      <c r="D430" s="25"/>
      <c r="E430" s="25"/>
    </row>
    <row r="431" spans="4:5" ht="15.75" customHeight="1">
      <c r="D431" s="25"/>
      <c r="E431" s="25"/>
    </row>
    <row r="432" spans="4:5" ht="15.75" customHeight="1">
      <c r="D432" s="25"/>
      <c r="E432" s="25"/>
    </row>
    <row r="433" spans="4:5" ht="15.75" customHeight="1">
      <c r="D433" s="25"/>
      <c r="E433" s="25"/>
    </row>
    <row r="434" spans="4:5" ht="15.75" customHeight="1">
      <c r="D434" s="25"/>
      <c r="E434" s="25"/>
    </row>
    <row r="435" spans="4:5" ht="15.75" customHeight="1">
      <c r="D435" s="25"/>
      <c r="E435" s="25"/>
    </row>
    <row r="436" spans="4:5" ht="15.75" customHeight="1">
      <c r="D436" s="25"/>
      <c r="E436" s="25"/>
    </row>
    <row r="437" spans="4:5" ht="15.75" customHeight="1">
      <c r="D437" s="25"/>
      <c r="E437" s="25"/>
    </row>
    <row r="438" spans="4:5" ht="15.75" customHeight="1">
      <c r="D438" s="25"/>
      <c r="E438" s="25"/>
    </row>
    <row r="439" spans="4:5" ht="15.75" customHeight="1">
      <c r="D439" s="25"/>
      <c r="E439" s="25"/>
    </row>
    <row r="440" spans="4:5" ht="15.75" customHeight="1">
      <c r="D440" s="25"/>
      <c r="E440" s="25"/>
    </row>
    <row r="441" spans="4:5" ht="15.75" customHeight="1">
      <c r="D441" s="25"/>
      <c r="E441" s="25"/>
    </row>
    <row r="442" spans="4:5" ht="15.75" customHeight="1">
      <c r="D442" s="25"/>
      <c r="E442" s="25"/>
    </row>
    <row r="443" spans="4:5" ht="15.75" customHeight="1">
      <c r="D443" s="25"/>
      <c r="E443" s="25"/>
    </row>
    <row r="444" spans="4:5" ht="15.75" customHeight="1">
      <c r="D444" s="25"/>
      <c r="E444" s="25"/>
    </row>
    <row r="445" spans="4:5" ht="15.75" customHeight="1">
      <c r="D445" s="25"/>
      <c r="E445" s="25"/>
    </row>
    <row r="446" spans="4:5" ht="15.75" customHeight="1">
      <c r="D446" s="25"/>
      <c r="E446" s="25"/>
    </row>
    <row r="447" spans="4:5" ht="15.75" customHeight="1">
      <c r="D447" s="25"/>
      <c r="E447" s="25"/>
    </row>
    <row r="448" spans="4:5" ht="15.75" customHeight="1">
      <c r="D448" s="25"/>
      <c r="E448" s="25"/>
    </row>
    <row r="449" spans="4:5" ht="15.75" customHeight="1">
      <c r="D449" s="25"/>
      <c r="E449" s="25"/>
    </row>
    <row r="450" spans="4:5" ht="15.75" customHeight="1">
      <c r="D450" s="25"/>
      <c r="E450" s="25"/>
    </row>
    <row r="451" spans="4:5" ht="15.75" customHeight="1">
      <c r="D451" s="25"/>
      <c r="E451" s="25"/>
    </row>
    <row r="452" spans="4:5" ht="15.75" customHeight="1">
      <c r="D452" s="25"/>
      <c r="E452" s="25"/>
    </row>
    <row r="453" spans="4:5" ht="15.75" customHeight="1">
      <c r="D453" s="25"/>
      <c r="E453" s="25"/>
    </row>
    <row r="454" spans="4:5" ht="15.75" customHeight="1">
      <c r="D454" s="25"/>
      <c r="E454" s="25"/>
    </row>
    <row r="455" spans="4:5" ht="15.75" customHeight="1">
      <c r="D455" s="25"/>
      <c r="E455" s="25"/>
    </row>
    <row r="456" spans="4:5" ht="15.75" customHeight="1">
      <c r="D456" s="25"/>
      <c r="E456" s="25"/>
    </row>
    <row r="457" spans="4:5" ht="15.75" customHeight="1">
      <c r="D457" s="25"/>
      <c r="E457" s="25"/>
    </row>
    <row r="458" spans="4:5" ht="15.75" customHeight="1">
      <c r="D458" s="25"/>
      <c r="E458" s="25"/>
    </row>
    <row r="459" spans="4:5" ht="15.75" customHeight="1">
      <c r="D459" s="25"/>
      <c r="E459" s="25"/>
    </row>
    <row r="460" spans="4:5" ht="15.75" customHeight="1">
      <c r="D460" s="25"/>
      <c r="E460" s="25"/>
    </row>
    <row r="461" spans="4:5" ht="15.75" customHeight="1">
      <c r="D461" s="25"/>
      <c r="E461" s="25"/>
    </row>
    <row r="462" spans="4:5" ht="15.75" customHeight="1">
      <c r="D462" s="25"/>
      <c r="E462" s="25"/>
    </row>
    <row r="463" spans="4:5" ht="15.75" customHeight="1">
      <c r="D463" s="25"/>
      <c r="E463" s="25"/>
    </row>
    <row r="464" spans="4:5" ht="15.75" customHeight="1">
      <c r="D464" s="25"/>
      <c r="E464" s="25"/>
    </row>
    <row r="465" spans="4:5" ht="15.75" customHeight="1">
      <c r="D465" s="25"/>
      <c r="E465" s="25"/>
    </row>
    <row r="466" spans="4:5" ht="15.75" customHeight="1">
      <c r="D466" s="25"/>
      <c r="E466" s="25"/>
    </row>
    <row r="467" spans="4:5" ht="15.75" customHeight="1">
      <c r="D467" s="25"/>
      <c r="E467" s="25"/>
    </row>
    <row r="468" spans="4:5" ht="15.75" customHeight="1">
      <c r="D468" s="25"/>
      <c r="E468" s="25"/>
    </row>
    <row r="469" spans="4:5" ht="15.75" customHeight="1">
      <c r="D469" s="25"/>
      <c r="E469" s="25"/>
    </row>
    <row r="470" spans="4:5" ht="15.75" customHeight="1">
      <c r="D470" s="25"/>
      <c r="E470" s="25"/>
    </row>
    <row r="471" spans="4:5" ht="15.75" customHeight="1">
      <c r="D471" s="25"/>
      <c r="E471" s="25"/>
    </row>
    <row r="472" spans="4:5" ht="15.75" customHeight="1">
      <c r="D472" s="25"/>
      <c r="E472" s="25"/>
    </row>
    <row r="473" spans="4:5" ht="15.75" customHeight="1">
      <c r="D473" s="25"/>
      <c r="E473" s="25"/>
    </row>
    <row r="474" spans="4:5" ht="15.75" customHeight="1">
      <c r="D474" s="25"/>
      <c r="E474" s="25"/>
    </row>
    <row r="475" spans="4:5" ht="15.75" customHeight="1">
      <c r="D475" s="25"/>
      <c r="E475" s="25"/>
    </row>
    <row r="476" spans="4:5" ht="15.75" customHeight="1">
      <c r="D476" s="25"/>
      <c r="E476" s="25"/>
    </row>
    <row r="477" spans="4:5" ht="15.75" customHeight="1">
      <c r="D477" s="25"/>
      <c r="E477" s="25"/>
    </row>
    <row r="478" spans="4:5" ht="15.75" customHeight="1">
      <c r="D478" s="25"/>
      <c r="E478" s="25"/>
    </row>
    <row r="479" spans="4:5" ht="15.75" customHeight="1">
      <c r="D479" s="25"/>
      <c r="E479" s="25"/>
    </row>
    <row r="480" spans="4:5" ht="15.75" customHeight="1">
      <c r="D480" s="25"/>
      <c r="E480" s="25"/>
    </row>
    <row r="481" spans="4:5" ht="15.75" customHeight="1">
      <c r="D481" s="25"/>
      <c r="E481" s="25"/>
    </row>
    <row r="482" spans="4:5" ht="15.75" customHeight="1">
      <c r="D482" s="25"/>
      <c r="E482" s="25"/>
    </row>
    <row r="483" spans="4:5" ht="15.75" customHeight="1">
      <c r="D483" s="25"/>
      <c r="E483" s="25"/>
    </row>
    <row r="484" spans="4:5" ht="15.75" customHeight="1">
      <c r="D484" s="25"/>
      <c r="E484" s="25"/>
    </row>
    <row r="485" spans="4:5" ht="15.75" customHeight="1">
      <c r="D485" s="25"/>
      <c r="E485" s="25"/>
    </row>
    <row r="486" spans="4:5" ht="15.75" customHeight="1">
      <c r="D486" s="25"/>
      <c r="E486" s="25"/>
    </row>
    <row r="487" spans="4:5" ht="15.75" customHeight="1">
      <c r="D487" s="25"/>
      <c r="E487" s="25"/>
    </row>
    <row r="488" spans="4:5" ht="15.75" customHeight="1">
      <c r="D488" s="25"/>
      <c r="E488" s="25"/>
    </row>
    <row r="489" spans="4:5" ht="15.75" customHeight="1">
      <c r="D489" s="25"/>
      <c r="E489" s="25"/>
    </row>
    <row r="490" spans="4:5" ht="15.75" customHeight="1">
      <c r="D490" s="25"/>
      <c r="E490" s="25"/>
    </row>
    <row r="491" spans="4:5" ht="15.75" customHeight="1">
      <c r="D491" s="25"/>
      <c r="E491" s="25"/>
    </row>
    <row r="492" spans="4:5" ht="15.75" customHeight="1">
      <c r="D492" s="25"/>
      <c r="E492" s="25"/>
    </row>
    <row r="493" spans="4:5" ht="15.75" customHeight="1">
      <c r="D493" s="25"/>
      <c r="E493" s="25"/>
    </row>
    <row r="494" spans="4:5" ht="15.75" customHeight="1">
      <c r="D494" s="25"/>
      <c r="E494" s="25"/>
    </row>
    <row r="495" spans="4:5" ht="15.75" customHeight="1">
      <c r="D495" s="25"/>
      <c r="E495" s="25"/>
    </row>
    <row r="496" spans="4:5" ht="15.75" customHeight="1">
      <c r="D496" s="25"/>
      <c r="E496" s="25"/>
    </row>
    <row r="497" spans="4:5" ht="15.75" customHeight="1">
      <c r="D497" s="25"/>
      <c r="E497" s="25"/>
    </row>
    <row r="498" spans="4:5" ht="15.75" customHeight="1">
      <c r="D498" s="25"/>
      <c r="E498" s="25"/>
    </row>
    <row r="499" spans="4:5" ht="15.75" customHeight="1">
      <c r="D499" s="25"/>
      <c r="E499" s="25"/>
    </row>
    <row r="500" spans="4:5" ht="15.75" customHeight="1">
      <c r="D500" s="25"/>
      <c r="E500" s="25"/>
    </row>
    <row r="501" spans="4:5" ht="15.75" customHeight="1">
      <c r="D501" s="25"/>
      <c r="E501" s="25"/>
    </row>
    <row r="502" spans="4:5" ht="15.75" customHeight="1">
      <c r="D502" s="25"/>
      <c r="E502" s="25"/>
    </row>
    <row r="503" spans="4:5" ht="15.75" customHeight="1">
      <c r="D503" s="25"/>
      <c r="E503" s="25"/>
    </row>
    <row r="504" spans="4:5" ht="15.75" customHeight="1">
      <c r="D504" s="25"/>
      <c r="E504" s="25"/>
    </row>
    <row r="505" spans="4:5" ht="15.75" customHeight="1">
      <c r="D505" s="25"/>
      <c r="E505" s="25"/>
    </row>
    <row r="506" spans="4:5" ht="15.75" customHeight="1">
      <c r="D506" s="25"/>
      <c r="E506" s="25"/>
    </row>
    <row r="507" spans="4:5" ht="15.75" customHeight="1">
      <c r="D507" s="25"/>
      <c r="E507" s="25"/>
    </row>
    <row r="508" spans="4:5" ht="15.75" customHeight="1">
      <c r="D508" s="25"/>
      <c r="E508" s="25"/>
    </row>
    <row r="509" spans="4:5" ht="15.75" customHeight="1">
      <c r="D509" s="25"/>
      <c r="E509" s="25"/>
    </row>
    <row r="510" spans="4:5" ht="15.75" customHeight="1">
      <c r="D510" s="25"/>
      <c r="E510" s="25"/>
    </row>
    <row r="511" spans="4:5" ht="15.75" customHeight="1">
      <c r="D511" s="25"/>
      <c r="E511" s="25"/>
    </row>
    <row r="512" spans="4:5" ht="15.75" customHeight="1">
      <c r="D512" s="25"/>
      <c r="E512" s="25"/>
    </row>
    <row r="513" spans="4:5" ht="15.75" customHeight="1">
      <c r="D513" s="25"/>
      <c r="E513" s="25"/>
    </row>
    <row r="514" spans="4:5" ht="15.75" customHeight="1">
      <c r="D514" s="25"/>
      <c r="E514" s="25"/>
    </row>
    <row r="515" spans="4:5" ht="15.75" customHeight="1">
      <c r="D515" s="25"/>
      <c r="E515" s="25"/>
    </row>
    <row r="516" spans="4:5" ht="15.75" customHeight="1">
      <c r="D516" s="25"/>
      <c r="E516" s="25"/>
    </row>
    <row r="517" spans="4:5" ht="15.75" customHeight="1">
      <c r="D517" s="25"/>
      <c r="E517" s="25"/>
    </row>
    <row r="518" spans="4:5" ht="15.75" customHeight="1">
      <c r="D518" s="25"/>
      <c r="E518" s="25"/>
    </row>
    <row r="519" spans="4:5" ht="15.75" customHeight="1">
      <c r="D519" s="25"/>
      <c r="E519" s="25"/>
    </row>
    <row r="520" spans="4:5" ht="15.75" customHeight="1">
      <c r="D520" s="25"/>
      <c r="E520" s="25"/>
    </row>
    <row r="521" spans="4:5" ht="15.75" customHeight="1">
      <c r="D521" s="25"/>
      <c r="E521" s="25"/>
    </row>
    <row r="522" spans="4:5" ht="15.75" customHeight="1">
      <c r="D522" s="25"/>
      <c r="E522" s="25"/>
    </row>
    <row r="523" spans="4:5" ht="15.75" customHeight="1">
      <c r="D523" s="25"/>
      <c r="E523" s="25"/>
    </row>
    <row r="524" spans="4:5" ht="15.75" customHeight="1">
      <c r="D524" s="25"/>
      <c r="E524" s="25"/>
    </row>
    <row r="525" spans="4:5" ht="15.75" customHeight="1">
      <c r="D525" s="25"/>
      <c r="E525" s="25"/>
    </row>
    <row r="526" spans="4:5" ht="15.75" customHeight="1">
      <c r="D526" s="25"/>
      <c r="E526" s="25"/>
    </row>
    <row r="527" spans="4:5" ht="15.75" customHeight="1">
      <c r="D527" s="25"/>
      <c r="E527" s="25"/>
    </row>
    <row r="528" spans="4:5" ht="15.75" customHeight="1">
      <c r="D528" s="25"/>
      <c r="E528" s="25"/>
    </row>
    <row r="529" spans="4:5" ht="15.75" customHeight="1">
      <c r="D529" s="25"/>
      <c r="E529" s="25"/>
    </row>
    <row r="530" spans="4:5" ht="15.75" customHeight="1">
      <c r="D530" s="25"/>
      <c r="E530" s="25"/>
    </row>
    <row r="531" spans="4:5" ht="15.75" customHeight="1">
      <c r="D531" s="25"/>
      <c r="E531" s="25"/>
    </row>
    <row r="532" spans="4:5" ht="15.75" customHeight="1">
      <c r="D532" s="25"/>
      <c r="E532" s="25"/>
    </row>
    <row r="533" spans="4:5" ht="15.75" customHeight="1">
      <c r="D533" s="25"/>
      <c r="E533" s="25"/>
    </row>
    <row r="534" spans="4:5" ht="15.75" customHeight="1">
      <c r="D534" s="25"/>
      <c r="E534" s="25"/>
    </row>
    <row r="535" spans="4:5" ht="15.75" customHeight="1">
      <c r="D535" s="25"/>
      <c r="E535" s="25"/>
    </row>
    <row r="536" spans="4:5" ht="15.75" customHeight="1">
      <c r="D536" s="25"/>
      <c r="E536" s="25"/>
    </row>
    <row r="537" spans="4:5" ht="15.75" customHeight="1">
      <c r="D537" s="25"/>
      <c r="E537" s="25"/>
    </row>
    <row r="538" spans="4:5" ht="15.75" customHeight="1">
      <c r="D538" s="25"/>
      <c r="E538" s="25"/>
    </row>
    <row r="539" spans="4:5" ht="15.75" customHeight="1">
      <c r="D539" s="25"/>
      <c r="E539" s="25"/>
    </row>
    <row r="540" spans="4:5" ht="15.75" customHeight="1">
      <c r="D540" s="25"/>
      <c r="E540" s="25"/>
    </row>
    <row r="541" spans="4:5" ht="15.75" customHeight="1">
      <c r="D541" s="25"/>
      <c r="E541" s="25"/>
    </row>
    <row r="542" spans="4:5" ht="15.75" customHeight="1">
      <c r="D542" s="25"/>
      <c r="E542" s="25"/>
    </row>
    <row r="543" spans="4:5" ht="15.75" customHeight="1">
      <c r="D543" s="25"/>
      <c r="E543" s="25"/>
    </row>
    <row r="544" spans="4:5" ht="15.75" customHeight="1">
      <c r="D544" s="25"/>
      <c r="E544" s="25"/>
    </row>
    <row r="545" spans="4:5" ht="15.75" customHeight="1">
      <c r="D545" s="25"/>
      <c r="E545" s="25"/>
    </row>
    <row r="546" spans="4:5" ht="15.75" customHeight="1">
      <c r="D546" s="25"/>
      <c r="E546" s="25"/>
    </row>
    <row r="547" spans="4:5" ht="15.75" customHeight="1">
      <c r="D547" s="25"/>
      <c r="E547" s="25"/>
    </row>
    <row r="548" spans="4:5" ht="15.75" customHeight="1">
      <c r="D548" s="25"/>
      <c r="E548" s="25"/>
    </row>
    <row r="549" spans="4:5" ht="15.75" customHeight="1">
      <c r="D549" s="25"/>
      <c r="E549" s="25"/>
    </row>
    <row r="550" spans="4:5" ht="15.75" customHeight="1">
      <c r="D550" s="25"/>
      <c r="E550" s="25"/>
    </row>
    <row r="551" spans="4:5" ht="15.75" customHeight="1">
      <c r="D551" s="25"/>
      <c r="E551" s="25"/>
    </row>
    <row r="552" spans="4:5" ht="15.75" customHeight="1">
      <c r="D552" s="25"/>
      <c r="E552" s="25"/>
    </row>
    <row r="553" spans="4:5" ht="15.75" customHeight="1">
      <c r="D553" s="25"/>
      <c r="E553" s="25"/>
    </row>
    <row r="554" spans="4:5" ht="15.75" customHeight="1">
      <c r="D554" s="25"/>
      <c r="E554" s="25"/>
    </row>
    <row r="555" spans="4:5" ht="15.75" customHeight="1">
      <c r="D555" s="25"/>
      <c r="E555" s="25"/>
    </row>
    <row r="556" spans="4:5" ht="15.75" customHeight="1">
      <c r="D556" s="25"/>
      <c r="E556" s="25"/>
    </row>
    <row r="557" spans="4:5" ht="15.75" customHeight="1">
      <c r="D557" s="25"/>
      <c r="E557" s="25"/>
    </row>
    <row r="558" spans="4:5" ht="15.75" customHeight="1">
      <c r="D558" s="25"/>
      <c r="E558" s="25"/>
    </row>
    <row r="559" spans="4:5" ht="15.75" customHeight="1">
      <c r="D559" s="25"/>
      <c r="E559" s="25"/>
    </row>
    <row r="560" spans="4:5" ht="15.75" customHeight="1">
      <c r="D560" s="25"/>
      <c r="E560" s="25"/>
    </row>
    <row r="561" spans="4:5" ht="15.75" customHeight="1">
      <c r="D561" s="25"/>
      <c r="E561" s="25"/>
    </row>
    <row r="562" spans="4:5" ht="15.75" customHeight="1">
      <c r="D562" s="25"/>
      <c r="E562" s="25"/>
    </row>
    <row r="563" spans="4:5" ht="15.75" customHeight="1">
      <c r="D563" s="25"/>
      <c r="E563" s="25"/>
    </row>
    <row r="564" spans="4:5" ht="15.75" customHeight="1">
      <c r="D564" s="25"/>
      <c r="E564" s="25"/>
    </row>
    <row r="565" spans="4:5" ht="15.75" customHeight="1">
      <c r="D565" s="25"/>
      <c r="E565" s="25"/>
    </row>
    <row r="566" spans="4:5" ht="15.75" customHeight="1">
      <c r="D566" s="25"/>
      <c r="E566" s="25"/>
    </row>
    <row r="567" spans="4:5" ht="15.75" customHeight="1">
      <c r="D567" s="25"/>
      <c r="E567" s="25"/>
    </row>
    <row r="568" spans="4:5" ht="15.75" customHeight="1">
      <c r="D568" s="25"/>
      <c r="E568" s="25"/>
    </row>
    <row r="569" spans="4:5" ht="15.75" customHeight="1">
      <c r="D569" s="25"/>
      <c r="E569" s="25"/>
    </row>
    <row r="570" spans="4:5" ht="15.75" customHeight="1">
      <c r="D570" s="25"/>
      <c r="E570" s="25"/>
    </row>
    <row r="571" spans="4:5" ht="15.75" customHeight="1">
      <c r="D571" s="25"/>
      <c r="E571" s="25"/>
    </row>
    <row r="572" spans="4:5" ht="15.75" customHeight="1">
      <c r="D572" s="25"/>
      <c r="E572" s="25"/>
    </row>
    <row r="573" spans="4:5" ht="15.75" customHeight="1">
      <c r="D573" s="25"/>
      <c r="E573" s="25"/>
    </row>
    <row r="574" spans="4:5" ht="15.75" customHeight="1">
      <c r="D574" s="25"/>
      <c r="E574" s="25"/>
    </row>
    <row r="575" spans="4:5" ht="15.75" customHeight="1">
      <c r="D575" s="25"/>
      <c r="E575" s="25"/>
    </row>
    <row r="576" spans="4:5" ht="15.75" customHeight="1">
      <c r="D576" s="25"/>
      <c r="E576" s="25"/>
    </row>
    <row r="577" spans="4:5" ht="15.75" customHeight="1">
      <c r="D577" s="25"/>
      <c r="E577" s="25"/>
    </row>
    <row r="578" spans="4:5" ht="15.75" customHeight="1">
      <c r="D578" s="25"/>
      <c r="E578" s="25"/>
    </row>
    <row r="579" spans="4:5" ht="15.75" customHeight="1">
      <c r="D579" s="25"/>
      <c r="E579" s="25"/>
    </row>
    <row r="580" spans="4:5" ht="15.75" customHeight="1">
      <c r="D580" s="25"/>
      <c r="E580" s="25"/>
    </row>
    <row r="581" spans="4:5" ht="15.75" customHeight="1">
      <c r="D581" s="25"/>
      <c r="E581" s="25"/>
    </row>
    <row r="582" spans="4:5" ht="15.75" customHeight="1">
      <c r="D582" s="25"/>
      <c r="E582" s="25"/>
    </row>
    <row r="583" spans="4:5" ht="15.75" customHeight="1">
      <c r="D583" s="25"/>
      <c r="E583" s="25"/>
    </row>
    <row r="584" spans="4:5" ht="15.75" customHeight="1">
      <c r="D584" s="25"/>
      <c r="E584" s="25"/>
    </row>
    <row r="585" spans="4:5" ht="15.75" customHeight="1">
      <c r="D585" s="25"/>
      <c r="E585" s="25"/>
    </row>
    <row r="586" spans="4:5" ht="15.75" customHeight="1">
      <c r="D586" s="25"/>
      <c r="E586" s="25"/>
    </row>
    <row r="587" spans="4:5" ht="15.75" customHeight="1">
      <c r="D587" s="25"/>
      <c r="E587" s="25"/>
    </row>
    <row r="588" spans="4:5" ht="15.75" customHeight="1">
      <c r="D588" s="25"/>
      <c r="E588" s="25"/>
    </row>
    <row r="589" spans="4:5" ht="15.75" customHeight="1">
      <c r="D589" s="25"/>
      <c r="E589" s="25"/>
    </row>
    <row r="590" spans="4:5" ht="15.75" customHeight="1">
      <c r="D590" s="25"/>
      <c r="E590" s="25"/>
    </row>
    <row r="591" spans="4:5" ht="15.75" customHeight="1">
      <c r="D591" s="25"/>
      <c r="E591" s="25"/>
    </row>
    <row r="592" spans="4:5" ht="15.75" customHeight="1">
      <c r="D592" s="25"/>
      <c r="E592" s="25"/>
    </row>
    <row r="593" spans="4:5" ht="15.75" customHeight="1">
      <c r="D593" s="25"/>
      <c r="E593" s="25"/>
    </row>
    <row r="594" spans="4:5" ht="15.75" customHeight="1">
      <c r="D594" s="25"/>
      <c r="E594" s="25"/>
    </row>
    <row r="595" spans="4:5" ht="15.75" customHeight="1">
      <c r="D595" s="25"/>
      <c r="E595" s="25"/>
    </row>
    <row r="596" spans="4:5" ht="15.75" customHeight="1">
      <c r="D596" s="25"/>
      <c r="E596" s="25"/>
    </row>
    <row r="597" spans="4:5" ht="15.75" customHeight="1">
      <c r="D597" s="25"/>
      <c r="E597" s="25"/>
    </row>
    <row r="598" spans="4:5" ht="15.75" customHeight="1">
      <c r="D598" s="25"/>
      <c r="E598" s="25"/>
    </row>
    <row r="599" spans="4:5" ht="15.75" customHeight="1">
      <c r="D599" s="25"/>
      <c r="E599" s="25"/>
    </row>
    <row r="600" spans="4:5" ht="15.75" customHeight="1">
      <c r="D600" s="25"/>
      <c r="E600" s="25"/>
    </row>
    <row r="601" spans="4:5" ht="15.75" customHeight="1">
      <c r="D601" s="25"/>
      <c r="E601" s="25"/>
    </row>
    <row r="602" spans="4:5" ht="15.75" customHeight="1">
      <c r="D602" s="25"/>
      <c r="E602" s="25"/>
    </row>
    <row r="603" spans="4:5" ht="15.75" customHeight="1">
      <c r="D603" s="25"/>
      <c r="E603" s="25"/>
    </row>
    <row r="604" spans="4:5" ht="15.75" customHeight="1">
      <c r="D604" s="25"/>
      <c r="E604" s="25"/>
    </row>
    <row r="605" spans="4:5" ht="15.75" customHeight="1">
      <c r="D605" s="25"/>
      <c r="E605" s="25"/>
    </row>
    <row r="606" spans="4:5" ht="15.75" customHeight="1">
      <c r="D606" s="25"/>
      <c r="E606" s="25"/>
    </row>
    <row r="607" spans="4:5" ht="15.75" customHeight="1">
      <c r="D607" s="25"/>
      <c r="E607" s="25"/>
    </row>
    <row r="608" spans="4:5" ht="15.75" customHeight="1">
      <c r="D608" s="25"/>
      <c r="E608" s="25"/>
    </row>
    <row r="609" spans="4:5" ht="15.75" customHeight="1">
      <c r="D609" s="25"/>
      <c r="E609" s="25"/>
    </row>
    <row r="610" spans="4:5" ht="15.75" customHeight="1">
      <c r="D610" s="25"/>
      <c r="E610" s="25"/>
    </row>
    <row r="611" spans="4:5" ht="15.75" customHeight="1">
      <c r="D611" s="25"/>
      <c r="E611" s="25"/>
    </row>
    <row r="612" spans="4:5" ht="15.75" customHeight="1">
      <c r="D612" s="25"/>
      <c r="E612" s="25"/>
    </row>
    <row r="613" spans="4:5" ht="15.75" customHeight="1">
      <c r="D613" s="25"/>
      <c r="E613" s="25"/>
    </row>
    <row r="614" spans="4:5" ht="15.75" customHeight="1">
      <c r="D614" s="25"/>
      <c r="E614" s="25"/>
    </row>
    <row r="615" spans="4:5" ht="15.75" customHeight="1">
      <c r="D615" s="25"/>
      <c r="E615" s="25"/>
    </row>
    <row r="616" spans="4:5" ht="15.75" customHeight="1">
      <c r="D616" s="25"/>
      <c r="E616" s="25"/>
    </row>
    <row r="617" spans="4:5" ht="15.75" customHeight="1">
      <c r="D617" s="25"/>
      <c r="E617" s="25"/>
    </row>
    <row r="618" spans="4:5" ht="15.75" customHeight="1">
      <c r="D618" s="25"/>
      <c r="E618" s="25"/>
    </row>
    <row r="619" spans="4:5" ht="15.75" customHeight="1">
      <c r="D619" s="25"/>
      <c r="E619" s="25"/>
    </row>
    <row r="620" spans="4:5" ht="15.75" customHeight="1">
      <c r="D620" s="25"/>
      <c r="E620" s="25"/>
    </row>
    <row r="621" spans="4:5" ht="15.75" customHeight="1">
      <c r="D621" s="25"/>
      <c r="E621" s="25"/>
    </row>
    <row r="622" spans="4:5" ht="15.75" customHeight="1">
      <c r="D622" s="25"/>
      <c r="E622" s="25"/>
    </row>
    <row r="623" spans="4:5" ht="15.75" customHeight="1">
      <c r="D623" s="25"/>
      <c r="E623" s="25"/>
    </row>
    <row r="624" spans="4:5" ht="15.75" customHeight="1">
      <c r="D624" s="25"/>
      <c r="E624" s="25"/>
    </row>
    <row r="625" spans="4:5" ht="15.75" customHeight="1">
      <c r="D625" s="25"/>
      <c r="E625" s="25"/>
    </row>
    <row r="626" spans="4:5" ht="15.75" customHeight="1">
      <c r="D626" s="25"/>
      <c r="E626" s="25"/>
    </row>
    <row r="627" spans="4:5" ht="15.75" customHeight="1">
      <c r="D627" s="25"/>
      <c r="E627" s="25"/>
    </row>
    <row r="628" spans="4:5" ht="15.75" customHeight="1">
      <c r="D628" s="25"/>
      <c r="E628" s="25"/>
    </row>
    <row r="629" spans="4:5" ht="15.75" customHeight="1">
      <c r="D629" s="25"/>
      <c r="E629" s="25"/>
    </row>
    <row r="630" spans="4:5" ht="15.75" customHeight="1">
      <c r="D630" s="25"/>
      <c r="E630" s="25"/>
    </row>
    <row r="631" spans="4:5" ht="15.75" customHeight="1">
      <c r="D631" s="25"/>
      <c r="E631" s="25"/>
    </row>
    <row r="632" spans="4:5" ht="15.75" customHeight="1">
      <c r="D632" s="25"/>
      <c r="E632" s="25"/>
    </row>
    <row r="633" spans="4:5" ht="15.75" customHeight="1">
      <c r="D633" s="25"/>
      <c r="E633" s="25"/>
    </row>
    <row r="634" spans="4:5" ht="15.75" customHeight="1">
      <c r="D634" s="25"/>
      <c r="E634" s="25"/>
    </row>
    <row r="635" spans="4:5" ht="15.75" customHeight="1">
      <c r="D635" s="25"/>
      <c r="E635" s="25"/>
    </row>
    <row r="636" spans="4:5" ht="15.75" customHeight="1">
      <c r="D636" s="25"/>
      <c r="E636" s="25"/>
    </row>
    <row r="637" spans="4:5" ht="15.75" customHeight="1">
      <c r="D637" s="25"/>
      <c r="E637" s="25"/>
    </row>
    <row r="638" spans="4:5" ht="15.75" customHeight="1">
      <c r="D638" s="25"/>
      <c r="E638" s="25"/>
    </row>
    <row r="639" spans="4:5" ht="15.75" customHeight="1">
      <c r="D639" s="25"/>
      <c r="E639" s="25"/>
    </row>
    <row r="640" spans="4:5" ht="15.75" customHeight="1">
      <c r="D640" s="25"/>
      <c r="E640" s="25"/>
    </row>
    <row r="641" spans="4:5" ht="15.75" customHeight="1">
      <c r="D641" s="25"/>
      <c r="E641" s="25"/>
    </row>
    <row r="642" spans="4:5" ht="15.75" customHeight="1">
      <c r="D642" s="25"/>
      <c r="E642" s="25"/>
    </row>
    <row r="643" spans="4:5" ht="15.75" customHeight="1">
      <c r="D643" s="25"/>
      <c r="E643" s="25"/>
    </row>
    <row r="644" spans="4:5" ht="15.75" customHeight="1">
      <c r="D644" s="25"/>
      <c r="E644" s="25"/>
    </row>
    <row r="645" spans="4:5" ht="15.75" customHeight="1">
      <c r="D645" s="25"/>
      <c r="E645" s="25"/>
    </row>
    <row r="646" spans="4:5" ht="15.75" customHeight="1">
      <c r="D646" s="25"/>
      <c r="E646" s="25"/>
    </row>
    <row r="647" spans="4:5" ht="15.75" customHeight="1">
      <c r="D647" s="25"/>
      <c r="E647" s="25"/>
    </row>
    <row r="648" spans="4:5" ht="15.75" customHeight="1">
      <c r="D648" s="25"/>
      <c r="E648" s="25"/>
    </row>
    <row r="649" spans="4:5" ht="15.75" customHeight="1">
      <c r="D649" s="25"/>
      <c r="E649" s="25"/>
    </row>
    <row r="650" spans="4:5" ht="15.75" customHeight="1">
      <c r="D650" s="25"/>
      <c r="E650" s="25"/>
    </row>
    <row r="651" spans="4:5" ht="15.75" customHeight="1">
      <c r="D651" s="25"/>
      <c r="E651" s="25"/>
    </row>
    <row r="652" spans="4:5" ht="15.75" customHeight="1">
      <c r="D652" s="25"/>
      <c r="E652" s="25"/>
    </row>
    <row r="653" spans="4:5" ht="15.75" customHeight="1">
      <c r="D653" s="25"/>
      <c r="E653" s="25"/>
    </row>
    <row r="654" spans="4:5" ht="15.75" customHeight="1">
      <c r="D654" s="25"/>
      <c r="E654" s="25"/>
    </row>
    <row r="655" spans="4:5" ht="15.75" customHeight="1">
      <c r="D655" s="25"/>
      <c r="E655" s="25"/>
    </row>
    <row r="656" spans="4:5" ht="15.75" customHeight="1">
      <c r="D656" s="25"/>
      <c r="E656" s="25"/>
    </row>
    <row r="657" spans="4:5" ht="15.75" customHeight="1">
      <c r="D657" s="25"/>
      <c r="E657" s="25"/>
    </row>
    <row r="658" spans="4:5" ht="15.75" customHeight="1">
      <c r="D658" s="25"/>
      <c r="E658" s="25"/>
    </row>
    <row r="659" spans="4:5" ht="15.75" customHeight="1">
      <c r="D659" s="25"/>
      <c r="E659" s="25"/>
    </row>
    <row r="660" spans="4:5" ht="15.75" customHeight="1">
      <c r="D660" s="25"/>
      <c r="E660" s="25"/>
    </row>
    <row r="661" spans="4:5" ht="15.75" customHeight="1">
      <c r="D661" s="25"/>
      <c r="E661" s="25"/>
    </row>
    <row r="662" spans="4:5" ht="15.75" customHeight="1">
      <c r="D662" s="25"/>
      <c r="E662" s="25"/>
    </row>
    <row r="663" spans="4:5" ht="15.75" customHeight="1">
      <c r="D663" s="25"/>
      <c r="E663" s="25"/>
    </row>
    <row r="664" spans="4:5" ht="15.75" customHeight="1">
      <c r="D664" s="25"/>
      <c r="E664" s="25"/>
    </row>
    <row r="665" spans="4:5" ht="15.75" customHeight="1">
      <c r="D665" s="25"/>
      <c r="E665" s="25"/>
    </row>
    <row r="666" spans="4:5" ht="15.75" customHeight="1">
      <c r="D666" s="25"/>
      <c r="E666" s="25"/>
    </row>
    <row r="667" spans="4:5" ht="15.75" customHeight="1">
      <c r="D667" s="25"/>
      <c r="E667" s="25"/>
    </row>
    <row r="668" spans="4:5" ht="15.75" customHeight="1">
      <c r="D668" s="25"/>
      <c r="E668" s="25"/>
    </row>
    <row r="669" spans="4:5" ht="15.75" customHeight="1">
      <c r="D669" s="25"/>
      <c r="E669" s="25"/>
    </row>
    <row r="670" spans="4:5" ht="15.75" customHeight="1">
      <c r="D670" s="25"/>
      <c r="E670" s="25"/>
    </row>
    <row r="671" spans="4:5" ht="15.75" customHeight="1">
      <c r="D671" s="25"/>
      <c r="E671" s="25"/>
    </row>
    <row r="672" spans="4:5" ht="15.75" customHeight="1">
      <c r="D672" s="25"/>
      <c r="E672" s="25"/>
    </row>
    <row r="673" spans="4:5" ht="15.75" customHeight="1">
      <c r="D673" s="25"/>
      <c r="E673" s="25"/>
    </row>
    <row r="674" spans="4:5" ht="15.75" customHeight="1">
      <c r="D674" s="25"/>
      <c r="E674" s="25"/>
    </row>
    <row r="675" spans="4:5" ht="15.75" customHeight="1">
      <c r="D675" s="25"/>
      <c r="E675" s="25"/>
    </row>
    <row r="676" spans="4:5" ht="15.75" customHeight="1">
      <c r="D676" s="25"/>
      <c r="E676" s="25"/>
    </row>
    <row r="677" spans="4:5" ht="15.75" customHeight="1">
      <c r="D677" s="25"/>
      <c r="E677" s="25"/>
    </row>
    <row r="678" spans="4:5" ht="15.75" customHeight="1">
      <c r="D678" s="25"/>
      <c r="E678" s="25"/>
    </row>
    <row r="679" spans="4:5" ht="15.75" customHeight="1">
      <c r="D679" s="25"/>
      <c r="E679" s="25"/>
    </row>
    <row r="680" spans="4:5" ht="15.75" customHeight="1">
      <c r="D680" s="25"/>
      <c r="E680" s="25"/>
    </row>
    <row r="681" spans="4:5" ht="15.75" customHeight="1">
      <c r="D681" s="25"/>
      <c r="E681" s="25"/>
    </row>
    <row r="682" spans="4:5" ht="15.75" customHeight="1">
      <c r="D682" s="25"/>
      <c r="E682" s="25"/>
    </row>
    <row r="683" spans="4:5" ht="15.75" customHeight="1">
      <c r="D683" s="25"/>
      <c r="E683" s="25"/>
    </row>
    <row r="684" spans="4:5" ht="15.75" customHeight="1">
      <c r="D684" s="25"/>
      <c r="E684" s="25"/>
    </row>
    <row r="685" spans="4:5" ht="15.75" customHeight="1">
      <c r="D685" s="25"/>
      <c r="E685" s="25"/>
    </row>
    <row r="686" spans="4:5" ht="15.75" customHeight="1">
      <c r="D686" s="25"/>
      <c r="E686" s="25"/>
    </row>
    <row r="687" spans="4:5" ht="15.75" customHeight="1">
      <c r="D687" s="25"/>
      <c r="E687" s="25"/>
    </row>
    <row r="688" spans="4:5" ht="15.75" customHeight="1">
      <c r="D688" s="25"/>
      <c r="E688" s="25"/>
    </row>
    <row r="689" spans="4:5" ht="15.75" customHeight="1">
      <c r="D689" s="25"/>
      <c r="E689" s="25"/>
    </row>
    <row r="690" spans="4:5" ht="15.75" customHeight="1">
      <c r="D690" s="25"/>
      <c r="E690" s="25"/>
    </row>
    <row r="691" spans="4:5" ht="15.75" customHeight="1">
      <c r="D691" s="25"/>
      <c r="E691" s="25"/>
    </row>
    <row r="692" spans="4:5" ht="15.75" customHeight="1">
      <c r="D692" s="25"/>
      <c r="E692" s="25"/>
    </row>
    <row r="693" spans="4:5" ht="15.75" customHeight="1">
      <c r="D693" s="25"/>
      <c r="E693" s="25"/>
    </row>
    <row r="694" spans="4:5" ht="15.75" customHeight="1">
      <c r="D694" s="25"/>
      <c r="E694" s="25"/>
    </row>
    <row r="695" spans="4:5" ht="15.75" customHeight="1">
      <c r="D695" s="25"/>
      <c r="E695" s="25"/>
    </row>
    <row r="696" spans="4:5" ht="15.75" customHeight="1">
      <c r="D696" s="25"/>
      <c r="E696" s="25"/>
    </row>
    <row r="697" spans="4:5" ht="15.75" customHeight="1">
      <c r="D697" s="25"/>
      <c r="E697" s="25"/>
    </row>
    <row r="698" spans="4:5" ht="15.75" customHeight="1">
      <c r="D698" s="25"/>
      <c r="E698" s="25"/>
    </row>
    <row r="699" spans="4:5" ht="15.75" customHeight="1">
      <c r="D699" s="25"/>
      <c r="E699" s="25"/>
    </row>
    <row r="700" spans="4:5" ht="15.75" customHeight="1">
      <c r="D700" s="25"/>
      <c r="E700" s="25"/>
    </row>
    <row r="701" spans="4:5" ht="15.75" customHeight="1">
      <c r="D701" s="25"/>
      <c r="E701" s="25"/>
    </row>
    <row r="702" spans="4:5" ht="15.75" customHeight="1">
      <c r="D702" s="25"/>
      <c r="E702" s="25"/>
    </row>
    <row r="703" spans="4:5" ht="15.75" customHeight="1">
      <c r="D703" s="25"/>
      <c r="E703" s="25"/>
    </row>
    <row r="704" spans="4:5" ht="15.75" customHeight="1">
      <c r="D704" s="25"/>
      <c r="E704" s="25"/>
    </row>
    <row r="705" spans="4:5" ht="15.75" customHeight="1">
      <c r="D705" s="25"/>
      <c r="E705" s="25"/>
    </row>
    <row r="706" spans="4:5" ht="15.75" customHeight="1">
      <c r="D706" s="25"/>
      <c r="E706" s="25"/>
    </row>
    <row r="707" spans="4:5" ht="15.75" customHeight="1">
      <c r="D707" s="25"/>
      <c r="E707" s="25"/>
    </row>
    <row r="708" spans="4:5" ht="15.75" customHeight="1">
      <c r="D708" s="25"/>
      <c r="E708" s="25"/>
    </row>
    <row r="709" spans="4:5" ht="15.75" customHeight="1">
      <c r="D709" s="25"/>
      <c r="E709" s="25"/>
    </row>
    <row r="710" spans="4:5" ht="15.75" customHeight="1">
      <c r="D710" s="25"/>
      <c r="E710" s="25"/>
    </row>
    <row r="711" spans="4:5" ht="15.75" customHeight="1">
      <c r="D711" s="25"/>
      <c r="E711" s="25"/>
    </row>
    <row r="712" spans="4:5" ht="15.75" customHeight="1">
      <c r="D712" s="25"/>
      <c r="E712" s="25"/>
    </row>
    <row r="713" spans="4:5" ht="15.75" customHeight="1">
      <c r="D713" s="25"/>
      <c r="E713" s="25"/>
    </row>
    <row r="714" spans="4:5" ht="15.75" customHeight="1">
      <c r="D714" s="25"/>
      <c r="E714" s="25"/>
    </row>
    <row r="715" spans="4:5" ht="15.75" customHeight="1">
      <c r="D715" s="25"/>
      <c r="E715" s="25"/>
    </row>
    <row r="716" spans="4:5" ht="15.75" customHeight="1">
      <c r="D716" s="25"/>
      <c r="E716" s="25"/>
    </row>
    <row r="717" spans="4:5" ht="15.75" customHeight="1">
      <c r="D717" s="25"/>
      <c r="E717" s="25"/>
    </row>
    <row r="718" spans="4:5" ht="15.75" customHeight="1">
      <c r="D718" s="25"/>
      <c r="E718" s="25"/>
    </row>
    <row r="719" spans="4:5" ht="15.75" customHeight="1">
      <c r="D719" s="25"/>
      <c r="E719" s="25"/>
    </row>
    <row r="720" spans="4:5" ht="15.75" customHeight="1">
      <c r="D720" s="25"/>
      <c r="E720" s="25"/>
    </row>
    <row r="721" spans="4:5" ht="15.75" customHeight="1">
      <c r="D721" s="25"/>
      <c r="E721" s="25"/>
    </row>
    <row r="722" spans="4:5" ht="15.75" customHeight="1">
      <c r="D722" s="25"/>
      <c r="E722" s="25"/>
    </row>
    <row r="723" spans="4:5" ht="15.75" customHeight="1">
      <c r="D723" s="25"/>
      <c r="E723" s="25"/>
    </row>
    <row r="724" spans="4:5" ht="15.75" customHeight="1">
      <c r="D724" s="25"/>
      <c r="E724" s="25"/>
    </row>
    <row r="725" spans="4:5" ht="15.75" customHeight="1">
      <c r="D725" s="25"/>
      <c r="E725" s="25"/>
    </row>
    <row r="726" spans="4:5" ht="15.75" customHeight="1">
      <c r="D726" s="25"/>
      <c r="E726" s="25"/>
    </row>
    <row r="727" spans="4:5" ht="15.75" customHeight="1">
      <c r="D727" s="25"/>
      <c r="E727" s="25"/>
    </row>
    <row r="728" spans="4:5" ht="15.75" customHeight="1">
      <c r="D728" s="25"/>
      <c r="E728" s="25"/>
    </row>
    <row r="729" spans="4:5" ht="15.75" customHeight="1">
      <c r="D729" s="25"/>
      <c r="E729" s="25"/>
    </row>
    <row r="730" spans="4:5" ht="15.75" customHeight="1">
      <c r="D730" s="25"/>
      <c r="E730" s="25"/>
    </row>
    <row r="731" spans="4:5" ht="15.75" customHeight="1">
      <c r="D731" s="25"/>
      <c r="E731" s="25"/>
    </row>
    <row r="732" spans="4:5" ht="15.75" customHeight="1">
      <c r="D732" s="25"/>
      <c r="E732" s="25"/>
    </row>
    <row r="733" spans="4:5" ht="15.75" customHeight="1">
      <c r="D733" s="25"/>
      <c r="E733" s="25"/>
    </row>
    <row r="734" spans="4:5" ht="15.75" customHeight="1">
      <c r="D734" s="25"/>
      <c r="E734" s="25"/>
    </row>
    <row r="735" spans="4:5" ht="15.75" customHeight="1">
      <c r="D735" s="25"/>
      <c r="E735" s="25"/>
    </row>
    <row r="736" spans="4:5" ht="15.75" customHeight="1">
      <c r="D736" s="25"/>
      <c r="E736" s="25"/>
    </row>
    <row r="737" spans="4:5" ht="15.75" customHeight="1">
      <c r="D737" s="25"/>
      <c r="E737" s="25"/>
    </row>
    <row r="738" spans="4:5" ht="15.75" customHeight="1">
      <c r="D738" s="25"/>
      <c r="E738" s="25"/>
    </row>
    <row r="739" spans="4:5" ht="15.75" customHeight="1">
      <c r="D739" s="25"/>
      <c r="E739" s="25"/>
    </row>
    <row r="740" spans="4:5" ht="15.75" customHeight="1">
      <c r="D740" s="25"/>
      <c r="E740" s="25"/>
    </row>
    <row r="741" spans="4:5" ht="15.75" customHeight="1">
      <c r="D741" s="25"/>
      <c r="E741" s="25"/>
    </row>
    <row r="742" spans="4:5" ht="15.75" customHeight="1">
      <c r="D742" s="25"/>
      <c r="E742" s="25"/>
    </row>
    <row r="743" spans="4:5" ht="15.75" customHeight="1">
      <c r="D743" s="25"/>
      <c r="E743" s="25"/>
    </row>
    <row r="744" spans="4:5" ht="15.75" customHeight="1">
      <c r="D744" s="25"/>
      <c r="E744" s="25"/>
    </row>
    <row r="745" spans="4:5" ht="15.75" customHeight="1">
      <c r="D745" s="25"/>
      <c r="E745" s="25"/>
    </row>
    <row r="746" spans="4:5" ht="15.75" customHeight="1">
      <c r="D746" s="25"/>
      <c r="E746" s="25"/>
    </row>
    <row r="747" spans="4:5" ht="15.75" customHeight="1">
      <c r="D747" s="25"/>
      <c r="E747" s="25"/>
    </row>
    <row r="748" spans="4:5" ht="15.75" customHeight="1">
      <c r="D748" s="25"/>
      <c r="E748" s="25"/>
    </row>
    <row r="749" spans="4:5" ht="15.75" customHeight="1">
      <c r="D749" s="25"/>
      <c r="E749" s="25"/>
    </row>
    <row r="750" spans="4:5" ht="15.75" customHeight="1">
      <c r="D750" s="25"/>
      <c r="E750" s="25"/>
    </row>
    <row r="751" spans="4:5" ht="15.75" customHeight="1">
      <c r="D751" s="25"/>
      <c r="E751" s="25"/>
    </row>
    <row r="752" spans="4:5" ht="15.75" customHeight="1">
      <c r="D752" s="25"/>
      <c r="E752" s="25"/>
    </row>
    <row r="753" spans="4:5" ht="15.75" customHeight="1">
      <c r="D753" s="25"/>
      <c r="E753" s="25"/>
    </row>
    <row r="754" spans="4:5" ht="15.75" customHeight="1">
      <c r="D754" s="25"/>
      <c r="E754" s="25"/>
    </row>
    <row r="755" spans="4:5" ht="15.75" customHeight="1">
      <c r="D755" s="25"/>
      <c r="E755" s="25"/>
    </row>
    <row r="756" spans="4:5" ht="15.75" customHeight="1">
      <c r="D756" s="25"/>
      <c r="E756" s="25"/>
    </row>
    <row r="757" spans="4:5" ht="15.75" customHeight="1">
      <c r="D757" s="25"/>
      <c r="E757" s="25"/>
    </row>
    <row r="758" spans="4:5" ht="15.75" customHeight="1">
      <c r="D758" s="25"/>
      <c r="E758" s="25"/>
    </row>
    <row r="759" spans="4:5" ht="15.75" customHeight="1">
      <c r="D759" s="25"/>
      <c r="E759" s="25"/>
    </row>
    <row r="760" spans="4:5" ht="15.75" customHeight="1">
      <c r="D760" s="25"/>
      <c r="E760" s="25"/>
    </row>
    <row r="761" spans="4:5" ht="15.75" customHeight="1">
      <c r="D761" s="25"/>
      <c r="E761" s="25"/>
    </row>
    <row r="762" spans="4:5" ht="15.75" customHeight="1">
      <c r="D762" s="25"/>
      <c r="E762" s="25"/>
    </row>
    <row r="763" spans="4:5" ht="15.75" customHeight="1">
      <c r="D763" s="25"/>
      <c r="E763" s="25"/>
    </row>
    <row r="764" spans="4:5" ht="15.75" customHeight="1">
      <c r="D764" s="25"/>
      <c r="E764" s="25"/>
    </row>
    <row r="765" spans="4:5" ht="15.75" customHeight="1">
      <c r="D765" s="25"/>
      <c r="E765" s="25"/>
    </row>
    <row r="766" spans="4:5" ht="15.75" customHeight="1">
      <c r="D766" s="25"/>
      <c r="E766" s="25"/>
    </row>
    <row r="767" spans="4:5" ht="15.75" customHeight="1">
      <c r="D767" s="25"/>
      <c r="E767" s="25"/>
    </row>
    <row r="768" spans="4:5" ht="15.75" customHeight="1">
      <c r="D768" s="25"/>
      <c r="E768" s="25"/>
    </row>
    <row r="769" spans="4:5" ht="15.75" customHeight="1">
      <c r="D769" s="25"/>
      <c r="E769" s="25"/>
    </row>
    <row r="770" spans="4:5" ht="15.75" customHeight="1">
      <c r="D770" s="25"/>
      <c r="E770" s="25"/>
    </row>
    <row r="771" spans="4:5" ht="15.75" customHeight="1">
      <c r="D771" s="25"/>
      <c r="E771" s="25"/>
    </row>
    <row r="772" spans="4:5" ht="15.75" customHeight="1">
      <c r="D772" s="25"/>
      <c r="E772" s="25"/>
    </row>
    <row r="773" spans="4:5" ht="15.75" customHeight="1">
      <c r="D773" s="25"/>
      <c r="E773" s="25"/>
    </row>
    <row r="774" spans="4:5" ht="15.75" customHeight="1">
      <c r="D774" s="25"/>
      <c r="E774" s="25"/>
    </row>
    <row r="775" spans="4:5" ht="15.75" customHeight="1">
      <c r="D775" s="25"/>
      <c r="E775" s="25"/>
    </row>
    <row r="776" spans="4:5" ht="15.75" customHeight="1">
      <c r="D776" s="25"/>
      <c r="E776" s="25"/>
    </row>
    <row r="777" spans="4:5" ht="15.75" customHeight="1">
      <c r="D777" s="25"/>
      <c r="E777" s="25"/>
    </row>
    <row r="778" spans="4:5" ht="15.75" customHeight="1">
      <c r="D778" s="25"/>
      <c r="E778" s="25"/>
    </row>
    <row r="779" spans="4:5" ht="15.75" customHeight="1">
      <c r="D779" s="25"/>
      <c r="E779" s="25"/>
    </row>
    <row r="780" spans="4:5" ht="15.75" customHeight="1">
      <c r="D780" s="25"/>
      <c r="E780" s="25"/>
    </row>
    <row r="781" spans="4:5" ht="15.75" customHeight="1">
      <c r="D781" s="25"/>
      <c r="E781" s="25"/>
    </row>
    <row r="782" spans="4:5" ht="15.75" customHeight="1">
      <c r="D782" s="25"/>
      <c r="E782" s="25"/>
    </row>
    <row r="783" spans="4:5" ht="15.75" customHeight="1">
      <c r="D783" s="25"/>
      <c r="E783" s="25"/>
    </row>
    <row r="784" spans="4:5" ht="15.75" customHeight="1">
      <c r="D784" s="25"/>
      <c r="E784" s="25"/>
    </row>
    <row r="785" spans="4:5" ht="15.75" customHeight="1">
      <c r="D785" s="25"/>
      <c r="E785" s="25"/>
    </row>
    <row r="786" spans="4:5" ht="15.75" customHeight="1">
      <c r="D786" s="25"/>
      <c r="E786" s="25"/>
    </row>
    <row r="787" spans="4:5" ht="15.75" customHeight="1">
      <c r="D787" s="25"/>
      <c r="E787" s="25"/>
    </row>
    <row r="788" spans="4:5" ht="15.75" customHeight="1">
      <c r="D788" s="25"/>
      <c r="E788" s="25"/>
    </row>
    <row r="789" spans="4:5" ht="15.75" customHeight="1">
      <c r="D789" s="25"/>
      <c r="E789" s="25"/>
    </row>
    <row r="790" spans="4:5" ht="15.75" customHeight="1">
      <c r="D790" s="25"/>
      <c r="E790" s="25"/>
    </row>
    <row r="791" spans="4:5" ht="15.75" customHeight="1">
      <c r="D791" s="25"/>
      <c r="E791" s="25"/>
    </row>
    <row r="792" spans="4:5" ht="15.75" customHeight="1">
      <c r="D792" s="25"/>
      <c r="E792" s="25"/>
    </row>
    <row r="793" spans="4:5" ht="15.75" customHeight="1">
      <c r="D793" s="25"/>
      <c r="E793" s="25"/>
    </row>
    <row r="794" spans="4:5" ht="15.75" customHeight="1">
      <c r="D794" s="25"/>
      <c r="E794" s="25"/>
    </row>
    <row r="795" spans="4:5" ht="15.75" customHeight="1">
      <c r="D795" s="25"/>
      <c r="E795" s="25"/>
    </row>
    <row r="796" spans="4:5" ht="15.75" customHeight="1">
      <c r="D796" s="25"/>
      <c r="E796" s="25"/>
    </row>
    <row r="797" spans="4:5" ht="15.75" customHeight="1">
      <c r="D797" s="25"/>
      <c r="E797" s="25"/>
    </row>
    <row r="798" spans="4:5" ht="15.75" customHeight="1">
      <c r="D798" s="25"/>
      <c r="E798" s="25"/>
    </row>
    <row r="799" spans="4:5" ht="15.75" customHeight="1">
      <c r="D799" s="25"/>
      <c r="E799" s="25"/>
    </row>
    <row r="800" spans="4:5" ht="15.75" customHeight="1">
      <c r="D800" s="25"/>
      <c r="E800" s="25"/>
    </row>
    <row r="801" spans="4:5" ht="15.75" customHeight="1">
      <c r="D801" s="25"/>
      <c r="E801" s="25"/>
    </row>
    <row r="802" spans="4:5" ht="15.75" customHeight="1">
      <c r="D802" s="25"/>
      <c r="E802" s="25"/>
    </row>
    <row r="803" spans="4:5" ht="15.75" customHeight="1">
      <c r="D803" s="25"/>
      <c r="E803" s="25"/>
    </row>
    <row r="804" spans="4:5" ht="15.75" customHeight="1">
      <c r="D804" s="25"/>
      <c r="E804" s="25"/>
    </row>
    <row r="805" spans="4:5" ht="15.75" customHeight="1">
      <c r="D805" s="25"/>
      <c r="E805" s="25"/>
    </row>
    <row r="806" spans="4:5" ht="15.75" customHeight="1">
      <c r="D806" s="25"/>
      <c r="E806" s="25"/>
    </row>
    <row r="807" spans="4:5" ht="15.75" customHeight="1">
      <c r="D807" s="25"/>
      <c r="E807" s="25"/>
    </row>
    <row r="808" spans="4:5" ht="15.75" customHeight="1">
      <c r="D808" s="25"/>
      <c r="E808" s="25"/>
    </row>
    <row r="809" spans="4:5" ht="15.75" customHeight="1">
      <c r="D809" s="25"/>
      <c r="E809" s="25"/>
    </row>
    <row r="810" spans="4:5" ht="15.75" customHeight="1">
      <c r="D810" s="25"/>
      <c r="E810" s="25"/>
    </row>
    <row r="811" spans="4:5" ht="15.75" customHeight="1">
      <c r="D811" s="25"/>
      <c r="E811" s="25"/>
    </row>
    <row r="812" spans="4:5" ht="15.75" customHeight="1">
      <c r="D812" s="25"/>
      <c r="E812" s="25"/>
    </row>
    <row r="813" spans="4:5" ht="15.75" customHeight="1">
      <c r="D813" s="25"/>
      <c r="E813" s="25"/>
    </row>
    <row r="814" spans="4:5" ht="15.75" customHeight="1">
      <c r="D814" s="25"/>
      <c r="E814" s="25"/>
    </row>
    <row r="815" spans="4:5" ht="15.75" customHeight="1">
      <c r="D815" s="25"/>
      <c r="E815" s="25"/>
    </row>
    <row r="816" spans="4:5" ht="15.75" customHeight="1">
      <c r="D816" s="25"/>
      <c r="E816" s="25"/>
    </row>
    <row r="817" spans="4:5" ht="15.75" customHeight="1">
      <c r="D817" s="25"/>
      <c r="E817" s="25"/>
    </row>
    <row r="818" spans="4:5" ht="15.75" customHeight="1">
      <c r="D818" s="25"/>
      <c r="E818" s="25"/>
    </row>
    <row r="819" spans="4:5" ht="15.75" customHeight="1">
      <c r="D819" s="25"/>
      <c r="E819" s="25"/>
    </row>
    <row r="820" spans="4:5" ht="15.75" customHeight="1">
      <c r="D820" s="25"/>
      <c r="E820" s="25"/>
    </row>
    <row r="821" spans="4:5" ht="15.75" customHeight="1">
      <c r="D821" s="25"/>
      <c r="E821" s="25"/>
    </row>
    <row r="822" spans="4:5" ht="15.75" customHeight="1">
      <c r="D822" s="25"/>
      <c r="E822" s="25"/>
    </row>
    <row r="823" spans="4:5" ht="15.75" customHeight="1">
      <c r="D823" s="25"/>
      <c r="E823" s="25"/>
    </row>
    <row r="824" spans="4:5" ht="15.75" customHeight="1">
      <c r="D824" s="25"/>
      <c r="E824" s="25"/>
    </row>
    <row r="825" spans="4:5" ht="15.75" customHeight="1">
      <c r="D825" s="25"/>
      <c r="E825" s="25"/>
    </row>
    <row r="826" spans="4:5" ht="15.75" customHeight="1">
      <c r="D826" s="25"/>
      <c r="E826" s="25"/>
    </row>
    <row r="827" spans="4:5" ht="15.75" customHeight="1">
      <c r="D827" s="25"/>
      <c r="E827" s="25"/>
    </row>
    <row r="828" spans="4:5" ht="15.75" customHeight="1">
      <c r="D828" s="25"/>
      <c r="E828" s="25"/>
    </row>
    <row r="829" spans="4:5" ht="15.75" customHeight="1">
      <c r="D829" s="25"/>
      <c r="E829" s="25"/>
    </row>
    <row r="830" spans="4:5" ht="15.75" customHeight="1">
      <c r="D830" s="25"/>
      <c r="E830" s="25"/>
    </row>
    <row r="831" spans="4:5" ht="15.75" customHeight="1">
      <c r="D831" s="25"/>
      <c r="E831" s="25"/>
    </row>
    <row r="832" spans="4:5" ht="15.75" customHeight="1">
      <c r="D832" s="25"/>
      <c r="E832" s="25"/>
    </row>
    <row r="833" spans="4:5" ht="15.75" customHeight="1">
      <c r="D833" s="25"/>
      <c r="E833" s="25"/>
    </row>
    <row r="834" spans="4:5" ht="15.75" customHeight="1">
      <c r="D834" s="25"/>
      <c r="E834" s="25"/>
    </row>
    <row r="835" spans="4:5" ht="15.75" customHeight="1">
      <c r="D835" s="25"/>
      <c r="E835" s="25"/>
    </row>
    <row r="836" spans="4:5" ht="15.75" customHeight="1">
      <c r="D836" s="25"/>
      <c r="E836" s="25"/>
    </row>
    <row r="837" spans="4:5" ht="15.75" customHeight="1">
      <c r="D837" s="25"/>
      <c r="E837" s="25"/>
    </row>
    <row r="838" spans="4:5" ht="15.75" customHeight="1">
      <c r="D838" s="25"/>
      <c r="E838" s="25"/>
    </row>
    <row r="839" spans="4:5" ht="15.75" customHeight="1">
      <c r="D839" s="25"/>
      <c r="E839" s="25"/>
    </row>
    <row r="840" spans="4:5" ht="15.75" customHeight="1">
      <c r="D840" s="25"/>
      <c r="E840" s="25"/>
    </row>
    <row r="841" spans="4:5" ht="15.75" customHeight="1">
      <c r="D841" s="25"/>
      <c r="E841" s="25"/>
    </row>
    <row r="842" spans="4:5" ht="15.75" customHeight="1">
      <c r="D842" s="25"/>
      <c r="E842" s="25"/>
    </row>
    <row r="843" spans="4:5" ht="15.75" customHeight="1">
      <c r="D843" s="25"/>
      <c r="E843" s="25"/>
    </row>
    <row r="844" spans="4:5" ht="15.75" customHeight="1">
      <c r="D844" s="25"/>
      <c r="E844" s="25"/>
    </row>
    <row r="845" spans="4:5" ht="15.75" customHeight="1">
      <c r="D845" s="25"/>
      <c r="E845" s="25"/>
    </row>
    <row r="846" spans="4:5" ht="15.75" customHeight="1">
      <c r="D846" s="25"/>
      <c r="E846" s="25"/>
    </row>
    <row r="847" spans="4:5" ht="15.75" customHeight="1">
      <c r="D847" s="25"/>
      <c r="E847" s="25"/>
    </row>
    <row r="848" spans="4:5" ht="15.75" customHeight="1">
      <c r="D848" s="25"/>
      <c r="E848" s="25"/>
    </row>
    <row r="849" spans="4:5" ht="15.75" customHeight="1">
      <c r="D849" s="25"/>
      <c r="E849" s="25"/>
    </row>
    <row r="850" spans="4:5" ht="15.75" customHeight="1">
      <c r="D850" s="25"/>
      <c r="E850" s="25"/>
    </row>
    <row r="851" spans="4:5" ht="15.75" customHeight="1">
      <c r="D851" s="25"/>
      <c r="E851" s="25"/>
    </row>
    <row r="852" spans="4:5" ht="15.75" customHeight="1">
      <c r="D852" s="25"/>
      <c r="E852" s="25"/>
    </row>
    <row r="853" spans="4:5" ht="15.75" customHeight="1">
      <c r="D853" s="25"/>
      <c r="E853" s="25"/>
    </row>
    <row r="854" spans="4:5" ht="15.75" customHeight="1">
      <c r="D854" s="25"/>
      <c r="E854" s="25"/>
    </row>
    <row r="855" spans="4:5" ht="15.75" customHeight="1">
      <c r="D855" s="25"/>
      <c r="E855" s="25"/>
    </row>
    <row r="856" spans="4:5" ht="15.75" customHeight="1">
      <c r="D856" s="25"/>
      <c r="E856" s="25"/>
    </row>
    <row r="857" spans="4:5" ht="15.75" customHeight="1">
      <c r="D857" s="25"/>
      <c r="E857" s="25"/>
    </row>
    <row r="858" spans="4:5" ht="15.75" customHeight="1">
      <c r="D858" s="25"/>
      <c r="E858" s="25"/>
    </row>
    <row r="859" spans="4:5" ht="15.75" customHeight="1">
      <c r="D859" s="25"/>
      <c r="E859" s="25"/>
    </row>
    <row r="860" spans="4:5" ht="15.75" customHeight="1">
      <c r="D860" s="25"/>
      <c r="E860" s="25"/>
    </row>
    <row r="861" spans="4:5" ht="15.75" customHeight="1">
      <c r="D861" s="25"/>
      <c r="E861" s="25"/>
    </row>
    <row r="862" spans="4:5" ht="15.75" customHeight="1">
      <c r="D862" s="25"/>
      <c r="E862" s="25"/>
    </row>
    <row r="863" spans="4:5" ht="15.75" customHeight="1">
      <c r="D863" s="25"/>
      <c r="E863" s="25"/>
    </row>
    <row r="864" spans="4:5" ht="15.75" customHeight="1">
      <c r="D864" s="25"/>
      <c r="E864" s="25"/>
    </row>
    <row r="865" spans="4:5" ht="15.75" customHeight="1">
      <c r="D865" s="25"/>
      <c r="E865" s="25"/>
    </row>
    <row r="866" spans="4:5" ht="15.75" customHeight="1">
      <c r="D866" s="25"/>
      <c r="E866" s="25"/>
    </row>
    <row r="867" spans="4:5" ht="15.75" customHeight="1">
      <c r="D867" s="25"/>
      <c r="E867" s="25"/>
    </row>
    <row r="868" spans="4:5" ht="15.75" customHeight="1">
      <c r="D868" s="25"/>
      <c r="E868" s="25"/>
    </row>
    <row r="869" spans="4:5" ht="15.75" customHeight="1">
      <c r="D869" s="25"/>
      <c r="E869" s="25"/>
    </row>
    <row r="870" spans="4:5" ht="15.75" customHeight="1">
      <c r="D870" s="25"/>
      <c r="E870" s="25"/>
    </row>
    <row r="871" spans="4:5" ht="15.75" customHeight="1">
      <c r="D871" s="25"/>
      <c r="E871" s="25"/>
    </row>
    <row r="872" spans="4:5" ht="15.75" customHeight="1">
      <c r="D872" s="25"/>
      <c r="E872" s="25"/>
    </row>
    <row r="873" spans="4:5" ht="15.75" customHeight="1">
      <c r="D873" s="25"/>
      <c r="E873" s="25"/>
    </row>
    <row r="874" spans="4:5" ht="15.75" customHeight="1">
      <c r="D874" s="25"/>
      <c r="E874" s="25"/>
    </row>
    <row r="875" spans="4:5" ht="15.75" customHeight="1">
      <c r="D875" s="25"/>
      <c r="E875" s="25"/>
    </row>
    <row r="876" spans="4:5" ht="15.75" customHeight="1">
      <c r="D876" s="25"/>
      <c r="E876" s="25"/>
    </row>
    <row r="877" spans="4:5" ht="15.75" customHeight="1">
      <c r="D877" s="25"/>
      <c r="E877" s="25"/>
    </row>
    <row r="878" spans="4:5" ht="15.75" customHeight="1">
      <c r="D878" s="25"/>
      <c r="E878" s="25"/>
    </row>
    <row r="879" spans="4:5" ht="15.75" customHeight="1">
      <c r="D879" s="25"/>
      <c r="E879" s="25"/>
    </row>
    <row r="880" spans="4:5" ht="15.75" customHeight="1">
      <c r="D880" s="25"/>
      <c r="E880" s="25"/>
    </row>
    <row r="881" spans="4:5" ht="15.75" customHeight="1">
      <c r="D881" s="25"/>
      <c r="E881" s="25"/>
    </row>
    <row r="882" spans="4:5" ht="15.75" customHeight="1">
      <c r="D882" s="25"/>
      <c r="E882" s="25"/>
    </row>
    <row r="883" spans="4:5" ht="15.75" customHeight="1">
      <c r="D883" s="25"/>
      <c r="E883" s="25"/>
    </row>
    <row r="884" spans="4:5" ht="15.75" customHeight="1">
      <c r="D884" s="25"/>
      <c r="E884" s="25"/>
    </row>
    <row r="885" spans="4:5" ht="15.75" customHeight="1">
      <c r="D885" s="25"/>
      <c r="E885" s="25"/>
    </row>
    <row r="886" spans="4:5" ht="15.75" customHeight="1">
      <c r="D886" s="25"/>
      <c r="E886" s="25"/>
    </row>
    <row r="887" spans="4:5" ht="15.75" customHeight="1">
      <c r="D887" s="25"/>
      <c r="E887" s="25"/>
    </row>
    <row r="888" spans="4:5" ht="15.75" customHeight="1">
      <c r="D888" s="25"/>
      <c r="E888" s="25"/>
    </row>
    <row r="889" spans="4:5" ht="15.75" customHeight="1">
      <c r="D889" s="25"/>
      <c r="E889" s="25"/>
    </row>
    <row r="890" spans="4:5" ht="15.75" customHeight="1">
      <c r="D890" s="25"/>
      <c r="E890" s="25"/>
    </row>
    <row r="891" spans="4:5" ht="15.75" customHeight="1">
      <c r="D891" s="25"/>
      <c r="E891" s="25"/>
    </row>
    <row r="892" spans="4:5" ht="15.75" customHeight="1">
      <c r="D892" s="25"/>
      <c r="E892" s="25"/>
    </row>
    <row r="893" spans="4:5" ht="15.75" customHeight="1">
      <c r="D893" s="25"/>
      <c r="E893" s="25"/>
    </row>
    <row r="894" spans="4:5" ht="15.75" customHeight="1">
      <c r="D894" s="25"/>
      <c r="E894" s="25"/>
    </row>
    <row r="895" spans="4:5" ht="15.75" customHeight="1">
      <c r="D895" s="25"/>
      <c r="E895" s="25"/>
    </row>
    <row r="896" spans="4:5" ht="15.75" customHeight="1">
      <c r="D896" s="25"/>
      <c r="E896" s="25"/>
    </row>
    <row r="897" spans="4:5" ht="15.75" customHeight="1">
      <c r="D897" s="25"/>
      <c r="E897" s="25"/>
    </row>
    <row r="898" spans="4:5" ht="15.75" customHeight="1">
      <c r="D898" s="25"/>
      <c r="E898" s="25"/>
    </row>
    <row r="899" spans="4:5" ht="15.75" customHeight="1">
      <c r="D899" s="25"/>
      <c r="E899" s="25"/>
    </row>
    <row r="900" spans="4:5" ht="15.75" customHeight="1">
      <c r="D900" s="25"/>
      <c r="E900" s="25"/>
    </row>
    <row r="901" spans="4:5" ht="15.75" customHeight="1">
      <c r="D901" s="25"/>
      <c r="E901" s="25"/>
    </row>
    <row r="902" spans="4:5" ht="15.75" customHeight="1">
      <c r="D902" s="25"/>
      <c r="E902" s="25"/>
    </row>
    <row r="903" spans="4:5" ht="15.75" customHeight="1">
      <c r="D903" s="25"/>
      <c r="E903" s="25"/>
    </row>
    <row r="904" spans="4:5" ht="15.75" customHeight="1">
      <c r="D904" s="25"/>
      <c r="E904" s="25"/>
    </row>
    <row r="905" spans="4:5" ht="15.75" customHeight="1">
      <c r="D905" s="25"/>
      <c r="E905" s="25"/>
    </row>
    <row r="906" spans="4:5" ht="15.75" customHeight="1">
      <c r="D906" s="25"/>
      <c r="E906" s="25"/>
    </row>
    <row r="907" spans="4:5" ht="15.75" customHeight="1">
      <c r="D907" s="25"/>
      <c r="E907" s="25"/>
    </row>
    <row r="908" spans="4:5" ht="15.75" customHeight="1">
      <c r="D908" s="25"/>
      <c r="E908" s="25"/>
    </row>
    <row r="909" spans="4:5" ht="15.75" customHeight="1">
      <c r="D909" s="25"/>
      <c r="E909" s="25"/>
    </row>
    <row r="910" spans="4:5" ht="15.75" customHeight="1">
      <c r="D910" s="25"/>
      <c r="E910" s="25"/>
    </row>
    <row r="911" spans="4:5" ht="15.75" customHeight="1">
      <c r="D911" s="25"/>
      <c r="E911" s="25"/>
    </row>
    <row r="912" spans="4:5" ht="15.75" customHeight="1">
      <c r="D912" s="25"/>
      <c r="E912" s="25"/>
    </row>
    <row r="913" spans="4:5" ht="15.75" customHeight="1">
      <c r="D913" s="25"/>
      <c r="E913" s="25"/>
    </row>
    <row r="914" spans="4:5" ht="15.75" customHeight="1">
      <c r="D914" s="25"/>
      <c r="E914" s="25"/>
    </row>
    <row r="915" spans="4:5" ht="15.75" customHeight="1">
      <c r="D915" s="25"/>
      <c r="E915" s="25"/>
    </row>
    <row r="916" spans="4:5" ht="15.75" customHeight="1">
      <c r="D916" s="25"/>
      <c r="E916" s="25"/>
    </row>
    <row r="917" spans="4:5" ht="15.75" customHeight="1">
      <c r="D917" s="25"/>
      <c r="E917" s="25"/>
    </row>
    <row r="918" spans="4:5" ht="15.75" customHeight="1">
      <c r="D918" s="25"/>
      <c r="E918" s="25"/>
    </row>
    <row r="919" spans="4:5" ht="15.75" customHeight="1">
      <c r="D919" s="25"/>
      <c r="E919" s="25"/>
    </row>
    <row r="920" spans="4:5" ht="15.75" customHeight="1">
      <c r="D920" s="25"/>
      <c r="E920" s="25"/>
    </row>
    <row r="921" spans="4:5" ht="15.75" customHeight="1">
      <c r="D921" s="25"/>
      <c r="E921" s="25"/>
    </row>
    <row r="922" spans="4:5" ht="15.75" customHeight="1">
      <c r="D922" s="25"/>
      <c r="E922" s="25"/>
    </row>
    <row r="923" spans="4:5" ht="15.75" customHeight="1">
      <c r="D923" s="25"/>
      <c r="E923" s="25"/>
    </row>
    <row r="924" spans="4:5" ht="15.75" customHeight="1">
      <c r="D924" s="25"/>
      <c r="E924" s="25"/>
    </row>
    <row r="925" spans="4:5" ht="15.75" customHeight="1">
      <c r="D925" s="25"/>
      <c r="E925" s="25"/>
    </row>
    <row r="926" spans="4:5" ht="15.75" customHeight="1">
      <c r="D926" s="25"/>
      <c r="E926" s="25"/>
    </row>
    <row r="927" spans="4:5" ht="15.75" customHeight="1">
      <c r="D927" s="25"/>
      <c r="E927" s="25"/>
    </row>
    <row r="928" spans="4:5" ht="15.75" customHeight="1">
      <c r="D928" s="25"/>
      <c r="E928" s="25"/>
    </row>
    <row r="929" spans="4:5" ht="15.75" customHeight="1">
      <c r="D929" s="25"/>
      <c r="E929" s="25"/>
    </row>
    <row r="930" spans="4:5" ht="15.75" customHeight="1">
      <c r="D930" s="25"/>
      <c r="E930" s="25"/>
    </row>
    <row r="931" spans="4:5" ht="15.75" customHeight="1">
      <c r="D931" s="25"/>
      <c r="E931" s="25"/>
    </row>
    <row r="932" spans="4:5" ht="15.75" customHeight="1">
      <c r="D932" s="25"/>
      <c r="E932" s="25"/>
    </row>
    <row r="933" spans="4:5" ht="15.75" customHeight="1">
      <c r="D933" s="25"/>
      <c r="E933" s="25"/>
    </row>
    <row r="934" spans="4:5" ht="15.75" customHeight="1">
      <c r="D934" s="25"/>
      <c r="E934" s="25"/>
    </row>
    <row r="935" spans="4:5" ht="15.75" customHeight="1">
      <c r="D935" s="25"/>
      <c r="E935" s="25"/>
    </row>
    <row r="936" spans="4:5" ht="15.75" customHeight="1">
      <c r="D936" s="25"/>
      <c r="E936" s="25"/>
    </row>
    <row r="937" spans="4:5" ht="15.75" customHeight="1">
      <c r="D937" s="25"/>
      <c r="E937" s="25"/>
    </row>
    <row r="938" spans="4:5" ht="15.75" customHeight="1">
      <c r="D938" s="25"/>
      <c r="E938" s="25"/>
    </row>
    <row r="939" spans="4:5" ht="15.75" customHeight="1">
      <c r="D939" s="25"/>
      <c r="E939" s="25"/>
    </row>
    <row r="940" spans="4:5" ht="15.75" customHeight="1">
      <c r="D940" s="25"/>
      <c r="E940" s="25"/>
    </row>
    <row r="941" spans="4:5" ht="15.75" customHeight="1">
      <c r="D941" s="25"/>
      <c r="E941" s="25"/>
    </row>
    <row r="942" spans="4:5" ht="15.75" customHeight="1">
      <c r="D942" s="25"/>
      <c r="E942" s="25"/>
    </row>
    <row r="943" spans="4:5" ht="15.75" customHeight="1">
      <c r="D943" s="25"/>
      <c r="E943" s="25"/>
    </row>
    <row r="944" spans="4:5" ht="15.75" customHeight="1">
      <c r="D944" s="25"/>
      <c r="E944" s="25"/>
    </row>
    <row r="945" spans="4:5" ht="15.75" customHeight="1">
      <c r="D945" s="25"/>
      <c r="E945" s="25"/>
    </row>
    <row r="946" spans="4:5" ht="15.75" customHeight="1">
      <c r="D946" s="25"/>
      <c r="E946" s="25"/>
    </row>
    <row r="947" spans="4:5" ht="15.75" customHeight="1">
      <c r="D947" s="25"/>
      <c r="E947" s="25"/>
    </row>
    <row r="948" spans="4:5" ht="15.75" customHeight="1">
      <c r="D948" s="25"/>
      <c r="E948" s="25"/>
    </row>
    <row r="949" spans="4:5" ht="15.75" customHeight="1">
      <c r="D949" s="25"/>
      <c r="E949" s="25"/>
    </row>
    <row r="950" spans="4:5" ht="15.75" customHeight="1">
      <c r="D950" s="25"/>
      <c r="E950" s="25"/>
    </row>
    <row r="951" spans="4:5" ht="15.75" customHeight="1">
      <c r="D951" s="25"/>
      <c r="E951" s="25"/>
    </row>
    <row r="952" spans="4:5" ht="15.75" customHeight="1">
      <c r="D952" s="25"/>
      <c r="E952" s="25"/>
    </row>
    <row r="953" spans="4:5" ht="15.75" customHeight="1">
      <c r="D953" s="25"/>
      <c r="E953" s="25"/>
    </row>
    <row r="954" spans="4:5" ht="15.75" customHeight="1">
      <c r="D954" s="25"/>
      <c r="E954" s="25"/>
    </row>
    <row r="955" spans="4:5" ht="15.75" customHeight="1">
      <c r="D955" s="25"/>
      <c r="E955" s="25"/>
    </row>
    <row r="956" spans="4:5" ht="15.75" customHeight="1">
      <c r="D956" s="25"/>
      <c r="E956" s="25"/>
    </row>
    <row r="957" spans="4:5" ht="15.75" customHeight="1">
      <c r="D957" s="25"/>
      <c r="E957" s="25"/>
    </row>
    <row r="958" spans="4:5" ht="15.75" customHeight="1">
      <c r="D958" s="25"/>
      <c r="E958" s="25"/>
    </row>
    <row r="959" spans="4:5" ht="15.75" customHeight="1">
      <c r="D959" s="25"/>
      <c r="E959" s="25"/>
    </row>
    <row r="960" spans="4:5" ht="15.75" customHeight="1">
      <c r="D960" s="25"/>
      <c r="E960" s="25"/>
    </row>
    <row r="961" spans="4:5" ht="15.75" customHeight="1">
      <c r="D961" s="25"/>
      <c r="E961" s="25"/>
    </row>
    <row r="962" spans="4:5" ht="15.75" customHeight="1">
      <c r="D962" s="25"/>
      <c r="E962" s="25"/>
    </row>
    <row r="963" spans="4:5" ht="15.75" customHeight="1">
      <c r="D963" s="25"/>
      <c r="E963" s="25"/>
    </row>
    <row r="964" spans="4:5" ht="15.75" customHeight="1">
      <c r="D964" s="25"/>
      <c r="E964" s="25"/>
    </row>
    <row r="965" spans="4:5" ht="15.75" customHeight="1">
      <c r="D965" s="25"/>
      <c r="E965" s="25"/>
    </row>
    <row r="966" spans="4:5" ht="15.75" customHeight="1">
      <c r="D966" s="25"/>
      <c r="E966" s="25"/>
    </row>
    <row r="967" spans="4:5" ht="15.75" customHeight="1">
      <c r="D967" s="25"/>
      <c r="E967" s="25"/>
    </row>
    <row r="968" spans="4:5" ht="15.75" customHeight="1">
      <c r="D968" s="25"/>
      <c r="E968" s="25"/>
    </row>
    <row r="969" spans="4:5" ht="15.75" customHeight="1">
      <c r="D969" s="25"/>
      <c r="E969" s="25"/>
    </row>
    <row r="970" spans="4:5" ht="15.75" customHeight="1">
      <c r="D970" s="25"/>
      <c r="E970" s="25"/>
    </row>
    <row r="971" spans="4:5" ht="15.75" customHeight="1">
      <c r="D971" s="25"/>
      <c r="E971" s="25"/>
    </row>
    <row r="972" spans="4:5" ht="15.75" customHeight="1">
      <c r="D972" s="25"/>
      <c r="E972" s="25"/>
    </row>
    <row r="973" spans="4:5" ht="15.75" customHeight="1">
      <c r="D973" s="25"/>
      <c r="E973" s="25"/>
    </row>
    <row r="974" spans="4:5" ht="15.75" customHeight="1">
      <c r="D974" s="25"/>
      <c r="E974" s="25"/>
    </row>
    <row r="975" spans="4:5" ht="15.75" customHeight="1">
      <c r="D975" s="25"/>
      <c r="E975" s="25"/>
    </row>
    <row r="976" spans="4:5" ht="15.75" customHeight="1">
      <c r="D976" s="25"/>
      <c r="E976" s="25"/>
    </row>
    <row r="977" spans="4:5" ht="15.75" customHeight="1">
      <c r="D977" s="25"/>
      <c r="E977" s="25"/>
    </row>
    <row r="978" spans="4:5" ht="15.75" customHeight="1">
      <c r="D978" s="25"/>
      <c r="E978" s="25"/>
    </row>
    <row r="979" spans="4:5" ht="15.75" customHeight="1">
      <c r="D979" s="25"/>
      <c r="E979" s="25"/>
    </row>
    <row r="980" spans="4:5" ht="15.75" customHeight="1">
      <c r="D980" s="25"/>
      <c r="E980" s="25"/>
    </row>
    <row r="981" spans="4:5" ht="15.75" customHeight="1">
      <c r="D981" s="25"/>
      <c r="E981" s="25"/>
    </row>
    <row r="982" spans="4:5" ht="15.75" customHeight="1">
      <c r="D982" s="25"/>
      <c r="E982" s="25"/>
    </row>
    <row r="983" spans="4:5" ht="15.75" customHeight="1">
      <c r="D983" s="25"/>
      <c r="E983" s="25"/>
    </row>
    <row r="984" spans="4:5" ht="15.75" customHeight="1">
      <c r="D984" s="25"/>
      <c r="E984" s="25"/>
    </row>
    <row r="985" spans="4:5" ht="15.75" customHeight="1">
      <c r="D985" s="25"/>
      <c r="E985" s="25"/>
    </row>
    <row r="986" spans="4:5" ht="15.75" customHeight="1">
      <c r="D986" s="25"/>
      <c r="E986" s="25"/>
    </row>
    <row r="987" spans="4:5" ht="15.75" customHeight="1">
      <c r="D987" s="25"/>
      <c r="E987" s="25"/>
    </row>
    <row r="988" spans="4:5" ht="15.75" customHeight="1">
      <c r="D988" s="25"/>
      <c r="E988" s="25"/>
    </row>
    <row r="989" spans="4:5" ht="15.75" customHeight="1">
      <c r="D989" s="25"/>
      <c r="E989" s="25"/>
    </row>
    <row r="990" spans="4:5" ht="15.75" customHeight="1">
      <c r="D990" s="25"/>
      <c r="E990" s="25"/>
    </row>
    <row r="991" spans="4:5" ht="15.75" customHeight="1">
      <c r="D991" s="25"/>
      <c r="E991" s="25"/>
    </row>
    <row r="992" spans="4:5" ht="15.75" customHeight="1">
      <c r="D992" s="25"/>
      <c r="E992" s="25"/>
    </row>
    <row r="993" spans="4:5" ht="15.75" customHeight="1">
      <c r="D993" s="25"/>
      <c r="E993" s="25"/>
    </row>
    <row r="994" spans="4:5" ht="15.75" customHeight="1">
      <c r="D994" s="25"/>
      <c r="E994" s="25"/>
    </row>
    <row r="995" spans="4:5" ht="15.75" customHeight="1">
      <c r="D995" s="25"/>
      <c r="E995" s="25"/>
    </row>
    <row r="996" spans="4:5" ht="15.75" customHeight="1">
      <c r="D996" s="25"/>
      <c r="E996" s="25"/>
    </row>
    <row r="997" spans="4:5" ht="15.75" customHeight="1">
      <c r="D997" s="25"/>
      <c r="E997" s="25"/>
    </row>
    <row r="998" spans="4:5" ht="15.75" customHeight="1">
      <c r="D998" s="25"/>
      <c r="E998" s="25"/>
    </row>
    <row r="999" spans="4:5" ht="15.75" customHeight="1">
      <c r="D999" s="25"/>
      <c r="E999" s="25"/>
    </row>
    <row r="1000" spans="4:5" ht="15.75" customHeight="1">
      <c r="D1000" s="25"/>
      <c r="E1000" s="25"/>
    </row>
  </sheetData>
  <autoFilter ref="A1:S178" xr:uid="{00000000-0009-0000-0000-000001000000}"/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711EE-F472-4E8A-9A44-B6CC513C2240}">
  <dimension ref="A1:AW10"/>
  <sheetViews>
    <sheetView workbookViewId="0">
      <selection activeCell="A11" sqref="A11"/>
    </sheetView>
  </sheetViews>
  <sheetFormatPr defaultRowHeight="15"/>
  <cols>
    <col min="2" max="49" width="5.7109375" customWidth="1"/>
  </cols>
  <sheetData>
    <row r="1" spans="1:49" ht="15.75" thickBot="1">
      <c r="A1" s="64"/>
      <c r="B1" s="148" t="s">
        <v>292</v>
      </c>
      <c r="C1" s="149"/>
      <c r="D1" s="149"/>
      <c r="E1" s="149"/>
      <c r="F1" s="149"/>
      <c r="G1" s="149"/>
      <c r="H1" s="148" t="s">
        <v>298</v>
      </c>
      <c r="I1" s="149"/>
      <c r="J1" s="149"/>
      <c r="K1" s="149"/>
      <c r="L1" s="149"/>
      <c r="M1" s="149"/>
      <c r="N1" s="148" t="s">
        <v>299</v>
      </c>
      <c r="O1" s="149"/>
      <c r="P1" s="149"/>
      <c r="Q1" s="149"/>
      <c r="R1" s="149"/>
      <c r="S1" s="149"/>
      <c r="T1" s="148" t="s">
        <v>300</v>
      </c>
      <c r="U1" s="149"/>
      <c r="V1" s="149"/>
      <c r="W1" s="149"/>
      <c r="X1" s="149"/>
      <c r="Y1" s="149"/>
      <c r="Z1" s="148" t="s">
        <v>301</v>
      </c>
      <c r="AA1" s="149"/>
      <c r="AB1" s="149"/>
      <c r="AC1" s="149"/>
      <c r="AD1" s="149"/>
      <c r="AE1" s="149"/>
      <c r="AF1" s="148" t="s">
        <v>302</v>
      </c>
      <c r="AG1" s="149"/>
      <c r="AH1" s="149"/>
      <c r="AI1" s="149"/>
      <c r="AJ1" s="149"/>
      <c r="AK1" s="149"/>
      <c r="AL1" s="148" t="s">
        <v>303</v>
      </c>
      <c r="AM1" s="149"/>
      <c r="AN1" s="149"/>
      <c r="AO1" s="149"/>
      <c r="AP1" s="149"/>
      <c r="AQ1" s="149"/>
      <c r="AR1" s="148" t="s">
        <v>304</v>
      </c>
      <c r="AS1" s="149"/>
      <c r="AT1" s="149"/>
      <c r="AU1" s="149"/>
      <c r="AV1" s="149"/>
      <c r="AW1" s="149"/>
    </row>
    <row r="2" spans="1:49" ht="15.75" thickBot="1">
      <c r="A2" s="63" t="s">
        <v>291</v>
      </c>
      <c r="B2" s="44" t="s">
        <v>293</v>
      </c>
      <c r="C2" s="45" t="s">
        <v>294</v>
      </c>
      <c r="D2" s="46" t="s">
        <v>295</v>
      </c>
      <c r="E2" s="49" t="s">
        <v>296</v>
      </c>
      <c r="F2" s="48" t="s">
        <v>297</v>
      </c>
      <c r="G2" s="47" t="s">
        <v>282</v>
      </c>
      <c r="H2" s="44" t="s">
        <v>293</v>
      </c>
      <c r="I2" s="45" t="s">
        <v>294</v>
      </c>
      <c r="J2" s="46" t="s">
        <v>295</v>
      </c>
      <c r="K2" s="49" t="s">
        <v>296</v>
      </c>
      <c r="L2" s="48" t="s">
        <v>297</v>
      </c>
      <c r="M2" s="47" t="s">
        <v>282</v>
      </c>
      <c r="N2" s="44" t="s">
        <v>293</v>
      </c>
      <c r="O2" s="45" t="s">
        <v>294</v>
      </c>
      <c r="P2" s="46" t="s">
        <v>295</v>
      </c>
      <c r="Q2" s="49" t="s">
        <v>296</v>
      </c>
      <c r="R2" s="48" t="s">
        <v>297</v>
      </c>
      <c r="S2" s="47" t="s">
        <v>282</v>
      </c>
      <c r="T2" s="44" t="s">
        <v>293</v>
      </c>
      <c r="U2" s="45" t="s">
        <v>294</v>
      </c>
      <c r="V2" s="46" t="s">
        <v>295</v>
      </c>
      <c r="W2" s="49" t="s">
        <v>296</v>
      </c>
      <c r="X2" s="48" t="s">
        <v>297</v>
      </c>
      <c r="Y2" s="47" t="s">
        <v>282</v>
      </c>
      <c r="Z2" s="44" t="s">
        <v>293</v>
      </c>
      <c r="AA2" s="45" t="s">
        <v>294</v>
      </c>
      <c r="AB2" s="46" t="s">
        <v>295</v>
      </c>
      <c r="AC2" s="49" t="s">
        <v>296</v>
      </c>
      <c r="AD2" s="48" t="s">
        <v>297</v>
      </c>
      <c r="AE2" s="47" t="s">
        <v>282</v>
      </c>
      <c r="AF2" s="44" t="s">
        <v>293</v>
      </c>
      <c r="AG2" s="45" t="s">
        <v>294</v>
      </c>
      <c r="AH2" s="46" t="s">
        <v>295</v>
      </c>
      <c r="AI2" s="49" t="s">
        <v>296</v>
      </c>
      <c r="AJ2" s="48" t="s">
        <v>297</v>
      </c>
      <c r="AK2" s="47" t="s">
        <v>282</v>
      </c>
      <c r="AL2" s="44" t="s">
        <v>293</v>
      </c>
      <c r="AM2" s="45" t="s">
        <v>294</v>
      </c>
      <c r="AN2" s="46" t="s">
        <v>295</v>
      </c>
      <c r="AO2" s="49" t="s">
        <v>296</v>
      </c>
      <c r="AP2" s="48" t="s">
        <v>297</v>
      </c>
      <c r="AQ2" s="47" t="s">
        <v>282</v>
      </c>
      <c r="AR2" s="44" t="s">
        <v>293</v>
      </c>
      <c r="AS2" s="45" t="s">
        <v>294</v>
      </c>
      <c r="AT2" s="46" t="s">
        <v>295</v>
      </c>
      <c r="AU2" s="49" t="s">
        <v>296</v>
      </c>
      <c r="AV2" s="48" t="s">
        <v>297</v>
      </c>
      <c r="AW2" s="47" t="s">
        <v>282</v>
      </c>
    </row>
    <row r="3" spans="1:49" ht="15.75" thickBot="1">
      <c r="A3" s="62">
        <v>1</v>
      </c>
      <c r="B3" s="50">
        <v>350</v>
      </c>
      <c r="C3" s="52">
        <v>226</v>
      </c>
      <c r="D3" s="54">
        <v>30</v>
      </c>
      <c r="E3" s="56">
        <v>30</v>
      </c>
      <c r="F3" s="58">
        <v>25</v>
      </c>
      <c r="G3" s="60">
        <v>15</v>
      </c>
      <c r="H3" s="50">
        <v>440</v>
      </c>
      <c r="I3" s="52">
        <v>203</v>
      </c>
      <c r="J3" s="54">
        <v>45</v>
      </c>
      <c r="K3" s="56">
        <v>20</v>
      </c>
      <c r="L3" s="58">
        <v>25</v>
      </c>
      <c r="M3" s="60">
        <v>15</v>
      </c>
      <c r="N3" s="50">
        <v>510</v>
      </c>
      <c r="O3" s="52">
        <v>249</v>
      </c>
      <c r="P3" s="54">
        <v>20</v>
      </c>
      <c r="Q3" s="56">
        <v>20</v>
      </c>
      <c r="R3" s="58">
        <v>40</v>
      </c>
      <c r="S3" s="60">
        <v>15</v>
      </c>
      <c r="T3" s="50">
        <v>220</v>
      </c>
      <c r="U3" s="52">
        <v>203</v>
      </c>
      <c r="V3" s="54">
        <v>45</v>
      </c>
      <c r="W3" s="56">
        <v>45</v>
      </c>
      <c r="X3" s="58">
        <v>20</v>
      </c>
      <c r="Y3" s="60">
        <v>15</v>
      </c>
      <c r="Z3" s="50">
        <v>310</v>
      </c>
      <c r="AA3" s="52">
        <v>190</v>
      </c>
      <c r="AB3" s="54">
        <v>30</v>
      </c>
      <c r="AC3" s="56">
        <v>45</v>
      </c>
      <c r="AD3" s="58">
        <v>25</v>
      </c>
      <c r="AE3" s="60">
        <v>15</v>
      </c>
      <c r="AF3" s="50">
        <v>490</v>
      </c>
      <c r="AG3" s="52">
        <v>231</v>
      </c>
      <c r="AH3" s="54">
        <v>25</v>
      </c>
      <c r="AI3" s="56">
        <v>25</v>
      </c>
      <c r="AJ3" s="58">
        <v>25</v>
      </c>
      <c r="AK3" s="60">
        <v>20</v>
      </c>
      <c r="AL3" s="50">
        <v>330</v>
      </c>
      <c r="AM3" s="52">
        <v>221</v>
      </c>
      <c r="AN3" s="54">
        <v>25</v>
      </c>
      <c r="AO3" s="56">
        <v>25</v>
      </c>
      <c r="AP3" s="58">
        <v>20</v>
      </c>
      <c r="AQ3" s="60">
        <v>15</v>
      </c>
      <c r="AR3" s="50">
        <v>330</v>
      </c>
      <c r="AS3" s="52">
        <v>226</v>
      </c>
      <c r="AT3" s="54">
        <v>25</v>
      </c>
      <c r="AU3" s="56">
        <v>25</v>
      </c>
      <c r="AV3" s="58">
        <v>25</v>
      </c>
      <c r="AW3" s="60">
        <v>30</v>
      </c>
    </row>
    <row r="4" spans="1:49" ht="15.75" thickBot="1">
      <c r="A4" s="62">
        <v>2</v>
      </c>
      <c r="B4" s="50">
        <v>475</v>
      </c>
      <c r="C4" s="52">
        <v>243</v>
      </c>
      <c r="D4" s="54">
        <v>56</v>
      </c>
      <c r="E4" s="56">
        <v>56</v>
      </c>
      <c r="F4" s="58">
        <v>40</v>
      </c>
      <c r="G4" s="60">
        <v>20</v>
      </c>
      <c r="H4" s="50">
        <v>599</v>
      </c>
      <c r="I4" s="52">
        <v>216</v>
      </c>
      <c r="J4" s="54">
        <v>80</v>
      </c>
      <c r="K4" s="56">
        <v>31</v>
      </c>
      <c r="L4" s="58">
        <v>40</v>
      </c>
      <c r="M4" s="60">
        <v>20</v>
      </c>
      <c r="N4" s="50">
        <v>695</v>
      </c>
      <c r="O4" s="52">
        <v>279</v>
      </c>
      <c r="P4" s="54">
        <v>38</v>
      </c>
      <c r="Q4" s="56">
        <v>38</v>
      </c>
      <c r="R4" s="58">
        <v>65</v>
      </c>
      <c r="S4" s="60">
        <v>20</v>
      </c>
      <c r="T4" s="50">
        <v>289</v>
      </c>
      <c r="U4" s="52">
        <v>213</v>
      </c>
      <c r="V4" s="54">
        <v>80</v>
      </c>
      <c r="W4" s="56">
        <v>80</v>
      </c>
      <c r="X4" s="58">
        <v>30</v>
      </c>
      <c r="Y4" s="60">
        <v>20</v>
      </c>
      <c r="Z4" s="50">
        <v>454</v>
      </c>
      <c r="AA4" s="52">
        <v>207</v>
      </c>
      <c r="AB4" s="54">
        <v>56</v>
      </c>
      <c r="AC4" s="56">
        <v>74</v>
      </c>
      <c r="AD4" s="58">
        <v>40</v>
      </c>
      <c r="AE4" s="60">
        <v>20</v>
      </c>
      <c r="AF4" s="50">
        <v>850</v>
      </c>
      <c r="AG4" s="52">
        <v>254</v>
      </c>
      <c r="AH4" s="54">
        <v>45</v>
      </c>
      <c r="AI4" s="56">
        <v>45</v>
      </c>
      <c r="AJ4" s="58">
        <v>39</v>
      </c>
      <c r="AK4" s="60">
        <v>30</v>
      </c>
      <c r="AL4" s="50">
        <v>418</v>
      </c>
      <c r="AM4" s="52">
        <v>231</v>
      </c>
      <c r="AN4" s="54">
        <v>45</v>
      </c>
      <c r="AO4" s="56">
        <v>45</v>
      </c>
      <c r="AP4" s="58">
        <v>30</v>
      </c>
      <c r="AQ4" s="60">
        <v>20</v>
      </c>
      <c r="AR4" s="50">
        <v>418</v>
      </c>
      <c r="AS4" s="52">
        <v>240</v>
      </c>
      <c r="AT4" s="54">
        <v>45</v>
      </c>
      <c r="AU4" s="56">
        <v>45</v>
      </c>
      <c r="AV4" s="58">
        <v>39</v>
      </c>
      <c r="AW4" s="60">
        <v>47</v>
      </c>
    </row>
    <row r="5" spans="1:49" ht="15.75" thickBot="1">
      <c r="A5" s="62">
        <v>3</v>
      </c>
      <c r="B5" s="50">
        <v>918</v>
      </c>
      <c r="C5" s="52">
        <v>262</v>
      </c>
      <c r="D5" s="54">
        <v>86</v>
      </c>
      <c r="E5" s="56">
        <v>86</v>
      </c>
      <c r="F5" s="58">
        <v>58</v>
      </c>
      <c r="G5" s="60">
        <v>26</v>
      </c>
      <c r="H5" s="50">
        <v>1158</v>
      </c>
      <c r="I5" s="52">
        <v>230</v>
      </c>
      <c r="J5" s="54">
        <v>120</v>
      </c>
      <c r="K5" s="56">
        <v>44</v>
      </c>
      <c r="L5" s="58">
        <v>58</v>
      </c>
      <c r="M5" s="60">
        <v>26</v>
      </c>
      <c r="N5" s="50">
        <v>1314</v>
      </c>
      <c r="O5" s="52">
        <v>312</v>
      </c>
      <c r="P5" s="54">
        <v>58</v>
      </c>
      <c r="Q5" s="56">
        <v>58</v>
      </c>
      <c r="R5" s="58">
        <v>95</v>
      </c>
      <c r="S5" s="60">
        <v>26</v>
      </c>
      <c r="T5" s="50">
        <v>538</v>
      </c>
      <c r="U5" s="52">
        <v>223</v>
      </c>
      <c r="V5" s="54">
        <v>120</v>
      </c>
      <c r="W5" s="56">
        <v>120</v>
      </c>
      <c r="X5" s="58">
        <v>42</v>
      </c>
      <c r="Y5" s="60">
        <v>26</v>
      </c>
      <c r="Z5" s="50">
        <v>902</v>
      </c>
      <c r="AA5" s="52">
        <v>226</v>
      </c>
      <c r="AB5" s="54">
        <v>86</v>
      </c>
      <c r="AC5" s="56">
        <v>129</v>
      </c>
      <c r="AD5" s="58">
        <v>58</v>
      </c>
      <c r="AE5" s="60">
        <v>26</v>
      </c>
      <c r="AF5" s="50">
        <v>1320</v>
      </c>
      <c r="AG5" s="52">
        <v>280</v>
      </c>
      <c r="AH5" s="54">
        <v>68</v>
      </c>
      <c r="AI5" s="56">
        <v>68</v>
      </c>
      <c r="AJ5" s="58">
        <v>56</v>
      </c>
      <c r="AK5" s="60">
        <v>42</v>
      </c>
      <c r="AL5" s="50">
        <v>788</v>
      </c>
      <c r="AM5" s="52">
        <v>241</v>
      </c>
      <c r="AN5" s="54">
        <v>68</v>
      </c>
      <c r="AO5" s="56">
        <v>68</v>
      </c>
      <c r="AP5" s="58">
        <v>42</v>
      </c>
      <c r="AQ5" s="60">
        <v>26</v>
      </c>
      <c r="AR5" s="50">
        <v>788</v>
      </c>
      <c r="AS5" s="52">
        <v>255</v>
      </c>
      <c r="AT5" s="54">
        <v>68</v>
      </c>
      <c r="AU5" s="56">
        <v>68</v>
      </c>
      <c r="AV5" s="58">
        <v>56</v>
      </c>
      <c r="AW5" s="60">
        <v>68</v>
      </c>
    </row>
    <row r="6" spans="1:49" ht="15.75" thickBot="1">
      <c r="A6" s="62">
        <v>4</v>
      </c>
      <c r="B6" s="50">
        <v>2695</v>
      </c>
      <c r="C6" s="52">
        <v>281</v>
      </c>
      <c r="D6" s="54">
        <v>116</v>
      </c>
      <c r="E6" s="56">
        <v>116</v>
      </c>
      <c r="F6" s="58">
        <v>76</v>
      </c>
      <c r="G6" s="60">
        <v>32</v>
      </c>
      <c r="H6" s="50">
        <v>2780</v>
      </c>
      <c r="I6" s="52">
        <v>244</v>
      </c>
      <c r="J6" s="54">
        <v>160</v>
      </c>
      <c r="K6" s="56">
        <v>57</v>
      </c>
      <c r="L6" s="58">
        <v>76</v>
      </c>
      <c r="M6" s="60">
        <v>32</v>
      </c>
      <c r="N6" s="50">
        <v>3140</v>
      </c>
      <c r="O6" s="52">
        <v>345</v>
      </c>
      <c r="P6" s="54">
        <v>78</v>
      </c>
      <c r="Q6" s="56">
        <v>78</v>
      </c>
      <c r="R6" s="58">
        <v>125</v>
      </c>
      <c r="S6" s="60">
        <v>32</v>
      </c>
      <c r="T6" s="50">
        <v>1157</v>
      </c>
      <c r="U6" s="52">
        <v>234</v>
      </c>
      <c r="V6" s="54">
        <v>160</v>
      </c>
      <c r="W6" s="56">
        <v>160</v>
      </c>
      <c r="X6" s="58">
        <v>54</v>
      </c>
      <c r="Y6" s="60">
        <v>32</v>
      </c>
      <c r="Z6" s="50">
        <v>2180</v>
      </c>
      <c r="AA6" s="52">
        <v>245</v>
      </c>
      <c r="AB6" s="54">
        <v>116</v>
      </c>
      <c r="AC6" s="56">
        <v>174</v>
      </c>
      <c r="AD6" s="58">
        <v>76</v>
      </c>
      <c r="AE6" s="60">
        <v>32</v>
      </c>
      <c r="AF6" s="50">
        <v>3040</v>
      </c>
      <c r="AG6" s="52">
        <v>306</v>
      </c>
      <c r="AH6" s="54">
        <v>91</v>
      </c>
      <c r="AI6" s="56">
        <v>91</v>
      </c>
      <c r="AJ6" s="58">
        <v>73</v>
      </c>
      <c r="AK6" s="60">
        <v>54</v>
      </c>
      <c r="AL6" s="50">
        <v>1900</v>
      </c>
      <c r="AM6" s="52">
        <v>252</v>
      </c>
      <c r="AN6" s="54">
        <v>91</v>
      </c>
      <c r="AO6" s="56">
        <v>91</v>
      </c>
      <c r="AP6" s="58">
        <v>54</v>
      </c>
      <c r="AQ6" s="60">
        <v>32</v>
      </c>
      <c r="AR6" s="50">
        <v>1900</v>
      </c>
      <c r="AS6" s="52">
        <v>271</v>
      </c>
      <c r="AT6" s="54">
        <v>91</v>
      </c>
      <c r="AU6" s="56">
        <v>91</v>
      </c>
      <c r="AV6" s="58">
        <v>73</v>
      </c>
      <c r="AW6" s="60">
        <v>89</v>
      </c>
    </row>
    <row r="7" spans="1:49" ht="15.75" thickBot="1">
      <c r="A7" s="62">
        <v>5</v>
      </c>
      <c r="B7" s="50">
        <v>9240</v>
      </c>
      <c r="C7" s="52">
        <v>300</v>
      </c>
      <c r="D7" s="54">
        <v>146</v>
      </c>
      <c r="E7" s="56">
        <v>146</v>
      </c>
      <c r="F7" s="58">
        <v>94</v>
      </c>
      <c r="G7" s="60">
        <v>38</v>
      </c>
      <c r="H7" s="50">
        <v>11850</v>
      </c>
      <c r="I7" s="52">
        <v>258</v>
      </c>
      <c r="J7" s="54">
        <v>200</v>
      </c>
      <c r="K7" s="56">
        <v>70</v>
      </c>
      <c r="L7" s="58">
        <v>94</v>
      </c>
      <c r="M7" s="60">
        <v>38</v>
      </c>
      <c r="N7" s="50">
        <v>13260</v>
      </c>
      <c r="O7" s="52">
        <v>378</v>
      </c>
      <c r="P7" s="54">
        <v>98</v>
      </c>
      <c r="Q7" s="56">
        <v>98</v>
      </c>
      <c r="R7" s="58">
        <v>155</v>
      </c>
      <c r="S7" s="60">
        <v>38</v>
      </c>
      <c r="T7" s="50">
        <v>5550</v>
      </c>
      <c r="U7" s="52">
        <v>244</v>
      </c>
      <c r="V7" s="54">
        <v>200</v>
      </c>
      <c r="W7" s="56">
        <v>200</v>
      </c>
      <c r="X7" s="58">
        <v>66</v>
      </c>
      <c r="Y7" s="60">
        <v>38</v>
      </c>
      <c r="Z7" s="50">
        <v>9030</v>
      </c>
      <c r="AA7" s="52">
        <v>264</v>
      </c>
      <c r="AB7" s="54">
        <v>146</v>
      </c>
      <c r="AC7" s="56">
        <v>219</v>
      </c>
      <c r="AD7" s="58">
        <v>94</v>
      </c>
      <c r="AE7" s="60">
        <v>38</v>
      </c>
      <c r="AF7" s="50">
        <v>11280</v>
      </c>
      <c r="AG7" s="52">
        <v>332</v>
      </c>
      <c r="AH7" s="54">
        <v>114</v>
      </c>
      <c r="AI7" s="56">
        <v>114</v>
      </c>
      <c r="AJ7" s="58">
        <v>90</v>
      </c>
      <c r="AK7" s="60">
        <v>66</v>
      </c>
      <c r="AL7" s="50">
        <v>7800</v>
      </c>
      <c r="AM7" s="52">
        <v>262</v>
      </c>
      <c r="AN7" s="54">
        <v>114</v>
      </c>
      <c r="AO7" s="56">
        <v>114</v>
      </c>
      <c r="AP7" s="58">
        <v>66</v>
      </c>
      <c r="AQ7" s="60">
        <v>38</v>
      </c>
      <c r="AR7" s="50">
        <v>7800</v>
      </c>
      <c r="AS7" s="52">
        <v>286</v>
      </c>
      <c r="AT7" s="54">
        <v>114</v>
      </c>
      <c r="AU7" s="56">
        <v>114</v>
      </c>
      <c r="AV7" s="58">
        <v>90</v>
      </c>
      <c r="AW7" s="60">
        <v>110</v>
      </c>
    </row>
    <row r="8" spans="1:49" ht="15.75" thickBot="1">
      <c r="A8" s="62">
        <v>6</v>
      </c>
      <c r="B8" s="50">
        <v>11790</v>
      </c>
      <c r="C8" s="52">
        <v>310</v>
      </c>
      <c r="D8" s="54">
        <v>204</v>
      </c>
      <c r="E8" s="56">
        <v>204</v>
      </c>
      <c r="F8" s="58">
        <v>119</v>
      </c>
      <c r="G8" s="60">
        <v>43</v>
      </c>
      <c r="H8" s="50">
        <v>13775</v>
      </c>
      <c r="I8" s="52">
        <v>274</v>
      </c>
      <c r="J8" s="54">
        <v>280</v>
      </c>
      <c r="K8" s="56">
        <v>98</v>
      </c>
      <c r="L8" s="58">
        <v>89</v>
      </c>
      <c r="M8" s="60">
        <v>43</v>
      </c>
      <c r="N8" s="50">
        <v>16310</v>
      </c>
      <c r="O8" s="52">
        <v>388</v>
      </c>
      <c r="P8" s="54">
        <v>137</v>
      </c>
      <c r="Q8" s="56">
        <v>137</v>
      </c>
      <c r="R8" s="58">
        <v>154</v>
      </c>
      <c r="S8" s="60">
        <v>43</v>
      </c>
      <c r="T8" s="50">
        <v>7075</v>
      </c>
      <c r="U8" s="52">
        <v>239</v>
      </c>
      <c r="V8" s="54">
        <v>280</v>
      </c>
      <c r="W8" s="56">
        <v>280</v>
      </c>
      <c r="X8" s="58">
        <v>74</v>
      </c>
      <c r="Y8" s="60">
        <v>43</v>
      </c>
      <c r="Z8" s="50">
        <v>11145</v>
      </c>
      <c r="AA8" s="52">
        <v>267</v>
      </c>
      <c r="AB8" s="54">
        <v>146</v>
      </c>
      <c r="AC8" s="56">
        <v>300</v>
      </c>
      <c r="AD8" s="58">
        <v>94</v>
      </c>
      <c r="AE8" s="60">
        <v>43</v>
      </c>
      <c r="AF8" s="50">
        <v>13400</v>
      </c>
      <c r="AG8" s="52">
        <v>275</v>
      </c>
      <c r="AH8" s="54">
        <v>160</v>
      </c>
      <c r="AI8" s="56">
        <v>160</v>
      </c>
      <c r="AJ8" s="58">
        <v>89</v>
      </c>
      <c r="AK8" s="60">
        <v>68</v>
      </c>
      <c r="AL8" s="50">
        <v>9750</v>
      </c>
      <c r="AM8" s="52">
        <v>283</v>
      </c>
      <c r="AN8" s="54">
        <v>160</v>
      </c>
      <c r="AO8" s="56">
        <v>160</v>
      </c>
      <c r="AP8" s="58">
        <v>84</v>
      </c>
      <c r="AQ8" s="60">
        <v>43</v>
      </c>
      <c r="AR8" s="50">
        <v>9740</v>
      </c>
      <c r="AS8" s="52">
        <v>303</v>
      </c>
      <c r="AT8" s="54">
        <v>160</v>
      </c>
      <c r="AU8" s="56">
        <v>160</v>
      </c>
      <c r="AV8" s="58">
        <v>117</v>
      </c>
      <c r="AW8" s="60">
        <v>110</v>
      </c>
    </row>
    <row r="9" spans="1:49" ht="15.75" thickBot="1">
      <c r="A9" s="62">
        <v>7</v>
      </c>
      <c r="B9" s="50">
        <v>16440</v>
      </c>
      <c r="C9" s="52">
        <v>320</v>
      </c>
      <c r="D9" s="54">
        <v>294</v>
      </c>
      <c r="E9" s="56">
        <v>294</v>
      </c>
      <c r="F9" s="58">
        <v>159</v>
      </c>
      <c r="G9" s="60">
        <v>48</v>
      </c>
      <c r="H9" s="50">
        <v>19400</v>
      </c>
      <c r="I9" s="52">
        <v>279</v>
      </c>
      <c r="J9" s="54">
        <v>400</v>
      </c>
      <c r="K9" s="56">
        <v>128</v>
      </c>
      <c r="L9" s="58">
        <v>129</v>
      </c>
      <c r="M9" s="60">
        <v>48</v>
      </c>
      <c r="N9" s="50">
        <v>22910</v>
      </c>
      <c r="O9" s="52">
        <v>398</v>
      </c>
      <c r="P9" s="54">
        <v>167</v>
      </c>
      <c r="Q9" s="56">
        <v>167</v>
      </c>
      <c r="R9" s="58">
        <v>194</v>
      </c>
      <c r="S9" s="60">
        <v>48</v>
      </c>
      <c r="T9" s="50">
        <v>9700</v>
      </c>
      <c r="U9" s="52">
        <v>244</v>
      </c>
      <c r="V9" s="54">
        <v>400</v>
      </c>
      <c r="W9" s="56">
        <v>400</v>
      </c>
      <c r="X9" s="58">
        <v>114</v>
      </c>
      <c r="Y9" s="60">
        <v>48</v>
      </c>
      <c r="Z9" s="50">
        <v>15720</v>
      </c>
      <c r="AA9" s="52">
        <v>272</v>
      </c>
      <c r="AB9" s="54">
        <v>176</v>
      </c>
      <c r="AC9" s="56">
        <v>420</v>
      </c>
      <c r="AD9" s="58">
        <v>134</v>
      </c>
      <c r="AE9" s="60">
        <v>48</v>
      </c>
      <c r="AF9" s="50">
        <v>19400</v>
      </c>
      <c r="AG9" s="52">
        <v>285</v>
      </c>
      <c r="AH9" s="54">
        <v>220</v>
      </c>
      <c r="AI9" s="56">
        <v>220</v>
      </c>
      <c r="AJ9" s="58">
        <v>129</v>
      </c>
      <c r="AK9" s="60">
        <v>78</v>
      </c>
      <c r="AL9" s="50">
        <v>13500</v>
      </c>
      <c r="AM9" s="52">
        <v>288</v>
      </c>
      <c r="AN9" s="54">
        <v>220</v>
      </c>
      <c r="AO9" s="56">
        <v>220</v>
      </c>
      <c r="AP9" s="58">
        <v>124</v>
      </c>
      <c r="AQ9" s="60">
        <v>48</v>
      </c>
      <c r="AR9" s="50">
        <v>13640</v>
      </c>
      <c r="AS9" s="52">
        <v>308</v>
      </c>
      <c r="AT9" s="54">
        <v>220</v>
      </c>
      <c r="AU9" s="56">
        <v>220</v>
      </c>
      <c r="AV9" s="58">
        <v>197</v>
      </c>
      <c r="AW9" s="60">
        <v>120</v>
      </c>
    </row>
    <row r="10" spans="1:49" ht="15.75" thickBot="1">
      <c r="A10" s="62">
        <v>8</v>
      </c>
      <c r="B10" s="51">
        <v>21090</v>
      </c>
      <c r="C10" s="53">
        <v>330</v>
      </c>
      <c r="D10" s="55">
        <v>384</v>
      </c>
      <c r="E10" s="57">
        <v>384</v>
      </c>
      <c r="F10" s="59">
        <v>199</v>
      </c>
      <c r="G10" s="61">
        <v>53</v>
      </c>
      <c r="H10" s="51">
        <v>25025</v>
      </c>
      <c r="I10" s="53">
        <v>284</v>
      </c>
      <c r="J10" s="55">
        <v>520</v>
      </c>
      <c r="K10" s="57">
        <v>158</v>
      </c>
      <c r="L10" s="59">
        <v>169</v>
      </c>
      <c r="M10" s="61">
        <v>53</v>
      </c>
      <c r="N10" s="51">
        <v>29510</v>
      </c>
      <c r="O10" s="53">
        <v>408</v>
      </c>
      <c r="P10" s="55">
        <v>197</v>
      </c>
      <c r="Q10" s="57">
        <v>197</v>
      </c>
      <c r="R10" s="59">
        <v>234</v>
      </c>
      <c r="S10" s="61">
        <v>53</v>
      </c>
      <c r="T10" s="51">
        <v>12325</v>
      </c>
      <c r="U10" s="53">
        <v>249</v>
      </c>
      <c r="V10" s="55">
        <v>520</v>
      </c>
      <c r="W10" s="57">
        <v>520</v>
      </c>
      <c r="X10" s="59">
        <v>154</v>
      </c>
      <c r="Y10" s="61">
        <v>53</v>
      </c>
      <c r="Z10" s="51">
        <v>20295</v>
      </c>
      <c r="AA10" s="53">
        <v>282</v>
      </c>
      <c r="AB10" s="55">
        <v>206</v>
      </c>
      <c r="AC10" s="57">
        <v>540</v>
      </c>
      <c r="AD10" s="59">
        <v>174</v>
      </c>
      <c r="AE10" s="61">
        <v>53</v>
      </c>
      <c r="AF10" s="51">
        <v>25400</v>
      </c>
      <c r="AG10" s="53">
        <v>295</v>
      </c>
      <c r="AH10" s="55">
        <v>280</v>
      </c>
      <c r="AI10" s="57">
        <v>280</v>
      </c>
      <c r="AJ10" s="59">
        <v>169</v>
      </c>
      <c r="AK10" s="61">
        <v>88</v>
      </c>
      <c r="AL10" s="51">
        <v>17250</v>
      </c>
      <c r="AM10" s="53">
        <v>293</v>
      </c>
      <c r="AN10" s="55">
        <v>280</v>
      </c>
      <c r="AO10" s="57">
        <v>280</v>
      </c>
      <c r="AP10" s="59">
        <v>164</v>
      </c>
      <c r="AQ10" s="61">
        <v>53</v>
      </c>
      <c r="AR10" s="51">
        <v>17540</v>
      </c>
      <c r="AS10" s="53">
        <v>313</v>
      </c>
      <c r="AT10" s="55">
        <v>280</v>
      </c>
      <c r="AU10" s="57">
        <v>280</v>
      </c>
      <c r="AV10" s="59">
        <v>277</v>
      </c>
      <c r="AW10" s="61">
        <v>130</v>
      </c>
    </row>
  </sheetData>
  <mergeCells count="8">
    <mergeCell ref="AL1:AQ1"/>
    <mergeCell ref="AR1:AW1"/>
    <mergeCell ref="B1:G1"/>
    <mergeCell ref="H1:M1"/>
    <mergeCell ref="N1:S1"/>
    <mergeCell ref="T1:Y1"/>
    <mergeCell ref="Z1:AE1"/>
    <mergeCell ref="AF1:AK1"/>
  </mergeCells>
  <phoneticPr fontId="2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CB6D8-997B-4FCB-A6B5-1FEF853D3B30}">
  <dimension ref="A1:V74"/>
  <sheetViews>
    <sheetView topLeftCell="A56" workbookViewId="0">
      <selection activeCell="B71" sqref="B71"/>
    </sheetView>
  </sheetViews>
  <sheetFormatPr defaultRowHeight="15"/>
  <cols>
    <col min="1" max="1" width="19.85546875" style="75" bestFit="1" customWidth="1"/>
    <col min="2" max="2" width="19.85546875" style="75" customWidth="1"/>
    <col min="3" max="3" width="9.85546875" style="75" bestFit="1" customWidth="1"/>
    <col min="4" max="4" width="9.5703125" style="75" bestFit="1" customWidth="1"/>
    <col min="5" max="5" width="8.28515625" style="75" bestFit="1" customWidth="1"/>
    <col min="6" max="6" width="17.28515625" style="75" bestFit="1" customWidth="1"/>
    <col min="7" max="7" width="11.28515625" style="75" bestFit="1" customWidth="1"/>
    <col min="8" max="8" width="7.140625" style="75" bestFit="1" customWidth="1"/>
    <col min="9" max="9" width="12.42578125" style="75" bestFit="1" customWidth="1"/>
    <col min="10" max="10" width="9.5703125" style="75" bestFit="1" customWidth="1"/>
    <col min="11" max="11" width="9.28515625" style="75" bestFit="1" customWidth="1"/>
    <col min="12" max="12" width="6.42578125" style="75" bestFit="1" customWidth="1"/>
    <col min="13" max="13" width="8.7109375" style="75" bestFit="1" customWidth="1"/>
    <col min="14" max="14" width="9" style="75" bestFit="1" customWidth="1"/>
    <col min="15" max="18" width="5.28515625" style="75" bestFit="1" customWidth="1"/>
    <col min="19" max="19" width="5" style="75" bestFit="1" customWidth="1"/>
    <col min="20" max="21" width="5.28515625" style="75" bestFit="1" customWidth="1"/>
    <col min="22" max="22" width="13.42578125" style="75" bestFit="1" customWidth="1"/>
    <col min="23" max="16384" width="9.140625" style="75"/>
  </cols>
  <sheetData>
    <row r="1" spans="1:22">
      <c r="A1" s="75" t="s">
        <v>11</v>
      </c>
      <c r="B1" s="75" t="s">
        <v>407</v>
      </c>
      <c r="C1" s="75" t="s">
        <v>316</v>
      </c>
      <c r="D1" s="75" t="s">
        <v>317</v>
      </c>
      <c r="E1" s="75" t="s">
        <v>357</v>
      </c>
      <c r="F1" s="75" t="s">
        <v>358</v>
      </c>
      <c r="G1" s="75" t="s">
        <v>359</v>
      </c>
      <c r="H1" s="75" t="s">
        <v>318</v>
      </c>
      <c r="I1" s="75" t="s">
        <v>4</v>
      </c>
      <c r="J1" s="75" t="s">
        <v>370</v>
      </c>
      <c r="K1" s="75" t="s">
        <v>377</v>
      </c>
      <c r="L1" s="75" t="s">
        <v>378</v>
      </c>
      <c r="M1" s="75" t="s">
        <v>383</v>
      </c>
      <c r="N1" s="75" t="s">
        <v>382</v>
      </c>
      <c r="O1" s="75" t="s">
        <v>319</v>
      </c>
      <c r="P1" s="75" t="s">
        <v>320</v>
      </c>
      <c r="Q1" s="75" t="s">
        <v>321</v>
      </c>
      <c r="R1" s="75" t="s">
        <v>322</v>
      </c>
      <c r="S1" s="75" t="s">
        <v>384</v>
      </c>
      <c r="T1" s="75" t="s">
        <v>385</v>
      </c>
      <c r="U1" s="75" t="s">
        <v>386</v>
      </c>
      <c r="V1" s="75" t="s">
        <v>399</v>
      </c>
    </row>
    <row r="2" spans="1:22">
      <c r="A2" s="75" t="s">
        <v>387</v>
      </c>
      <c r="B2" s="75" t="s">
        <v>97</v>
      </c>
      <c r="C2" s="75" t="s">
        <v>61</v>
      </c>
      <c r="D2" s="75" t="s">
        <v>323</v>
      </c>
      <c r="E2" s="75">
        <v>1</v>
      </c>
      <c r="F2" s="75" t="s">
        <v>324</v>
      </c>
      <c r="G2" s="75" t="s">
        <v>324</v>
      </c>
      <c r="H2" s="76" t="s">
        <v>295</v>
      </c>
      <c r="I2" s="76" t="s">
        <v>69</v>
      </c>
      <c r="J2" s="76" t="s">
        <v>360</v>
      </c>
      <c r="K2" s="76" t="s">
        <v>75</v>
      </c>
      <c r="L2" s="76" t="s">
        <v>360</v>
      </c>
      <c r="M2" s="75" t="s">
        <v>371</v>
      </c>
      <c r="N2" s="75" t="s">
        <v>362</v>
      </c>
      <c r="O2" s="75">
        <v>42</v>
      </c>
      <c r="P2" s="75">
        <v>108</v>
      </c>
      <c r="Q2" s="75">
        <v>640</v>
      </c>
      <c r="R2" s="75">
        <v>3501</v>
      </c>
      <c r="S2" s="75">
        <v>4052</v>
      </c>
      <c r="T2" s="75">
        <v>4698</v>
      </c>
      <c r="U2" s="75">
        <v>5446</v>
      </c>
    </row>
    <row r="3" spans="1:22">
      <c r="A3" s="75" t="s">
        <v>116</v>
      </c>
      <c r="B3" s="75" t="s">
        <v>116</v>
      </c>
      <c r="C3" s="75" t="s">
        <v>61</v>
      </c>
      <c r="D3" s="75" t="s">
        <v>323</v>
      </c>
      <c r="E3" s="75">
        <v>1</v>
      </c>
      <c r="F3" s="75" t="s">
        <v>325</v>
      </c>
      <c r="G3" s="75" t="s">
        <v>326</v>
      </c>
      <c r="H3" s="76" t="s">
        <v>282</v>
      </c>
      <c r="I3" s="76" t="s">
        <v>69</v>
      </c>
      <c r="J3" s="76" t="s">
        <v>361</v>
      </c>
      <c r="K3" s="76"/>
      <c r="L3" s="76"/>
      <c r="M3" s="75" t="s">
        <v>365</v>
      </c>
      <c r="N3" s="75" t="s">
        <v>364</v>
      </c>
      <c r="O3" s="75">
        <v>38</v>
      </c>
      <c r="P3" s="75">
        <v>97</v>
      </c>
      <c r="Q3" s="75">
        <v>576</v>
      </c>
      <c r="R3" s="75">
        <v>1975</v>
      </c>
      <c r="S3" s="75">
        <v>2287</v>
      </c>
      <c r="T3" s="75">
        <v>2651</v>
      </c>
      <c r="U3" s="75">
        <v>3073</v>
      </c>
    </row>
    <row r="4" spans="1:22">
      <c r="A4" s="75" t="s">
        <v>84</v>
      </c>
      <c r="B4" s="75" t="s">
        <v>84</v>
      </c>
      <c r="C4" s="75" t="s">
        <v>61</v>
      </c>
      <c r="D4" s="75" t="s">
        <v>323</v>
      </c>
      <c r="E4" s="75">
        <v>2</v>
      </c>
      <c r="F4" s="75" t="s">
        <v>325</v>
      </c>
      <c r="G4" s="75" t="s">
        <v>324</v>
      </c>
      <c r="H4" s="76" t="s">
        <v>294</v>
      </c>
      <c r="I4" s="76" t="s">
        <v>71</v>
      </c>
      <c r="J4" s="76" t="s">
        <v>361</v>
      </c>
      <c r="K4" s="76"/>
      <c r="L4" s="76"/>
      <c r="M4" s="75" t="s">
        <v>361</v>
      </c>
      <c r="N4" s="75" t="s">
        <v>379</v>
      </c>
      <c r="O4" s="75">
        <v>31</v>
      </c>
      <c r="P4" s="75">
        <v>79</v>
      </c>
      <c r="Q4" s="75">
        <v>467</v>
      </c>
      <c r="R4" s="75">
        <v>1854</v>
      </c>
      <c r="S4" s="75">
        <v>2147</v>
      </c>
      <c r="T4" s="75">
        <v>2489</v>
      </c>
      <c r="U4" s="75">
        <v>2886</v>
      </c>
    </row>
    <row r="5" spans="1:22">
      <c r="A5" s="75" t="s">
        <v>149</v>
      </c>
      <c r="B5" s="75" t="s">
        <v>149</v>
      </c>
      <c r="C5" s="75" t="s">
        <v>61</v>
      </c>
      <c r="D5" s="75" t="s">
        <v>327</v>
      </c>
      <c r="E5" s="75">
        <v>1</v>
      </c>
      <c r="F5" s="75" t="s">
        <v>324</v>
      </c>
      <c r="G5" s="75" t="s">
        <v>325</v>
      </c>
      <c r="H5" s="76" t="s">
        <v>294</v>
      </c>
      <c r="I5" s="76" t="s">
        <v>69</v>
      </c>
      <c r="J5" s="76" t="s">
        <v>361</v>
      </c>
      <c r="K5" s="76"/>
      <c r="L5" s="76"/>
      <c r="M5" s="75" t="s">
        <v>361</v>
      </c>
      <c r="N5" s="75" t="s">
        <v>379</v>
      </c>
      <c r="O5" s="75">
        <v>40</v>
      </c>
      <c r="P5" s="75">
        <v>104</v>
      </c>
      <c r="Q5" s="75">
        <v>617</v>
      </c>
      <c r="R5" s="75">
        <v>3219</v>
      </c>
      <c r="S5" s="75">
        <v>3727</v>
      </c>
      <c r="T5" s="75">
        <v>4321</v>
      </c>
      <c r="U5" s="75">
        <v>5009</v>
      </c>
    </row>
    <row r="6" spans="1:22">
      <c r="A6" s="75" t="s">
        <v>175</v>
      </c>
      <c r="B6" s="75" t="s">
        <v>175</v>
      </c>
      <c r="C6" s="75" t="s">
        <v>61</v>
      </c>
      <c r="D6" s="75" t="s">
        <v>323</v>
      </c>
      <c r="E6" s="75">
        <v>2</v>
      </c>
      <c r="F6" s="75" t="s">
        <v>325</v>
      </c>
      <c r="G6" s="75" t="s">
        <v>328</v>
      </c>
      <c r="H6" s="76" t="s">
        <v>297</v>
      </c>
      <c r="I6" s="76" t="s">
        <v>5</v>
      </c>
      <c r="J6" s="76" t="s">
        <v>361</v>
      </c>
      <c r="K6" s="76"/>
      <c r="L6" s="76"/>
      <c r="M6" s="75" t="s">
        <v>379</v>
      </c>
      <c r="N6" s="75" t="s">
        <v>361</v>
      </c>
      <c r="O6" s="75">
        <v>53</v>
      </c>
      <c r="P6" s="75">
        <v>136</v>
      </c>
      <c r="Q6" s="75">
        <v>373</v>
      </c>
      <c r="R6" s="75">
        <v>1736</v>
      </c>
      <c r="S6" s="75">
        <v>2011</v>
      </c>
      <c r="T6" s="75">
        <v>2331</v>
      </c>
      <c r="U6" s="75">
        <v>2702</v>
      </c>
    </row>
    <row r="7" spans="1:22">
      <c r="A7" s="75" t="s">
        <v>171</v>
      </c>
      <c r="B7" s="75" t="s">
        <v>171</v>
      </c>
      <c r="C7" s="75" t="s">
        <v>61</v>
      </c>
      <c r="D7" s="75" t="s">
        <v>323</v>
      </c>
      <c r="E7" s="75">
        <v>1</v>
      </c>
      <c r="F7" s="75" t="s">
        <v>325</v>
      </c>
      <c r="G7" s="75" t="s">
        <v>328</v>
      </c>
      <c r="H7" s="76" t="s">
        <v>297</v>
      </c>
      <c r="I7" s="76" t="s">
        <v>5</v>
      </c>
      <c r="J7" s="76" t="s">
        <v>360</v>
      </c>
      <c r="K7" s="76" t="s">
        <v>73</v>
      </c>
      <c r="L7" s="76" t="s">
        <v>360</v>
      </c>
      <c r="M7" s="75" t="s">
        <v>362</v>
      </c>
      <c r="N7" s="75" t="s">
        <v>371</v>
      </c>
      <c r="O7" s="75">
        <v>146</v>
      </c>
      <c r="P7" s="75">
        <v>420</v>
      </c>
      <c r="Q7" s="75">
        <v>475</v>
      </c>
      <c r="R7" s="75">
        <v>2294</v>
      </c>
      <c r="S7" s="75">
        <v>2656</v>
      </c>
      <c r="T7" s="75">
        <v>3079</v>
      </c>
      <c r="U7" s="75">
        <v>3569</v>
      </c>
    </row>
    <row r="8" spans="1:22">
      <c r="A8" s="75" t="s">
        <v>163</v>
      </c>
      <c r="B8" s="75" t="s">
        <v>163</v>
      </c>
      <c r="C8" s="75" t="s">
        <v>61</v>
      </c>
      <c r="D8" s="75" t="s">
        <v>323</v>
      </c>
      <c r="E8" s="75">
        <v>1</v>
      </c>
      <c r="F8" s="75" t="s">
        <v>324</v>
      </c>
      <c r="G8" s="75" t="s">
        <v>329</v>
      </c>
      <c r="H8" s="76" t="s">
        <v>293</v>
      </c>
      <c r="I8" s="76" t="s">
        <v>69</v>
      </c>
      <c r="J8" s="76" t="s">
        <v>361</v>
      </c>
      <c r="K8" s="76"/>
      <c r="L8" s="76"/>
      <c r="M8" s="75" t="s">
        <v>361</v>
      </c>
      <c r="N8" s="75" t="s">
        <v>379</v>
      </c>
      <c r="O8" s="75">
        <v>470</v>
      </c>
      <c r="P8" s="75">
        <v>870</v>
      </c>
      <c r="Q8" s="75">
        <v>1098</v>
      </c>
      <c r="R8" s="75">
        <v>2248</v>
      </c>
      <c r="S8" s="75">
        <v>2603</v>
      </c>
      <c r="T8" s="75">
        <v>3017</v>
      </c>
      <c r="U8" s="75">
        <v>3498</v>
      </c>
    </row>
    <row r="9" spans="1:22">
      <c r="A9" s="75" t="s">
        <v>93</v>
      </c>
      <c r="B9" s="75" t="s">
        <v>93</v>
      </c>
      <c r="C9" s="75" t="s">
        <v>61</v>
      </c>
      <c r="D9" s="75" t="s">
        <v>323</v>
      </c>
      <c r="E9" s="75">
        <v>1</v>
      </c>
      <c r="F9" s="75" t="s">
        <v>325</v>
      </c>
      <c r="G9" s="75" t="s">
        <v>328</v>
      </c>
      <c r="H9" s="76" t="s">
        <v>282</v>
      </c>
      <c r="I9" s="76" t="s">
        <v>71</v>
      </c>
      <c r="J9" s="76" t="s">
        <v>360</v>
      </c>
      <c r="K9" s="76" t="s">
        <v>73</v>
      </c>
      <c r="L9" s="76" t="s">
        <v>360</v>
      </c>
      <c r="M9" s="75" t="s">
        <v>361</v>
      </c>
      <c r="N9" s="75" t="s">
        <v>379</v>
      </c>
      <c r="O9" s="75">
        <v>42</v>
      </c>
      <c r="P9" s="75">
        <v>107</v>
      </c>
      <c r="Q9" s="75">
        <v>711</v>
      </c>
      <c r="R9" s="75">
        <v>1521</v>
      </c>
      <c r="S9" s="75">
        <v>1761</v>
      </c>
      <c r="T9" s="75">
        <v>2041</v>
      </c>
      <c r="U9" s="75">
        <v>2367</v>
      </c>
    </row>
    <row r="10" spans="1:22">
      <c r="A10" s="75" t="s">
        <v>124</v>
      </c>
      <c r="B10" s="75" t="s">
        <v>124</v>
      </c>
      <c r="C10" s="75" t="s">
        <v>61</v>
      </c>
      <c r="D10" s="75" t="s">
        <v>323</v>
      </c>
      <c r="E10" s="75">
        <v>1</v>
      </c>
      <c r="F10" s="75" t="s">
        <v>325</v>
      </c>
      <c r="G10" s="75" t="s">
        <v>324</v>
      </c>
      <c r="H10" s="76" t="s">
        <v>295</v>
      </c>
      <c r="I10" s="76" t="s">
        <v>69</v>
      </c>
      <c r="J10" s="76" t="s">
        <v>361</v>
      </c>
      <c r="K10" s="76"/>
      <c r="L10" s="76"/>
      <c r="M10" s="75" t="s">
        <v>371</v>
      </c>
      <c r="N10" s="75" t="s">
        <v>362</v>
      </c>
      <c r="O10" s="75">
        <v>635</v>
      </c>
      <c r="P10" s="75">
        <v>1174</v>
      </c>
      <c r="Q10" s="75">
        <v>1482</v>
      </c>
      <c r="R10" s="75">
        <v>3752</v>
      </c>
      <c r="S10" s="75">
        <v>4343</v>
      </c>
      <c r="T10" s="75">
        <v>5035</v>
      </c>
      <c r="U10" s="75">
        <v>5837</v>
      </c>
    </row>
    <row r="11" spans="1:22">
      <c r="A11" s="75" t="s">
        <v>90</v>
      </c>
      <c r="B11" s="75" t="s">
        <v>90</v>
      </c>
      <c r="C11" s="75" t="s">
        <v>61</v>
      </c>
      <c r="D11" s="75" t="s">
        <v>323</v>
      </c>
      <c r="E11" s="75">
        <v>2</v>
      </c>
      <c r="F11" s="75" t="s">
        <v>325</v>
      </c>
      <c r="G11" s="75" t="s">
        <v>328</v>
      </c>
      <c r="H11" s="76" t="s">
        <v>293</v>
      </c>
      <c r="I11" s="76" t="s">
        <v>5</v>
      </c>
      <c r="J11" s="76" t="s">
        <v>362</v>
      </c>
      <c r="K11" s="76" t="s">
        <v>73</v>
      </c>
      <c r="L11" s="76" t="s">
        <v>371</v>
      </c>
      <c r="M11" s="75" t="s">
        <v>379</v>
      </c>
      <c r="N11" s="75" t="s">
        <v>361</v>
      </c>
      <c r="O11" s="75">
        <v>28</v>
      </c>
      <c r="P11" s="75">
        <v>71</v>
      </c>
      <c r="Q11" s="75">
        <v>425</v>
      </c>
      <c r="R11" s="75">
        <v>2877</v>
      </c>
      <c r="S11" s="75">
        <v>3330</v>
      </c>
      <c r="T11" s="75">
        <v>3860</v>
      </c>
      <c r="U11" s="75">
        <v>4475</v>
      </c>
    </row>
    <row r="12" spans="1:22">
      <c r="A12" s="75" t="s">
        <v>131</v>
      </c>
      <c r="B12" s="75" t="s">
        <v>131</v>
      </c>
      <c r="C12" s="75" t="s">
        <v>61</v>
      </c>
      <c r="D12" s="75" t="s">
        <v>327</v>
      </c>
      <c r="E12" s="75">
        <v>3</v>
      </c>
      <c r="F12" s="75" t="s">
        <v>324</v>
      </c>
      <c r="G12" s="75" t="s">
        <v>325</v>
      </c>
      <c r="H12" s="76" t="s">
        <v>293</v>
      </c>
      <c r="I12" s="76" t="s">
        <v>69</v>
      </c>
      <c r="J12" s="76" t="s">
        <v>361</v>
      </c>
      <c r="K12" s="76"/>
      <c r="L12" s="76"/>
      <c r="M12" s="75" t="s">
        <v>361</v>
      </c>
      <c r="N12" s="75" t="s">
        <v>379</v>
      </c>
      <c r="O12" s="75">
        <v>77</v>
      </c>
      <c r="P12" s="75">
        <v>244</v>
      </c>
      <c r="Q12" s="75">
        <v>804</v>
      </c>
      <c r="R12" s="75">
        <v>1072</v>
      </c>
      <c r="S12" s="75">
        <v>1241</v>
      </c>
      <c r="T12" s="75">
        <v>1439</v>
      </c>
      <c r="U12" s="75">
        <v>1668</v>
      </c>
    </row>
    <row r="13" spans="1:22">
      <c r="A13" s="75" t="s">
        <v>330</v>
      </c>
      <c r="B13" s="75" t="s">
        <v>330</v>
      </c>
      <c r="C13" s="75" t="s">
        <v>61</v>
      </c>
      <c r="D13" s="75" t="s">
        <v>323</v>
      </c>
      <c r="E13" s="75">
        <v>3</v>
      </c>
      <c r="F13" s="75" t="s">
        <v>324</v>
      </c>
      <c r="G13" s="75" t="s">
        <v>325</v>
      </c>
      <c r="H13" s="76" t="s">
        <v>295</v>
      </c>
      <c r="I13" s="76" t="s">
        <v>71</v>
      </c>
      <c r="J13" s="76" t="s">
        <v>361</v>
      </c>
      <c r="K13" s="76"/>
      <c r="L13" s="76"/>
      <c r="M13" s="75" t="s">
        <v>361</v>
      </c>
      <c r="N13" s="75" t="s">
        <v>379</v>
      </c>
      <c r="R13" s="75">
        <v>2377</v>
      </c>
      <c r="S13" s="75">
        <v>2572</v>
      </c>
      <c r="T13" s="75">
        <v>2703</v>
      </c>
      <c r="U13" s="75">
        <v>2841</v>
      </c>
    </row>
    <row r="14" spans="1:22">
      <c r="A14" s="75" t="s">
        <v>331</v>
      </c>
      <c r="B14" s="75" t="s">
        <v>330</v>
      </c>
      <c r="C14" s="75" t="s">
        <v>61</v>
      </c>
      <c r="D14" s="75" t="s">
        <v>323</v>
      </c>
      <c r="E14" s="75">
        <v>3</v>
      </c>
      <c r="F14" s="75" t="s">
        <v>324</v>
      </c>
      <c r="G14" s="75" t="s">
        <v>325</v>
      </c>
      <c r="H14" s="76" t="s">
        <v>295</v>
      </c>
      <c r="I14" s="76" t="s">
        <v>71</v>
      </c>
      <c r="J14" s="76" t="s">
        <v>363</v>
      </c>
      <c r="K14" s="76" t="s">
        <v>77</v>
      </c>
      <c r="L14" s="76" t="s">
        <v>372</v>
      </c>
      <c r="M14" s="75" t="s">
        <v>361</v>
      </c>
      <c r="N14" s="75" t="s">
        <v>379</v>
      </c>
      <c r="R14" s="75">
        <v>3556</v>
      </c>
    </row>
    <row r="15" spans="1:22">
      <c r="A15" s="75" t="s">
        <v>332</v>
      </c>
      <c r="B15" s="75" t="s">
        <v>332</v>
      </c>
      <c r="C15" s="75" t="s">
        <v>61</v>
      </c>
      <c r="D15" s="75" t="s">
        <v>323</v>
      </c>
      <c r="E15" s="75">
        <v>2</v>
      </c>
      <c r="F15" s="75" t="s">
        <v>325</v>
      </c>
      <c r="G15" s="75" t="s">
        <v>328</v>
      </c>
      <c r="H15" s="76" t="s">
        <v>296</v>
      </c>
      <c r="I15" s="76" t="s">
        <v>5</v>
      </c>
      <c r="J15" s="76" t="s">
        <v>362</v>
      </c>
      <c r="K15" s="76" t="s">
        <v>75</v>
      </c>
      <c r="L15" s="76" t="s">
        <v>371</v>
      </c>
      <c r="M15" s="75" t="s">
        <v>363</v>
      </c>
      <c r="N15" s="75" t="s">
        <v>372</v>
      </c>
      <c r="R15" s="75">
        <v>2824</v>
      </c>
      <c r="S15" s="75">
        <v>3056</v>
      </c>
      <c r="T15" s="75">
        <v>3212</v>
      </c>
      <c r="U15" s="75">
        <v>3376</v>
      </c>
    </row>
    <row r="16" spans="1:22">
      <c r="A16" s="75" t="s">
        <v>333</v>
      </c>
      <c r="B16" s="75" t="s">
        <v>332</v>
      </c>
      <c r="C16" s="75" t="s">
        <v>61</v>
      </c>
      <c r="D16" s="75" t="s">
        <v>323</v>
      </c>
      <c r="E16" s="75">
        <v>2</v>
      </c>
      <c r="F16" s="75" t="s">
        <v>325</v>
      </c>
      <c r="G16" s="75" t="s">
        <v>328</v>
      </c>
      <c r="H16" s="76" t="s">
        <v>296</v>
      </c>
      <c r="I16" s="76" t="s">
        <v>5</v>
      </c>
      <c r="J16" s="76" t="s">
        <v>362</v>
      </c>
      <c r="K16" s="76" t="s">
        <v>77</v>
      </c>
      <c r="L16" s="76" t="s">
        <v>371</v>
      </c>
      <c r="M16" s="75" t="s">
        <v>363</v>
      </c>
      <c r="N16" s="75" t="s">
        <v>372</v>
      </c>
      <c r="R16" s="75">
        <v>3760</v>
      </c>
    </row>
    <row r="17" spans="1:22">
      <c r="A17" s="75" t="s">
        <v>241</v>
      </c>
      <c r="B17" s="75" t="s">
        <v>241</v>
      </c>
      <c r="C17" s="75" t="s">
        <v>61</v>
      </c>
      <c r="D17" s="75" t="s">
        <v>327</v>
      </c>
      <c r="E17" s="75">
        <v>3</v>
      </c>
      <c r="F17" s="75" t="s">
        <v>324</v>
      </c>
      <c r="G17" s="75" t="s">
        <v>328</v>
      </c>
      <c r="H17" s="76" t="s">
        <v>293</v>
      </c>
      <c r="I17" s="76" t="s">
        <v>71</v>
      </c>
      <c r="J17" s="76" t="s">
        <v>361</v>
      </c>
      <c r="K17" s="76"/>
      <c r="L17" s="76"/>
      <c r="M17" s="75" t="s">
        <v>361</v>
      </c>
      <c r="N17" s="75" t="s">
        <v>379</v>
      </c>
      <c r="O17" s="75">
        <v>450</v>
      </c>
      <c r="P17" s="75">
        <v>1242</v>
      </c>
      <c r="Q17" s="75">
        <v>1628</v>
      </c>
      <c r="R17" s="75">
        <v>3080</v>
      </c>
      <c r="S17" s="75">
        <v>3564</v>
      </c>
      <c r="T17" s="75">
        <v>4132</v>
      </c>
      <c r="U17" s="75">
        <v>4790</v>
      </c>
    </row>
    <row r="18" spans="1:22">
      <c r="A18" s="75" t="s">
        <v>86</v>
      </c>
      <c r="B18" s="75" t="s">
        <v>86</v>
      </c>
      <c r="C18" s="75" t="s">
        <v>355</v>
      </c>
      <c r="D18" s="75" t="s">
        <v>323</v>
      </c>
      <c r="E18" s="75">
        <v>1</v>
      </c>
      <c r="F18" s="75" t="s">
        <v>324</v>
      </c>
      <c r="G18" s="75" t="s">
        <v>324</v>
      </c>
      <c r="H18" s="76" t="s">
        <v>295</v>
      </c>
      <c r="I18" s="76" t="s">
        <v>69</v>
      </c>
      <c r="J18" s="76" t="s">
        <v>360</v>
      </c>
      <c r="K18" s="76" t="s">
        <v>73</v>
      </c>
      <c r="L18" s="76" t="s">
        <v>360</v>
      </c>
      <c r="M18" s="75" t="s">
        <v>371</v>
      </c>
      <c r="N18" s="75" t="s">
        <v>362</v>
      </c>
      <c r="O18" s="75">
        <v>32</v>
      </c>
      <c r="P18" s="75">
        <v>83</v>
      </c>
      <c r="Q18" s="75">
        <v>492</v>
      </c>
      <c r="R18" s="75">
        <v>2693</v>
      </c>
      <c r="S18" s="75">
        <v>3117</v>
      </c>
      <c r="T18" s="75">
        <v>3614</v>
      </c>
      <c r="U18" s="75">
        <v>4189</v>
      </c>
    </row>
    <row r="19" spans="1:22">
      <c r="A19" s="75" t="s">
        <v>128</v>
      </c>
      <c r="B19" s="75" t="s">
        <v>128</v>
      </c>
      <c r="C19" s="75" t="s">
        <v>355</v>
      </c>
      <c r="D19" s="75" t="s">
        <v>323</v>
      </c>
      <c r="E19" s="75">
        <v>1</v>
      </c>
      <c r="F19" s="75" t="s">
        <v>325</v>
      </c>
      <c r="G19" s="75" t="s">
        <v>326</v>
      </c>
      <c r="H19" s="76" t="s">
        <v>296</v>
      </c>
      <c r="I19" s="76" t="s">
        <v>69</v>
      </c>
      <c r="J19" s="76" t="s">
        <v>361</v>
      </c>
      <c r="K19" s="76"/>
      <c r="L19" s="76"/>
      <c r="M19" s="75" t="s">
        <v>371</v>
      </c>
      <c r="N19" s="75" t="s">
        <v>362</v>
      </c>
      <c r="O19" s="75">
        <v>71</v>
      </c>
      <c r="P19" s="75">
        <v>184</v>
      </c>
      <c r="Q19" s="75">
        <v>453</v>
      </c>
      <c r="R19" s="75">
        <v>2790</v>
      </c>
      <c r="S19" s="75">
        <v>3230</v>
      </c>
      <c r="T19" s="75">
        <v>3744</v>
      </c>
      <c r="U19" s="75">
        <v>4341</v>
      </c>
    </row>
    <row r="20" spans="1:22">
      <c r="A20" s="75" t="s">
        <v>178</v>
      </c>
      <c r="B20" s="75" t="s">
        <v>178</v>
      </c>
      <c r="C20" s="75" t="s">
        <v>355</v>
      </c>
      <c r="D20" s="75" t="s">
        <v>323</v>
      </c>
      <c r="E20" s="75">
        <v>2</v>
      </c>
      <c r="F20" s="75" t="s">
        <v>325</v>
      </c>
      <c r="G20" s="75" t="s">
        <v>328</v>
      </c>
      <c r="H20" s="76" t="s">
        <v>294</v>
      </c>
      <c r="I20" s="76" t="s">
        <v>5</v>
      </c>
      <c r="J20" s="76" t="s">
        <v>364</v>
      </c>
      <c r="K20" s="76" t="s">
        <v>73</v>
      </c>
      <c r="L20" s="76" t="s">
        <v>365</v>
      </c>
      <c r="M20" s="75" t="s">
        <v>379</v>
      </c>
      <c r="N20" s="75" t="s">
        <v>361</v>
      </c>
      <c r="O20" s="75">
        <v>266</v>
      </c>
      <c r="P20" s="75">
        <v>763</v>
      </c>
      <c r="Q20" s="75">
        <v>863</v>
      </c>
      <c r="R20" s="75">
        <v>3561</v>
      </c>
      <c r="S20" s="75">
        <v>4122</v>
      </c>
      <c r="T20" s="75">
        <v>4779</v>
      </c>
      <c r="U20" s="75">
        <v>5540</v>
      </c>
    </row>
    <row r="21" spans="1:22">
      <c r="A21" s="75" t="s">
        <v>118</v>
      </c>
      <c r="B21" s="75" t="s">
        <v>118</v>
      </c>
      <c r="C21" s="75" t="s">
        <v>355</v>
      </c>
      <c r="D21" s="75" t="s">
        <v>327</v>
      </c>
      <c r="E21" s="75">
        <v>2</v>
      </c>
      <c r="F21" s="75" t="s">
        <v>325</v>
      </c>
      <c r="G21" s="75" t="s">
        <v>328</v>
      </c>
      <c r="H21" s="76" t="s">
        <v>296</v>
      </c>
      <c r="I21" s="76" t="s">
        <v>5</v>
      </c>
      <c r="J21" s="76" t="s">
        <v>361</v>
      </c>
      <c r="K21" s="76"/>
      <c r="L21" s="76"/>
      <c r="M21" s="75" t="s">
        <v>368</v>
      </c>
      <c r="N21" s="75" t="s">
        <v>375</v>
      </c>
      <c r="O21" s="75">
        <v>42</v>
      </c>
      <c r="P21" s="75">
        <v>107</v>
      </c>
      <c r="Q21" s="75">
        <v>634</v>
      </c>
      <c r="R21" s="75">
        <v>3066</v>
      </c>
      <c r="S21" s="75">
        <v>3549</v>
      </c>
      <c r="T21" s="75">
        <v>4115</v>
      </c>
      <c r="U21" s="75">
        <v>4770</v>
      </c>
      <c r="V21" s="75">
        <v>2.38</v>
      </c>
    </row>
    <row r="22" spans="1:22">
      <c r="A22" s="75" t="s">
        <v>388</v>
      </c>
      <c r="B22" s="75" t="s">
        <v>118</v>
      </c>
      <c r="C22" s="75" t="s">
        <v>355</v>
      </c>
      <c r="D22" s="75" t="s">
        <v>327</v>
      </c>
      <c r="E22" s="75">
        <v>2</v>
      </c>
      <c r="F22" s="75" t="s">
        <v>325</v>
      </c>
      <c r="G22" s="75" t="s">
        <v>328</v>
      </c>
      <c r="H22" s="76" t="s">
        <v>296</v>
      </c>
      <c r="I22" s="76" t="s">
        <v>5</v>
      </c>
      <c r="J22" s="76" t="s">
        <v>361</v>
      </c>
      <c r="K22" s="76"/>
      <c r="L22" s="76"/>
      <c r="M22" s="75" t="s">
        <v>368</v>
      </c>
      <c r="N22" s="75" t="s">
        <v>375</v>
      </c>
      <c r="O22" s="75">
        <v>42</v>
      </c>
      <c r="P22" s="75">
        <v>107</v>
      </c>
      <c r="Q22" s="75">
        <v>634</v>
      </c>
      <c r="R22" s="75">
        <v>3066</v>
      </c>
      <c r="S22" s="75">
        <v>3549</v>
      </c>
      <c r="T22" s="75">
        <v>4115</v>
      </c>
      <c r="U22" s="75">
        <v>4770</v>
      </c>
    </row>
    <row r="23" spans="1:22">
      <c r="A23" s="75" t="s">
        <v>184</v>
      </c>
      <c r="B23" s="75" t="s">
        <v>184</v>
      </c>
      <c r="C23" s="75" t="s">
        <v>355</v>
      </c>
      <c r="D23" s="75" t="s">
        <v>323</v>
      </c>
      <c r="E23" s="75">
        <v>3</v>
      </c>
      <c r="F23" s="75" t="s">
        <v>325</v>
      </c>
      <c r="G23" s="75" t="s">
        <v>324</v>
      </c>
      <c r="H23" s="76" t="s">
        <v>297</v>
      </c>
      <c r="I23" s="76" t="s">
        <v>71</v>
      </c>
      <c r="J23" s="76" t="s">
        <v>360</v>
      </c>
      <c r="K23" s="76" t="s">
        <v>75</v>
      </c>
      <c r="L23" s="76" t="s">
        <v>360</v>
      </c>
      <c r="M23" s="75" t="s">
        <v>364</v>
      </c>
      <c r="N23" s="75" t="s">
        <v>365</v>
      </c>
      <c r="O23" s="75">
        <v>108</v>
      </c>
      <c r="P23" s="75">
        <v>278</v>
      </c>
      <c r="Q23" s="75">
        <v>764</v>
      </c>
      <c r="R23" s="75">
        <v>1966</v>
      </c>
      <c r="S23" s="75">
        <v>2276</v>
      </c>
      <c r="T23" s="75">
        <v>2639</v>
      </c>
      <c r="U23" s="75">
        <v>3059</v>
      </c>
    </row>
    <row r="24" spans="1:22">
      <c r="A24" s="75" t="s">
        <v>153</v>
      </c>
      <c r="B24" s="75" t="s">
        <v>153</v>
      </c>
      <c r="C24" s="75" t="s">
        <v>355</v>
      </c>
      <c r="D24" s="75" t="s">
        <v>323</v>
      </c>
      <c r="E24" s="75">
        <v>1</v>
      </c>
      <c r="F24" s="75" t="s">
        <v>325</v>
      </c>
      <c r="G24" s="75" t="s">
        <v>328</v>
      </c>
      <c r="H24" s="76" t="s">
        <v>294</v>
      </c>
      <c r="I24" s="76" t="s">
        <v>5</v>
      </c>
      <c r="J24" s="76" t="s">
        <v>361</v>
      </c>
      <c r="K24" s="76"/>
      <c r="L24" s="76"/>
      <c r="M24" s="75" t="s">
        <v>364</v>
      </c>
      <c r="N24" s="75" t="s">
        <v>365</v>
      </c>
      <c r="O24" s="75">
        <v>59</v>
      </c>
      <c r="P24" s="75">
        <v>153</v>
      </c>
      <c r="Q24" s="75">
        <v>422</v>
      </c>
      <c r="R24" s="75">
        <v>2235</v>
      </c>
      <c r="S24" s="75">
        <v>2587</v>
      </c>
      <c r="T24" s="75">
        <v>2999</v>
      </c>
      <c r="U24" s="75">
        <v>3477</v>
      </c>
    </row>
    <row r="25" spans="1:22">
      <c r="A25" s="75" t="s">
        <v>113</v>
      </c>
      <c r="B25" s="75" t="s">
        <v>113</v>
      </c>
      <c r="C25" s="75" t="s">
        <v>355</v>
      </c>
      <c r="D25" s="75" t="s">
        <v>327</v>
      </c>
      <c r="E25" s="75">
        <v>3</v>
      </c>
      <c r="F25" s="75" t="s">
        <v>325</v>
      </c>
      <c r="G25" s="75" t="s">
        <v>328</v>
      </c>
      <c r="H25" s="76" t="s">
        <v>282</v>
      </c>
      <c r="I25" s="76" t="s">
        <v>5</v>
      </c>
      <c r="J25" s="76" t="s">
        <v>361</v>
      </c>
      <c r="K25" s="76"/>
      <c r="L25" s="76"/>
      <c r="M25" s="75" t="s">
        <v>364</v>
      </c>
      <c r="N25" s="75" t="s">
        <v>365</v>
      </c>
      <c r="O25" s="75">
        <v>131</v>
      </c>
      <c r="P25" s="75">
        <v>338</v>
      </c>
      <c r="Q25" s="75">
        <v>928</v>
      </c>
      <c r="R25" s="75">
        <v>1999</v>
      </c>
      <c r="S25" s="75">
        <v>2315</v>
      </c>
      <c r="T25" s="75">
        <v>2683</v>
      </c>
      <c r="U25" s="75">
        <v>3111</v>
      </c>
      <c r="V25" s="75">
        <v>2.5</v>
      </c>
    </row>
    <row r="26" spans="1:22">
      <c r="A26" s="75" t="s">
        <v>389</v>
      </c>
      <c r="B26" s="75" t="s">
        <v>389</v>
      </c>
      <c r="C26" s="75" t="s">
        <v>355</v>
      </c>
      <c r="D26" s="75" t="s">
        <v>327</v>
      </c>
      <c r="E26" s="75">
        <v>3</v>
      </c>
      <c r="F26" s="75" t="s">
        <v>325</v>
      </c>
      <c r="G26" s="75" t="s">
        <v>328</v>
      </c>
      <c r="H26" s="76" t="s">
        <v>282</v>
      </c>
      <c r="I26" s="76" t="s">
        <v>5</v>
      </c>
      <c r="J26" s="76" t="s">
        <v>361</v>
      </c>
      <c r="K26" s="76"/>
      <c r="L26" s="76"/>
      <c r="M26" s="75" t="s">
        <v>364</v>
      </c>
      <c r="N26" s="75" t="s">
        <v>365</v>
      </c>
      <c r="O26" s="75">
        <v>136</v>
      </c>
      <c r="P26" s="75">
        <v>349</v>
      </c>
      <c r="Q26" s="75">
        <v>956</v>
      </c>
      <c r="R26" s="75">
        <v>2060</v>
      </c>
      <c r="S26" s="75">
        <v>2384</v>
      </c>
      <c r="T26" s="75">
        <v>2764</v>
      </c>
      <c r="U26" s="75">
        <v>3205</v>
      </c>
    </row>
    <row r="27" spans="1:22">
      <c r="A27" s="75" t="s">
        <v>3</v>
      </c>
      <c r="B27" s="75" t="s">
        <v>3</v>
      </c>
      <c r="C27" s="75" t="s">
        <v>355</v>
      </c>
      <c r="D27" s="75" t="s">
        <v>327</v>
      </c>
      <c r="E27" s="75">
        <v>1</v>
      </c>
      <c r="F27" s="75" t="s">
        <v>325</v>
      </c>
      <c r="G27" s="75" t="s">
        <v>328</v>
      </c>
      <c r="H27" s="76" t="s">
        <v>296</v>
      </c>
      <c r="I27" s="76" t="s">
        <v>5</v>
      </c>
      <c r="J27" s="76" t="s">
        <v>361</v>
      </c>
      <c r="K27" s="76"/>
      <c r="L27" s="76"/>
      <c r="M27" s="75" t="s">
        <v>379</v>
      </c>
      <c r="N27" s="75" t="s">
        <v>361</v>
      </c>
      <c r="O27" s="75">
        <v>62</v>
      </c>
      <c r="P27" s="75">
        <v>159</v>
      </c>
      <c r="Q27" s="75">
        <v>391</v>
      </c>
      <c r="R27" s="75">
        <v>2394</v>
      </c>
      <c r="S27" s="75">
        <v>2772</v>
      </c>
      <c r="T27" s="75">
        <v>3213</v>
      </c>
      <c r="U27" s="75">
        <v>3725</v>
      </c>
      <c r="V27" s="75">
        <v>1.5</v>
      </c>
    </row>
    <row r="28" spans="1:22">
      <c r="A28" s="75" t="s">
        <v>390</v>
      </c>
      <c r="B28" s="75" t="s">
        <v>3</v>
      </c>
      <c r="C28" s="75" t="s">
        <v>355</v>
      </c>
      <c r="D28" s="75" t="s">
        <v>327</v>
      </c>
      <c r="E28" s="75">
        <v>1</v>
      </c>
      <c r="F28" s="75" t="s">
        <v>325</v>
      </c>
      <c r="G28" s="75" t="s">
        <v>328</v>
      </c>
      <c r="H28" s="76" t="s">
        <v>296</v>
      </c>
      <c r="I28" s="76" t="s">
        <v>5</v>
      </c>
      <c r="J28" s="76" t="s">
        <v>361</v>
      </c>
      <c r="K28" s="76"/>
      <c r="L28" s="76"/>
      <c r="M28" s="75" t="s">
        <v>379</v>
      </c>
      <c r="N28" s="75" t="s">
        <v>361</v>
      </c>
      <c r="O28" s="75">
        <v>64</v>
      </c>
      <c r="P28" s="75">
        <v>159</v>
      </c>
      <c r="Q28" s="75">
        <v>391</v>
      </c>
      <c r="R28" s="75">
        <v>2394</v>
      </c>
      <c r="S28" s="75">
        <v>2772</v>
      </c>
      <c r="T28" s="75">
        <v>3213</v>
      </c>
      <c r="U28" s="75">
        <v>3725</v>
      </c>
      <c r="V28" s="75">
        <v>1.5</v>
      </c>
    </row>
    <row r="29" spans="1:22">
      <c r="A29" s="75" t="s">
        <v>334</v>
      </c>
      <c r="B29" s="75" t="s">
        <v>3</v>
      </c>
      <c r="C29" s="75" t="s">
        <v>355</v>
      </c>
      <c r="D29" s="75" t="s">
        <v>327</v>
      </c>
      <c r="E29" s="75">
        <v>1</v>
      </c>
      <c r="F29" s="75" t="s">
        <v>325</v>
      </c>
      <c r="G29" s="75" t="s">
        <v>328</v>
      </c>
      <c r="H29" s="76" t="s">
        <v>296</v>
      </c>
      <c r="I29" s="76" t="s">
        <v>5</v>
      </c>
      <c r="J29" s="76" t="s">
        <v>361</v>
      </c>
      <c r="K29" s="76"/>
      <c r="L29" s="76"/>
      <c r="M29" s="75" t="s">
        <v>379</v>
      </c>
      <c r="N29" s="75" t="s">
        <v>361</v>
      </c>
      <c r="O29" s="75">
        <v>71</v>
      </c>
      <c r="P29" s="75">
        <v>183</v>
      </c>
      <c r="Q29" s="75">
        <v>449</v>
      </c>
      <c r="R29" s="75">
        <v>2754</v>
      </c>
      <c r="S29" s="75">
        <v>3187</v>
      </c>
      <c r="T29" s="75">
        <v>3695</v>
      </c>
      <c r="U29" s="75">
        <v>4283</v>
      </c>
      <c r="V29" s="75">
        <v>1.5</v>
      </c>
    </row>
    <row r="30" spans="1:22">
      <c r="A30" s="75" t="s">
        <v>156</v>
      </c>
      <c r="B30" s="75" t="s">
        <v>156</v>
      </c>
      <c r="C30" s="75" t="s">
        <v>355</v>
      </c>
      <c r="D30" s="75" t="s">
        <v>323</v>
      </c>
      <c r="E30" s="75">
        <v>3</v>
      </c>
      <c r="F30" s="75" t="s">
        <v>324</v>
      </c>
      <c r="G30" s="75" t="s">
        <v>329</v>
      </c>
      <c r="H30" s="76" t="s">
        <v>294</v>
      </c>
      <c r="I30" s="76" t="s">
        <v>69</v>
      </c>
      <c r="J30" s="76" t="s">
        <v>361</v>
      </c>
      <c r="K30" s="76"/>
      <c r="L30" s="76"/>
      <c r="M30" s="75" t="s">
        <v>361</v>
      </c>
      <c r="N30" s="75" t="s">
        <v>379</v>
      </c>
      <c r="O30" s="75">
        <v>734</v>
      </c>
      <c r="P30" s="75">
        <v>2100</v>
      </c>
      <c r="Q30" s="75">
        <v>2654</v>
      </c>
      <c r="R30" s="75">
        <v>5934</v>
      </c>
      <c r="S30" s="75">
        <v>7214</v>
      </c>
      <c r="T30" s="75">
        <v>8363</v>
      </c>
      <c r="U30" s="75">
        <v>9695</v>
      </c>
    </row>
    <row r="31" spans="1:22">
      <c r="A31" s="75" t="s">
        <v>140</v>
      </c>
      <c r="B31" s="75" t="s">
        <v>140</v>
      </c>
      <c r="C31" s="75" t="s">
        <v>355</v>
      </c>
      <c r="D31" s="75" t="s">
        <v>327</v>
      </c>
      <c r="E31" s="75">
        <v>1</v>
      </c>
      <c r="F31" s="75" t="s">
        <v>325</v>
      </c>
      <c r="G31" s="75" t="s">
        <v>328</v>
      </c>
      <c r="H31" s="76" t="s">
        <v>293</v>
      </c>
      <c r="I31" s="76" t="s">
        <v>5</v>
      </c>
      <c r="J31" s="76" t="s">
        <v>365</v>
      </c>
      <c r="K31" s="76" t="s">
        <v>73</v>
      </c>
      <c r="L31" s="76" t="s">
        <v>364</v>
      </c>
      <c r="M31" s="75" t="s">
        <v>379</v>
      </c>
      <c r="N31" s="75" t="s">
        <v>361</v>
      </c>
      <c r="O31" s="75">
        <v>1118</v>
      </c>
      <c r="P31" s="75">
        <v>2625</v>
      </c>
      <c r="Q31" s="75">
        <v>3311</v>
      </c>
      <c r="R31" s="75">
        <v>6009</v>
      </c>
      <c r="S31" s="75">
        <v>6955</v>
      </c>
      <c r="T31" s="75">
        <v>8063</v>
      </c>
      <c r="U31" s="75">
        <v>9347</v>
      </c>
    </row>
    <row r="32" spans="1:22">
      <c r="A32" s="75" t="s">
        <v>335</v>
      </c>
      <c r="B32" s="75" t="s">
        <v>335</v>
      </c>
      <c r="C32" s="75" t="s">
        <v>355</v>
      </c>
      <c r="D32" s="75" t="s">
        <v>327</v>
      </c>
      <c r="E32" s="75">
        <v>3</v>
      </c>
      <c r="F32" s="75" t="s">
        <v>325</v>
      </c>
      <c r="G32" s="75" t="s">
        <v>328</v>
      </c>
      <c r="H32" s="76" t="s">
        <v>296</v>
      </c>
      <c r="I32" s="76" t="s">
        <v>5</v>
      </c>
      <c r="J32" s="76" t="s">
        <v>361</v>
      </c>
      <c r="K32" s="76"/>
      <c r="L32" s="76"/>
      <c r="M32" s="75" t="s">
        <v>375</v>
      </c>
      <c r="N32" s="75" t="s">
        <v>368</v>
      </c>
      <c r="R32" s="75">
        <v>3303</v>
      </c>
      <c r="S32" s="75">
        <v>3574</v>
      </c>
      <c r="T32" s="75">
        <v>3756</v>
      </c>
      <c r="U32" s="75">
        <v>3948</v>
      </c>
      <c r="V32" s="75">
        <v>2.5499999999999998</v>
      </c>
    </row>
    <row r="33" spans="1:22">
      <c r="A33" s="75" t="s">
        <v>336</v>
      </c>
      <c r="B33" s="75" t="s">
        <v>335</v>
      </c>
      <c r="C33" s="75" t="s">
        <v>355</v>
      </c>
      <c r="D33" s="75" t="s">
        <v>327</v>
      </c>
      <c r="E33" s="75">
        <v>3</v>
      </c>
      <c r="F33" s="75" t="s">
        <v>325</v>
      </c>
      <c r="G33" s="75" t="s">
        <v>328</v>
      </c>
      <c r="H33" s="76" t="s">
        <v>296</v>
      </c>
      <c r="I33" s="76" t="s">
        <v>5</v>
      </c>
      <c r="J33" s="76" t="s">
        <v>366</v>
      </c>
      <c r="K33" s="76" t="s">
        <v>73</v>
      </c>
      <c r="L33" s="76" t="s">
        <v>373</v>
      </c>
      <c r="M33" s="75" t="s">
        <v>375</v>
      </c>
      <c r="N33" s="75" t="s">
        <v>368</v>
      </c>
      <c r="R33" s="75">
        <v>4208</v>
      </c>
      <c r="V33" s="75">
        <v>2.5499999999999998</v>
      </c>
    </row>
    <row r="34" spans="1:22">
      <c r="A34" s="75" t="s">
        <v>244</v>
      </c>
      <c r="B34" s="75" t="s">
        <v>244</v>
      </c>
      <c r="C34" s="75" t="s">
        <v>355</v>
      </c>
      <c r="D34" s="75" t="s">
        <v>323</v>
      </c>
      <c r="E34" s="75">
        <v>2</v>
      </c>
      <c r="F34" s="75" t="s">
        <v>325</v>
      </c>
      <c r="G34" s="75" t="s">
        <v>328</v>
      </c>
      <c r="H34" s="76" t="s">
        <v>282</v>
      </c>
      <c r="I34" s="76" t="s">
        <v>5</v>
      </c>
      <c r="J34" s="76" t="s">
        <v>367</v>
      </c>
      <c r="K34" s="76" t="s">
        <v>75</v>
      </c>
      <c r="L34" s="76" t="s">
        <v>374</v>
      </c>
      <c r="M34" s="75" t="s">
        <v>379</v>
      </c>
      <c r="N34" s="75" t="s">
        <v>361</v>
      </c>
      <c r="O34" s="75">
        <v>141</v>
      </c>
      <c r="P34" s="75">
        <v>405</v>
      </c>
      <c r="Q34" s="75">
        <v>512</v>
      </c>
      <c r="R34" s="75">
        <v>1914</v>
      </c>
      <c r="S34" s="75">
        <v>2216</v>
      </c>
      <c r="T34" s="75">
        <v>2569</v>
      </c>
      <c r="U34" s="75">
        <v>2978</v>
      </c>
    </row>
    <row r="35" spans="1:22">
      <c r="A35" s="75" t="s">
        <v>151</v>
      </c>
      <c r="B35" s="75" t="s">
        <v>151</v>
      </c>
      <c r="C35" s="75" t="s">
        <v>65</v>
      </c>
      <c r="D35" s="75" t="s">
        <v>327</v>
      </c>
      <c r="E35" s="75">
        <v>2</v>
      </c>
      <c r="F35" s="75" t="s">
        <v>326</v>
      </c>
      <c r="G35" s="75" t="s">
        <v>329</v>
      </c>
      <c r="H35" s="76" t="s">
        <v>295</v>
      </c>
      <c r="I35" s="76" t="s">
        <v>69</v>
      </c>
      <c r="J35" s="76" t="s">
        <v>361</v>
      </c>
      <c r="K35" s="76"/>
      <c r="L35" s="76"/>
      <c r="M35" s="75" t="s">
        <v>361</v>
      </c>
      <c r="N35" s="75" t="s">
        <v>379</v>
      </c>
      <c r="O35" s="75">
        <v>131</v>
      </c>
      <c r="P35" s="75">
        <v>338</v>
      </c>
      <c r="Q35" s="75">
        <v>928</v>
      </c>
      <c r="R35" s="75">
        <v>3693</v>
      </c>
      <c r="S35" s="75">
        <v>4275</v>
      </c>
      <c r="T35" s="75">
        <v>4956</v>
      </c>
      <c r="U35" s="75">
        <v>5746</v>
      </c>
    </row>
    <row r="36" spans="1:22">
      <c r="A36" s="75" t="s">
        <v>95</v>
      </c>
      <c r="B36" s="75" t="s">
        <v>95</v>
      </c>
      <c r="C36" s="75" t="s">
        <v>65</v>
      </c>
      <c r="D36" s="75" t="s">
        <v>323</v>
      </c>
      <c r="E36" s="75">
        <v>2</v>
      </c>
      <c r="F36" s="75" t="s">
        <v>325</v>
      </c>
      <c r="G36" s="75" t="s">
        <v>328</v>
      </c>
      <c r="H36" s="76" t="s">
        <v>296</v>
      </c>
      <c r="I36" s="76" t="s">
        <v>5</v>
      </c>
      <c r="J36" s="76" t="s">
        <v>361</v>
      </c>
      <c r="K36" s="76"/>
      <c r="L36" s="76"/>
      <c r="M36" s="75" t="s">
        <v>379</v>
      </c>
      <c r="N36" s="75" t="s">
        <v>361</v>
      </c>
      <c r="O36" s="75">
        <v>21</v>
      </c>
      <c r="P36" s="75">
        <v>53</v>
      </c>
      <c r="Q36" s="75">
        <v>317</v>
      </c>
      <c r="R36" s="75">
        <v>1469</v>
      </c>
      <c r="S36" s="75">
        <v>1701</v>
      </c>
      <c r="T36" s="75">
        <v>1972</v>
      </c>
      <c r="U36" s="75">
        <v>2287</v>
      </c>
    </row>
    <row r="37" spans="1:22">
      <c r="A37" s="75" t="s">
        <v>210</v>
      </c>
      <c r="B37" s="75" t="s">
        <v>210</v>
      </c>
      <c r="C37" s="75" t="s">
        <v>65</v>
      </c>
      <c r="D37" s="75" t="s">
        <v>327</v>
      </c>
      <c r="E37" s="75">
        <v>2</v>
      </c>
      <c r="F37" s="75" t="s">
        <v>324</v>
      </c>
      <c r="G37" s="75" t="s">
        <v>325</v>
      </c>
      <c r="H37" s="76" t="s">
        <v>294</v>
      </c>
      <c r="I37" s="76" t="s">
        <v>69</v>
      </c>
      <c r="J37" s="76" t="s">
        <v>361</v>
      </c>
      <c r="K37" s="76"/>
      <c r="L37" s="76"/>
      <c r="M37" s="75" t="s">
        <v>361</v>
      </c>
      <c r="N37" s="75" t="s">
        <v>379</v>
      </c>
      <c r="O37" s="75">
        <v>310</v>
      </c>
      <c r="P37" s="75">
        <v>887</v>
      </c>
      <c r="Q37" s="75">
        <v>1120</v>
      </c>
      <c r="R37" s="75">
        <v>4272</v>
      </c>
      <c r="S37" s="75">
        <v>4945</v>
      </c>
      <c r="T37" s="75">
        <v>5733</v>
      </c>
      <c r="U37" s="75">
        <v>6646</v>
      </c>
    </row>
    <row r="38" spans="1:22">
      <c r="A38" s="75" t="s">
        <v>97</v>
      </c>
      <c r="B38" s="75" t="s">
        <v>97</v>
      </c>
      <c r="C38" s="75" t="s">
        <v>65</v>
      </c>
      <c r="D38" s="75" t="s">
        <v>327</v>
      </c>
      <c r="E38" s="75">
        <v>3</v>
      </c>
      <c r="F38" s="75" t="s">
        <v>324</v>
      </c>
      <c r="G38" s="75" t="s">
        <v>325</v>
      </c>
      <c r="H38" s="76" t="s">
        <v>296</v>
      </c>
      <c r="I38" s="76" t="s">
        <v>69</v>
      </c>
      <c r="J38" s="76" t="s">
        <v>361</v>
      </c>
      <c r="K38" s="76"/>
      <c r="L38" s="76"/>
      <c r="M38" s="75" t="s">
        <v>372</v>
      </c>
      <c r="N38" s="75" t="s">
        <v>363</v>
      </c>
      <c r="O38" s="75">
        <v>659</v>
      </c>
      <c r="P38" s="75">
        <v>1217</v>
      </c>
      <c r="Q38" s="75">
        <v>1536</v>
      </c>
      <c r="R38" s="75">
        <v>2940</v>
      </c>
      <c r="S38" s="75">
        <v>3403</v>
      </c>
      <c r="T38" s="75">
        <v>3945</v>
      </c>
      <c r="U38" s="75">
        <v>4574</v>
      </c>
    </row>
    <row r="39" spans="1:22">
      <c r="A39" s="75" t="s">
        <v>120</v>
      </c>
      <c r="B39" s="75" t="s">
        <v>120</v>
      </c>
      <c r="C39" s="75" t="s">
        <v>65</v>
      </c>
      <c r="D39" s="75" t="s">
        <v>323</v>
      </c>
      <c r="E39" s="75">
        <v>2</v>
      </c>
      <c r="F39" s="75" t="s">
        <v>324</v>
      </c>
      <c r="G39" s="75" t="s">
        <v>324</v>
      </c>
      <c r="H39" s="76" t="s">
        <v>295</v>
      </c>
      <c r="I39" s="76" t="s">
        <v>69</v>
      </c>
      <c r="J39" s="76" t="s">
        <v>360</v>
      </c>
      <c r="K39" s="76" t="s">
        <v>73</v>
      </c>
      <c r="L39" s="76" t="s">
        <v>360</v>
      </c>
      <c r="M39" s="75" t="s">
        <v>371</v>
      </c>
      <c r="N39" s="75" t="s">
        <v>362</v>
      </c>
      <c r="O39" s="75">
        <v>97</v>
      </c>
      <c r="P39" s="75">
        <v>175</v>
      </c>
      <c r="Q39" s="75">
        <v>800</v>
      </c>
      <c r="R39" s="75">
        <v>2489</v>
      </c>
      <c r="S39" s="75">
        <v>2881</v>
      </c>
      <c r="T39" s="75">
        <v>3340</v>
      </c>
      <c r="U39" s="75">
        <v>3872</v>
      </c>
    </row>
    <row r="40" spans="1:22">
      <c r="A40" s="75" t="s">
        <v>337</v>
      </c>
      <c r="B40" s="75" t="s">
        <v>120</v>
      </c>
      <c r="C40" s="75" t="s">
        <v>65</v>
      </c>
      <c r="D40" s="75" t="s">
        <v>323</v>
      </c>
      <c r="E40" s="75">
        <v>2</v>
      </c>
      <c r="F40" s="75" t="s">
        <v>324</v>
      </c>
      <c r="G40" s="75" t="s">
        <v>324</v>
      </c>
      <c r="H40" s="76" t="s">
        <v>295</v>
      </c>
      <c r="I40" s="76" t="s">
        <v>69</v>
      </c>
      <c r="J40" s="76" t="s">
        <v>360</v>
      </c>
      <c r="K40" s="76" t="s">
        <v>73</v>
      </c>
      <c r="L40" s="76" t="s">
        <v>360</v>
      </c>
      <c r="M40" s="75" t="s">
        <v>371</v>
      </c>
      <c r="N40" s="75" t="s">
        <v>362</v>
      </c>
      <c r="O40" s="75">
        <v>112</v>
      </c>
      <c r="P40" s="75">
        <v>202</v>
      </c>
      <c r="Q40" s="75">
        <v>921</v>
      </c>
      <c r="R40" s="75">
        <v>2863</v>
      </c>
      <c r="S40" s="75">
        <v>3313</v>
      </c>
      <c r="T40" s="75">
        <v>3841</v>
      </c>
      <c r="U40" s="75">
        <v>4453</v>
      </c>
    </row>
    <row r="41" spans="1:22">
      <c r="A41" s="75" t="s">
        <v>338</v>
      </c>
      <c r="B41" s="75" t="s">
        <v>338</v>
      </c>
      <c r="C41" s="75" t="s">
        <v>65</v>
      </c>
      <c r="D41" s="75" t="s">
        <v>323</v>
      </c>
      <c r="E41" s="75">
        <v>1</v>
      </c>
      <c r="F41" s="75" t="s">
        <v>325</v>
      </c>
      <c r="G41" s="75" t="s">
        <v>326</v>
      </c>
      <c r="H41" s="76" t="s">
        <v>282</v>
      </c>
      <c r="I41" s="76" t="s">
        <v>69</v>
      </c>
      <c r="J41" s="76" t="s">
        <v>360</v>
      </c>
      <c r="K41" s="76" t="s">
        <v>77</v>
      </c>
      <c r="L41" s="76" t="s">
        <v>360</v>
      </c>
      <c r="M41" s="75" t="s">
        <v>361</v>
      </c>
      <c r="N41" s="75" t="s">
        <v>379</v>
      </c>
      <c r="O41" s="75">
        <v>62</v>
      </c>
      <c r="P41" s="75">
        <v>160</v>
      </c>
      <c r="Q41" s="75">
        <v>440</v>
      </c>
      <c r="R41" s="75">
        <v>1743</v>
      </c>
      <c r="S41" s="75">
        <v>2018</v>
      </c>
      <c r="T41" s="75">
        <v>2339</v>
      </c>
      <c r="U41" s="75">
        <v>2712</v>
      </c>
    </row>
    <row r="42" spans="1:22">
      <c r="A42" s="75" t="s">
        <v>222</v>
      </c>
      <c r="B42" s="75" t="s">
        <v>222</v>
      </c>
      <c r="C42" s="75" t="s">
        <v>65</v>
      </c>
      <c r="D42" s="75" t="s">
        <v>323</v>
      </c>
      <c r="E42" s="75">
        <v>1</v>
      </c>
      <c r="F42" s="75" t="s">
        <v>324</v>
      </c>
      <c r="G42" s="75" t="s">
        <v>329</v>
      </c>
      <c r="H42" s="76" t="s">
        <v>295</v>
      </c>
      <c r="I42" s="76" t="s">
        <v>71</v>
      </c>
      <c r="J42" s="76" t="s">
        <v>361</v>
      </c>
      <c r="K42" s="76"/>
      <c r="L42" s="76"/>
      <c r="M42" s="75" t="s">
        <v>365</v>
      </c>
      <c r="N42" s="75" t="s">
        <v>364</v>
      </c>
      <c r="O42" s="75">
        <v>564</v>
      </c>
      <c r="P42" s="75">
        <v>1044</v>
      </c>
      <c r="Q42" s="75">
        <v>1317</v>
      </c>
      <c r="R42" s="75">
        <v>5752</v>
      </c>
      <c r="S42" s="75">
        <v>6659</v>
      </c>
      <c r="T42" s="75">
        <v>7720</v>
      </c>
      <c r="U42" s="75">
        <v>8949</v>
      </c>
    </row>
    <row r="43" spans="1:22">
      <c r="A43" s="75" t="s">
        <v>168</v>
      </c>
      <c r="B43" s="75" t="s">
        <v>168</v>
      </c>
      <c r="C43" s="75" t="s">
        <v>65</v>
      </c>
      <c r="D43" s="75" t="s">
        <v>323</v>
      </c>
      <c r="E43" s="75">
        <v>2</v>
      </c>
      <c r="F43" s="75" t="s">
        <v>324</v>
      </c>
      <c r="G43" s="75" t="s">
        <v>328</v>
      </c>
      <c r="H43" s="76" t="s">
        <v>293</v>
      </c>
      <c r="I43" s="76" t="s">
        <v>5</v>
      </c>
      <c r="J43" s="76" t="s">
        <v>368</v>
      </c>
      <c r="K43" s="76" t="s">
        <v>73</v>
      </c>
      <c r="L43" s="76" t="s">
        <v>375</v>
      </c>
      <c r="M43" s="75" t="s">
        <v>362</v>
      </c>
      <c r="N43" s="75" t="s">
        <v>371</v>
      </c>
      <c r="O43" s="75">
        <v>133</v>
      </c>
      <c r="P43" s="75">
        <v>382</v>
      </c>
      <c r="Q43" s="75">
        <v>242</v>
      </c>
      <c r="R43" s="75">
        <v>2316</v>
      </c>
      <c r="S43" s="75">
        <v>2682</v>
      </c>
      <c r="T43" s="75">
        <v>3109</v>
      </c>
      <c r="U43" s="75">
        <v>3604</v>
      </c>
    </row>
    <row r="44" spans="1:22">
      <c r="A44" s="75" t="s">
        <v>186</v>
      </c>
      <c r="B44" s="75" t="s">
        <v>186</v>
      </c>
      <c r="C44" s="75" t="s">
        <v>65</v>
      </c>
      <c r="D44" s="75" t="s">
        <v>323</v>
      </c>
      <c r="E44" s="75">
        <v>1</v>
      </c>
      <c r="F44" s="75" t="s">
        <v>325</v>
      </c>
      <c r="G44" s="75" t="s">
        <v>326</v>
      </c>
      <c r="H44" s="76" t="s">
        <v>295</v>
      </c>
      <c r="I44" s="76" t="s">
        <v>5</v>
      </c>
      <c r="J44" s="76" t="s">
        <v>364</v>
      </c>
      <c r="K44" s="76" t="s">
        <v>77</v>
      </c>
      <c r="L44" s="76" t="s">
        <v>365</v>
      </c>
      <c r="M44" s="75" t="s">
        <v>362</v>
      </c>
      <c r="N44" s="75" t="s">
        <v>371</v>
      </c>
      <c r="O44" s="75">
        <v>168</v>
      </c>
      <c r="P44" s="75">
        <v>482</v>
      </c>
      <c r="Q44" s="75">
        <v>610</v>
      </c>
      <c r="R44" s="75">
        <v>1862</v>
      </c>
      <c r="S44" s="75">
        <v>2155</v>
      </c>
      <c r="T44" s="75">
        <v>2498</v>
      </c>
      <c r="U44" s="75">
        <v>2896</v>
      </c>
    </row>
    <row r="45" spans="1:22">
      <c r="A45" s="75" t="s">
        <v>339</v>
      </c>
      <c r="B45" s="75" t="s">
        <v>408</v>
      </c>
      <c r="C45" s="75" t="s">
        <v>65</v>
      </c>
      <c r="D45" s="75" t="s">
        <v>327</v>
      </c>
      <c r="E45" s="75">
        <v>3</v>
      </c>
      <c r="F45" s="75" t="s">
        <v>324</v>
      </c>
      <c r="G45" s="75" t="s">
        <v>325</v>
      </c>
      <c r="H45" s="76" t="s">
        <v>293</v>
      </c>
      <c r="I45" s="76" t="s">
        <v>69</v>
      </c>
      <c r="J45" s="76" t="s">
        <v>361</v>
      </c>
      <c r="K45" s="76"/>
      <c r="L45" s="76"/>
      <c r="M45" s="75" t="s">
        <v>365</v>
      </c>
      <c r="N45" s="75" t="s">
        <v>364</v>
      </c>
      <c r="Q45" s="75">
        <v>486</v>
      </c>
      <c r="S45" s="75">
        <v>2750</v>
      </c>
      <c r="T45" s="75">
        <v>3188</v>
      </c>
      <c r="U45" s="75">
        <v>3696</v>
      </c>
    </row>
    <row r="46" spans="1:22">
      <c r="A46" s="75" t="s">
        <v>354</v>
      </c>
      <c r="B46" s="75" t="s">
        <v>408</v>
      </c>
      <c r="C46" s="75" t="s">
        <v>65</v>
      </c>
      <c r="D46" s="75" t="s">
        <v>327</v>
      </c>
      <c r="E46" s="75">
        <v>3</v>
      </c>
      <c r="F46" s="75" t="s">
        <v>324</v>
      </c>
      <c r="G46" s="75" t="s">
        <v>325</v>
      </c>
      <c r="H46" s="76" t="s">
        <v>293</v>
      </c>
      <c r="I46" s="76" t="s">
        <v>69</v>
      </c>
      <c r="J46" s="76" t="s">
        <v>361</v>
      </c>
      <c r="K46" s="76"/>
      <c r="L46" s="76"/>
      <c r="M46" s="75" t="s">
        <v>365</v>
      </c>
      <c r="N46" s="75" t="s">
        <v>364</v>
      </c>
      <c r="O46" s="75">
        <v>51</v>
      </c>
      <c r="P46" s="75">
        <v>131</v>
      </c>
      <c r="Q46" s="75">
        <v>388</v>
      </c>
      <c r="S46" s="75">
        <v>2200</v>
      </c>
      <c r="T46" s="75">
        <v>2550</v>
      </c>
      <c r="U46" s="75">
        <v>2957</v>
      </c>
    </row>
    <row r="47" spans="1:22">
      <c r="A47" s="75" t="s">
        <v>188</v>
      </c>
      <c r="B47" s="75" t="s">
        <v>188</v>
      </c>
      <c r="C47" s="75" t="s">
        <v>65</v>
      </c>
      <c r="D47" s="75" t="s">
        <v>323</v>
      </c>
      <c r="E47" s="75">
        <v>1</v>
      </c>
      <c r="F47" s="75" t="s">
        <v>325</v>
      </c>
      <c r="G47" s="75" t="s">
        <v>328</v>
      </c>
      <c r="H47" s="76" t="s">
        <v>293</v>
      </c>
      <c r="I47" s="76" t="s">
        <v>5</v>
      </c>
      <c r="J47" s="76" t="s">
        <v>362</v>
      </c>
      <c r="K47" s="76" t="s">
        <v>75</v>
      </c>
      <c r="L47" s="76" t="s">
        <v>371</v>
      </c>
      <c r="M47" s="75" t="s">
        <v>362</v>
      </c>
      <c r="N47" s="75" t="s">
        <v>371</v>
      </c>
      <c r="O47" s="75">
        <v>588</v>
      </c>
      <c r="P47" s="75">
        <v>1087</v>
      </c>
      <c r="Q47" s="75">
        <v>1373</v>
      </c>
      <c r="R47" s="75">
        <v>2066</v>
      </c>
      <c r="S47" s="75">
        <v>2391</v>
      </c>
      <c r="T47" s="75">
        <v>2772</v>
      </c>
      <c r="U47" s="75">
        <v>3214</v>
      </c>
    </row>
    <row r="48" spans="1:22">
      <c r="A48" s="75" t="s">
        <v>340</v>
      </c>
      <c r="B48" s="75" t="s">
        <v>340</v>
      </c>
      <c r="C48" s="75" t="s">
        <v>65</v>
      </c>
      <c r="D48" s="75" t="s">
        <v>323</v>
      </c>
      <c r="E48" s="75">
        <v>3</v>
      </c>
      <c r="F48" s="75" t="s">
        <v>324</v>
      </c>
      <c r="G48" s="75" t="s">
        <v>324</v>
      </c>
      <c r="H48" s="76" t="s">
        <v>294</v>
      </c>
      <c r="I48" s="76" t="s">
        <v>69</v>
      </c>
      <c r="J48" s="76" t="s">
        <v>361</v>
      </c>
      <c r="K48" s="76"/>
      <c r="L48" s="76"/>
      <c r="M48" s="75" t="s">
        <v>360</v>
      </c>
      <c r="N48" s="75" t="s">
        <v>360</v>
      </c>
      <c r="R48" s="75">
        <v>2741</v>
      </c>
      <c r="S48" s="75">
        <v>2966</v>
      </c>
      <c r="T48" s="75">
        <v>3118</v>
      </c>
      <c r="U48" s="75">
        <v>3277</v>
      </c>
    </row>
    <row r="49" spans="1:22">
      <c r="A49" s="75" t="s">
        <v>341</v>
      </c>
      <c r="B49" s="75" t="s">
        <v>340</v>
      </c>
      <c r="C49" s="75" t="s">
        <v>65</v>
      </c>
      <c r="D49" s="75" t="s">
        <v>323</v>
      </c>
      <c r="E49" s="75">
        <v>3</v>
      </c>
      <c r="F49" s="75" t="s">
        <v>324</v>
      </c>
      <c r="G49" s="75" t="s">
        <v>324</v>
      </c>
      <c r="H49" s="76" t="s">
        <v>294</v>
      </c>
      <c r="I49" s="76" t="s">
        <v>69</v>
      </c>
      <c r="J49" s="76" t="s">
        <v>369</v>
      </c>
      <c r="K49" s="76" t="s">
        <v>75</v>
      </c>
      <c r="L49" s="76" t="s">
        <v>376</v>
      </c>
      <c r="M49" s="75" t="s">
        <v>360</v>
      </c>
      <c r="N49" s="75" t="s">
        <v>360</v>
      </c>
      <c r="R49" s="75">
        <v>4801</v>
      </c>
    </row>
    <row r="50" spans="1:22">
      <c r="A50" s="75" t="s">
        <v>342</v>
      </c>
      <c r="B50" s="75" t="s">
        <v>342</v>
      </c>
      <c r="C50" s="75" t="s">
        <v>65</v>
      </c>
      <c r="D50" s="75" t="s">
        <v>323</v>
      </c>
      <c r="E50" s="75">
        <v>3</v>
      </c>
      <c r="F50" s="75" t="s">
        <v>325</v>
      </c>
      <c r="G50" s="75" t="s">
        <v>326</v>
      </c>
      <c r="H50" s="76" t="s">
        <v>297</v>
      </c>
      <c r="I50" s="76" t="s">
        <v>5</v>
      </c>
      <c r="J50" s="76" t="s">
        <v>363</v>
      </c>
      <c r="K50" s="76" t="s">
        <v>77</v>
      </c>
      <c r="L50" s="76" t="s">
        <v>372</v>
      </c>
      <c r="M50" s="75" t="s">
        <v>361</v>
      </c>
      <c r="N50" s="75" t="s">
        <v>379</v>
      </c>
      <c r="R50" s="75">
        <v>2506</v>
      </c>
      <c r="S50" s="75">
        <v>2711</v>
      </c>
      <c r="T50" s="75">
        <v>2850</v>
      </c>
      <c r="U50" s="75">
        <v>2995</v>
      </c>
    </row>
    <row r="51" spans="1:22">
      <c r="A51" s="75" t="s">
        <v>343</v>
      </c>
      <c r="B51" s="75" t="s">
        <v>343</v>
      </c>
      <c r="C51" s="75" t="s">
        <v>65</v>
      </c>
      <c r="D51" s="75" t="s">
        <v>323</v>
      </c>
      <c r="E51" s="75">
        <v>3</v>
      </c>
      <c r="F51" s="75" t="s">
        <v>325</v>
      </c>
      <c r="G51" s="75" t="s">
        <v>326</v>
      </c>
      <c r="H51" s="76" t="s">
        <v>297</v>
      </c>
      <c r="I51" s="76" t="s">
        <v>5</v>
      </c>
      <c r="J51" s="76" t="s">
        <v>363</v>
      </c>
      <c r="K51" s="76" t="s">
        <v>75</v>
      </c>
      <c r="L51" s="76" t="s">
        <v>372</v>
      </c>
      <c r="M51" s="75" t="s">
        <v>361</v>
      </c>
      <c r="N51" s="75" t="s">
        <v>379</v>
      </c>
      <c r="R51" s="75">
        <v>3283</v>
      </c>
    </row>
    <row r="52" spans="1:22">
      <c r="A52" s="75" t="s">
        <v>391</v>
      </c>
      <c r="B52" s="75" t="s">
        <v>391</v>
      </c>
      <c r="C52" s="75" t="s">
        <v>65</v>
      </c>
      <c r="D52" s="75" t="s">
        <v>323</v>
      </c>
      <c r="E52" s="75">
        <v>1</v>
      </c>
      <c r="F52" s="75" t="s">
        <v>326</v>
      </c>
      <c r="G52" s="75" t="s">
        <v>328</v>
      </c>
      <c r="H52" s="76" t="s">
        <v>295</v>
      </c>
      <c r="I52" s="76" t="s">
        <v>69</v>
      </c>
      <c r="J52" s="76" t="s">
        <v>361</v>
      </c>
      <c r="K52" s="76"/>
      <c r="L52" s="76"/>
      <c r="M52" s="75" t="s">
        <v>364</v>
      </c>
      <c r="N52" s="75" t="s">
        <v>365</v>
      </c>
      <c r="O52" s="75">
        <v>200</v>
      </c>
      <c r="P52" s="75">
        <v>575</v>
      </c>
      <c r="Q52" s="75">
        <v>755</v>
      </c>
      <c r="R52" s="75">
        <v>3572</v>
      </c>
      <c r="S52" s="75">
        <v>4132</v>
      </c>
      <c r="T52" s="75">
        <v>4791</v>
      </c>
      <c r="U52" s="75">
        <v>5554</v>
      </c>
    </row>
    <row r="53" spans="1:22">
      <c r="A53" s="75" t="s">
        <v>135</v>
      </c>
      <c r="B53" s="75" t="s">
        <v>135</v>
      </c>
      <c r="C53" s="75" t="s">
        <v>67</v>
      </c>
      <c r="D53" s="75" t="s">
        <v>323</v>
      </c>
      <c r="E53" s="75">
        <v>1</v>
      </c>
      <c r="F53" s="75" t="s">
        <v>324</v>
      </c>
      <c r="G53" s="75" t="s">
        <v>326</v>
      </c>
      <c r="H53" s="76" t="s">
        <v>294</v>
      </c>
      <c r="I53" s="76" t="s">
        <v>71</v>
      </c>
      <c r="J53" s="76" t="s">
        <v>360</v>
      </c>
      <c r="K53" s="76" t="s">
        <v>77</v>
      </c>
      <c r="L53" s="76" t="s">
        <v>360</v>
      </c>
      <c r="M53" s="75" t="s">
        <v>361</v>
      </c>
      <c r="N53" s="75" t="s">
        <v>379</v>
      </c>
      <c r="O53" s="75">
        <v>28</v>
      </c>
      <c r="P53" s="75">
        <v>71</v>
      </c>
      <c r="Q53" s="75">
        <v>425</v>
      </c>
      <c r="R53" s="75">
        <v>2214</v>
      </c>
      <c r="S53" s="75">
        <v>2563</v>
      </c>
      <c r="T53" s="75">
        <v>2972</v>
      </c>
      <c r="U53" s="75">
        <v>3445</v>
      </c>
    </row>
    <row r="54" spans="1:22">
      <c r="A54" s="75" t="s">
        <v>88</v>
      </c>
      <c r="B54" s="75" t="s">
        <v>88</v>
      </c>
      <c r="C54" s="75" t="s">
        <v>67</v>
      </c>
      <c r="D54" s="75" t="s">
        <v>323</v>
      </c>
      <c r="E54" s="75">
        <v>1</v>
      </c>
      <c r="F54" s="75" t="s">
        <v>325</v>
      </c>
      <c r="G54" s="75" t="s">
        <v>324</v>
      </c>
      <c r="H54" s="76" t="s">
        <v>296</v>
      </c>
      <c r="I54" s="76" t="s">
        <v>69</v>
      </c>
      <c r="J54" s="76" t="s">
        <v>360</v>
      </c>
      <c r="K54" s="76" t="s">
        <v>75</v>
      </c>
      <c r="L54" s="76" t="s">
        <v>360</v>
      </c>
      <c r="M54" s="75" t="s">
        <v>375</v>
      </c>
      <c r="N54" s="75" t="s">
        <v>368</v>
      </c>
      <c r="O54" s="75">
        <v>257</v>
      </c>
      <c r="P54" s="75">
        <v>736</v>
      </c>
      <c r="Q54" s="75">
        <v>930</v>
      </c>
      <c r="R54" s="75">
        <v>3492</v>
      </c>
      <c r="S54" s="75">
        <v>4042</v>
      </c>
      <c r="T54" s="75">
        <v>4686</v>
      </c>
      <c r="U54" s="75">
        <v>5433</v>
      </c>
    </row>
    <row r="55" spans="1:22">
      <c r="A55" s="75" t="s">
        <v>228</v>
      </c>
      <c r="B55" s="75" t="s">
        <v>228</v>
      </c>
      <c r="C55" s="75" t="s">
        <v>67</v>
      </c>
      <c r="D55" s="75" t="s">
        <v>323</v>
      </c>
      <c r="E55" s="75">
        <v>2</v>
      </c>
      <c r="F55" s="75" t="s">
        <v>325</v>
      </c>
      <c r="G55" s="75" t="s">
        <v>328</v>
      </c>
      <c r="H55" s="76" t="s">
        <v>295</v>
      </c>
      <c r="I55" s="76" t="s">
        <v>71</v>
      </c>
      <c r="J55" s="76" t="s">
        <v>361</v>
      </c>
      <c r="K55" s="76"/>
      <c r="L55" s="76"/>
      <c r="M55" s="75" t="s">
        <v>364</v>
      </c>
      <c r="N55" s="75" t="s">
        <v>365</v>
      </c>
      <c r="O55" s="75">
        <v>141</v>
      </c>
      <c r="P55" s="75">
        <v>405</v>
      </c>
      <c r="Q55" s="75">
        <v>512</v>
      </c>
      <c r="R55" s="75">
        <v>1632</v>
      </c>
      <c r="S55" s="75">
        <v>1889</v>
      </c>
      <c r="T55" s="75">
        <v>2190</v>
      </c>
      <c r="U55" s="75">
        <v>2539</v>
      </c>
    </row>
    <row r="56" spans="1:22">
      <c r="A56" s="75" t="s">
        <v>158</v>
      </c>
      <c r="B56" s="75" t="s">
        <v>158</v>
      </c>
      <c r="C56" s="75" t="s">
        <v>67</v>
      </c>
      <c r="D56" s="75" t="s">
        <v>323</v>
      </c>
      <c r="E56" s="75">
        <v>1</v>
      </c>
      <c r="F56" s="75" t="s">
        <v>325</v>
      </c>
      <c r="G56" s="75" t="s">
        <v>326</v>
      </c>
      <c r="H56" s="76" t="s">
        <v>293</v>
      </c>
      <c r="I56" s="76" t="s">
        <v>71</v>
      </c>
      <c r="J56" s="76" t="s">
        <v>361</v>
      </c>
      <c r="K56" s="76"/>
      <c r="L56" s="76"/>
      <c r="M56" s="75" t="s">
        <v>365</v>
      </c>
      <c r="N56" s="75" t="s">
        <v>364</v>
      </c>
      <c r="O56" s="75">
        <v>46</v>
      </c>
      <c r="P56" s="75">
        <v>118</v>
      </c>
      <c r="Q56" s="75">
        <v>325</v>
      </c>
      <c r="R56" s="75">
        <v>887</v>
      </c>
      <c r="S56" s="75">
        <v>1027</v>
      </c>
      <c r="T56" s="75">
        <v>1191</v>
      </c>
      <c r="U56" s="75">
        <v>1380</v>
      </c>
    </row>
    <row r="57" spans="1:22">
      <c r="A57" s="75" t="s">
        <v>254</v>
      </c>
      <c r="B57" s="75" t="s">
        <v>254</v>
      </c>
      <c r="C57" s="75" t="s">
        <v>67</v>
      </c>
      <c r="D57" s="75" t="s">
        <v>323</v>
      </c>
      <c r="E57" s="75">
        <v>1</v>
      </c>
      <c r="F57" s="75" t="s">
        <v>325</v>
      </c>
      <c r="G57" s="75" t="s">
        <v>324</v>
      </c>
      <c r="H57" s="76" t="s">
        <v>282</v>
      </c>
      <c r="I57" s="76" t="s">
        <v>69</v>
      </c>
      <c r="J57" s="76" t="s">
        <v>361</v>
      </c>
      <c r="K57" s="76"/>
      <c r="L57" s="76"/>
      <c r="M57" s="75" t="s">
        <v>375</v>
      </c>
      <c r="N57" s="75" t="s">
        <v>368</v>
      </c>
      <c r="O57" s="75">
        <v>406</v>
      </c>
      <c r="P57" s="75">
        <v>1163</v>
      </c>
      <c r="Q57" s="75">
        <v>1469</v>
      </c>
      <c r="R57" s="75">
        <v>2939</v>
      </c>
      <c r="S57" s="75">
        <v>3402</v>
      </c>
      <c r="T57" s="75">
        <v>3944</v>
      </c>
      <c r="U57" s="75">
        <v>4572</v>
      </c>
    </row>
    <row r="58" spans="1:22">
      <c r="A58" s="75" t="s">
        <v>137</v>
      </c>
      <c r="B58" s="75" t="s">
        <v>137</v>
      </c>
      <c r="C58" s="75" t="s">
        <v>67</v>
      </c>
      <c r="D58" s="75" t="s">
        <v>323</v>
      </c>
      <c r="E58" s="75">
        <v>1</v>
      </c>
      <c r="F58" s="75" t="s">
        <v>324</v>
      </c>
      <c r="G58" s="75" t="s">
        <v>324</v>
      </c>
      <c r="H58" s="76" t="s">
        <v>295</v>
      </c>
      <c r="I58" s="76" t="s">
        <v>71</v>
      </c>
      <c r="J58" s="76" t="s">
        <v>361</v>
      </c>
      <c r="K58" s="76"/>
      <c r="L58" s="76"/>
      <c r="M58" s="75" t="s">
        <v>361</v>
      </c>
      <c r="N58" s="75" t="s">
        <v>379</v>
      </c>
      <c r="O58" s="75">
        <v>436</v>
      </c>
      <c r="P58" s="75">
        <v>807</v>
      </c>
      <c r="Q58" s="75">
        <v>1018</v>
      </c>
      <c r="R58" s="75">
        <v>4057</v>
      </c>
      <c r="S58" s="75">
        <v>4696</v>
      </c>
      <c r="T58" s="75">
        <v>5444</v>
      </c>
      <c r="U58" s="75">
        <v>6312</v>
      </c>
    </row>
    <row r="59" spans="1:22">
      <c r="A59" s="75" t="s">
        <v>161</v>
      </c>
      <c r="B59" s="75" t="s">
        <v>161</v>
      </c>
      <c r="C59" s="75" t="s">
        <v>67</v>
      </c>
      <c r="D59" s="75" t="s">
        <v>323</v>
      </c>
      <c r="E59" s="75">
        <v>3</v>
      </c>
      <c r="F59" s="75" t="s">
        <v>325</v>
      </c>
      <c r="G59" s="75" t="s">
        <v>324</v>
      </c>
      <c r="H59" s="76" t="s">
        <v>293</v>
      </c>
      <c r="I59" s="76" t="s">
        <v>71</v>
      </c>
      <c r="J59" s="76" t="s">
        <v>364</v>
      </c>
      <c r="K59" s="76" t="s">
        <v>73</v>
      </c>
      <c r="L59" s="76" t="s">
        <v>365</v>
      </c>
      <c r="M59" s="75" t="s">
        <v>372</v>
      </c>
      <c r="N59" s="75" t="s">
        <v>363</v>
      </c>
      <c r="O59" s="75">
        <v>365</v>
      </c>
      <c r="P59" s="75">
        <v>676</v>
      </c>
      <c r="Q59" s="75">
        <v>853</v>
      </c>
      <c r="R59" s="75">
        <v>3269</v>
      </c>
      <c r="S59" s="75">
        <v>3785</v>
      </c>
      <c r="T59" s="75">
        <v>4387</v>
      </c>
      <c r="U59" s="75">
        <v>5086</v>
      </c>
    </row>
    <row r="60" spans="1:22">
      <c r="A60" s="75" t="s">
        <v>165</v>
      </c>
      <c r="B60" s="75" t="s">
        <v>165</v>
      </c>
      <c r="C60" s="75" t="s">
        <v>67</v>
      </c>
      <c r="D60" s="75" t="s">
        <v>323</v>
      </c>
      <c r="E60" s="75">
        <v>1</v>
      </c>
      <c r="F60" s="75" t="s">
        <v>325</v>
      </c>
      <c r="G60" s="75" t="s">
        <v>329</v>
      </c>
      <c r="H60" s="76" t="s">
        <v>294</v>
      </c>
      <c r="I60" s="76" t="s">
        <v>69</v>
      </c>
      <c r="J60" s="76" t="s">
        <v>361</v>
      </c>
      <c r="K60" s="76"/>
      <c r="L60" s="76"/>
      <c r="M60" s="75" t="s">
        <v>361</v>
      </c>
      <c r="N60" s="75" t="s">
        <v>379</v>
      </c>
      <c r="O60" s="75">
        <v>575</v>
      </c>
      <c r="P60" s="75">
        <v>1646</v>
      </c>
      <c r="Q60" s="75">
        <v>2080</v>
      </c>
      <c r="R60" s="75">
        <v>4910</v>
      </c>
      <c r="S60" s="75">
        <v>5683</v>
      </c>
      <c r="T60" s="75">
        <v>6589</v>
      </c>
      <c r="U60" s="75">
        <v>7638</v>
      </c>
    </row>
    <row r="61" spans="1:22">
      <c r="A61" s="75" t="s">
        <v>392</v>
      </c>
      <c r="B61" s="75" t="s">
        <v>165</v>
      </c>
      <c r="C61" s="75" t="s">
        <v>67</v>
      </c>
      <c r="D61" s="75" t="s">
        <v>323</v>
      </c>
      <c r="E61" s="75">
        <v>1</v>
      </c>
      <c r="F61" s="75" t="s">
        <v>325</v>
      </c>
      <c r="G61" s="75" t="s">
        <v>329</v>
      </c>
      <c r="H61" s="76" t="s">
        <v>294</v>
      </c>
      <c r="I61" s="76" t="s">
        <v>69</v>
      </c>
      <c r="J61" s="76" t="s">
        <v>361</v>
      </c>
      <c r="K61" s="76"/>
      <c r="L61" s="76"/>
      <c r="M61" s="75" t="s">
        <v>361</v>
      </c>
      <c r="N61" s="75" t="s">
        <v>379</v>
      </c>
      <c r="Q61" s="75">
        <v>2310</v>
      </c>
      <c r="R61" s="75">
        <v>5156</v>
      </c>
      <c r="S61" s="75">
        <v>5968</v>
      </c>
      <c r="T61" s="75">
        <v>6919</v>
      </c>
      <c r="U61" s="75">
        <v>8021</v>
      </c>
    </row>
    <row r="62" spans="1:22">
      <c r="A62" s="75" t="s">
        <v>99</v>
      </c>
      <c r="B62" s="75" t="s">
        <v>99</v>
      </c>
      <c r="C62" s="75" t="s">
        <v>67</v>
      </c>
      <c r="D62" s="75" t="s">
        <v>327</v>
      </c>
      <c r="E62" s="75">
        <v>1</v>
      </c>
      <c r="F62" s="75" t="s">
        <v>324</v>
      </c>
      <c r="G62" s="75" t="s">
        <v>324</v>
      </c>
      <c r="H62" s="76" t="s">
        <v>295</v>
      </c>
      <c r="I62" s="76" t="s">
        <v>69</v>
      </c>
      <c r="J62" s="76" t="s">
        <v>361</v>
      </c>
      <c r="K62" s="76"/>
      <c r="L62" s="76"/>
      <c r="M62" s="75" t="s">
        <v>371</v>
      </c>
      <c r="N62" s="75" t="s">
        <v>362</v>
      </c>
      <c r="O62" s="75">
        <v>33</v>
      </c>
      <c r="P62" s="75">
        <v>86</v>
      </c>
      <c r="Q62" s="75">
        <v>509</v>
      </c>
      <c r="R62" s="75">
        <v>2321</v>
      </c>
      <c r="S62" s="75">
        <v>2687</v>
      </c>
      <c r="T62" s="75">
        <v>3115</v>
      </c>
      <c r="U62" s="75">
        <v>3612</v>
      </c>
    </row>
    <row r="63" spans="1:22">
      <c r="A63" s="75" t="s">
        <v>231</v>
      </c>
      <c r="B63" s="75" t="s">
        <v>231</v>
      </c>
      <c r="C63" s="75" t="s">
        <v>67</v>
      </c>
      <c r="D63" s="75" t="s">
        <v>327</v>
      </c>
      <c r="E63" s="75">
        <v>2</v>
      </c>
      <c r="F63" s="75" t="s">
        <v>325</v>
      </c>
      <c r="G63" s="75" t="s">
        <v>328</v>
      </c>
      <c r="H63" s="76" t="s">
        <v>296</v>
      </c>
      <c r="I63" s="76" t="s">
        <v>5</v>
      </c>
      <c r="J63" s="76" t="s">
        <v>360</v>
      </c>
      <c r="K63" s="76" t="s">
        <v>77</v>
      </c>
      <c r="L63" s="76" t="s">
        <v>360</v>
      </c>
      <c r="M63" s="75" t="s">
        <v>363</v>
      </c>
      <c r="N63" s="75" t="s">
        <v>372</v>
      </c>
      <c r="O63" s="75">
        <v>530</v>
      </c>
      <c r="P63" s="75">
        <v>980</v>
      </c>
      <c r="Q63" s="75">
        <v>1236</v>
      </c>
      <c r="R63" s="75">
        <v>4730</v>
      </c>
      <c r="S63" s="75">
        <v>5475</v>
      </c>
      <c r="T63" s="75">
        <v>6347</v>
      </c>
      <c r="U63" s="75">
        <v>7358</v>
      </c>
      <c r="V63" s="75">
        <v>28</v>
      </c>
    </row>
    <row r="64" spans="1:22">
      <c r="A64" s="75" t="s">
        <v>344</v>
      </c>
      <c r="B64" s="75" t="s">
        <v>409</v>
      </c>
      <c r="C64" s="75" t="s">
        <v>67</v>
      </c>
      <c r="D64" s="75" t="s">
        <v>327</v>
      </c>
      <c r="E64" s="75">
        <v>3</v>
      </c>
      <c r="F64" s="75" t="s">
        <v>324</v>
      </c>
      <c r="G64" s="75" t="s">
        <v>328</v>
      </c>
      <c r="H64" s="76" t="s">
        <v>295</v>
      </c>
      <c r="I64" s="76" t="s">
        <v>71</v>
      </c>
      <c r="J64" s="76" t="s">
        <v>361</v>
      </c>
      <c r="K64" s="76"/>
      <c r="L64" s="76"/>
      <c r="M64" s="75" t="s">
        <v>380</v>
      </c>
      <c r="N64" s="75" t="s">
        <v>381</v>
      </c>
      <c r="R64" s="75">
        <v>3091</v>
      </c>
      <c r="S64" s="75">
        <v>3345</v>
      </c>
      <c r="T64" s="75">
        <v>3516</v>
      </c>
      <c r="U64" s="75">
        <v>3695</v>
      </c>
    </row>
    <row r="65" spans="1:21">
      <c r="A65" s="75" t="s">
        <v>345</v>
      </c>
      <c r="B65" s="75" t="s">
        <v>409</v>
      </c>
      <c r="C65" s="75" t="s">
        <v>67</v>
      </c>
      <c r="D65" s="75" t="s">
        <v>327</v>
      </c>
      <c r="E65" s="75">
        <v>3</v>
      </c>
      <c r="F65" s="75" t="s">
        <v>324</v>
      </c>
      <c r="G65" s="75" t="s">
        <v>328</v>
      </c>
      <c r="H65" s="76" t="s">
        <v>295</v>
      </c>
      <c r="I65" s="76" t="s">
        <v>71</v>
      </c>
      <c r="J65" s="76" t="s">
        <v>361</v>
      </c>
      <c r="K65" s="76"/>
      <c r="L65" s="76"/>
      <c r="M65" s="75" t="s">
        <v>380</v>
      </c>
      <c r="N65" s="75" t="s">
        <v>381</v>
      </c>
      <c r="R65" s="75">
        <v>4490</v>
      </c>
    </row>
    <row r="66" spans="1:21">
      <c r="A66" s="75" t="s">
        <v>393</v>
      </c>
      <c r="B66" s="75" t="s">
        <v>128</v>
      </c>
      <c r="C66" s="75" t="s">
        <v>61</v>
      </c>
      <c r="D66" s="75" t="s">
        <v>323</v>
      </c>
      <c r="E66" s="75">
        <v>1</v>
      </c>
      <c r="F66" s="75" t="s">
        <v>325</v>
      </c>
      <c r="G66" s="75" t="s">
        <v>326</v>
      </c>
      <c r="H66" s="76" t="s">
        <v>296</v>
      </c>
      <c r="I66" s="76" t="s">
        <v>69</v>
      </c>
      <c r="J66" s="76" t="s">
        <v>361</v>
      </c>
      <c r="K66" s="76"/>
      <c r="L66" s="76"/>
      <c r="M66" s="75" t="s">
        <v>371</v>
      </c>
      <c r="N66" s="75" t="s">
        <v>362</v>
      </c>
      <c r="O66" s="75">
        <v>68</v>
      </c>
      <c r="P66" s="75">
        <v>175</v>
      </c>
      <c r="Q66" s="75">
        <v>498</v>
      </c>
      <c r="S66" s="75">
        <v>3553</v>
      </c>
      <c r="T66" s="75">
        <v>4119</v>
      </c>
      <c r="U66" s="75">
        <v>4775</v>
      </c>
    </row>
    <row r="67" spans="1:21">
      <c r="A67" s="75" t="s">
        <v>394</v>
      </c>
      <c r="B67" s="75" t="s">
        <v>128</v>
      </c>
      <c r="C67" s="75" t="s">
        <v>61</v>
      </c>
      <c r="D67" s="75" t="s">
        <v>323</v>
      </c>
      <c r="E67" s="75">
        <v>1</v>
      </c>
      <c r="F67" s="75" t="s">
        <v>325</v>
      </c>
      <c r="G67" s="75" t="s">
        <v>326</v>
      </c>
      <c r="H67" s="76" t="s">
        <v>296</v>
      </c>
      <c r="I67" s="76" t="s">
        <v>69</v>
      </c>
      <c r="J67" s="76" t="s">
        <v>361</v>
      </c>
      <c r="K67" s="76"/>
      <c r="L67" s="76"/>
      <c r="M67" s="75" t="s">
        <v>371</v>
      </c>
      <c r="N67" s="75" t="s">
        <v>362</v>
      </c>
      <c r="O67" s="75">
        <v>68</v>
      </c>
      <c r="P67" s="75">
        <v>175</v>
      </c>
      <c r="Q67" s="75">
        <v>498</v>
      </c>
      <c r="S67" s="75">
        <v>3553</v>
      </c>
      <c r="T67" s="75">
        <v>4119</v>
      </c>
      <c r="U67" s="75">
        <v>4775</v>
      </c>
    </row>
    <row r="68" spans="1:21">
      <c r="A68" s="75" t="s">
        <v>346</v>
      </c>
      <c r="B68" s="75" t="s">
        <v>346</v>
      </c>
      <c r="C68" s="75" t="s">
        <v>61</v>
      </c>
      <c r="D68" s="75" t="s">
        <v>323</v>
      </c>
      <c r="E68" s="75">
        <v>3</v>
      </c>
      <c r="F68" s="75" t="s">
        <v>325</v>
      </c>
      <c r="G68" s="75" t="s">
        <v>324</v>
      </c>
      <c r="H68" s="76" t="s">
        <v>295</v>
      </c>
      <c r="I68" s="76" t="s">
        <v>69</v>
      </c>
      <c r="J68" s="76" t="s">
        <v>361</v>
      </c>
      <c r="K68" s="76"/>
      <c r="L68" s="76"/>
      <c r="M68" s="75" t="s">
        <v>371</v>
      </c>
      <c r="N68" s="75" t="s">
        <v>362</v>
      </c>
      <c r="Q68" s="75">
        <v>524</v>
      </c>
      <c r="R68" s="75">
        <v>3148</v>
      </c>
      <c r="S68" s="75">
        <v>4502</v>
      </c>
      <c r="T68" s="75">
        <v>5219</v>
      </c>
      <c r="U68" s="75">
        <v>6050</v>
      </c>
    </row>
    <row r="69" spans="1:21">
      <c r="A69" s="75" t="s">
        <v>347</v>
      </c>
      <c r="B69" s="75" t="s">
        <v>346</v>
      </c>
      <c r="C69" s="75" t="s">
        <v>61</v>
      </c>
      <c r="D69" s="75" t="s">
        <v>323</v>
      </c>
      <c r="E69" s="75">
        <v>3</v>
      </c>
      <c r="F69" s="75" t="s">
        <v>325</v>
      </c>
      <c r="G69" s="75" t="s">
        <v>324</v>
      </c>
      <c r="H69" s="76" t="s">
        <v>295</v>
      </c>
      <c r="I69" s="76" t="s">
        <v>69</v>
      </c>
      <c r="J69" s="76" t="s">
        <v>361</v>
      </c>
      <c r="K69" s="76"/>
      <c r="L69" s="76"/>
      <c r="M69" s="75" t="s">
        <v>371</v>
      </c>
      <c r="N69" s="75" t="s">
        <v>362</v>
      </c>
      <c r="R69" s="75">
        <v>5348</v>
      </c>
      <c r="S69" s="75">
        <v>5619</v>
      </c>
      <c r="T69" s="75">
        <v>5905</v>
      </c>
      <c r="U69" s="75">
        <v>6207</v>
      </c>
    </row>
    <row r="70" spans="1:21">
      <c r="A70" s="75" t="s">
        <v>348</v>
      </c>
      <c r="B70" s="75" t="s">
        <v>348</v>
      </c>
      <c r="C70" s="75" t="s">
        <v>355</v>
      </c>
      <c r="D70" s="75" t="s">
        <v>323</v>
      </c>
      <c r="E70" s="75">
        <v>3</v>
      </c>
      <c r="F70" s="75" t="s">
        <v>325</v>
      </c>
      <c r="G70" s="75" t="s">
        <v>328</v>
      </c>
      <c r="H70" s="76" t="s">
        <v>296</v>
      </c>
      <c r="I70" s="76" t="s">
        <v>5</v>
      </c>
      <c r="J70" s="76" t="s">
        <v>361</v>
      </c>
      <c r="K70" s="76"/>
      <c r="L70" s="76"/>
      <c r="M70" s="75" t="s">
        <v>379</v>
      </c>
      <c r="N70" s="75" t="s">
        <v>361</v>
      </c>
      <c r="Q70" s="75">
        <v>437</v>
      </c>
      <c r="R70" s="75">
        <v>1399</v>
      </c>
      <c r="S70" s="75">
        <v>1625</v>
      </c>
      <c r="T70" s="75">
        <v>1884</v>
      </c>
      <c r="U70" s="75">
        <v>2184</v>
      </c>
    </row>
    <row r="71" spans="1:21">
      <c r="A71" s="75" t="s">
        <v>349</v>
      </c>
      <c r="B71" s="75" t="s">
        <v>348</v>
      </c>
      <c r="C71" s="75" t="s">
        <v>355</v>
      </c>
      <c r="D71" s="75" t="s">
        <v>323</v>
      </c>
      <c r="E71" s="75">
        <v>3</v>
      </c>
      <c r="F71" s="75" t="s">
        <v>325</v>
      </c>
      <c r="G71" s="75" t="s">
        <v>328</v>
      </c>
      <c r="H71" s="76" t="s">
        <v>296</v>
      </c>
      <c r="I71" s="76" t="s">
        <v>5</v>
      </c>
      <c r="J71" s="76" t="s">
        <v>361</v>
      </c>
      <c r="K71" s="76"/>
      <c r="L71" s="76"/>
      <c r="M71" s="75" t="s">
        <v>379</v>
      </c>
      <c r="N71" s="75" t="s">
        <v>361</v>
      </c>
      <c r="R71" s="75">
        <v>2187</v>
      </c>
      <c r="S71" s="75">
        <v>2289</v>
      </c>
      <c r="T71" s="75">
        <v>2406</v>
      </c>
      <c r="U71" s="75">
        <v>2528</v>
      </c>
    </row>
    <row r="72" spans="1:21">
      <c r="A72" s="75" t="s">
        <v>350</v>
      </c>
      <c r="B72" s="75" t="s">
        <v>254</v>
      </c>
      <c r="C72" s="75" t="s">
        <v>67</v>
      </c>
      <c r="D72" s="75" t="s">
        <v>323</v>
      </c>
      <c r="E72" s="75">
        <v>3</v>
      </c>
      <c r="F72" s="75" t="s">
        <v>325</v>
      </c>
      <c r="G72" s="75" t="s">
        <v>324</v>
      </c>
      <c r="H72" s="76" t="s">
        <v>282</v>
      </c>
      <c r="I72" s="76" t="s">
        <v>69</v>
      </c>
      <c r="J72" s="76" t="s">
        <v>361</v>
      </c>
      <c r="K72" s="76"/>
      <c r="L72" s="76"/>
      <c r="M72" s="75" t="s">
        <v>375</v>
      </c>
      <c r="N72" s="75" t="s">
        <v>368</v>
      </c>
      <c r="Q72" s="75">
        <v>874</v>
      </c>
      <c r="R72" s="75">
        <v>3847</v>
      </c>
      <c r="S72" s="75">
        <v>4727</v>
      </c>
      <c r="T72" s="75">
        <v>5480</v>
      </c>
      <c r="U72" s="75">
        <v>6352</v>
      </c>
    </row>
    <row r="73" spans="1:21">
      <c r="A73" s="75" t="s">
        <v>351</v>
      </c>
      <c r="B73" s="75" t="s">
        <v>254</v>
      </c>
      <c r="C73" s="75" t="s">
        <v>67</v>
      </c>
      <c r="D73" s="75" t="s">
        <v>323</v>
      </c>
      <c r="E73" s="75">
        <v>3</v>
      </c>
      <c r="F73" s="75" t="s">
        <v>325</v>
      </c>
      <c r="G73" s="75" t="s">
        <v>324</v>
      </c>
      <c r="H73" s="76" t="s">
        <v>282</v>
      </c>
      <c r="I73" s="76" t="s">
        <v>71</v>
      </c>
      <c r="J73" s="76" t="s">
        <v>361</v>
      </c>
      <c r="K73" s="76"/>
      <c r="L73" s="76"/>
      <c r="M73" s="75" t="s">
        <v>375</v>
      </c>
      <c r="N73" s="75" t="s">
        <v>368</v>
      </c>
      <c r="R73" s="75">
        <v>5591</v>
      </c>
      <c r="S73" s="75">
        <v>5827</v>
      </c>
      <c r="T73" s="75">
        <v>6124</v>
      </c>
      <c r="U73" s="75">
        <v>6437</v>
      </c>
    </row>
    <row r="74" spans="1:21">
      <c r="A74" s="75" t="s">
        <v>352</v>
      </c>
      <c r="B74" s="75" t="s">
        <v>352</v>
      </c>
      <c r="C74" s="75" t="s">
        <v>356</v>
      </c>
      <c r="D74" s="75" t="s">
        <v>353</v>
      </c>
      <c r="E74" s="75">
        <v>1</v>
      </c>
      <c r="F74" s="75" t="s">
        <v>325</v>
      </c>
      <c r="G74" s="75" t="s">
        <v>326</v>
      </c>
      <c r="I74" s="76" t="s">
        <v>71</v>
      </c>
      <c r="J74" s="76" t="s">
        <v>361</v>
      </c>
      <c r="K74" s="76"/>
      <c r="L74" s="76"/>
      <c r="M74" s="75" t="s">
        <v>371</v>
      </c>
      <c r="N74" s="75" t="s">
        <v>362</v>
      </c>
      <c r="O74" s="75">
        <v>10</v>
      </c>
    </row>
  </sheetData>
  <phoneticPr fontId="20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P966"/>
  <sheetViews>
    <sheetView workbookViewId="0">
      <selection activeCell="M14" sqref="M14"/>
    </sheetView>
  </sheetViews>
  <sheetFormatPr defaultColWidth="12.5703125" defaultRowHeight="15" customHeight="1"/>
  <cols>
    <col min="1" max="1" width="17.7109375" style="35" bestFit="1" customWidth="1"/>
    <col min="2" max="2" width="3.85546875" style="35" customWidth="1"/>
    <col min="3" max="3" width="18.42578125" style="35" bestFit="1" customWidth="1"/>
    <col min="4" max="4" width="4.85546875" style="35" customWidth="1"/>
    <col min="5" max="5" width="12" style="35" bestFit="1" customWidth="1"/>
    <col min="6" max="6" width="3.85546875" style="35" customWidth="1"/>
    <col min="7" max="7" width="18" style="35" bestFit="1" customWidth="1"/>
    <col min="8" max="8" width="4.42578125" style="35" customWidth="1"/>
    <col min="9" max="9" width="5.7109375" style="35" bestFit="1" customWidth="1"/>
    <col min="10" max="10" width="13.140625" style="35" bestFit="1" customWidth="1"/>
    <col min="11" max="16384" width="12.5703125" style="35"/>
  </cols>
  <sheetData>
    <row r="1" spans="1:10">
      <c r="A1" s="65" t="s">
        <v>306</v>
      </c>
      <c r="C1" s="32" t="s">
        <v>281</v>
      </c>
      <c r="D1" s="32"/>
      <c r="E1" s="33" t="s">
        <v>4</v>
      </c>
      <c r="F1" s="33"/>
      <c r="G1" s="33" t="s">
        <v>7</v>
      </c>
      <c r="H1" s="33"/>
      <c r="I1" s="34" t="s">
        <v>282</v>
      </c>
      <c r="J1" s="34" t="s">
        <v>283</v>
      </c>
    </row>
    <row r="2" spans="1:10">
      <c r="A2" s="66" t="s">
        <v>307</v>
      </c>
      <c r="C2" s="26" t="s">
        <v>231</v>
      </c>
      <c r="D2" s="26"/>
      <c r="E2" s="36" t="s">
        <v>69</v>
      </c>
      <c r="F2" s="36"/>
      <c r="G2" s="36" t="s">
        <v>8</v>
      </c>
      <c r="H2" s="36"/>
      <c r="I2" s="41">
        <v>10</v>
      </c>
      <c r="J2" s="41">
        <v>6.8</v>
      </c>
    </row>
    <row r="3" spans="1:10">
      <c r="A3" s="66" t="s">
        <v>308</v>
      </c>
      <c r="C3" s="26" t="s">
        <v>3</v>
      </c>
      <c r="D3" s="26"/>
      <c r="E3" s="36" t="s">
        <v>71</v>
      </c>
      <c r="F3" s="36"/>
      <c r="G3" s="36" t="s">
        <v>73</v>
      </c>
      <c r="H3" s="36"/>
      <c r="I3" s="41">
        <v>11</v>
      </c>
      <c r="J3" s="41">
        <v>8.4</v>
      </c>
    </row>
    <row r="4" spans="1:10">
      <c r="A4" s="66" t="s">
        <v>309</v>
      </c>
      <c r="C4" s="26" t="s">
        <v>151</v>
      </c>
      <c r="D4" s="26"/>
      <c r="E4" s="36" t="s">
        <v>5</v>
      </c>
      <c r="F4" s="36"/>
      <c r="G4" s="36" t="s">
        <v>75</v>
      </c>
      <c r="H4" s="36"/>
      <c r="I4" s="41">
        <v>12</v>
      </c>
      <c r="J4" s="41">
        <v>9.9</v>
      </c>
    </row>
    <row r="5" spans="1:10">
      <c r="A5" s="66" t="s">
        <v>310</v>
      </c>
      <c r="C5" s="26" t="s">
        <v>135</v>
      </c>
      <c r="D5" s="26"/>
      <c r="E5" s="37"/>
      <c r="F5" s="37"/>
      <c r="G5" s="36" t="s">
        <v>77</v>
      </c>
      <c r="H5" s="36"/>
      <c r="I5" s="41">
        <v>13</v>
      </c>
      <c r="J5" s="41">
        <v>11.3</v>
      </c>
    </row>
    <row r="6" spans="1:10">
      <c r="A6" s="66" t="s">
        <v>311</v>
      </c>
      <c r="C6" s="26" t="s">
        <v>137</v>
      </c>
      <c r="D6" s="26"/>
      <c r="E6" s="37"/>
      <c r="F6" s="37"/>
      <c r="G6" s="37"/>
      <c r="H6" s="37"/>
      <c r="I6" s="41">
        <v>14</v>
      </c>
      <c r="J6" s="41">
        <v>12.6</v>
      </c>
    </row>
    <row r="7" spans="1:10">
      <c r="A7" s="66" t="s">
        <v>312</v>
      </c>
      <c r="C7" s="26" t="s">
        <v>158</v>
      </c>
      <c r="D7" s="26"/>
      <c r="E7" s="37"/>
      <c r="F7" s="37"/>
      <c r="G7" s="37"/>
      <c r="H7" s="37"/>
      <c r="I7" s="41">
        <v>15</v>
      </c>
      <c r="J7" s="41">
        <v>13.8</v>
      </c>
    </row>
    <row r="8" spans="1:10">
      <c r="A8" s="66" t="s">
        <v>313</v>
      </c>
      <c r="C8" s="26" t="s">
        <v>116</v>
      </c>
      <c r="D8" s="26"/>
      <c r="E8" s="37"/>
      <c r="F8" s="37"/>
      <c r="G8" s="37"/>
      <c r="H8" s="37"/>
      <c r="I8" s="41">
        <v>16</v>
      </c>
      <c r="J8" s="41">
        <v>14.9</v>
      </c>
    </row>
    <row r="9" spans="1:10">
      <c r="A9" s="66" t="s">
        <v>314</v>
      </c>
      <c r="C9" s="26" t="s">
        <v>131</v>
      </c>
      <c r="D9" s="26"/>
      <c r="E9" s="37"/>
      <c r="F9" s="37"/>
      <c r="G9" s="37"/>
      <c r="H9" s="37"/>
      <c r="I9" s="41">
        <v>17</v>
      </c>
      <c r="J9" s="41">
        <v>15.9</v>
      </c>
    </row>
    <row r="10" spans="1:10">
      <c r="C10" s="26" t="s">
        <v>124</v>
      </c>
      <c r="D10" s="26"/>
      <c r="E10" s="37"/>
      <c r="F10" s="37"/>
      <c r="G10" s="37"/>
      <c r="H10" s="37"/>
      <c r="I10" s="41">
        <v>18</v>
      </c>
      <c r="J10" s="41">
        <v>16.899999999999999</v>
      </c>
    </row>
    <row r="11" spans="1:10">
      <c r="C11" s="26" t="s">
        <v>126</v>
      </c>
      <c r="D11" s="26"/>
      <c r="E11" s="37"/>
      <c r="F11" s="37"/>
      <c r="G11" s="37"/>
      <c r="H11" s="37"/>
      <c r="I11" s="41">
        <v>19</v>
      </c>
      <c r="J11" s="41">
        <v>17.8</v>
      </c>
    </row>
    <row r="12" spans="1:10">
      <c r="C12" s="26" t="s">
        <v>95</v>
      </c>
      <c r="D12" s="26"/>
      <c r="E12" s="37"/>
      <c r="F12" s="37"/>
      <c r="G12" s="37"/>
      <c r="H12" s="37"/>
      <c r="I12" s="41">
        <v>20</v>
      </c>
      <c r="J12" s="41">
        <v>18.7</v>
      </c>
    </row>
    <row r="13" spans="1:10">
      <c r="C13" s="26" t="s">
        <v>163</v>
      </c>
      <c r="D13" s="26"/>
      <c r="E13" s="37"/>
      <c r="F13" s="37"/>
      <c r="G13" s="37"/>
      <c r="H13" s="37"/>
      <c r="I13" s="41">
        <v>21</v>
      </c>
      <c r="J13" s="41">
        <v>19.600000000000001</v>
      </c>
    </row>
    <row r="14" spans="1:10">
      <c r="C14" s="26" t="s">
        <v>161</v>
      </c>
      <c r="D14" s="26"/>
      <c r="E14" s="37"/>
      <c r="F14" s="37"/>
      <c r="G14" s="37"/>
      <c r="H14" s="37"/>
      <c r="I14" s="41">
        <v>22</v>
      </c>
      <c r="J14" s="41">
        <v>20.399999999999999</v>
      </c>
    </row>
    <row r="15" spans="1:10">
      <c r="C15" s="26" t="s">
        <v>168</v>
      </c>
      <c r="D15" s="26"/>
      <c r="E15" s="37"/>
      <c r="F15" s="37"/>
      <c r="G15" s="37"/>
      <c r="H15" s="37"/>
      <c r="I15" s="41">
        <v>23</v>
      </c>
      <c r="J15" s="41">
        <v>21.1</v>
      </c>
    </row>
    <row r="16" spans="1:10">
      <c r="C16" s="26" t="s">
        <v>90</v>
      </c>
      <c r="D16" s="26"/>
      <c r="E16" s="37"/>
      <c r="F16" s="37"/>
      <c r="G16" s="37"/>
      <c r="H16" s="37"/>
      <c r="I16" s="41">
        <v>24</v>
      </c>
      <c r="J16" s="41">
        <v>21.9</v>
      </c>
    </row>
    <row r="17" spans="3:16">
      <c r="C17" s="26" t="s">
        <v>222</v>
      </c>
      <c r="D17" s="26"/>
      <c r="E17" s="37"/>
      <c r="F17" s="37"/>
      <c r="G17" s="37"/>
      <c r="H17" s="37"/>
      <c r="I17" s="41">
        <v>25</v>
      </c>
      <c r="J17" s="41">
        <v>22.6</v>
      </c>
    </row>
    <row r="18" spans="3:16">
      <c r="C18" s="26" t="s">
        <v>178</v>
      </c>
      <c r="D18" s="26"/>
      <c r="E18" s="37"/>
      <c r="F18" s="37"/>
      <c r="G18" s="37"/>
      <c r="H18" s="37"/>
      <c r="I18" s="41">
        <v>26</v>
      </c>
      <c r="J18" s="41">
        <v>23.2</v>
      </c>
    </row>
    <row r="19" spans="3:16">
      <c r="C19" s="26" t="s">
        <v>84</v>
      </c>
      <c r="D19" s="26"/>
      <c r="E19" s="37"/>
      <c r="F19" s="37"/>
      <c r="G19" s="37"/>
      <c r="H19" s="37"/>
      <c r="I19" s="41">
        <v>27</v>
      </c>
      <c r="J19" s="41">
        <v>23.9</v>
      </c>
    </row>
    <row r="20" spans="3:16">
      <c r="C20" s="26" t="s">
        <v>99</v>
      </c>
      <c r="D20" s="26"/>
      <c r="E20" s="37"/>
      <c r="F20" s="37"/>
      <c r="G20" s="37"/>
      <c r="H20" s="37"/>
      <c r="I20" s="41">
        <v>28</v>
      </c>
      <c r="J20" s="41">
        <v>24.5</v>
      </c>
    </row>
    <row r="21" spans="3:16">
      <c r="C21" s="26" t="s">
        <v>93</v>
      </c>
      <c r="D21" s="26"/>
      <c r="E21" s="37"/>
      <c r="F21" s="37"/>
      <c r="G21" s="37"/>
      <c r="H21" s="37"/>
      <c r="I21" s="41">
        <v>29</v>
      </c>
      <c r="J21" s="41">
        <v>25.1</v>
      </c>
    </row>
    <row r="22" spans="3:16">
      <c r="C22" s="26" t="s">
        <v>97</v>
      </c>
      <c r="D22" s="26"/>
      <c r="E22" s="37"/>
      <c r="F22" s="37"/>
      <c r="G22" s="37"/>
      <c r="H22" s="37"/>
      <c r="I22" s="41">
        <v>30</v>
      </c>
      <c r="J22" s="41">
        <v>25.7</v>
      </c>
    </row>
    <row r="23" spans="3:16">
      <c r="C23" s="26" t="s">
        <v>128</v>
      </c>
      <c r="D23" s="26"/>
      <c r="E23" s="37"/>
      <c r="F23" s="37"/>
      <c r="G23" s="37"/>
      <c r="H23" s="37"/>
      <c r="I23" s="41">
        <v>31</v>
      </c>
      <c r="J23" s="41">
        <v>26.3</v>
      </c>
    </row>
    <row r="24" spans="3:16">
      <c r="C24" s="26" t="s">
        <v>247</v>
      </c>
      <c r="D24" s="26"/>
      <c r="E24" s="37"/>
      <c r="F24" s="37"/>
      <c r="G24" s="37"/>
      <c r="H24" s="37"/>
      <c r="I24" s="41">
        <v>32</v>
      </c>
      <c r="J24" s="41">
        <v>26.8</v>
      </c>
    </row>
    <row r="25" spans="3:16">
      <c r="C25" s="26" t="s">
        <v>86</v>
      </c>
      <c r="D25" s="26"/>
      <c r="E25" s="37"/>
      <c r="F25" s="37"/>
      <c r="G25" s="37"/>
      <c r="H25" s="37"/>
      <c r="I25" s="41">
        <v>33</v>
      </c>
      <c r="J25" s="41">
        <v>27.3</v>
      </c>
    </row>
    <row r="26" spans="3:16">
      <c r="C26" s="26" t="s">
        <v>118</v>
      </c>
      <c r="D26" s="26"/>
      <c r="E26" s="37"/>
      <c r="F26" s="37"/>
      <c r="G26" s="37"/>
      <c r="H26" s="37"/>
      <c r="I26" s="41">
        <v>34</v>
      </c>
      <c r="J26" s="41">
        <v>27.9</v>
      </c>
    </row>
    <row r="27" spans="3:16">
      <c r="C27" s="26" t="s">
        <v>165</v>
      </c>
      <c r="D27" s="26"/>
      <c r="E27" s="37"/>
      <c r="F27" s="37"/>
      <c r="G27" s="37"/>
      <c r="H27" s="37"/>
      <c r="I27" s="41">
        <v>35</v>
      </c>
      <c r="J27" s="41">
        <v>28.4</v>
      </c>
    </row>
    <row r="28" spans="3:16">
      <c r="C28" s="26" t="s">
        <v>175</v>
      </c>
      <c r="D28" s="26"/>
      <c r="E28" s="37"/>
      <c r="F28" s="37"/>
      <c r="G28" s="37"/>
      <c r="H28" s="37"/>
      <c r="I28" s="41">
        <v>36</v>
      </c>
      <c r="J28" s="41">
        <v>28.8</v>
      </c>
    </row>
    <row r="29" spans="3:16">
      <c r="C29" s="26" t="s">
        <v>149</v>
      </c>
      <c r="D29" s="26"/>
      <c r="E29" s="37"/>
      <c r="F29" s="37"/>
      <c r="G29" s="37"/>
      <c r="H29" s="37"/>
      <c r="I29" s="41">
        <v>37</v>
      </c>
      <c r="J29" s="41">
        <v>29.3</v>
      </c>
      <c r="O29" s="38"/>
      <c r="P29" s="38"/>
    </row>
    <row r="30" spans="3:16">
      <c r="C30" s="26" t="s">
        <v>133</v>
      </c>
      <c r="D30" s="26"/>
      <c r="E30" s="37"/>
      <c r="F30" s="37"/>
      <c r="G30" s="37"/>
      <c r="H30" s="37"/>
      <c r="I30" s="41">
        <v>38</v>
      </c>
      <c r="J30" s="41">
        <v>29.8</v>
      </c>
      <c r="O30" s="38"/>
      <c r="P30" s="38"/>
    </row>
    <row r="31" spans="3:16">
      <c r="C31" s="26" t="s">
        <v>228</v>
      </c>
      <c r="D31" s="26"/>
      <c r="E31" s="37"/>
      <c r="F31" s="37"/>
      <c r="G31" s="37"/>
      <c r="H31" s="37"/>
      <c r="I31" s="41">
        <v>39</v>
      </c>
      <c r="J31" s="41">
        <v>30.2</v>
      </c>
    </row>
    <row r="32" spans="3:16">
      <c r="C32" s="26" t="s">
        <v>140</v>
      </c>
      <c r="D32" s="26"/>
      <c r="E32" s="37"/>
      <c r="F32" s="37"/>
      <c r="G32" s="37"/>
      <c r="H32" s="37"/>
      <c r="I32" s="41">
        <v>40</v>
      </c>
      <c r="J32" s="41">
        <v>30.6</v>
      </c>
      <c r="K32" s="39"/>
      <c r="L32" s="39"/>
      <c r="M32" s="39"/>
      <c r="N32" s="39"/>
      <c r="O32" s="39"/>
      <c r="P32" s="39"/>
    </row>
    <row r="33" spans="3:16">
      <c r="C33" s="26" t="s">
        <v>88</v>
      </c>
      <c r="D33" s="26"/>
      <c r="E33" s="37"/>
      <c r="F33" s="37"/>
      <c r="G33" s="37"/>
      <c r="H33" s="37"/>
      <c r="I33" s="41">
        <v>41</v>
      </c>
      <c r="J33" s="41">
        <v>31.1</v>
      </c>
      <c r="K33" s="39"/>
      <c r="L33" s="39"/>
      <c r="M33" s="39"/>
      <c r="N33" s="39"/>
      <c r="O33" s="39"/>
      <c r="P33" s="39"/>
    </row>
    <row r="34" spans="3:16">
      <c r="C34" s="26" t="s">
        <v>153</v>
      </c>
      <c r="D34" s="26"/>
      <c r="E34" s="37"/>
      <c r="F34" s="37"/>
      <c r="G34" s="37"/>
      <c r="H34" s="37"/>
      <c r="I34" s="41">
        <v>42</v>
      </c>
      <c r="J34" s="41">
        <v>31.5</v>
      </c>
      <c r="K34" s="39"/>
      <c r="L34" s="39"/>
      <c r="M34" s="39"/>
      <c r="N34" s="39"/>
      <c r="O34" s="39"/>
      <c r="P34" s="39"/>
    </row>
    <row r="35" spans="3:16">
      <c r="C35" s="26" t="s">
        <v>156</v>
      </c>
      <c r="D35" s="26"/>
      <c r="E35" s="37"/>
      <c r="F35" s="37"/>
      <c r="G35" s="37"/>
      <c r="H35" s="37"/>
      <c r="I35" s="41">
        <v>43</v>
      </c>
      <c r="J35" s="41">
        <v>31.9</v>
      </c>
      <c r="K35" s="39"/>
      <c r="L35" s="39"/>
      <c r="M35" s="39"/>
      <c r="N35" s="39"/>
      <c r="O35" s="39"/>
      <c r="P35" s="39"/>
    </row>
    <row r="36" spans="3:16">
      <c r="C36" s="26" t="s">
        <v>186</v>
      </c>
      <c r="D36" s="26"/>
      <c r="E36" s="37"/>
      <c r="F36" s="37"/>
      <c r="G36" s="37"/>
      <c r="H36" s="37"/>
      <c r="I36" s="41">
        <v>44</v>
      </c>
      <c r="J36" s="41">
        <v>32.299999999999997</v>
      </c>
      <c r="K36" s="39"/>
      <c r="L36" s="39"/>
      <c r="M36" s="39"/>
      <c r="N36" s="39"/>
      <c r="O36" s="39"/>
      <c r="P36" s="39"/>
    </row>
    <row r="37" spans="3:16">
      <c r="C37" s="26" t="s">
        <v>113</v>
      </c>
      <c r="D37" s="26"/>
      <c r="E37" s="37"/>
      <c r="F37" s="37"/>
      <c r="G37" s="37"/>
      <c r="H37" s="37"/>
      <c r="I37" s="41">
        <v>45</v>
      </c>
      <c r="J37" s="41">
        <v>32.700000000000003</v>
      </c>
      <c r="K37" s="39"/>
      <c r="L37" s="39"/>
      <c r="M37" s="39"/>
      <c r="N37" s="39"/>
      <c r="O37" s="39"/>
      <c r="P37" s="39"/>
    </row>
    <row r="38" spans="3:16">
      <c r="C38" s="26" t="s">
        <v>210</v>
      </c>
      <c r="D38" s="26"/>
      <c r="E38" s="37"/>
      <c r="F38" s="37"/>
      <c r="G38" s="37"/>
      <c r="H38" s="37"/>
      <c r="I38" s="41">
        <v>46</v>
      </c>
      <c r="J38" s="41">
        <v>33.1</v>
      </c>
      <c r="K38" s="39"/>
      <c r="L38" s="39"/>
      <c r="M38" s="39"/>
      <c r="N38" s="39"/>
      <c r="O38" s="39"/>
      <c r="P38" s="39"/>
    </row>
    <row r="39" spans="3:16">
      <c r="C39" s="26" t="s">
        <v>244</v>
      </c>
      <c r="D39" s="26"/>
      <c r="E39" s="37"/>
      <c r="F39" s="37"/>
      <c r="G39" s="37"/>
      <c r="H39" s="37"/>
      <c r="I39" s="41">
        <v>47</v>
      </c>
      <c r="J39" s="41">
        <v>33.4</v>
      </c>
      <c r="K39" s="39"/>
      <c r="L39" s="39"/>
      <c r="M39" s="39"/>
      <c r="N39" s="39"/>
      <c r="O39" s="39"/>
      <c r="P39" s="39"/>
    </row>
    <row r="40" spans="3:16">
      <c r="C40" s="26" t="s">
        <v>184</v>
      </c>
      <c r="D40" s="26"/>
      <c r="E40" s="37"/>
      <c r="F40" s="37"/>
      <c r="G40" s="37"/>
      <c r="H40" s="37"/>
      <c r="I40" s="41">
        <v>48</v>
      </c>
      <c r="J40" s="41">
        <v>33.799999999999997</v>
      </c>
      <c r="K40" s="39"/>
      <c r="L40" s="39"/>
      <c r="M40" s="39"/>
      <c r="N40" s="39"/>
      <c r="O40" s="39"/>
      <c r="P40" s="39"/>
    </row>
    <row r="41" spans="3:16">
      <c r="C41" s="26" t="s">
        <v>120</v>
      </c>
      <c r="D41" s="26"/>
      <c r="E41" s="37"/>
      <c r="F41" s="37"/>
      <c r="G41" s="37"/>
      <c r="H41" s="37"/>
      <c r="I41" s="41">
        <v>49</v>
      </c>
      <c r="J41" s="41">
        <v>34.1</v>
      </c>
      <c r="K41" s="39"/>
      <c r="L41" s="39"/>
      <c r="M41" s="39"/>
      <c r="N41" s="39"/>
      <c r="O41" s="39"/>
      <c r="P41" s="39"/>
    </row>
    <row r="42" spans="3:16">
      <c r="C42" s="26" t="s">
        <v>188</v>
      </c>
      <c r="D42" s="26"/>
      <c r="E42" s="37"/>
      <c r="F42" s="37"/>
      <c r="G42" s="37"/>
      <c r="H42" s="37"/>
      <c r="I42" s="41">
        <v>50</v>
      </c>
      <c r="J42" s="41">
        <v>34.5</v>
      </c>
      <c r="K42" s="39"/>
      <c r="L42" s="39"/>
      <c r="M42" s="39"/>
      <c r="N42" s="39"/>
      <c r="O42" s="39"/>
      <c r="P42" s="39"/>
    </row>
    <row r="43" spans="3:16">
      <c r="C43" s="26" t="s">
        <v>241</v>
      </c>
      <c r="D43" s="26"/>
      <c r="E43" s="37"/>
      <c r="F43" s="37"/>
      <c r="G43" s="37"/>
      <c r="H43" s="37"/>
      <c r="I43" s="41">
        <v>51</v>
      </c>
      <c r="J43" s="41">
        <v>34.799999999999997</v>
      </c>
      <c r="K43" s="39"/>
      <c r="L43" s="39"/>
      <c r="M43" s="39"/>
      <c r="N43" s="39"/>
      <c r="O43" s="39"/>
      <c r="P43" s="39"/>
    </row>
    <row r="44" spans="3:16">
      <c r="C44" s="26" t="s">
        <v>171</v>
      </c>
      <c r="D44" s="26"/>
      <c r="E44" s="37"/>
      <c r="F44" s="37"/>
      <c r="G44" s="37"/>
      <c r="H44" s="37"/>
      <c r="I44" s="41">
        <v>52</v>
      </c>
      <c r="J44" s="41">
        <v>35.200000000000003</v>
      </c>
      <c r="K44" s="37"/>
      <c r="L44" s="37"/>
      <c r="M44" s="37"/>
      <c r="N44" s="37"/>
      <c r="O44" s="37"/>
      <c r="P44" s="37"/>
    </row>
    <row r="45" spans="3:16">
      <c r="C45" s="26" t="s">
        <v>254</v>
      </c>
      <c r="D45" s="26"/>
      <c r="E45" s="37"/>
      <c r="F45" s="37"/>
      <c r="G45" s="37"/>
      <c r="H45" s="37"/>
      <c r="I45" s="41">
        <v>53</v>
      </c>
      <c r="J45" s="41">
        <v>35.5</v>
      </c>
      <c r="K45" s="37"/>
      <c r="L45" s="37"/>
      <c r="M45" s="37"/>
      <c r="N45" s="37"/>
      <c r="O45" s="37"/>
      <c r="P45" s="37"/>
    </row>
    <row r="46" spans="3:16">
      <c r="E46" s="42"/>
      <c r="F46" s="42"/>
      <c r="G46" s="42"/>
      <c r="H46" s="42"/>
      <c r="I46" s="41">
        <v>54</v>
      </c>
      <c r="J46" s="41">
        <v>35.799999999999997</v>
      </c>
    </row>
    <row r="47" spans="3:16">
      <c r="E47" s="42"/>
      <c r="F47" s="42"/>
      <c r="G47" s="42"/>
      <c r="H47" s="42"/>
      <c r="I47" s="41">
        <v>55</v>
      </c>
      <c r="J47" s="41">
        <v>36.1</v>
      </c>
    </row>
    <row r="48" spans="3:16">
      <c r="E48" s="42"/>
      <c r="F48" s="42"/>
      <c r="G48" s="42"/>
      <c r="H48" s="42"/>
      <c r="I48" s="41">
        <v>56</v>
      </c>
      <c r="J48" s="41">
        <v>36.4</v>
      </c>
    </row>
    <row r="49" spans="5:10">
      <c r="E49" s="42"/>
      <c r="F49" s="42"/>
      <c r="G49" s="42"/>
      <c r="H49" s="42"/>
      <c r="I49" s="41">
        <v>57</v>
      </c>
      <c r="J49" s="41">
        <v>36.700000000000003</v>
      </c>
    </row>
    <row r="50" spans="5:10">
      <c r="E50" s="42"/>
      <c r="F50" s="42"/>
      <c r="G50" s="42"/>
      <c r="H50" s="42"/>
      <c r="I50" s="41">
        <v>58</v>
      </c>
      <c r="J50" s="41">
        <v>37</v>
      </c>
    </row>
    <row r="51" spans="5:10">
      <c r="E51" s="42"/>
      <c r="F51" s="42"/>
      <c r="G51" s="42"/>
      <c r="H51" s="42"/>
      <c r="I51" s="41">
        <v>59</v>
      </c>
      <c r="J51" s="41">
        <v>37.299999999999997</v>
      </c>
    </row>
    <row r="52" spans="5:10">
      <c r="E52" s="42"/>
      <c r="F52" s="42"/>
      <c r="G52" s="42"/>
      <c r="H52" s="42"/>
      <c r="I52" s="41">
        <v>60</v>
      </c>
      <c r="J52" s="41">
        <v>37.6</v>
      </c>
    </row>
    <row r="53" spans="5:10">
      <c r="E53" s="42"/>
      <c r="F53" s="42"/>
      <c r="G53" s="42"/>
      <c r="H53" s="42"/>
      <c r="I53" s="41">
        <v>61</v>
      </c>
      <c r="J53" s="41">
        <v>37.9</v>
      </c>
    </row>
    <row r="54" spans="5:10">
      <c r="E54" s="42"/>
      <c r="F54" s="42"/>
      <c r="G54" s="42"/>
      <c r="H54" s="42"/>
      <c r="I54" s="41">
        <v>62</v>
      </c>
      <c r="J54" s="41">
        <v>38.200000000000003</v>
      </c>
    </row>
    <row r="55" spans="5:10">
      <c r="E55" s="42"/>
      <c r="F55" s="42"/>
      <c r="G55" s="42"/>
      <c r="H55" s="42"/>
      <c r="I55" s="41">
        <v>63</v>
      </c>
      <c r="J55" s="41">
        <v>38.5</v>
      </c>
    </row>
    <row r="56" spans="5:10">
      <c r="E56" s="42"/>
      <c r="F56" s="42"/>
      <c r="G56" s="42"/>
      <c r="H56" s="42"/>
      <c r="I56" s="41">
        <v>64</v>
      </c>
      <c r="J56" s="41">
        <v>38.700000000000003</v>
      </c>
    </row>
    <row r="57" spans="5:10">
      <c r="E57" s="42"/>
      <c r="F57" s="42"/>
      <c r="G57" s="42"/>
      <c r="H57" s="42"/>
      <c r="I57" s="41">
        <v>65</v>
      </c>
      <c r="J57" s="41">
        <v>39</v>
      </c>
    </row>
    <row r="58" spans="5:10">
      <c r="E58" s="42"/>
      <c r="F58" s="42"/>
      <c r="G58" s="42"/>
      <c r="H58" s="42"/>
      <c r="I58" s="41">
        <v>66</v>
      </c>
      <c r="J58" s="41">
        <v>39.299999999999997</v>
      </c>
    </row>
    <row r="59" spans="5:10">
      <c r="E59" s="42"/>
      <c r="F59" s="42"/>
      <c r="G59" s="42"/>
      <c r="H59" s="42"/>
      <c r="I59" s="41">
        <v>67</v>
      </c>
      <c r="J59" s="41">
        <v>39.5</v>
      </c>
    </row>
    <row r="60" spans="5:10">
      <c r="E60" s="42"/>
      <c r="F60" s="42"/>
      <c r="G60" s="42"/>
      <c r="H60" s="42"/>
      <c r="I60" s="41">
        <v>68</v>
      </c>
      <c r="J60" s="41">
        <v>39.799999999999997</v>
      </c>
    </row>
    <row r="61" spans="5:10">
      <c r="E61" s="42"/>
      <c r="F61" s="42"/>
      <c r="G61" s="42"/>
      <c r="H61" s="42"/>
      <c r="I61" s="41">
        <v>69</v>
      </c>
      <c r="J61" s="41">
        <v>40</v>
      </c>
    </row>
    <row r="62" spans="5:10">
      <c r="E62" s="42"/>
      <c r="F62" s="42"/>
      <c r="G62" s="42"/>
      <c r="H62" s="42"/>
      <c r="I62" s="41">
        <v>70</v>
      </c>
      <c r="J62" s="41">
        <v>40.299999999999997</v>
      </c>
    </row>
    <row r="63" spans="5:10">
      <c r="E63" s="42"/>
      <c r="F63" s="42"/>
      <c r="G63" s="42"/>
      <c r="H63" s="42"/>
      <c r="I63" s="41">
        <v>71</v>
      </c>
      <c r="J63" s="41">
        <v>40.5</v>
      </c>
    </row>
    <row r="64" spans="5:10">
      <c r="E64" s="42"/>
      <c r="F64" s="42"/>
      <c r="G64" s="42"/>
      <c r="H64" s="42"/>
      <c r="I64" s="41">
        <v>72</v>
      </c>
      <c r="J64" s="41">
        <v>40.799999999999997</v>
      </c>
    </row>
    <row r="65" spans="5:10">
      <c r="E65" s="42"/>
      <c r="F65" s="42"/>
      <c r="G65" s="42"/>
      <c r="H65" s="42"/>
      <c r="I65" s="41">
        <v>73</v>
      </c>
      <c r="J65" s="41">
        <v>41</v>
      </c>
    </row>
    <row r="66" spans="5:10">
      <c r="E66" s="42"/>
      <c r="F66" s="42"/>
      <c r="G66" s="42"/>
      <c r="H66" s="42"/>
      <c r="I66" s="41">
        <v>74</v>
      </c>
      <c r="J66" s="41">
        <v>41.2</v>
      </c>
    </row>
    <row r="67" spans="5:10">
      <c r="E67" s="42"/>
      <c r="F67" s="42"/>
      <c r="G67" s="42"/>
      <c r="H67" s="42"/>
      <c r="I67" s="41">
        <v>75</v>
      </c>
      <c r="J67" s="41">
        <v>41.5</v>
      </c>
    </row>
    <row r="68" spans="5:10">
      <c r="E68" s="42"/>
      <c r="F68" s="42"/>
      <c r="G68" s="42"/>
      <c r="H68" s="42"/>
      <c r="I68" s="41">
        <v>76</v>
      </c>
      <c r="J68" s="41">
        <v>41.7</v>
      </c>
    </row>
    <row r="69" spans="5:10">
      <c r="E69" s="42"/>
      <c r="F69" s="42"/>
      <c r="G69" s="42"/>
      <c r="H69" s="42"/>
      <c r="I69" s="41">
        <v>77</v>
      </c>
      <c r="J69" s="41">
        <v>41.9</v>
      </c>
    </row>
    <row r="70" spans="5:10">
      <c r="E70" s="42"/>
      <c r="F70" s="42"/>
      <c r="G70" s="42"/>
      <c r="H70" s="42"/>
      <c r="I70" s="41">
        <v>78</v>
      </c>
      <c r="J70" s="41">
        <v>42.1</v>
      </c>
    </row>
    <row r="71" spans="5:10">
      <c r="E71" s="42"/>
      <c r="F71" s="42"/>
      <c r="G71" s="42"/>
      <c r="H71" s="42"/>
      <c r="I71" s="41">
        <v>79</v>
      </c>
      <c r="J71" s="41">
        <v>42.4</v>
      </c>
    </row>
    <row r="72" spans="5:10">
      <c r="E72" s="42"/>
      <c r="F72" s="42"/>
      <c r="G72" s="42"/>
      <c r="H72" s="42"/>
      <c r="I72" s="41">
        <v>80</v>
      </c>
      <c r="J72" s="41">
        <v>42.6</v>
      </c>
    </row>
    <row r="73" spans="5:10">
      <c r="E73" s="42"/>
      <c r="F73" s="42"/>
      <c r="G73" s="42"/>
      <c r="H73" s="42"/>
      <c r="I73" s="41">
        <v>81</v>
      </c>
      <c r="J73" s="41">
        <v>42.8</v>
      </c>
    </row>
    <row r="74" spans="5:10">
      <c r="E74" s="42"/>
      <c r="F74" s="42"/>
      <c r="G74" s="42"/>
      <c r="H74" s="42"/>
      <c r="I74" s="41">
        <v>82</v>
      </c>
      <c r="J74" s="41">
        <v>43</v>
      </c>
    </row>
    <row r="75" spans="5:10">
      <c r="E75" s="42"/>
      <c r="F75" s="42"/>
      <c r="G75" s="42"/>
      <c r="H75" s="42"/>
      <c r="I75" s="41">
        <v>83</v>
      </c>
      <c r="J75" s="41">
        <v>43.2</v>
      </c>
    </row>
    <row r="76" spans="5:10">
      <c r="E76" s="42"/>
      <c r="F76" s="42"/>
      <c r="G76" s="42"/>
      <c r="H76" s="42"/>
      <c r="I76" s="41">
        <v>84</v>
      </c>
      <c r="J76" s="41">
        <v>43.4</v>
      </c>
    </row>
    <row r="77" spans="5:10">
      <c r="E77" s="42"/>
      <c r="F77" s="42"/>
      <c r="G77" s="42"/>
      <c r="H77" s="42"/>
      <c r="I77" s="41">
        <v>85</v>
      </c>
      <c r="J77" s="41">
        <v>43.6</v>
      </c>
    </row>
    <row r="78" spans="5:10">
      <c r="E78" s="42"/>
      <c r="F78" s="42"/>
      <c r="G78" s="42"/>
      <c r="H78" s="42"/>
      <c r="I78" s="41">
        <v>86</v>
      </c>
      <c r="J78" s="41">
        <v>43.8</v>
      </c>
    </row>
    <row r="79" spans="5:10">
      <c r="E79" s="42"/>
      <c r="F79" s="42"/>
      <c r="G79" s="42"/>
      <c r="H79" s="42"/>
      <c r="I79" s="41">
        <v>87</v>
      </c>
      <c r="J79" s="41">
        <v>44</v>
      </c>
    </row>
    <row r="80" spans="5:10">
      <c r="E80" s="42"/>
      <c r="F80" s="42"/>
      <c r="G80" s="42"/>
      <c r="H80" s="42"/>
      <c r="I80" s="41">
        <v>88</v>
      </c>
      <c r="J80" s="41">
        <v>44.2</v>
      </c>
    </row>
    <row r="81" spans="5:10">
      <c r="E81" s="42"/>
      <c r="F81" s="42"/>
      <c r="G81" s="42"/>
      <c r="H81" s="42"/>
      <c r="I81" s="41">
        <v>89</v>
      </c>
      <c r="J81" s="41">
        <v>44.4</v>
      </c>
    </row>
    <row r="82" spans="5:10">
      <c r="E82" s="42"/>
      <c r="F82" s="42"/>
      <c r="G82" s="42"/>
      <c r="H82" s="42"/>
      <c r="I82" s="41">
        <v>90</v>
      </c>
      <c r="J82" s="41">
        <v>44.6</v>
      </c>
    </row>
    <row r="83" spans="5:10">
      <c r="E83" s="42"/>
      <c r="F83" s="42"/>
      <c r="G83" s="42"/>
      <c r="H83" s="42"/>
      <c r="I83" s="41">
        <v>91</v>
      </c>
      <c r="J83" s="41">
        <v>44.8</v>
      </c>
    </row>
    <row r="84" spans="5:10">
      <c r="E84" s="42"/>
      <c r="F84" s="42"/>
      <c r="G84" s="42"/>
      <c r="H84" s="42"/>
      <c r="I84" s="41">
        <v>92</v>
      </c>
      <c r="J84" s="41">
        <v>45</v>
      </c>
    </row>
    <row r="85" spans="5:10">
      <c r="E85" s="42"/>
      <c r="F85" s="42"/>
      <c r="G85" s="42"/>
      <c r="H85" s="42"/>
      <c r="I85" s="41">
        <v>93</v>
      </c>
      <c r="J85" s="41">
        <v>45.2</v>
      </c>
    </row>
    <row r="86" spans="5:10">
      <c r="E86" s="42"/>
      <c r="F86" s="42"/>
      <c r="G86" s="42"/>
      <c r="H86" s="42"/>
      <c r="I86" s="41">
        <v>94</v>
      </c>
      <c r="J86" s="41">
        <v>45.3</v>
      </c>
    </row>
    <row r="87" spans="5:10">
      <c r="E87" s="42"/>
      <c r="F87" s="42"/>
      <c r="G87" s="42"/>
      <c r="H87" s="42"/>
      <c r="I87" s="41">
        <v>95</v>
      </c>
      <c r="J87" s="41">
        <v>45.5</v>
      </c>
    </row>
    <row r="88" spans="5:10">
      <c r="E88" s="42"/>
      <c r="F88" s="42"/>
      <c r="G88" s="42"/>
      <c r="H88" s="42"/>
      <c r="I88" s="41">
        <v>96</v>
      </c>
      <c r="J88" s="41">
        <v>45.7</v>
      </c>
    </row>
    <row r="89" spans="5:10">
      <c r="E89" s="42"/>
      <c r="F89" s="42"/>
      <c r="G89" s="42"/>
      <c r="H89" s="42"/>
      <c r="I89" s="41">
        <v>97</v>
      </c>
      <c r="J89" s="41">
        <v>45.9</v>
      </c>
    </row>
    <row r="90" spans="5:10">
      <c r="E90" s="42"/>
      <c r="F90" s="42"/>
      <c r="G90" s="42"/>
      <c r="H90" s="42"/>
      <c r="I90" s="41">
        <v>98</v>
      </c>
      <c r="J90" s="41">
        <v>46.1</v>
      </c>
    </row>
    <row r="91" spans="5:10">
      <c r="E91" s="42"/>
      <c r="F91" s="42"/>
      <c r="G91" s="42"/>
      <c r="H91" s="42"/>
      <c r="I91" s="41">
        <v>99</v>
      </c>
      <c r="J91" s="41">
        <v>46.2</v>
      </c>
    </row>
    <row r="92" spans="5:10">
      <c r="E92" s="42"/>
      <c r="F92" s="42"/>
      <c r="G92" s="42"/>
      <c r="H92" s="42"/>
      <c r="I92" s="41">
        <v>100</v>
      </c>
      <c r="J92" s="41">
        <v>46.4</v>
      </c>
    </row>
    <row r="93" spans="5:10">
      <c r="E93" s="42"/>
      <c r="F93" s="42"/>
      <c r="G93" s="42"/>
      <c r="H93" s="42"/>
      <c r="I93" s="41">
        <v>101</v>
      </c>
      <c r="J93" s="41">
        <v>46.6</v>
      </c>
    </row>
    <row r="94" spans="5:10">
      <c r="E94" s="42"/>
      <c r="F94" s="42"/>
      <c r="G94" s="42"/>
      <c r="H94" s="42"/>
      <c r="I94" s="41">
        <v>102</v>
      </c>
      <c r="J94" s="41">
        <v>46.7</v>
      </c>
    </row>
    <row r="95" spans="5:10">
      <c r="E95" s="42"/>
      <c r="F95" s="42"/>
      <c r="G95" s="42"/>
      <c r="H95" s="42"/>
      <c r="I95" s="41">
        <v>103</v>
      </c>
      <c r="J95" s="41">
        <v>46.9</v>
      </c>
    </row>
    <row r="96" spans="5:10">
      <c r="E96" s="42"/>
      <c r="F96" s="42"/>
      <c r="G96" s="42"/>
      <c r="H96" s="42"/>
      <c r="I96" s="41">
        <v>104</v>
      </c>
      <c r="J96" s="41">
        <v>47.1</v>
      </c>
    </row>
    <row r="97" spans="5:10">
      <c r="E97" s="42"/>
      <c r="F97" s="42"/>
      <c r="G97" s="42"/>
      <c r="H97" s="42"/>
      <c r="I97" s="41">
        <v>105</v>
      </c>
      <c r="J97" s="41">
        <v>47.2</v>
      </c>
    </row>
    <row r="98" spans="5:10">
      <c r="E98" s="42"/>
      <c r="F98" s="42"/>
      <c r="G98" s="42"/>
      <c r="H98" s="42"/>
      <c r="I98" s="41">
        <v>106</v>
      </c>
      <c r="J98" s="41">
        <v>47.4</v>
      </c>
    </row>
    <row r="99" spans="5:10">
      <c r="E99" s="42"/>
      <c r="F99" s="42"/>
      <c r="G99" s="42"/>
      <c r="H99" s="42"/>
      <c r="I99" s="41">
        <v>107</v>
      </c>
      <c r="J99" s="41">
        <v>47.6</v>
      </c>
    </row>
    <row r="100" spans="5:10">
      <c r="E100" s="42"/>
      <c r="F100" s="42"/>
      <c r="G100" s="42"/>
      <c r="H100" s="42"/>
      <c r="I100" s="41">
        <v>108</v>
      </c>
      <c r="J100" s="41">
        <v>47.7</v>
      </c>
    </row>
    <row r="101" spans="5:10">
      <c r="E101" s="42"/>
      <c r="F101" s="42"/>
      <c r="G101" s="42"/>
      <c r="H101" s="42"/>
      <c r="I101" s="41">
        <v>109</v>
      </c>
      <c r="J101" s="41">
        <v>47.9</v>
      </c>
    </row>
    <row r="102" spans="5:10">
      <c r="E102" s="42"/>
      <c r="F102" s="42"/>
      <c r="G102" s="42"/>
      <c r="H102" s="42"/>
      <c r="I102" s="41">
        <v>110</v>
      </c>
      <c r="J102" s="41">
        <v>48</v>
      </c>
    </row>
    <row r="103" spans="5:10">
      <c r="E103" s="42"/>
      <c r="F103" s="42"/>
      <c r="G103" s="42"/>
      <c r="H103" s="42"/>
      <c r="I103" s="41">
        <v>111</v>
      </c>
      <c r="J103" s="41">
        <v>48.2</v>
      </c>
    </row>
    <row r="104" spans="5:10">
      <c r="E104" s="42"/>
      <c r="F104" s="42"/>
      <c r="G104" s="42"/>
      <c r="H104" s="42"/>
      <c r="I104" s="41">
        <v>112</v>
      </c>
      <c r="J104" s="41">
        <v>48.4</v>
      </c>
    </row>
    <row r="105" spans="5:10">
      <c r="E105" s="42"/>
      <c r="F105" s="42"/>
      <c r="G105" s="42"/>
      <c r="H105" s="42"/>
      <c r="I105" s="41">
        <v>113</v>
      </c>
      <c r="J105" s="41">
        <v>48.5</v>
      </c>
    </row>
    <row r="106" spans="5:10">
      <c r="E106" s="42"/>
      <c r="F106" s="42"/>
      <c r="G106" s="42"/>
      <c r="H106" s="42"/>
      <c r="I106" s="41">
        <v>114</v>
      </c>
      <c r="J106" s="41">
        <v>48.7</v>
      </c>
    </row>
    <row r="107" spans="5:10">
      <c r="E107" s="42"/>
      <c r="F107" s="42"/>
      <c r="G107" s="42"/>
      <c r="H107" s="42"/>
      <c r="I107" s="41">
        <v>115</v>
      </c>
      <c r="J107" s="41">
        <v>48.8</v>
      </c>
    </row>
    <row r="108" spans="5:10">
      <c r="E108" s="42"/>
      <c r="F108" s="42"/>
      <c r="G108" s="42"/>
      <c r="H108" s="42"/>
      <c r="I108" s="41">
        <v>116</v>
      </c>
      <c r="J108" s="41">
        <v>49</v>
      </c>
    </row>
    <row r="109" spans="5:10">
      <c r="E109" s="42"/>
      <c r="F109" s="42"/>
      <c r="G109" s="42"/>
      <c r="H109" s="42"/>
      <c r="I109" s="41">
        <v>117</v>
      </c>
      <c r="J109" s="41">
        <v>49.1</v>
      </c>
    </row>
    <row r="110" spans="5:10">
      <c r="E110" s="42"/>
      <c r="F110" s="42"/>
      <c r="G110" s="42"/>
      <c r="H110" s="42"/>
      <c r="I110" s="41">
        <v>118</v>
      </c>
      <c r="J110" s="41">
        <v>49.3</v>
      </c>
    </row>
    <row r="111" spans="5:10">
      <c r="E111" s="42"/>
      <c r="F111" s="42"/>
      <c r="G111" s="42"/>
      <c r="H111" s="42"/>
      <c r="I111" s="41">
        <v>119</v>
      </c>
      <c r="J111" s="41">
        <v>49.4</v>
      </c>
    </row>
    <row r="112" spans="5:10">
      <c r="E112" s="42"/>
      <c r="F112" s="42"/>
      <c r="G112" s="42"/>
      <c r="H112" s="42"/>
      <c r="I112" s="41">
        <v>120</v>
      </c>
      <c r="J112" s="41">
        <v>49.5</v>
      </c>
    </row>
    <row r="113" spans="5:10">
      <c r="E113" s="42"/>
      <c r="F113" s="42"/>
      <c r="G113" s="42"/>
      <c r="H113" s="42"/>
      <c r="I113" s="41">
        <v>121</v>
      </c>
      <c r="J113" s="41">
        <v>49.7</v>
      </c>
    </row>
    <row r="114" spans="5:10">
      <c r="E114" s="42"/>
      <c r="F114" s="42"/>
      <c r="G114" s="42"/>
      <c r="H114" s="42"/>
      <c r="I114" s="41">
        <v>122</v>
      </c>
      <c r="J114" s="41">
        <v>49.8</v>
      </c>
    </row>
    <row r="115" spans="5:10">
      <c r="E115" s="42"/>
      <c r="F115" s="42"/>
      <c r="G115" s="42"/>
      <c r="H115" s="42"/>
      <c r="I115" s="41">
        <v>123</v>
      </c>
      <c r="J115" s="41">
        <v>50</v>
      </c>
    </row>
    <row r="116" spans="5:10">
      <c r="E116" s="42"/>
      <c r="F116" s="42"/>
      <c r="G116" s="42"/>
      <c r="H116" s="42"/>
      <c r="I116" s="41">
        <v>124</v>
      </c>
      <c r="J116" s="41">
        <v>50</v>
      </c>
    </row>
    <row r="117" spans="5:10">
      <c r="E117" s="42"/>
      <c r="F117" s="42"/>
      <c r="G117" s="42"/>
      <c r="H117" s="42"/>
      <c r="I117" s="41">
        <v>125</v>
      </c>
      <c r="J117" s="41">
        <v>50</v>
      </c>
    </row>
    <row r="118" spans="5:10">
      <c r="E118" s="42"/>
      <c r="F118" s="42"/>
      <c r="G118" s="42"/>
      <c r="H118" s="42"/>
      <c r="I118" s="41">
        <v>126</v>
      </c>
      <c r="J118" s="41">
        <v>50</v>
      </c>
    </row>
    <row r="119" spans="5:10">
      <c r="E119" s="42"/>
      <c r="F119" s="42"/>
      <c r="G119" s="42"/>
      <c r="H119" s="42"/>
      <c r="I119" s="41">
        <v>127</v>
      </c>
      <c r="J119" s="41">
        <v>50</v>
      </c>
    </row>
    <row r="120" spans="5:10">
      <c r="E120" s="42"/>
      <c r="F120" s="42"/>
      <c r="G120" s="42"/>
      <c r="H120" s="42"/>
      <c r="I120" s="41">
        <v>128</v>
      </c>
      <c r="J120" s="41">
        <v>50</v>
      </c>
    </row>
    <row r="121" spans="5:10">
      <c r="E121" s="42"/>
      <c r="F121" s="42"/>
      <c r="G121" s="42"/>
      <c r="H121" s="42"/>
      <c r="I121" s="41">
        <v>129</v>
      </c>
      <c r="J121" s="41">
        <v>50</v>
      </c>
    </row>
    <row r="122" spans="5:10">
      <c r="E122" s="42"/>
      <c r="F122" s="42"/>
      <c r="G122" s="42"/>
      <c r="H122" s="42"/>
      <c r="I122" s="41">
        <v>130</v>
      </c>
      <c r="J122" s="41">
        <v>50</v>
      </c>
    </row>
    <row r="123" spans="5:10">
      <c r="E123" s="42"/>
      <c r="F123" s="42"/>
      <c r="G123" s="42"/>
      <c r="H123" s="42"/>
      <c r="I123" s="41">
        <v>131</v>
      </c>
      <c r="J123" s="41">
        <v>50</v>
      </c>
    </row>
    <row r="124" spans="5:10">
      <c r="E124" s="42"/>
      <c r="F124" s="42"/>
      <c r="G124" s="42"/>
      <c r="H124" s="42"/>
      <c r="I124" s="41">
        <v>132</v>
      </c>
      <c r="J124" s="41">
        <v>50</v>
      </c>
    </row>
    <row r="125" spans="5:10">
      <c r="E125" s="42"/>
      <c r="F125" s="42"/>
      <c r="G125" s="42"/>
      <c r="H125" s="42"/>
      <c r="I125" s="41">
        <v>133</v>
      </c>
      <c r="J125" s="41">
        <v>50</v>
      </c>
    </row>
    <row r="126" spans="5:10">
      <c r="E126" s="42"/>
      <c r="F126" s="42"/>
      <c r="G126" s="42"/>
      <c r="H126" s="42"/>
      <c r="I126" s="41">
        <v>134</v>
      </c>
      <c r="J126" s="41">
        <v>50</v>
      </c>
    </row>
    <row r="127" spans="5:10">
      <c r="E127" s="42"/>
      <c r="F127" s="42"/>
      <c r="G127" s="42"/>
      <c r="H127" s="42"/>
      <c r="I127" s="41">
        <v>135</v>
      </c>
      <c r="J127" s="41">
        <v>50</v>
      </c>
    </row>
    <row r="128" spans="5:10">
      <c r="E128" s="42"/>
      <c r="F128" s="42"/>
      <c r="G128" s="42"/>
      <c r="H128" s="42"/>
      <c r="I128" s="41">
        <v>136</v>
      </c>
      <c r="J128" s="41">
        <v>50</v>
      </c>
    </row>
    <row r="129" spans="5:10">
      <c r="E129" s="42"/>
      <c r="F129" s="42"/>
      <c r="G129" s="42"/>
      <c r="H129" s="42"/>
      <c r="I129" s="41">
        <v>137</v>
      </c>
      <c r="J129" s="41">
        <v>50</v>
      </c>
    </row>
    <row r="130" spans="5:10">
      <c r="E130" s="42"/>
      <c r="F130" s="42"/>
      <c r="G130" s="42"/>
      <c r="H130" s="42"/>
      <c r="I130" s="41">
        <v>138</v>
      </c>
      <c r="J130" s="41">
        <v>50</v>
      </c>
    </row>
    <row r="131" spans="5:10">
      <c r="E131" s="42"/>
      <c r="F131" s="42"/>
      <c r="G131" s="42"/>
      <c r="H131" s="42"/>
      <c r="I131" s="41">
        <v>139</v>
      </c>
      <c r="J131" s="41">
        <v>50</v>
      </c>
    </row>
    <row r="132" spans="5:10">
      <c r="E132" s="42"/>
      <c r="F132" s="42"/>
      <c r="G132" s="42"/>
      <c r="H132" s="42"/>
      <c r="I132" s="41">
        <v>140</v>
      </c>
      <c r="J132" s="41">
        <v>50</v>
      </c>
    </row>
    <row r="133" spans="5:10">
      <c r="E133" s="42"/>
      <c r="F133" s="42"/>
      <c r="G133" s="42"/>
      <c r="H133" s="42"/>
      <c r="I133" s="41">
        <v>141</v>
      </c>
      <c r="J133" s="41">
        <v>50</v>
      </c>
    </row>
    <row r="134" spans="5:10">
      <c r="E134" s="42"/>
      <c r="F134" s="42"/>
      <c r="G134" s="42"/>
      <c r="H134" s="42"/>
      <c r="I134" s="41">
        <v>142</v>
      </c>
      <c r="J134" s="41">
        <v>50</v>
      </c>
    </row>
    <row r="135" spans="5:10">
      <c r="E135" s="42"/>
      <c r="F135" s="42"/>
      <c r="G135" s="42"/>
      <c r="H135" s="42"/>
      <c r="I135" s="41">
        <v>143</v>
      </c>
      <c r="J135" s="41">
        <v>50</v>
      </c>
    </row>
    <row r="136" spans="5:10">
      <c r="E136" s="42"/>
      <c r="F136" s="42"/>
      <c r="G136" s="42"/>
      <c r="H136" s="42"/>
      <c r="I136" s="41">
        <v>144</v>
      </c>
      <c r="J136" s="41">
        <v>50</v>
      </c>
    </row>
    <row r="137" spans="5:10">
      <c r="E137" s="42"/>
      <c r="F137" s="42"/>
      <c r="G137" s="42"/>
      <c r="H137" s="42"/>
      <c r="I137" s="41">
        <v>145</v>
      </c>
      <c r="J137" s="41">
        <v>50</v>
      </c>
    </row>
    <row r="138" spans="5:10">
      <c r="E138" s="42"/>
      <c r="F138" s="42"/>
      <c r="G138" s="42"/>
      <c r="H138" s="42"/>
      <c r="I138" s="41">
        <v>146</v>
      </c>
      <c r="J138" s="41">
        <v>50</v>
      </c>
    </row>
    <row r="139" spans="5:10">
      <c r="E139" s="42"/>
      <c r="F139" s="42"/>
      <c r="G139" s="42"/>
      <c r="H139" s="42"/>
      <c r="I139" s="41">
        <v>147</v>
      </c>
      <c r="J139" s="41">
        <v>50</v>
      </c>
    </row>
    <row r="140" spans="5:10">
      <c r="E140" s="42"/>
      <c r="F140" s="42"/>
      <c r="G140" s="42"/>
      <c r="H140" s="42"/>
      <c r="I140" s="41">
        <v>148</v>
      </c>
      <c r="J140" s="41">
        <v>50</v>
      </c>
    </row>
    <row r="141" spans="5:10">
      <c r="E141" s="42"/>
      <c r="F141" s="42"/>
      <c r="G141" s="42"/>
      <c r="H141" s="42"/>
      <c r="I141" s="41">
        <v>149</v>
      </c>
      <c r="J141" s="41">
        <v>50</v>
      </c>
    </row>
    <row r="142" spans="5:10">
      <c r="E142" s="42"/>
      <c r="F142" s="42"/>
      <c r="G142" s="42"/>
      <c r="H142" s="42"/>
      <c r="I142" s="41">
        <v>150</v>
      </c>
      <c r="J142" s="41">
        <v>50</v>
      </c>
    </row>
    <row r="143" spans="5:10">
      <c r="E143" s="42"/>
      <c r="F143" s="42"/>
      <c r="G143" s="42"/>
      <c r="H143" s="42"/>
      <c r="I143" s="41">
        <v>151</v>
      </c>
      <c r="J143" s="41">
        <v>50</v>
      </c>
    </row>
    <row r="144" spans="5:10">
      <c r="E144" s="42"/>
      <c r="F144" s="42"/>
      <c r="G144" s="42"/>
      <c r="H144" s="42"/>
      <c r="I144" s="41">
        <v>152</v>
      </c>
      <c r="J144" s="41">
        <v>50</v>
      </c>
    </row>
    <row r="145" spans="5:10">
      <c r="E145" s="42"/>
      <c r="F145" s="42"/>
      <c r="G145" s="42"/>
      <c r="H145" s="42"/>
      <c r="I145" s="41">
        <v>153</v>
      </c>
      <c r="J145" s="41">
        <v>50</v>
      </c>
    </row>
    <row r="146" spans="5:10">
      <c r="E146" s="42"/>
      <c r="F146" s="42"/>
      <c r="G146" s="42"/>
      <c r="H146" s="42"/>
      <c r="I146" s="41">
        <v>154</v>
      </c>
      <c r="J146" s="41">
        <v>50</v>
      </c>
    </row>
    <row r="147" spans="5:10">
      <c r="E147" s="42"/>
      <c r="F147" s="42"/>
      <c r="G147" s="42"/>
      <c r="H147" s="42"/>
      <c r="I147" s="41">
        <v>155</v>
      </c>
      <c r="J147" s="41">
        <v>50</v>
      </c>
    </row>
    <row r="148" spans="5:10">
      <c r="E148" s="42"/>
      <c r="F148" s="42"/>
      <c r="G148" s="42"/>
      <c r="H148" s="42"/>
      <c r="I148" s="41">
        <v>156</v>
      </c>
      <c r="J148" s="41">
        <v>50</v>
      </c>
    </row>
    <row r="149" spans="5:10">
      <c r="E149" s="42"/>
      <c r="F149" s="42"/>
      <c r="G149" s="42"/>
      <c r="H149" s="42"/>
      <c r="I149" s="41">
        <v>157</v>
      </c>
      <c r="J149" s="41">
        <v>50</v>
      </c>
    </row>
    <row r="150" spans="5:10">
      <c r="E150" s="42"/>
      <c r="F150" s="42"/>
      <c r="G150" s="42"/>
      <c r="H150" s="42"/>
      <c r="I150" s="41">
        <v>158</v>
      </c>
      <c r="J150" s="41">
        <v>50</v>
      </c>
    </row>
    <row r="151" spans="5:10">
      <c r="E151" s="42"/>
      <c r="F151" s="42"/>
      <c r="G151" s="42"/>
      <c r="H151" s="42"/>
      <c r="I151" s="41">
        <v>159</v>
      </c>
      <c r="J151" s="41">
        <v>50</v>
      </c>
    </row>
    <row r="152" spans="5:10">
      <c r="E152" s="42"/>
      <c r="F152" s="42"/>
      <c r="G152" s="42"/>
      <c r="H152" s="42"/>
      <c r="I152" s="41">
        <v>160</v>
      </c>
      <c r="J152" s="41">
        <v>50</v>
      </c>
    </row>
    <row r="153" spans="5:10">
      <c r="E153" s="42"/>
      <c r="F153" s="42"/>
      <c r="G153" s="42"/>
      <c r="H153" s="42"/>
      <c r="I153" s="41">
        <v>161</v>
      </c>
      <c r="J153" s="41">
        <v>50</v>
      </c>
    </row>
    <row r="154" spans="5:10">
      <c r="E154" s="42"/>
      <c r="F154" s="42"/>
      <c r="G154" s="42"/>
      <c r="H154" s="42"/>
      <c r="I154" s="41">
        <v>162</v>
      </c>
      <c r="J154" s="41">
        <v>50</v>
      </c>
    </row>
    <row r="155" spans="5:10">
      <c r="E155" s="42"/>
      <c r="F155" s="42"/>
      <c r="G155" s="42"/>
      <c r="H155" s="42"/>
      <c r="I155" s="41">
        <v>163</v>
      </c>
      <c r="J155" s="41">
        <v>50</v>
      </c>
    </row>
    <row r="156" spans="5:10">
      <c r="E156" s="42"/>
      <c r="F156" s="42"/>
      <c r="G156" s="42"/>
      <c r="H156" s="42"/>
      <c r="I156" s="41">
        <v>164</v>
      </c>
      <c r="J156" s="41">
        <v>50</v>
      </c>
    </row>
    <row r="157" spans="5:10">
      <c r="E157" s="42"/>
      <c r="F157" s="42"/>
      <c r="G157" s="42"/>
      <c r="H157" s="42"/>
      <c r="I157" s="41">
        <v>165</v>
      </c>
      <c r="J157" s="41">
        <v>50</v>
      </c>
    </row>
    <row r="158" spans="5:10">
      <c r="E158" s="42"/>
      <c r="F158" s="42"/>
      <c r="G158" s="42"/>
      <c r="H158" s="42"/>
      <c r="I158" s="41">
        <v>166</v>
      </c>
      <c r="J158" s="41">
        <v>50</v>
      </c>
    </row>
    <row r="159" spans="5:10">
      <c r="E159" s="42"/>
      <c r="F159" s="42"/>
      <c r="G159" s="42"/>
      <c r="H159" s="42"/>
      <c r="I159" s="41">
        <v>167</v>
      </c>
      <c r="J159" s="41">
        <v>50</v>
      </c>
    </row>
    <row r="160" spans="5:10">
      <c r="E160" s="42"/>
      <c r="F160" s="42"/>
      <c r="G160" s="42"/>
      <c r="H160" s="42"/>
      <c r="I160" s="41">
        <v>168</v>
      </c>
      <c r="J160" s="41">
        <v>50</v>
      </c>
    </row>
    <row r="161" spans="5:10">
      <c r="E161" s="42"/>
      <c r="F161" s="42"/>
      <c r="G161" s="42"/>
      <c r="H161" s="42"/>
      <c r="I161" s="41">
        <v>169</v>
      </c>
      <c r="J161" s="41">
        <v>50</v>
      </c>
    </row>
    <row r="162" spans="5:10">
      <c r="E162" s="42"/>
      <c r="F162" s="42"/>
      <c r="G162" s="42"/>
      <c r="H162" s="42"/>
      <c r="I162" s="41">
        <v>170</v>
      </c>
      <c r="J162" s="41">
        <v>50</v>
      </c>
    </row>
    <row r="163" spans="5:10">
      <c r="E163" s="42"/>
      <c r="F163" s="42"/>
      <c r="G163" s="42"/>
      <c r="H163" s="42"/>
      <c r="I163" s="41">
        <v>171</v>
      </c>
      <c r="J163" s="41">
        <v>50</v>
      </c>
    </row>
    <row r="164" spans="5:10">
      <c r="E164" s="42"/>
      <c r="F164" s="42"/>
      <c r="G164" s="42"/>
      <c r="H164" s="42"/>
      <c r="I164" s="41">
        <v>172</v>
      </c>
      <c r="J164" s="41">
        <v>50</v>
      </c>
    </row>
    <row r="165" spans="5:10">
      <c r="E165" s="42"/>
      <c r="F165" s="42"/>
      <c r="G165" s="42"/>
      <c r="H165" s="42"/>
      <c r="I165" s="41">
        <v>173</v>
      </c>
      <c r="J165" s="41">
        <v>50</v>
      </c>
    </row>
    <row r="166" spans="5:10">
      <c r="E166" s="42"/>
      <c r="F166" s="42"/>
      <c r="G166" s="42"/>
      <c r="H166" s="42"/>
      <c r="I166" s="41">
        <v>174</v>
      </c>
      <c r="J166" s="41">
        <v>50</v>
      </c>
    </row>
    <row r="167" spans="5:10">
      <c r="E167" s="42"/>
      <c r="F167" s="42"/>
      <c r="G167" s="42"/>
      <c r="H167" s="42"/>
      <c r="I167" s="41">
        <v>175</v>
      </c>
      <c r="J167" s="41">
        <v>50</v>
      </c>
    </row>
    <row r="168" spans="5:10">
      <c r="E168" s="42"/>
      <c r="F168" s="42"/>
      <c r="G168" s="42"/>
      <c r="H168" s="42"/>
      <c r="I168" s="41">
        <v>176</v>
      </c>
      <c r="J168" s="41">
        <v>50</v>
      </c>
    </row>
    <row r="169" spans="5:10">
      <c r="E169" s="42"/>
      <c r="F169" s="42"/>
      <c r="G169" s="42"/>
      <c r="H169" s="42"/>
      <c r="I169" s="41">
        <v>177</v>
      </c>
      <c r="J169" s="41">
        <v>50</v>
      </c>
    </row>
    <row r="170" spans="5:10">
      <c r="E170" s="42"/>
      <c r="F170" s="42"/>
      <c r="G170" s="42"/>
      <c r="H170" s="42"/>
      <c r="I170" s="41">
        <v>178</v>
      </c>
      <c r="J170" s="41">
        <v>50</v>
      </c>
    </row>
    <row r="171" spans="5:10">
      <c r="E171" s="42"/>
      <c r="F171" s="42"/>
      <c r="G171" s="42"/>
      <c r="H171" s="42"/>
      <c r="I171" s="41">
        <v>179</v>
      </c>
      <c r="J171" s="41">
        <v>50</v>
      </c>
    </row>
    <row r="172" spans="5:10">
      <c r="E172" s="42"/>
      <c r="F172" s="42"/>
      <c r="G172" s="42"/>
      <c r="H172" s="42"/>
      <c r="I172" s="41">
        <v>180</v>
      </c>
      <c r="J172" s="41">
        <v>50</v>
      </c>
    </row>
    <row r="173" spans="5:10">
      <c r="E173" s="42"/>
      <c r="F173" s="42"/>
      <c r="G173" s="42"/>
      <c r="H173" s="42"/>
      <c r="I173" s="41">
        <v>181</v>
      </c>
      <c r="J173" s="41">
        <v>50</v>
      </c>
    </row>
    <row r="174" spans="5:10">
      <c r="E174" s="42"/>
      <c r="F174" s="42"/>
      <c r="G174" s="42"/>
      <c r="H174" s="42"/>
      <c r="I174" s="41">
        <v>182</v>
      </c>
      <c r="J174" s="41">
        <v>50</v>
      </c>
    </row>
    <row r="175" spans="5:10">
      <c r="E175" s="42"/>
      <c r="F175" s="42"/>
      <c r="G175" s="42"/>
      <c r="H175" s="42"/>
      <c r="I175" s="41">
        <v>183</v>
      </c>
      <c r="J175" s="41">
        <v>50</v>
      </c>
    </row>
    <row r="176" spans="5:10">
      <c r="E176" s="42"/>
      <c r="F176" s="42"/>
      <c r="G176" s="42"/>
      <c r="H176" s="42"/>
      <c r="I176" s="41">
        <v>184</v>
      </c>
      <c r="J176" s="41">
        <v>50</v>
      </c>
    </row>
    <row r="177" spans="5:10">
      <c r="E177" s="42"/>
      <c r="F177" s="42"/>
      <c r="G177" s="42"/>
      <c r="H177" s="42"/>
      <c r="I177" s="41">
        <v>185</v>
      </c>
      <c r="J177" s="41">
        <v>50</v>
      </c>
    </row>
    <row r="178" spans="5:10">
      <c r="E178" s="42"/>
      <c r="F178" s="42"/>
      <c r="G178" s="42"/>
      <c r="H178" s="42"/>
      <c r="I178" s="41">
        <v>186</v>
      </c>
      <c r="J178" s="41">
        <v>50</v>
      </c>
    </row>
    <row r="179" spans="5:10">
      <c r="E179" s="42"/>
      <c r="F179" s="42"/>
      <c r="G179" s="42"/>
      <c r="H179" s="42"/>
      <c r="I179" s="41">
        <v>187</v>
      </c>
      <c r="J179" s="41">
        <v>50</v>
      </c>
    </row>
    <row r="180" spans="5:10">
      <c r="E180" s="42"/>
      <c r="F180" s="42"/>
      <c r="G180" s="42"/>
      <c r="H180" s="42"/>
      <c r="I180" s="41">
        <v>188</v>
      </c>
      <c r="J180" s="41">
        <v>50</v>
      </c>
    </row>
    <row r="181" spans="5:10">
      <c r="E181" s="42"/>
      <c r="F181" s="42"/>
      <c r="G181" s="42"/>
      <c r="H181" s="42"/>
      <c r="I181" s="41">
        <v>189</v>
      </c>
      <c r="J181" s="41">
        <v>50</v>
      </c>
    </row>
    <row r="182" spans="5:10">
      <c r="E182" s="42"/>
      <c r="F182" s="42"/>
      <c r="G182" s="42"/>
      <c r="H182" s="42"/>
      <c r="I182" s="41">
        <v>190</v>
      </c>
      <c r="J182" s="41">
        <v>50</v>
      </c>
    </row>
    <row r="183" spans="5:10">
      <c r="E183" s="42"/>
      <c r="F183" s="42"/>
      <c r="G183" s="42"/>
      <c r="H183" s="42"/>
      <c r="I183" s="41">
        <v>191</v>
      </c>
      <c r="J183" s="41">
        <v>50</v>
      </c>
    </row>
    <row r="184" spans="5:10">
      <c r="E184" s="42"/>
      <c r="F184" s="42"/>
      <c r="G184" s="42"/>
      <c r="H184" s="42"/>
      <c r="I184" s="41">
        <v>192</v>
      </c>
      <c r="J184" s="41">
        <v>50</v>
      </c>
    </row>
    <row r="185" spans="5:10">
      <c r="E185" s="42"/>
      <c r="F185" s="42"/>
      <c r="G185" s="42"/>
      <c r="H185" s="42"/>
      <c r="I185" s="41">
        <v>193</v>
      </c>
      <c r="J185" s="41">
        <v>50</v>
      </c>
    </row>
    <row r="186" spans="5:10">
      <c r="E186" s="42"/>
      <c r="F186" s="42"/>
      <c r="G186" s="42"/>
      <c r="H186" s="42"/>
      <c r="I186" s="41">
        <v>194</v>
      </c>
      <c r="J186" s="41">
        <v>50</v>
      </c>
    </row>
    <row r="187" spans="5:10">
      <c r="E187" s="42"/>
      <c r="F187" s="42"/>
      <c r="G187" s="42"/>
      <c r="H187" s="42"/>
      <c r="I187" s="41">
        <v>195</v>
      </c>
      <c r="J187" s="41">
        <v>50</v>
      </c>
    </row>
    <row r="188" spans="5:10">
      <c r="E188" s="42"/>
      <c r="F188" s="42"/>
      <c r="G188" s="42"/>
      <c r="H188" s="42"/>
      <c r="I188" s="41">
        <v>196</v>
      </c>
      <c r="J188" s="41">
        <v>50</v>
      </c>
    </row>
    <row r="189" spans="5:10">
      <c r="E189" s="42"/>
      <c r="F189" s="42"/>
      <c r="G189" s="42"/>
      <c r="H189" s="42"/>
      <c r="I189" s="41">
        <v>197</v>
      </c>
      <c r="J189" s="41">
        <v>50</v>
      </c>
    </row>
    <row r="190" spans="5:10">
      <c r="E190" s="42"/>
      <c r="F190" s="42"/>
      <c r="G190" s="42"/>
      <c r="H190" s="42"/>
      <c r="I190" s="41">
        <v>198</v>
      </c>
      <c r="J190" s="41">
        <v>50</v>
      </c>
    </row>
    <row r="191" spans="5:10">
      <c r="E191" s="42"/>
      <c r="F191" s="42"/>
      <c r="G191" s="42"/>
      <c r="H191" s="42"/>
      <c r="I191" s="41">
        <v>199</v>
      </c>
      <c r="J191" s="41">
        <v>50</v>
      </c>
    </row>
    <row r="192" spans="5:10">
      <c r="E192" s="42"/>
      <c r="F192" s="42"/>
      <c r="G192" s="42"/>
      <c r="H192" s="42"/>
      <c r="I192" s="41">
        <v>200</v>
      </c>
      <c r="J192" s="41">
        <v>50</v>
      </c>
    </row>
    <row r="193" spans="5:8">
      <c r="E193" s="40"/>
      <c r="F193" s="40"/>
      <c r="G193" s="40"/>
      <c r="H193" s="40"/>
    </row>
    <row r="194" spans="5:8">
      <c r="E194" s="40"/>
      <c r="F194" s="40"/>
      <c r="G194" s="40"/>
      <c r="H194" s="40"/>
    </row>
    <row r="195" spans="5:8">
      <c r="E195" s="40"/>
      <c r="F195" s="40"/>
      <c r="G195" s="40"/>
      <c r="H195" s="40"/>
    </row>
    <row r="196" spans="5:8">
      <c r="E196" s="40"/>
      <c r="F196" s="40"/>
      <c r="G196" s="40"/>
      <c r="H196" s="40"/>
    </row>
    <row r="197" spans="5:8">
      <c r="E197" s="40"/>
      <c r="F197" s="40"/>
      <c r="G197" s="40"/>
      <c r="H197" s="40"/>
    </row>
    <row r="198" spans="5:8">
      <c r="E198" s="40"/>
      <c r="F198" s="40"/>
      <c r="G198" s="40"/>
      <c r="H198" s="40"/>
    </row>
    <row r="199" spans="5:8">
      <c r="E199" s="40"/>
      <c r="F199" s="40"/>
      <c r="G199" s="40"/>
      <c r="H199" s="40"/>
    </row>
    <row r="200" spans="5:8">
      <c r="E200" s="40"/>
      <c r="F200" s="40"/>
      <c r="G200" s="40"/>
      <c r="H200" s="40"/>
    </row>
    <row r="201" spans="5:8">
      <c r="E201" s="40"/>
      <c r="F201" s="40"/>
      <c r="G201" s="40"/>
      <c r="H201" s="40"/>
    </row>
    <row r="202" spans="5:8">
      <c r="E202" s="40"/>
      <c r="F202" s="40"/>
      <c r="G202" s="40"/>
      <c r="H202" s="40"/>
    </row>
    <row r="203" spans="5:8">
      <c r="E203" s="40"/>
      <c r="F203" s="40"/>
      <c r="G203" s="40"/>
      <c r="H203" s="40"/>
    </row>
    <row r="204" spans="5:8">
      <c r="E204" s="40"/>
      <c r="F204" s="40"/>
      <c r="G204" s="40"/>
      <c r="H204" s="40"/>
    </row>
    <row r="205" spans="5:8">
      <c r="E205" s="40"/>
      <c r="F205" s="40"/>
      <c r="G205" s="40"/>
      <c r="H205" s="40"/>
    </row>
    <row r="206" spans="5:8">
      <c r="E206" s="40"/>
      <c r="F206" s="40"/>
      <c r="G206" s="40"/>
      <c r="H206" s="40"/>
    </row>
    <row r="207" spans="5:8">
      <c r="E207" s="40"/>
      <c r="F207" s="40"/>
      <c r="G207" s="40"/>
      <c r="H207" s="40"/>
    </row>
    <row r="208" spans="5:8">
      <c r="E208" s="40"/>
      <c r="F208" s="40"/>
      <c r="G208" s="40"/>
      <c r="H208" s="40"/>
    </row>
    <row r="209" spans="5:8">
      <c r="E209" s="40"/>
      <c r="F209" s="40"/>
      <c r="G209" s="40"/>
      <c r="H209" s="40"/>
    </row>
    <row r="210" spans="5:8">
      <c r="E210" s="40"/>
      <c r="F210" s="40"/>
      <c r="G210" s="40"/>
      <c r="H210" s="40"/>
    </row>
    <row r="211" spans="5:8">
      <c r="E211" s="40"/>
      <c r="F211" s="40"/>
      <c r="G211" s="40"/>
      <c r="H211" s="40"/>
    </row>
    <row r="212" spans="5:8">
      <c r="E212" s="40"/>
      <c r="F212" s="40"/>
      <c r="G212" s="40"/>
      <c r="H212" s="40"/>
    </row>
    <row r="213" spans="5:8">
      <c r="E213" s="40"/>
      <c r="F213" s="40"/>
      <c r="G213" s="40"/>
      <c r="H213" s="40"/>
    </row>
    <row r="214" spans="5:8">
      <c r="E214" s="40"/>
      <c r="F214" s="40"/>
      <c r="G214" s="40"/>
      <c r="H214" s="40"/>
    </row>
    <row r="215" spans="5:8">
      <c r="E215" s="40"/>
      <c r="F215" s="40"/>
      <c r="G215" s="40"/>
      <c r="H215" s="40"/>
    </row>
    <row r="216" spans="5:8">
      <c r="E216" s="40"/>
      <c r="F216" s="40"/>
      <c r="G216" s="40"/>
      <c r="H216" s="40"/>
    </row>
    <row r="217" spans="5:8">
      <c r="E217" s="40"/>
      <c r="F217" s="40"/>
      <c r="G217" s="40"/>
      <c r="H217" s="40"/>
    </row>
    <row r="218" spans="5:8">
      <c r="E218" s="40"/>
      <c r="F218" s="40"/>
      <c r="G218" s="40"/>
      <c r="H218" s="40"/>
    </row>
    <row r="219" spans="5:8">
      <c r="E219" s="40"/>
      <c r="F219" s="40"/>
      <c r="G219" s="40"/>
      <c r="H219" s="40"/>
    </row>
    <row r="220" spans="5:8">
      <c r="E220" s="40"/>
      <c r="F220" s="40"/>
      <c r="G220" s="40"/>
      <c r="H220" s="40"/>
    </row>
    <row r="221" spans="5:8">
      <c r="E221" s="40"/>
      <c r="F221" s="40"/>
      <c r="G221" s="40"/>
      <c r="H221" s="40"/>
    </row>
    <row r="222" spans="5:8">
      <c r="E222" s="40"/>
      <c r="F222" s="40"/>
      <c r="G222" s="40"/>
      <c r="H222" s="40"/>
    </row>
    <row r="223" spans="5:8">
      <c r="E223" s="40"/>
      <c r="F223" s="40"/>
      <c r="G223" s="40"/>
      <c r="H223" s="40"/>
    </row>
    <row r="224" spans="5:8">
      <c r="E224" s="40"/>
      <c r="F224" s="40"/>
      <c r="G224" s="40"/>
      <c r="H224" s="40"/>
    </row>
    <row r="225" spans="5:8">
      <c r="E225" s="40"/>
      <c r="F225" s="40"/>
      <c r="G225" s="40"/>
      <c r="H225" s="40"/>
    </row>
    <row r="226" spans="5:8">
      <c r="E226" s="40"/>
      <c r="F226" s="40"/>
      <c r="G226" s="40"/>
      <c r="H226" s="40"/>
    </row>
    <row r="227" spans="5:8">
      <c r="E227" s="40"/>
      <c r="F227" s="40"/>
      <c r="G227" s="40"/>
      <c r="H227" s="40"/>
    </row>
    <row r="228" spans="5:8">
      <c r="E228" s="40"/>
      <c r="F228" s="40"/>
      <c r="G228" s="40"/>
      <c r="H228" s="40"/>
    </row>
    <row r="229" spans="5:8">
      <c r="E229" s="40"/>
      <c r="F229" s="40"/>
      <c r="G229" s="40"/>
      <c r="H229" s="40"/>
    </row>
    <row r="230" spans="5:8">
      <c r="E230" s="40"/>
      <c r="F230" s="40"/>
      <c r="G230" s="40"/>
      <c r="H230" s="40"/>
    </row>
    <row r="231" spans="5:8">
      <c r="E231" s="40"/>
      <c r="F231" s="40"/>
      <c r="G231" s="40"/>
      <c r="H231" s="40"/>
    </row>
    <row r="232" spans="5:8">
      <c r="E232" s="40"/>
      <c r="F232" s="40"/>
      <c r="G232" s="40"/>
      <c r="H232" s="40"/>
    </row>
    <row r="233" spans="5:8">
      <c r="E233" s="40"/>
      <c r="F233" s="40"/>
      <c r="G233" s="40"/>
      <c r="H233" s="40"/>
    </row>
    <row r="234" spans="5:8">
      <c r="E234" s="40"/>
      <c r="F234" s="40"/>
      <c r="G234" s="40"/>
      <c r="H234" s="40"/>
    </row>
    <row r="235" spans="5:8">
      <c r="E235" s="40"/>
      <c r="F235" s="40"/>
      <c r="G235" s="40"/>
      <c r="H235" s="40"/>
    </row>
    <row r="236" spans="5:8">
      <c r="E236" s="40"/>
      <c r="F236" s="40"/>
      <c r="G236" s="40"/>
      <c r="H236" s="40"/>
    </row>
    <row r="237" spans="5:8">
      <c r="E237" s="40"/>
      <c r="F237" s="40"/>
      <c r="G237" s="40"/>
      <c r="H237" s="40"/>
    </row>
    <row r="238" spans="5:8">
      <c r="E238" s="40"/>
      <c r="F238" s="40"/>
      <c r="G238" s="40"/>
      <c r="H238" s="40"/>
    </row>
    <row r="239" spans="5:8">
      <c r="E239" s="40"/>
      <c r="F239" s="40"/>
      <c r="G239" s="40"/>
      <c r="H239" s="40"/>
    </row>
    <row r="240" spans="5:8">
      <c r="E240" s="40"/>
      <c r="F240" s="40"/>
      <c r="G240" s="40"/>
      <c r="H240" s="40"/>
    </row>
    <row r="241" spans="5:8">
      <c r="E241" s="40"/>
      <c r="F241" s="40"/>
      <c r="G241" s="40"/>
      <c r="H241" s="40"/>
    </row>
    <row r="242" spans="5:8">
      <c r="E242" s="40"/>
      <c r="F242" s="40"/>
      <c r="G242" s="40"/>
      <c r="H242" s="40"/>
    </row>
    <row r="243" spans="5:8">
      <c r="E243" s="40"/>
      <c r="F243" s="40"/>
      <c r="G243" s="40"/>
      <c r="H243" s="40"/>
    </row>
    <row r="244" spans="5:8">
      <c r="E244" s="40"/>
      <c r="F244" s="40"/>
      <c r="G244" s="40"/>
      <c r="H244" s="40"/>
    </row>
    <row r="245" spans="5:8">
      <c r="E245" s="40"/>
      <c r="F245" s="40"/>
      <c r="G245" s="40"/>
      <c r="H245" s="40"/>
    </row>
    <row r="246" spans="5:8">
      <c r="E246" s="40"/>
      <c r="F246" s="40"/>
      <c r="G246" s="40"/>
      <c r="H246" s="40"/>
    </row>
    <row r="247" spans="5:8">
      <c r="E247" s="40"/>
      <c r="F247" s="40"/>
      <c r="G247" s="40"/>
      <c r="H247" s="40"/>
    </row>
    <row r="248" spans="5:8">
      <c r="E248" s="40"/>
      <c r="F248" s="40"/>
      <c r="G248" s="40"/>
      <c r="H248" s="40"/>
    </row>
    <row r="249" spans="5:8">
      <c r="E249" s="40"/>
      <c r="F249" s="40"/>
      <c r="G249" s="40"/>
      <c r="H249" s="40"/>
    </row>
    <row r="250" spans="5:8">
      <c r="E250" s="40"/>
      <c r="F250" s="40"/>
      <c r="G250" s="40"/>
      <c r="H250" s="40"/>
    </row>
    <row r="251" spans="5:8">
      <c r="E251" s="40"/>
      <c r="F251" s="40"/>
      <c r="G251" s="40"/>
      <c r="H251" s="40"/>
    </row>
    <row r="252" spans="5:8">
      <c r="E252" s="40"/>
      <c r="F252" s="40"/>
      <c r="G252" s="40"/>
      <c r="H252" s="40"/>
    </row>
    <row r="253" spans="5:8">
      <c r="E253" s="40"/>
      <c r="F253" s="40"/>
      <c r="G253" s="40"/>
      <c r="H253" s="40"/>
    </row>
    <row r="254" spans="5:8">
      <c r="E254" s="40"/>
      <c r="F254" s="40"/>
      <c r="G254" s="40"/>
      <c r="H254" s="40"/>
    </row>
    <row r="255" spans="5:8">
      <c r="E255" s="40"/>
      <c r="F255" s="40"/>
      <c r="G255" s="40"/>
      <c r="H255" s="40"/>
    </row>
    <row r="256" spans="5:8">
      <c r="E256" s="40"/>
      <c r="F256" s="40"/>
      <c r="G256" s="40"/>
      <c r="H256" s="40"/>
    </row>
    <row r="257" spans="5:8">
      <c r="E257" s="40"/>
      <c r="F257" s="40"/>
      <c r="G257" s="40"/>
      <c r="H257" s="40"/>
    </row>
    <row r="258" spans="5:8">
      <c r="E258" s="40"/>
      <c r="F258" s="40"/>
      <c r="G258" s="40"/>
      <c r="H258" s="40"/>
    </row>
    <row r="259" spans="5:8">
      <c r="E259" s="40"/>
      <c r="F259" s="40"/>
      <c r="G259" s="40"/>
      <c r="H259" s="40"/>
    </row>
    <row r="260" spans="5:8">
      <c r="E260" s="40"/>
      <c r="F260" s="40"/>
      <c r="G260" s="40"/>
      <c r="H260" s="40"/>
    </row>
    <row r="261" spans="5:8">
      <c r="E261" s="40"/>
      <c r="F261" s="40"/>
      <c r="G261" s="40"/>
      <c r="H261" s="40"/>
    </row>
    <row r="262" spans="5:8">
      <c r="E262" s="40"/>
      <c r="F262" s="40"/>
      <c r="G262" s="40"/>
      <c r="H262" s="40"/>
    </row>
    <row r="263" spans="5:8">
      <c r="E263" s="40"/>
      <c r="F263" s="40"/>
      <c r="G263" s="40"/>
      <c r="H263" s="40"/>
    </row>
    <row r="264" spans="5:8">
      <c r="E264" s="40"/>
      <c r="F264" s="40"/>
      <c r="G264" s="40"/>
      <c r="H264" s="40"/>
    </row>
    <row r="265" spans="5:8">
      <c r="E265" s="40"/>
      <c r="F265" s="40"/>
      <c r="G265" s="40"/>
      <c r="H265" s="40"/>
    </row>
    <row r="266" spans="5:8">
      <c r="E266" s="40"/>
      <c r="F266" s="40"/>
      <c r="G266" s="40"/>
      <c r="H266" s="40"/>
    </row>
    <row r="267" spans="5:8">
      <c r="E267" s="40"/>
      <c r="F267" s="40"/>
      <c r="G267" s="40"/>
      <c r="H267" s="40"/>
    </row>
    <row r="268" spans="5:8">
      <c r="E268" s="40"/>
      <c r="F268" s="40"/>
      <c r="G268" s="40"/>
      <c r="H268" s="40"/>
    </row>
    <row r="269" spans="5:8">
      <c r="E269" s="40"/>
      <c r="F269" s="40"/>
      <c r="G269" s="40"/>
      <c r="H269" s="40"/>
    </row>
    <row r="270" spans="5:8">
      <c r="E270" s="40"/>
      <c r="F270" s="40"/>
      <c r="G270" s="40"/>
      <c r="H270" s="40"/>
    </row>
    <row r="271" spans="5:8">
      <c r="E271" s="40"/>
      <c r="F271" s="40"/>
      <c r="G271" s="40"/>
      <c r="H271" s="40"/>
    </row>
    <row r="272" spans="5:8">
      <c r="E272" s="40"/>
      <c r="F272" s="40"/>
      <c r="G272" s="40"/>
      <c r="H272" s="40"/>
    </row>
    <row r="273" spans="5:8">
      <c r="E273" s="40"/>
      <c r="F273" s="40"/>
      <c r="G273" s="40"/>
      <c r="H273" s="40"/>
    </row>
    <row r="274" spans="5:8">
      <c r="E274" s="40"/>
      <c r="F274" s="40"/>
      <c r="G274" s="40"/>
      <c r="H274" s="40"/>
    </row>
    <row r="275" spans="5:8">
      <c r="E275" s="40"/>
      <c r="F275" s="40"/>
      <c r="G275" s="40"/>
      <c r="H275" s="40"/>
    </row>
    <row r="276" spans="5:8">
      <c r="E276" s="40"/>
      <c r="F276" s="40"/>
      <c r="G276" s="40"/>
      <c r="H276" s="40"/>
    </row>
    <row r="277" spans="5:8">
      <c r="E277" s="40"/>
      <c r="F277" s="40"/>
      <c r="G277" s="40"/>
      <c r="H277" s="40"/>
    </row>
    <row r="278" spans="5:8">
      <c r="E278" s="40"/>
      <c r="F278" s="40"/>
      <c r="G278" s="40"/>
      <c r="H278" s="40"/>
    </row>
    <row r="279" spans="5:8">
      <c r="E279" s="40"/>
      <c r="F279" s="40"/>
      <c r="G279" s="40"/>
      <c r="H279" s="40"/>
    </row>
    <row r="280" spans="5:8">
      <c r="E280" s="40"/>
      <c r="F280" s="40"/>
      <c r="G280" s="40"/>
      <c r="H280" s="40"/>
    </row>
    <row r="281" spans="5:8">
      <c r="E281" s="40"/>
      <c r="F281" s="40"/>
      <c r="G281" s="40"/>
      <c r="H281" s="40"/>
    </row>
    <row r="282" spans="5:8">
      <c r="E282" s="40"/>
      <c r="F282" s="40"/>
      <c r="G282" s="40"/>
      <c r="H282" s="40"/>
    </row>
    <row r="283" spans="5:8">
      <c r="E283" s="40"/>
      <c r="F283" s="40"/>
      <c r="G283" s="40"/>
      <c r="H283" s="40"/>
    </row>
    <row r="284" spans="5:8">
      <c r="E284" s="40"/>
      <c r="F284" s="40"/>
      <c r="G284" s="40"/>
      <c r="H284" s="40"/>
    </row>
    <row r="285" spans="5:8">
      <c r="E285" s="40"/>
      <c r="F285" s="40"/>
      <c r="G285" s="40"/>
      <c r="H285" s="40"/>
    </row>
    <row r="286" spans="5:8">
      <c r="E286" s="40"/>
      <c r="F286" s="40"/>
      <c r="G286" s="40"/>
      <c r="H286" s="40"/>
    </row>
    <row r="287" spans="5:8">
      <c r="E287" s="40"/>
      <c r="F287" s="40"/>
      <c r="G287" s="40"/>
      <c r="H287" s="40"/>
    </row>
    <row r="288" spans="5:8">
      <c r="E288" s="40"/>
      <c r="F288" s="40"/>
      <c r="G288" s="40"/>
      <c r="H288" s="40"/>
    </row>
    <row r="289" spans="5:8">
      <c r="E289" s="40"/>
      <c r="F289" s="40"/>
      <c r="G289" s="40"/>
      <c r="H289" s="40"/>
    </row>
    <row r="290" spans="5:8">
      <c r="E290" s="40"/>
      <c r="F290" s="40"/>
      <c r="G290" s="40"/>
      <c r="H290" s="40"/>
    </row>
    <row r="291" spans="5:8">
      <c r="E291" s="40"/>
      <c r="F291" s="40"/>
      <c r="G291" s="40"/>
      <c r="H291" s="40"/>
    </row>
    <row r="292" spans="5:8">
      <c r="E292" s="40"/>
      <c r="F292" s="40"/>
      <c r="G292" s="40"/>
      <c r="H292" s="40"/>
    </row>
    <row r="293" spans="5:8">
      <c r="E293" s="40"/>
      <c r="F293" s="40"/>
      <c r="G293" s="40"/>
      <c r="H293" s="40"/>
    </row>
    <row r="294" spans="5:8">
      <c r="E294" s="40"/>
      <c r="F294" s="40"/>
      <c r="G294" s="40"/>
      <c r="H294" s="40"/>
    </row>
    <row r="295" spans="5:8">
      <c r="E295" s="40"/>
      <c r="F295" s="40"/>
      <c r="G295" s="40"/>
      <c r="H295" s="40"/>
    </row>
    <row r="296" spans="5:8">
      <c r="E296" s="40"/>
      <c r="F296" s="40"/>
      <c r="G296" s="40"/>
      <c r="H296" s="40"/>
    </row>
    <row r="297" spans="5:8">
      <c r="E297" s="40"/>
      <c r="F297" s="40"/>
      <c r="G297" s="40"/>
      <c r="H297" s="40"/>
    </row>
    <row r="298" spans="5:8">
      <c r="E298" s="40"/>
      <c r="F298" s="40"/>
      <c r="G298" s="40"/>
      <c r="H298" s="40"/>
    </row>
    <row r="299" spans="5:8">
      <c r="E299" s="40"/>
      <c r="F299" s="40"/>
      <c r="G299" s="40"/>
      <c r="H299" s="40"/>
    </row>
    <row r="300" spans="5:8">
      <c r="E300" s="40"/>
      <c r="F300" s="40"/>
      <c r="G300" s="40"/>
      <c r="H300" s="40"/>
    </row>
    <row r="301" spans="5:8">
      <c r="E301" s="40"/>
      <c r="F301" s="40"/>
      <c r="G301" s="40"/>
      <c r="H301" s="40"/>
    </row>
    <row r="302" spans="5:8">
      <c r="E302" s="40"/>
      <c r="F302" s="40"/>
      <c r="G302" s="40"/>
      <c r="H302" s="40"/>
    </row>
    <row r="303" spans="5:8">
      <c r="E303" s="40"/>
      <c r="F303" s="40"/>
      <c r="G303" s="40"/>
      <c r="H303" s="40"/>
    </row>
    <row r="304" spans="5:8">
      <c r="E304" s="40"/>
      <c r="F304" s="40"/>
      <c r="G304" s="40"/>
      <c r="H304" s="40"/>
    </row>
    <row r="305" spans="5:8">
      <c r="E305" s="40"/>
      <c r="F305" s="40"/>
      <c r="G305" s="40"/>
      <c r="H305" s="40"/>
    </row>
    <row r="306" spans="5:8">
      <c r="E306" s="40"/>
      <c r="F306" s="40"/>
      <c r="G306" s="40"/>
      <c r="H306" s="40"/>
    </row>
    <row r="307" spans="5:8">
      <c r="E307" s="40"/>
      <c r="F307" s="40"/>
      <c r="G307" s="40"/>
      <c r="H307" s="40"/>
    </row>
    <row r="308" spans="5:8">
      <c r="E308" s="40"/>
      <c r="F308" s="40"/>
      <c r="G308" s="40"/>
      <c r="H308" s="40"/>
    </row>
    <row r="309" spans="5:8">
      <c r="E309" s="40"/>
      <c r="F309" s="40"/>
      <c r="G309" s="40"/>
      <c r="H309" s="40"/>
    </row>
    <row r="310" spans="5:8">
      <c r="E310" s="40"/>
      <c r="F310" s="40"/>
      <c r="G310" s="40"/>
      <c r="H310" s="40"/>
    </row>
    <row r="311" spans="5:8">
      <c r="E311" s="40"/>
      <c r="F311" s="40"/>
      <c r="G311" s="40"/>
      <c r="H311" s="40"/>
    </row>
    <row r="312" spans="5:8">
      <c r="E312" s="40"/>
      <c r="F312" s="40"/>
      <c r="G312" s="40"/>
      <c r="H312" s="40"/>
    </row>
    <row r="313" spans="5:8">
      <c r="E313" s="40"/>
      <c r="F313" s="40"/>
      <c r="G313" s="40"/>
      <c r="H313" s="40"/>
    </row>
    <row r="314" spans="5:8">
      <c r="E314" s="40"/>
      <c r="F314" s="40"/>
      <c r="G314" s="40"/>
      <c r="H314" s="40"/>
    </row>
    <row r="315" spans="5:8">
      <c r="E315" s="40"/>
      <c r="F315" s="40"/>
      <c r="G315" s="40"/>
      <c r="H315" s="40"/>
    </row>
    <row r="316" spans="5:8">
      <c r="E316" s="40"/>
      <c r="F316" s="40"/>
      <c r="G316" s="40"/>
      <c r="H316" s="40"/>
    </row>
    <row r="317" spans="5:8">
      <c r="E317" s="40"/>
      <c r="F317" s="40"/>
      <c r="G317" s="40"/>
      <c r="H317" s="40"/>
    </row>
    <row r="318" spans="5:8">
      <c r="E318" s="40"/>
      <c r="F318" s="40"/>
      <c r="G318" s="40"/>
      <c r="H318" s="40"/>
    </row>
    <row r="319" spans="5:8">
      <c r="E319" s="40"/>
      <c r="F319" s="40"/>
      <c r="G319" s="40"/>
      <c r="H319" s="40"/>
    </row>
    <row r="320" spans="5:8">
      <c r="E320" s="40"/>
      <c r="F320" s="40"/>
      <c r="G320" s="40"/>
      <c r="H320" s="40"/>
    </row>
    <row r="321" spans="5:8">
      <c r="E321" s="40"/>
      <c r="F321" s="40"/>
      <c r="G321" s="40"/>
      <c r="H321" s="40"/>
    </row>
    <row r="322" spans="5:8">
      <c r="E322" s="40"/>
      <c r="F322" s="40"/>
      <c r="G322" s="40"/>
      <c r="H322" s="40"/>
    </row>
    <row r="323" spans="5:8">
      <c r="E323" s="40"/>
      <c r="F323" s="40"/>
      <c r="G323" s="40"/>
      <c r="H323" s="40"/>
    </row>
    <row r="324" spans="5:8">
      <c r="E324" s="40"/>
      <c r="F324" s="40"/>
      <c r="G324" s="40"/>
      <c r="H324" s="40"/>
    </row>
    <row r="325" spans="5:8">
      <c r="E325" s="40"/>
      <c r="F325" s="40"/>
      <c r="G325" s="40"/>
      <c r="H325" s="40"/>
    </row>
    <row r="326" spans="5:8">
      <c r="E326" s="40"/>
      <c r="F326" s="40"/>
      <c r="G326" s="40"/>
      <c r="H326" s="40"/>
    </row>
    <row r="327" spans="5:8">
      <c r="E327" s="40"/>
      <c r="F327" s="40"/>
      <c r="G327" s="40"/>
      <c r="H327" s="40"/>
    </row>
    <row r="328" spans="5:8">
      <c r="E328" s="40"/>
      <c r="F328" s="40"/>
      <c r="G328" s="40"/>
      <c r="H328" s="40"/>
    </row>
    <row r="329" spans="5:8">
      <c r="E329" s="40"/>
      <c r="F329" s="40"/>
      <c r="G329" s="40"/>
      <c r="H329" s="40"/>
    </row>
    <row r="330" spans="5:8">
      <c r="E330" s="40"/>
      <c r="F330" s="40"/>
      <c r="G330" s="40"/>
      <c r="H330" s="40"/>
    </row>
    <row r="331" spans="5:8">
      <c r="E331" s="40"/>
      <c r="F331" s="40"/>
      <c r="G331" s="40"/>
      <c r="H331" s="40"/>
    </row>
    <row r="332" spans="5:8">
      <c r="E332" s="40"/>
      <c r="F332" s="40"/>
      <c r="G332" s="40"/>
      <c r="H332" s="40"/>
    </row>
    <row r="333" spans="5:8">
      <c r="E333" s="40"/>
      <c r="F333" s="40"/>
      <c r="G333" s="40"/>
      <c r="H333" s="40"/>
    </row>
    <row r="334" spans="5:8">
      <c r="E334" s="40"/>
      <c r="F334" s="40"/>
      <c r="G334" s="40"/>
      <c r="H334" s="40"/>
    </row>
    <row r="335" spans="5:8">
      <c r="E335" s="40"/>
      <c r="F335" s="40"/>
      <c r="G335" s="40"/>
      <c r="H335" s="40"/>
    </row>
    <row r="336" spans="5:8">
      <c r="E336" s="40"/>
      <c r="F336" s="40"/>
      <c r="G336" s="40"/>
      <c r="H336" s="40"/>
    </row>
    <row r="337" spans="5:8">
      <c r="E337" s="40"/>
      <c r="F337" s="40"/>
      <c r="G337" s="40"/>
      <c r="H337" s="40"/>
    </row>
    <row r="338" spans="5:8">
      <c r="E338" s="40"/>
      <c r="F338" s="40"/>
      <c r="G338" s="40"/>
      <c r="H338" s="40"/>
    </row>
    <row r="339" spans="5:8">
      <c r="E339" s="40"/>
      <c r="F339" s="40"/>
      <c r="G339" s="40"/>
      <c r="H339" s="40"/>
    </row>
    <row r="340" spans="5:8">
      <c r="E340" s="40"/>
      <c r="F340" s="40"/>
      <c r="G340" s="40"/>
      <c r="H340" s="40"/>
    </row>
    <row r="341" spans="5:8">
      <c r="E341" s="40"/>
      <c r="F341" s="40"/>
      <c r="G341" s="40"/>
      <c r="H341" s="40"/>
    </row>
    <row r="342" spans="5:8">
      <c r="E342" s="40"/>
      <c r="F342" s="40"/>
      <c r="G342" s="40"/>
      <c r="H342" s="40"/>
    </row>
    <row r="343" spans="5:8">
      <c r="E343" s="40"/>
      <c r="F343" s="40"/>
      <c r="G343" s="40"/>
      <c r="H343" s="40"/>
    </row>
    <row r="344" spans="5:8">
      <c r="E344" s="40"/>
      <c r="F344" s="40"/>
      <c r="G344" s="40"/>
      <c r="H344" s="40"/>
    </row>
    <row r="345" spans="5:8">
      <c r="E345" s="40"/>
      <c r="F345" s="40"/>
      <c r="G345" s="40"/>
      <c r="H345" s="40"/>
    </row>
    <row r="346" spans="5:8">
      <c r="E346" s="40"/>
      <c r="F346" s="40"/>
      <c r="G346" s="40"/>
      <c r="H346" s="40"/>
    </row>
    <row r="347" spans="5:8">
      <c r="E347" s="40"/>
      <c r="F347" s="40"/>
      <c r="G347" s="40"/>
      <c r="H347" s="40"/>
    </row>
    <row r="348" spans="5:8">
      <c r="E348" s="40"/>
      <c r="F348" s="40"/>
      <c r="G348" s="40"/>
      <c r="H348" s="40"/>
    </row>
    <row r="349" spans="5:8">
      <c r="E349" s="40"/>
      <c r="F349" s="40"/>
      <c r="G349" s="40"/>
      <c r="H349" s="40"/>
    </row>
    <row r="350" spans="5:8">
      <c r="E350" s="40"/>
      <c r="F350" s="40"/>
      <c r="G350" s="40"/>
      <c r="H350" s="40"/>
    </row>
    <row r="351" spans="5:8">
      <c r="E351" s="40"/>
      <c r="F351" s="40"/>
      <c r="G351" s="40"/>
      <c r="H351" s="40"/>
    </row>
    <row r="352" spans="5:8">
      <c r="E352" s="40"/>
      <c r="F352" s="40"/>
      <c r="G352" s="40"/>
      <c r="H352" s="40"/>
    </row>
    <row r="353" spans="5:8">
      <c r="E353" s="40"/>
      <c r="F353" s="40"/>
      <c r="G353" s="40"/>
      <c r="H353" s="40"/>
    </row>
    <row r="354" spans="5:8">
      <c r="E354" s="40"/>
      <c r="F354" s="40"/>
      <c r="G354" s="40"/>
      <c r="H354" s="40"/>
    </row>
    <row r="355" spans="5:8">
      <c r="E355" s="40"/>
      <c r="F355" s="40"/>
      <c r="G355" s="40"/>
      <c r="H355" s="40"/>
    </row>
    <row r="356" spans="5:8">
      <c r="E356" s="40"/>
      <c r="F356" s="40"/>
      <c r="G356" s="40"/>
      <c r="H356" s="40"/>
    </row>
    <row r="357" spans="5:8">
      <c r="E357" s="40"/>
      <c r="F357" s="40"/>
      <c r="G357" s="40"/>
      <c r="H357" s="40"/>
    </row>
    <row r="358" spans="5:8">
      <c r="E358" s="40"/>
      <c r="F358" s="40"/>
      <c r="G358" s="40"/>
      <c r="H358" s="40"/>
    </row>
    <row r="359" spans="5:8">
      <c r="E359" s="40"/>
      <c r="F359" s="40"/>
      <c r="G359" s="40"/>
      <c r="H359" s="40"/>
    </row>
    <row r="360" spans="5:8">
      <c r="E360" s="40"/>
      <c r="F360" s="40"/>
      <c r="G360" s="40"/>
      <c r="H360" s="40"/>
    </row>
    <row r="361" spans="5:8">
      <c r="E361" s="40"/>
      <c r="F361" s="40"/>
      <c r="G361" s="40"/>
      <c r="H361" s="40"/>
    </row>
    <row r="362" spans="5:8">
      <c r="E362" s="40"/>
      <c r="F362" s="40"/>
      <c r="G362" s="40"/>
      <c r="H362" s="40"/>
    </row>
    <row r="363" spans="5:8">
      <c r="E363" s="40"/>
      <c r="F363" s="40"/>
      <c r="G363" s="40"/>
      <c r="H363" s="40"/>
    </row>
    <row r="364" spans="5:8">
      <c r="E364" s="40"/>
      <c r="F364" s="40"/>
      <c r="G364" s="40"/>
      <c r="H364" s="40"/>
    </row>
    <row r="365" spans="5:8">
      <c r="E365" s="40"/>
      <c r="F365" s="40"/>
      <c r="G365" s="40"/>
      <c r="H365" s="40"/>
    </row>
    <row r="366" spans="5:8">
      <c r="E366" s="40"/>
      <c r="F366" s="40"/>
      <c r="G366" s="40"/>
      <c r="H366" s="40"/>
    </row>
    <row r="367" spans="5:8">
      <c r="E367" s="40"/>
      <c r="F367" s="40"/>
      <c r="G367" s="40"/>
      <c r="H367" s="40"/>
    </row>
    <row r="368" spans="5:8">
      <c r="E368" s="40"/>
      <c r="F368" s="40"/>
      <c r="G368" s="40"/>
      <c r="H368" s="40"/>
    </row>
    <row r="369" spans="5:8">
      <c r="E369" s="40"/>
      <c r="F369" s="40"/>
      <c r="G369" s="40"/>
      <c r="H369" s="40"/>
    </row>
    <row r="370" spans="5:8">
      <c r="E370" s="40"/>
      <c r="F370" s="40"/>
      <c r="G370" s="40"/>
      <c r="H370" s="40"/>
    </row>
    <row r="371" spans="5:8">
      <c r="E371" s="40"/>
      <c r="F371" s="40"/>
      <c r="G371" s="40"/>
      <c r="H371" s="40"/>
    </row>
    <row r="372" spans="5:8">
      <c r="E372" s="40"/>
      <c r="F372" s="40"/>
      <c r="G372" s="40"/>
      <c r="H372" s="40"/>
    </row>
    <row r="373" spans="5:8">
      <c r="E373" s="40"/>
      <c r="F373" s="40"/>
      <c r="G373" s="40"/>
      <c r="H373" s="40"/>
    </row>
    <row r="374" spans="5:8">
      <c r="E374" s="40"/>
      <c r="F374" s="40"/>
      <c r="G374" s="40"/>
      <c r="H374" s="40"/>
    </row>
    <row r="375" spans="5:8">
      <c r="E375" s="40"/>
      <c r="F375" s="40"/>
      <c r="G375" s="40"/>
      <c r="H375" s="40"/>
    </row>
    <row r="376" spans="5:8">
      <c r="E376" s="40"/>
      <c r="F376" s="40"/>
      <c r="G376" s="40"/>
      <c r="H376" s="40"/>
    </row>
    <row r="377" spans="5:8">
      <c r="E377" s="40"/>
      <c r="F377" s="40"/>
      <c r="G377" s="40"/>
      <c r="H377" s="40"/>
    </row>
    <row r="378" spans="5:8">
      <c r="E378" s="40"/>
      <c r="F378" s="40"/>
      <c r="G378" s="40"/>
      <c r="H378" s="40"/>
    </row>
    <row r="379" spans="5:8">
      <c r="E379" s="40"/>
      <c r="F379" s="40"/>
      <c r="G379" s="40"/>
      <c r="H379" s="40"/>
    </row>
    <row r="380" spans="5:8">
      <c r="E380" s="40"/>
      <c r="F380" s="40"/>
      <c r="G380" s="40"/>
      <c r="H380" s="40"/>
    </row>
    <row r="381" spans="5:8">
      <c r="E381" s="40"/>
      <c r="F381" s="40"/>
      <c r="G381" s="40"/>
      <c r="H381" s="40"/>
    </row>
    <row r="382" spans="5:8">
      <c r="E382" s="40"/>
      <c r="F382" s="40"/>
      <c r="G382" s="40"/>
      <c r="H382" s="40"/>
    </row>
    <row r="383" spans="5:8">
      <c r="E383" s="40"/>
      <c r="F383" s="40"/>
      <c r="G383" s="40"/>
      <c r="H383" s="40"/>
    </row>
    <row r="384" spans="5:8">
      <c r="E384" s="40"/>
      <c r="F384" s="40"/>
      <c r="G384" s="40"/>
      <c r="H384" s="40"/>
    </row>
    <row r="385" spans="5:8">
      <c r="E385" s="40"/>
      <c r="F385" s="40"/>
      <c r="G385" s="40"/>
      <c r="H385" s="40"/>
    </row>
    <row r="386" spans="5:8">
      <c r="E386" s="40"/>
      <c r="F386" s="40"/>
      <c r="G386" s="40"/>
      <c r="H386" s="40"/>
    </row>
    <row r="387" spans="5:8">
      <c r="E387" s="40"/>
      <c r="F387" s="40"/>
      <c r="G387" s="40"/>
      <c r="H387" s="40"/>
    </row>
    <row r="388" spans="5:8">
      <c r="E388" s="40"/>
      <c r="F388" s="40"/>
      <c r="G388" s="40"/>
      <c r="H388" s="40"/>
    </row>
    <row r="389" spans="5:8">
      <c r="E389" s="40"/>
      <c r="F389" s="40"/>
      <c r="G389" s="40"/>
      <c r="H389" s="40"/>
    </row>
    <row r="390" spans="5:8">
      <c r="E390" s="40"/>
      <c r="F390" s="40"/>
      <c r="G390" s="40"/>
      <c r="H390" s="40"/>
    </row>
    <row r="391" spans="5:8">
      <c r="E391" s="40"/>
      <c r="F391" s="40"/>
      <c r="G391" s="40"/>
      <c r="H391" s="40"/>
    </row>
    <row r="392" spans="5:8">
      <c r="E392" s="40"/>
      <c r="F392" s="40"/>
      <c r="G392" s="40"/>
      <c r="H392" s="40"/>
    </row>
    <row r="393" spans="5:8">
      <c r="E393" s="40"/>
      <c r="F393" s="40"/>
      <c r="G393" s="40"/>
      <c r="H393" s="40"/>
    </row>
    <row r="394" spans="5:8">
      <c r="E394" s="40"/>
      <c r="F394" s="40"/>
      <c r="G394" s="40"/>
      <c r="H394" s="40"/>
    </row>
    <row r="395" spans="5:8">
      <c r="E395" s="40"/>
      <c r="F395" s="40"/>
      <c r="G395" s="40"/>
      <c r="H395" s="40"/>
    </row>
    <row r="396" spans="5:8">
      <c r="E396" s="40"/>
      <c r="F396" s="40"/>
      <c r="G396" s="40"/>
      <c r="H396" s="40"/>
    </row>
    <row r="397" spans="5:8">
      <c r="E397" s="40"/>
      <c r="F397" s="40"/>
      <c r="G397" s="40"/>
      <c r="H397" s="40"/>
    </row>
    <row r="398" spans="5:8">
      <c r="E398" s="40"/>
      <c r="F398" s="40"/>
      <c r="G398" s="40"/>
      <c r="H398" s="40"/>
    </row>
    <row r="399" spans="5:8">
      <c r="E399" s="40"/>
      <c r="F399" s="40"/>
      <c r="G399" s="40"/>
      <c r="H399" s="40"/>
    </row>
    <row r="400" spans="5:8">
      <c r="E400" s="40"/>
      <c r="F400" s="40"/>
      <c r="G400" s="40"/>
      <c r="H400" s="40"/>
    </row>
    <row r="401" spans="5:8">
      <c r="E401" s="40"/>
      <c r="F401" s="40"/>
      <c r="G401" s="40"/>
      <c r="H401" s="40"/>
    </row>
    <row r="402" spans="5:8">
      <c r="E402" s="40"/>
      <c r="F402" s="40"/>
      <c r="G402" s="40"/>
      <c r="H402" s="40"/>
    </row>
    <row r="403" spans="5:8">
      <c r="E403" s="40"/>
      <c r="F403" s="40"/>
      <c r="G403" s="40"/>
      <c r="H403" s="40"/>
    </row>
    <row r="404" spans="5:8">
      <c r="E404" s="40"/>
      <c r="F404" s="40"/>
      <c r="G404" s="40"/>
      <c r="H404" s="40"/>
    </row>
    <row r="405" spans="5:8">
      <c r="E405" s="40"/>
      <c r="F405" s="40"/>
      <c r="G405" s="40"/>
      <c r="H405" s="40"/>
    </row>
    <row r="406" spans="5:8">
      <c r="E406" s="40"/>
      <c r="F406" s="40"/>
      <c r="G406" s="40"/>
      <c r="H406" s="40"/>
    </row>
    <row r="407" spans="5:8">
      <c r="E407" s="40"/>
      <c r="F407" s="40"/>
      <c r="G407" s="40"/>
      <c r="H407" s="40"/>
    </row>
    <row r="408" spans="5:8">
      <c r="E408" s="40"/>
      <c r="F408" s="40"/>
      <c r="G408" s="40"/>
      <c r="H408" s="40"/>
    </row>
    <row r="409" spans="5:8">
      <c r="E409" s="40"/>
      <c r="F409" s="40"/>
      <c r="G409" s="40"/>
      <c r="H409" s="40"/>
    </row>
    <row r="410" spans="5:8">
      <c r="E410" s="40"/>
      <c r="F410" s="40"/>
      <c r="G410" s="40"/>
      <c r="H410" s="40"/>
    </row>
    <row r="411" spans="5:8">
      <c r="E411" s="40"/>
      <c r="F411" s="40"/>
      <c r="G411" s="40"/>
      <c r="H411" s="40"/>
    </row>
    <row r="412" spans="5:8">
      <c r="E412" s="40"/>
      <c r="F412" s="40"/>
      <c r="G412" s="40"/>
      <c r="H412" s="40"/>
    </row>
    <row r="413" spans="5:8">
      <c r="E413" s="40"/>
      <c r="F413" s="40"/>
      <c r="G413" s="40"/>
      <c r="H413" s="40"/>
    </row>
    <row r="414" spans="5:8">
      <c r="E414" s="40"/>
      <c r="F414" s="40"/>
      <c r="G414" s="40"/>
      <c r="H414" s="40"/>
    </row>
    <row r="415" spans="5:8">
      <c r="E415" s="40"/>
      <c r="F415" s="40"/>
      <c r="G415" s="40"/>
      <c r="H415" s="40"/>
    </row>
    <row r="416" spans="5:8">
      <c r="E416" s="40"/>
      <c r="F416" s="40"/>
      <c r="G416" s="40"/>
      <c r="H416" s="40"/>
    </row>
    <row r="417" spans="5:8">
      <c r="E417" s="40"/>
      <c r="F417" s="40"/>
      <c r="G417" s="40"/>
      <c r="H417" s="40"/>
    </row>
    <row r="418" spans="5:8">
      <c r="E418" s="40"/>
      <c r="F418" s="40"/>
      <c r="G418" s="40"/>
      <c r="H418" s="40"/>
    </row>
    <row r="419" spans="5:8">
      <c r="E419" s="40"/>
      <c r="F419" s="40"/>
      <c r="G419" s="40"/>
      <c r="H419" s="40"/>
    </row>
    <row r="420" spans="5:8">
      <c r="E420" s="40"/>
      <c r="F420" s="40"/>
      <c r="G420" s="40"/>
      <c r="H420" s="40"/>
    </row>
    <row r="421" spans="5:8">
      <c r="E421" s="40"/>
      <c r="F421" s="40"/>
      <c r="G421" s="40"/>
      <c r="H421" s="40"/>
    </row>
    <row r="422" spans="5:8">
      <c r="E422" s="40"/>
      <c r="F422" s="40"/>
      <c r="G422" s="40"/>
      <c r="H422" s="40"/>
    </row>
    <row r="423" spans="5:8">
      <c r="E423" s="40"/>
      <c r="F423" s="40"/>
      <c r="G423" s="40"/>
      <c r="H423" s="40"/>
    </row>
    <row r="424" spans="5:8">
      <c r="E424" s="40"/>
      <c r="F424" s="40"/>
      <c r="G424" s="40"/>
      <c r="H424" s="40"/>
    </row>
    <row r="425" spans="5:8">
      <c r="E425" s="40"/>
      <c r="F425" s="40"/>
      <c r="G425" s="40"/>
      <c r="H425" s="40"/>
    </row>
    <row r="426" spans="5:8">
      <c r="E426" s="40"/>
      <c r="F426" s="40"/>
      <c r="G426" s="40"/>
      <c r="H426" s="40"/>
    </row>
    <row r="427" spans="5:8">
      <c r="E427" s="40"/>
      <c r="F427" s="40"/>
      <c r="G427" s="40"/>
      <c r="H427" s="40"/>
    </row>
    <row r="428" spans="5:8">
      <c r="E428" s="40"/>
      <c r="F428" s="40"/>
      <c r="G428" s="40"/>
      <c r="H428" s="40"/>
    </row>
    <row r="429" spans="5:8">
      <c r="E429" s="40"/>
      <c r="F429" s="40"/>
      <c r="G429" s="40"/>
      <c r="H429" s="40"/>
    </row>
    <row r="430" spans="5:8">
      <c r="E430" s="40"/>
      <c r="F430" s="40"/>
      <c r="G430" s="40"/>
      <c r="H430" s="40"/>
    </row>
    <row r="431" spans="5:8">
      <c r="E431" s="40"/>
      <c r="F431" s="40"/>
      <c r="G431" s="40"/>
      <c r="H431" s="40"/>
    </row>
    <row r="432" spans="5:8">
      <c r="E432" s="40"/>
      <c r="F432" s="40"/>
      <c r="G432" s="40"/>
      <c r="H432" s="40"/>
    </row>
    <row r="433" spans="5:8">
      <c r="E433" s="40"/>
      <c r="F433" s="40"/>
      <c r="G433" s="40"/>
      <c r="H433" s="40"/>
    </row>
    <row r="434" spans="5:8">
      <c r="E434" s="40"/>
      <c r="F434" s="40"/>
      <c r="G434" s="40"/>
      <c r="H434" s="40"/>
    </row>
    <row r="435" spans="5:8">
      <c r="E435" s="40"/>
      <c r="F435" s="40"/>
      <c r="G435" s="40"/>
      <c r="H435" s="40"/>
    </row>
    <row r="436" spans="5:8">
      <c r="E436" s="40"/>
      <c r="F436" s="40"/>
      <c r="G436" s="40"/>
      <c r="H436" s="40"/>
    </row>
    <row r="437" spans="5:8">
      <c r="E437" s="40"/>
      <c r="F437" s="40"/>
      <c r="G437" s="40"/>
      <c r="H437" s="40"/>
    </row>
    <row r="438" spans="5:8">
      <c r="E438" s="40"/>
      <c r="F438" s="40"/>
      <c r="G438" s="40"/>
      <c r="H438" s="40"/>
    </row>
    <row r="439" spans="5:8">
      <c r="E439" s="40"/>
      <c r="F439" s="40"/>
      <c r="G439" s="40"/>
      <c r="H439" s="40"/>
    </row>
    <row r="440" spans="5:8">
      <c r="E440" s="40"/>
      <c r="F440" s="40"/>
      <c r="G440" s="40"/>
      <c r="H440" s="40"/>
    </row>
    <row r="441" spans="5:8">
      <c r="E441" s="40"/>
      <c r="F441" s="40"/>
      <c r="G441" s="40"/>
      <c r="H441" s="40"/>
    </row>
    <row r="442" spans="5:8">
      <c r="E442" s="40"/>
      <c r="F442" s="40"/>
      <c r="G442" s="40"/>
      <c r="H442" s="40"/>
    </row>
    <row r="443" spans="5:8">
      <c r="E443" s="40"/>
      <c r="F443" s="40"/>
      <c r="G443" s="40"/>
      <c r="H443" s="40"/>
    </row>
    <row r="444" spans="5:8">
      <c r="E444" s="40"/>
      <c r="F444" s="40"/>
      <c r="G444" s="40"/>
      <c r="H444" s="40"/>
    </row>
    <row r="445" spans="5:8">
      <c r="E445" s="40"/>
      <c r="F445" s="40"/>
      <c r="G445" s="40"/>
      <c r="H445" s="40"/>
    </row>
    <row r="446" spans="5:8">
      <c r="E446" s="40"/>
      <c r="F446" s="40"/>
      <c r="G446" s="40"/>
      <c r="H446" s="40"/>
    </row>
    <row r="447" spans="5:8">
      <c r="E447" s="40"/>
      <c r="F447" s="40"/>
      <c r="G447" s="40"/>
      <c r="H447" s="40"/>
    </row>
    <row r="448" spans="5:8">
      <c r="E448" s="40"/>
      <c r="F448" s="40"/>
      <c r="G448" s="40"/>
      <c r="H448" s="40"/>
    </row>
    <row r="449" spans="5:8">
      <c r="E449" s="40"/>
      <c r="F449" s="40"/>
      <c r="G449" s="40"/>
      <c r="H449" s="40"/>
    </row>
    <row r="450" spans="5:8">
      <c r="E450" s="40"/>
      <c r="F450" s="40"/>
      <c r="G450" s="40"/>
      <c r="H450" s="40"/>
    </row>
    <row r="451" spans="5:8">
      <c r="E451" s="40"/>
      <c r="F451" s="40"/>
      <c r="G451" s="40"/>
      <c r="H451" s="40"/>
    </row>
    <row r="452" spans="5:8">
      <c r="E452" s="40"/>
      <c r="F452" s="40"/>
      <c r="G452" s="40"/>
      <c r="H452" s="40"/>
    </row>
    <row r="453" spans="5:8">
      <c r="E453" s="40"/>
      <c r="F453" s="40"/>
      <c r="G453" s="40"/>
      <c r="H453" s="40"/>
    </row>
    <row r="454" spans="5:8">
      <c r="E454" s="40"/>
      <c r="F454" s="40"/>
      <c r="G454" s="40"/>
      <c r="H454" s="40"/>
    </row>
    <row r="455" spans="5:8">
      <c r="E455" s="40"/>
      <c r="F455" s="40"/>
      <c r="G455" s="40"/>
      <c r="H455" s="40"/>
    </row>
    <row r="456" spans="5:8">
      <c r="E456" s="40"/>
      <c r="F456" s="40"/>
      <c r="G456" s="40"/>
      <c r="H456" s="40"/>
    </row>
    <row r="457" spans="5:8">
      <c r="E457" s="40"/>
      <c r="F457" s="40"/>
      <c r="G457" s="40"/>
      <c r="H457" s="40"/>
    </row>
    <row r="458" spans="5:8">
      <c r="E458" s="40"/>
      <c r="F458" s="40"/>
      <c r="G458" s="40"/>
      <c r="H458" s="40"/>
    </row>
    <row r="459" spans="5:8">
      <c r="E459" s="40"/>
      <c r="F459" s="40"/>
      <c r="G459" s="40"/>
      <c r="H459" s="40"/>
    </row>
    <row r="460" spans="5:8">
      <c r="E460" s="40"/>
      <c r="F460" s="40"/>
      <c r="G460" s="40"/>
      <c r="H460" s="40"/>
    </row>
    <row r="461" spans="5:8">
      <c r="E461" s="40"/>
      <c r="F461" s="40"/>
      <c r="G461" s="40"/>
      <c r="H461" s="40"/>
    </row>
    <row r="462" spans="5:8">
      <c r="E462" s="40"/>
      <c r="F462" s="40"/>
      <c r="G462" s="40"/>
      <c r="H462" s="40"/>
    </row>
    <row r="463" spans="5:8">
      <c r="E463" s="40"/>
      <c r="F463" s="40"/>
      <c r="G463" s="40"/>
      <c r="H463" s="40"/>
    </row>
    <row r="464" spans="5:8">
      <c r="E464" s="40"/>
      <c r="F464" s="40"/>
      <c r="G464" s="40"/>
      <c r="H464" s="40"/>
    </row>
    <row r="465" spans="5:8">
      <c r="E465" s="40"/>
      <c r="F465" s="40"/>
      <c r="G465" s="40"/>
      <c r="H465" s="40"/>
    </row>
    <row r="466" spans="5:8">
      <c r="E466" s="40"/>
      <c r="F466" s="40"/>
      <c r="G466" s="40"/>
      <c r="H466" s="40"/>
    </row>
    <row r="467" spans="5:8">
      <c r="E467" s="40"/>
      <c r="F467" s="40"/>
      <c r="G467" s="40"/>
      <c r="H467" s="40"/>
    </row>
    <row r="468" spans="5:8">
      <c r="E468" s="40"/>
      <c r="F468" s="40"/>
      <c r="G468" s="40"/>
      <c r="H468" s="40"/>
    </row>
    <row r="469" spans="5:8">
      <c r="E469" s="40"/>
      <c r="F469" s="40"/>
      <c r="G469" s="40"/>
      <c r="H469" s="40"/>
    </row>
    <row r="470" spans="5:8">
      <c r="E470" s="40"/>
      <c r="F470" s="40"/>
      <c r="G470" s="40"/>
      <c r="H470" s="40"/>
    </row>
    <row r="471" spans="5:8">
      <c r="E471" s="40"/>
      <c r="F471" s="40"/>
      <c r="G471" s="40"/>
      <c r="H471" s="40"/>
    </row>
    <row r="472" spans="5:8">
      <c r="E472" s="40"/>
      <c r="F472" s="40"/>
      <c r="G472" s="40"/>
      <c r="H472" s="40"/>
    </row>
    <row r="473" spans="5:8">
      <c r="E473" s="40"/>
      <c r="F473" s="40"/>
      <c r="G473" s="40"/>
      <c r="H473" s="40"/>
    </row>
    <row r="474" spans="5:8">
      <c r="E474" s="40"/>
      <c r="F474" s="40"/>
      <c r="G474" s="40"/>
      <c r="H474" s="40"/>
    </row>
    <row r="475" spans="5:8">
      <c r="E475" s="40"/>
      <c r="F475" s="40"/>
      <c r="G475" s="40"/>
      <c r="H475" s="40"/>
    </row>
    <row r="476" spans="5:8">
      <c r="E476" s="40"/>
      <c r="F476" s="40"/>
      <c r="G476" s="40"/>
      <c r="H476" s="40"/>
    </row>
    <row r="477" spans="5:8">
      <c r="E477" s="40"/>
      <c r="F477" s="40"/>
      <c r="G477" s="40"/>
      <c r="H477" s="40"/>
    </row>
    <row r="478" spans="5:8">
      <c r="E478" s="40"/>
      <c r="F478" s="40"/>
      <c r="G478" s="40"/>
      <c r="H478" s="40"/>
    </row>
    <row r="479" spans="5:8">
      <c r="E479" s="40"/>
      <c r="F479" s="40"/>
      <c r="G479" s="40"/>
      <c r="H479" s="40"/>
    </row>
    <row r="480" spans="5:8">
      <c r="E480" s="40"/>
      <c r="F480" s="40"/>
      <c r="G480" s="40"/>
      <c r="H480" s="40"/>
    </row>
    <row r="481" spans="5:8">
      <c r="E481" s="40"/>
      <c r="F481" s="40"/>
      <c r="G481" s="40"/>
      <c r="H481" s="40"/>
    </row>
    <row r="482" spans="5:8">
      <c r="E482" s="40"/>
      <c r="F482" s="40"/>
      <c r="G482" s="40"/>
      <c r="H482" s="40"/>
    </row>
    <row r="483" spans="5:8">
      <c r="E483" s="40"/>
      <c r="F483" s="40"/>
      <c r="G483" s="40"/>
      <c r="H483" s="40"/>
    </row>
    <row r="484" spans="5:8">
      <c r="E484" s="40"/>
      <c r="F484" s="40"/>
      <c r="G484" s="40"/>
      <c r="H484" s="40"/>
    </row>
    <row r="485" spans="5:8">
      <c r="E485" s="40"/>
      <c r="F485" s="40"/>
      <c r="G485" s="40"/>
      <c r="H485" s="40"/>
    </row>
    <row r="486" spans="5:8">
      <c r="E486" s="40"/>
      <c r="F486" s="40"/>
      <c r="G486" s="40"/>
      <c r="H486" s="40"/>
    </row>
    <row r="487" spans="5:8">
      <c r="E487" s="40"/>
      <c r="F487" s="40"/>
      <c r="G487" s="40"/>
      <c r="H487" s="40"/>
    </row>
    <row r="488" spans="5:8">
      <c r="E488" s="40"/>
      <c r="F488" s="40"/>
      <c r="G488" s="40"/>
      <c r="H488" s="40"/>
    </row>
    <row r="489" spans="5:8">
      <c r="E489" s="40"/>
      <c r="F489" s="40"/>
      <c r="G489" s="40"/>
      <c r="H489" s="40"/>
    </row>
    <row r="490" spans="5:8">
      <c r="E490" s="40"/>
      <c r="F490" s="40"/>
      <c r="G490" s="40"/>
      <c r="H490" s="40"/>
    </row>
    <row r="491" spans="5:8">
      <c r="E491" s="40"/>
      <c r="F491" s="40"/>
      <c r="G491" s="40"/>
      <c r="H491" s="40"/>
    </row>
    <row r="492" spans="5:8">
      <c r="E492" s="40"/>
      <c r="F492" s="40"/>
      <c r="G492" s="40"/>
      <c r="H492" s="40"/>
    </row>
    <row r="493" spans="5:8">
      <c r="E493" s="40"/>
      <c r="F493" s="40"/>
      <c r="G493" s="40"/>
      <c r="H493" s="40"/>
    </row>
    <row r="494" spans="5:8">
      <c r="E494" s="40"/>
      <c r="F494" s="40"/>
      <c r="G494" s="40"/>
      <c r="H494" s="40"/>
    </row>
    <row r="495" spans="5:8">
      <c r="E495" s="40"/>
      <c r="F495" s="40"/>
      <c r="G495" s="40"/>
      <c r="H495" s="40"/>
    </row>
    <row r="496" spans="5:8">
      <c r="E496" s="40"/>
      <c r="F496" s="40"/>
      <c r="G496" s="40"/>
      <c r="H496" s="40"/>
    </row>
    <row r="497" spans="5:8">
      <c r="E497" s="40"/>
      <c r="F497" s="40"/>
      <c r="G497" s="40"/>
      <c r="H497" s="40"/>
    </row>
    <row r="498" spans="5:8">
      <c r="E498" s="40"/>
      <c r="F498" s="40"/>
      <c r="G498" s="40"/>
      <c r="H498" s="40"/>
    </row>
    <row r="499" spans="5:8">
      <c r="E499" s="40"/>
      <c r="F499" s="40"/>
      <c r="G499" s="40"/>
      <c r="H499" s="40"/>
    </row>
    <row r="500" spans="5:8">
      <c r="E500" s="40"/>
      <c r="F500" s="40"/>
      <c r="G500" s="40"/>
      <c r="H500" s="40"/>
    </row>
    <row r="501" spans="5:8">
      <c r="E501" s="40"/>
      <c r="F501" s="40"/>
      <c r="G501" s="40"/>
      <c r="H501" s="40"/>
    </row>
    <row r="502" spans="5:8">
      <c r="E502" s="40"/>
      <c r="F502" s="40"/>
      <c r="G502" s="40"/>
      <c r="H502" s="40"/>
    </row>
    <row r="503" spans="5:8">
      <c r="E503" s="40"/>
      <c r="F503" s="40"/>
      <c r="G503" s="40"/>
      <c r="H503" s="40"/>
    </row>
    <row r="504" spans="5:8">
      <c r="E504" s="40"/>
      <c r="F504" s="40"/>
      <c r="G504" s="40"/>
      <c r="H504" s="40"/>
    </row>
    <row r="505" spans="5:8">
      <c r="E505" s="40"/>
      <c r="F505" s="40"/>
      <c r="G505" s="40"/>
      <c r="H505" s="40"/>
    </row>
    <row r="506" spans="5:8">
      <c r="E506" s="40"/>
      <c r="F506" s="40"/>
      <c r="G506" s="40"/>
      <c r="H506" s="40"/>
    </row>
    <row r="507" spans="5:8">
      <c r="E507" s="40"/>
      <c r="F507" s="40"/>
      <c r="G507" s="40"/>
      <c r="H507" s="40"/>
    </row>
    <row r="508" spans="5:8">
      <c r="E508" s="40"/>
      <c r="F508" s="40"/>
      <c r="G508" s="40"/>
      <c r="H508" s="40"/>
    </row>
    <row r="509" spans="5:8">
      <c r="E509" s="40"/>
      <c r="F509" s="40"/>
      <c r="G509" s="40"/>
      <c r="H509" s="40"/>
    </row>
    <row r="510" spans="5:8">
      <c r="E510" s="40"/>
      <c r="F510" s="40"/>
      <c r="G510" s="40"/>
      <c r="H510" s="40"/>
    </row>
    <row r="511" spans="5:8">
      <c r="E511" s="40"/>
      <c r="F511" s="40"/>
      <c r="G511" s="40"/>
      <c r="H511" s="40"/>
    </row>
    <row r="512" spans="5:8">
      <c r="E512" s="40"/>
      <c r="F512" s="40"/>
      <c r="G512" s="40"/>
      <c r="H512" s="40"/>
    </row>
    <row r="513" spans="5:8">
      <c r="E513" s="40"/>
      <c r="F513" s="40"/>
      <c r="G513" s="40"/>
      <c r="H513" s="40"/>
    </row>
    <row r="514" spans="5:8">
      <c r="E514" s="40"/>
      <c r="F514" s="40"/>
      <c r="G514" s="40"/>
      <c r="H514" s="40"/>
    </row>
    <row r="515" spans="5:8">
      <c r="E515" s="40"/>
      <c r="F515" s="40"/>
      <c r="G515" s="40"/>
      <c r="H515" s="40"/>
    </row>
    <row r="516" spans="5:8">
      <c r="E516" s="40"/>
      <c r="F516" s="40"/>
      <c r="G516" s="40"/>
      <c r="H516" s="40"/>
    </row>
    <row r="517" spans="5:8">
      <c r="E517" s="40"/>
      <c r="F517" s="40"/>
      <c r="G517" s="40"/>
      <c r="H517" s="40"/>
    </row>
    <row r="518" spans="5:8">
      <c r="E518" s="40"/>
      <c r="F518" s="40"/>
      <c r="G518" s="40"/>
      <c r="H518" s="40"/>
    </row>
    <row r="519" spans="5:8">
      <c r="E519" s="40"/>
      <c r="F519" s="40"/>
      <c r="G519" s="40"/>
      <c r="H519" s="40"/>
    </row>
    <row r="520" spans="5:8">
      <c r="E520" s="40"/>
      <c r="F520" s="40"/>
      <c r="G520" s="40"/>
      <c r="H520" s="40"/>
    </row>
    <row r="521" spans="5:8">
      <c r="E521" s="40"/>
      <c r="F521" s="40"/>
      <c r="G521" s="40"/>
      <c r="H521" s="40"/>
    </row>
    <row r="522" spans="5:8">
      <c r="E522" s="40"/>
      <c r="F522" s="40"/>
      <c r="G522" s="40"/>
      <c r="H522" s="40"/>
    </row>
    <row r="523" spans="5:8">
      <c r="E523" s="40"/>
      <c r="F523" s="40"/>
      <c r="G523" s="40"/>
      <c r="H523" s="40"/>
    </row>
    <row r="524" spans="5:8">
      <c r="E524" s="40"/>
      <c r="F524" s="40"/>
      <c r="G524" s="40"/>
      <c r="H524" s="40"/>
    </row>
    <row r="525" spans="5:8">
      <c r="E525" s="40"/>
      <c r="F525" s="40"/>
      <c r="G525" s="40"/>
      <c r="H525" s="40"/>
    </row>
    <row r="526" spans="5:8">
      <c r="E526" s="40"/>
      <c r="F526" s="40"/>
      <c r="G526" s="40"/>
      <c r="H526" s="40"/>
    </row>
    <row r="527" spans="5:8">
      <c r="E527" s="40"/>
      <c r="F527" s="40"/>
      <c r="G527" s="40"/>
      <c r="H527" s="40"/>
    </row>
    <row r="528" spans="5:8">
      <c r="E528" s="40"/>
      <c r="F528" s="40"/>
      <c r="G528" s="40"/>
      <c r="H528" s="40"/>
    </row>
    <row r="529" spans="5:8">
      <c r="E529" s="40"/>
      <c r="F529" s="40"/>
      <c r="G529" s="40"/>
      <c r="H529" s="40"/>
    </row>
    <row r="530" spans="5:8">
      <c r="E530" s="40"/>
      <c r="F530" s="40"/>
      <c r="G530" s="40"/>
      <c r="H530" s="40"/>
    </row>
    <row r="531" spans="5:8">
      <c r="E531" s="40"/>
      <c r="F531" s="40"/>
      <c r="G531" s="40"/>
      <c r="H531" s="40"/>
    </row>
    <row r="532" spans="5:8">
      <c r="E532" s="40"/>
      <c r="F532" s="40"/>
      <c r="G532" s="40"/>
      <c r="H532" s="40"/>
    </row>
    <row r="533" spans="5:8">
      <c r="E533" s="40"/>
      <c r="F533" s="40"/>
      <c r="G533" s="40"/>
      <c r="H533" s="40"/>
    </row>
    <row r="534" spans="5:8">
      <c r="E534" s="40"/>
      <c r="F534" s="40"/>
      <c r="G534" s="40"/>
      <c r="H534" s="40"/>
    </row>
    <row r="535" spans="5:8">
      <c r="E535" s="40"/>
      <c r="F535" s="40"/>
      <c r="G535" s="40"/>
      <c r="H535" s="40"/>
    </row>
    <row r="536" spans="5:8">
      <c r="E536" s="40"/>
      <c r="F536" s="40"/>
      <c r="G536" s="40"/>
      <c r="H536" s="40"/>
    </row>
    <row r="537" spans="5:8">
      <c r="E537" s="40"/>
      <c r="F537" s="40"/>
      <c r="G537" s="40"/>
      <c r="H537" s="40"/>
    </row>
    <row r="538" spans="5:8">
      <c r="E538" s="40"/>
      <c r="F538" s="40"/>
      <c r="G538" s="40"/>
      <c r="H538" s="40"/>
    </row>
    <row r="539" spans="5:8">
      <c r="E539" s="40"/>
      <c r="F539" s="40"/>
      <c r="G539" s="40"/>
      <c r="H539" s="40"/>
    </row>
    <row r="540" spans="5:8">
      <c r="E540" s="40"/>
      <c r="F540" s="40"/>
      <c r="G540" s="40"/>
      <c r="H540" s="40"/>
    </row>
    <row r="541" spans="5:8">
      <c r="E541" s="40"/>
      <c r="F541" s="40"/>
      <c r="G541" s="40"/>
      <c r="H541" s="40"/>
    </row>
    <row r="542" spans="5:8">
      <c r="E542" s="40"/>
      <c r="F542" s="40"/>
      <c r="G542" s="40"/>
      <c r="H542" s="40"/>
    </row>
    <row r="543" spans="5:8">
      <c r="E543" s="40"/>
      <c r="F543" s="40"/>
      <c r="G543" s="40"/>
      <c r="H543" s="40"/>
    </row>
    <row r="544" spans="5:8">
      <c r="E544" s="40"/>
      <c r="F544" s="40"/>
      <c r="G544" s="40"/>
      <c r="H544" s="40"/>
    </row>
    <row r="545" spans="5:8">
      <c r="E545" s="40"/>
      <c r="F545" s="40"/>
      <c r="G545" s="40"/>
      <c r="H545" s="40"/>
    </row>
    <row r="546" spans="5:8">
      <c r="E546" s="40"/>
      <c r="F546" s="40"/>
      <c r="G546" s="40"/>
      <c r="H546" s="40"/>
    </row>
    <row r="547" spans="5:8">
      <c r="E547" s="40"/>
      <c r="F547" s="40"/>
      <c r="G547" s="40"/>
      <c r="H547" s="40"/>
    </row>
    <row r="548" spans="5:8">
      <c r="E548" s="40"/>
      <c r="F548" s="40"/>
      <c r="G548" s="40"/>
      <c r="H548" s="40"/>
    </row>
    <row r="549" spans="5:8">
      <c r="E549" s="40"/>
      <c r="F549" s="40"/>
      <c r="G549" s="40"/>
      <c r="H549" s="40"/>
    </row>
    <row r="550" spans="5:8">
      <c r="E550" s="40"/>
      <c r="F550" s="40"/>
      <c r="G550" s="40"/>
      <c r="H550" s="40"/>
    </row>
    <row r="551" spans="5:8">
      <c r="E551" s="40"/>
      <c r="F551" s="40"/>
      <c r="G551" s="40"/>
      <c r="H551" s="40"/>
    </row>
    <row r="552" spans="5:8">
      <c r="E552" s="40"/>
      <c r="F552" s="40"/>
      <c r="G552" s="40"/>
      <c r="H552" s="40"/>
    </row>
    <row r="553" spans="5:8">
      <c r="E553" s="40"/>
      <c r="F553" s="40"/>
      <c r="G553" s="40"/>
      <c r="H553" s="40"/>
    </row>
    <row r="554" spans="5:8">
      <c r="E554" s="40"/>
      <c r="F554" s="40"/>
      <c r="G554" s="40"/>
      <c r="H554" s="40"/>
    </row>
    <row r="555" spans="5:8">
      <c r="E555" s="40"/>
      <c r="F555" s="40"/>
      <c r="G555" s="40"/>
      <c r="H555" s="40"/>
    </row>
    <row r="556" spans="5:8">
      <c r="E556" s="40"/>
      <c r="F556" s="40"/>
      <c r="G556" s="40"/>
      <c r="H556" s="40"/>
    </row>
    <row r="557" spans="5:8">
      <c r="E557" s="40"/>
      <c r="F557" s="40"/>
      <c r="G557" s="40"/>
      <c r="H557" s="40"/>
    </row>
    <row r="558" spans="5:8">
      <c r="E558" s="40"/>
      <c r="F558" s="40"/>
      <c r="G558" s="40"/>
      <c r="H558" s="40"/>
    </row>
    <row r="559" spans="5:8">
      <c r="E559" s="40"/>
      <c r="F559" s="40"/>
      <c r="G559" s="40"/>
      <c r="H559" s="40"/>
    </row>
    <row r="560" spans="5:8">
      <c r="E560" s="40"/>
      <c r="F560" s="40"/>
      <c r="G560" s="40"/>
      <c r="H560" s="40"/>
    </row>
    <row r="561" spans="5:8">
      <c r="E561" s="40"/>
      <c r="F561" s="40"/>
      <c r="G561" s="40"/>
      <c r="H561" s="40"/>
    </row>
    <row r="562" spans="5:8">
      <c r="E562" s="40"/>
      <c r="F562" s="40"/>
      <c r="G562" s="40"/>
      <c r="H562" s="40"/>
    </row>
    <row r="563" spans="5:8">
      <c r="E563" s="40"/>
      <c r="F563" s="40"/>
      <c r="G563" s="40"/>
      <c r="H563" s="40"/>
    </row>
    <row r="564" spans="5:8">
      <c r="E564" s="40"/>
      <c r="F564" s="40"/>
      <c r="G564" s="40"/>
      <c r="H564" s="40"/>
    </row>
    <row r="565" spans="5:8">
      <c r="E565" s="40"/>
      <c r="F565" s="40"/>
      <c r="G565" s="40"/>
      <c r="H565" s="40"/>
    </row>
    <row r="566" spans="5:8">
      <c r="E566" s="40"/>
      <c r="F566" s="40"/>
      <c r="G566" s="40"/>
      <c r="H566" s="40"/>
    </row>
    <row r="567" spans="5:8">
      <c r="E567" s="40"/>
      <c r="F567" s="40"/>
      <c r="G567" s="40"/>
      <c r="H567" s="40"/>
    </row>
    <row r="568" spans="5:8">
      <c r="E568" s="40"/>
      <c r="F568" s="40"/>
      <c r="G568" s="40"/>
      <c r="H568" s="40"/>
    </row>
    <row r="569" spans="5:8">
      <c r="E569" s="40"/>
      <c r="F569" s="40"/>
      <c r="G569" s="40"/>
      <c r="H569" s="40"/>
    </row>
    <row r="570" spans="5:8">
      <c r="E570" s="40"/>
      <c r="F570" s="40"/>
      <c r="G570" s="40"/>
      <c r="H570" s="40"/>
    </row>
    <row r="571" spans="5:8">
      <c r="E571" s="40"/>
      <c r="F571" s="40"/>
      <c r="G571" s="40"/>
      <c r="H571" s="40"/>
    </row>
    <row r="572" spans="5:8">
      <c r="E572" s="40"/>
      <c r="F572" s="40"/>
      <c r="G572" s="40"/>
      <c r="H572" s="40"/>
    </row>
    <row r="573" spans="5:8">
      <c r="E573" s="40"/>
      <c r="F573" s="40"/>
      <c r="G573" s="40"/>
      <c r="H573" s="40"/>
    </row>
    <row r="574" spans="5:8">
      <c r="E574" s="40"/>
      <c r="F574" s="40"/>
      <c r="G574" s="40"/>
      <c r="H574" s="40"/>
    </row>
    <row r="575" spans="5:8">
      <c r="E575" s="40"/>
      <c r="F575" s="40"/>
      <c r="G575" s="40"/>
      <c r="H575" s="40"/>
    </row>
    <row r="576" spans="5:8">
      <c r="E576" s="40"/>
      <c r="F576" s="40"/>
      <c r="G576" s="40"/>
      <c r="H576" s="40"/>
    </row>
    <row r="577" spans="5:8">
      <c r="E577" s="40"/>
      <c r="F577" s="40"/>
      <c r="G577" s="40"/>
      <c r="H577" s="40"/>
    </row>
    <row r="578" spans="5:8">
      <c r="E578" s="40"/>
      <c r="F578" s="40"/>
      <c r="G578" s="40"/>
      <c r="H578" s="40"/>
    </row>
    <row r="579" spans="5:8">
      <c r="E579" s="40"/>
      <c r="F579" s="40"/>
      <c r="G579" s="40"/>
      <c r="H579" s="40"/>
    </row>
    <row r="580" spans="5:8">
      <c r="E580" s="40"/>
      <c r="F580" s="40"/>
      <c r="G580" s="40"/>
      <c r="H580" s="40"/>
    </row>
    <row r="581" spans="5:8">
      <c r="E581" s="40"/>
      <c r="F581" s="40"/>
      <c r="G581" s="40"/>
      <c r="H581" s="40"/>
    </row>
    <row r="582" spans="5:8">
      <c r="E582" s="40"/>
      <c r="F582" s="40"/>
      <c r="G582" s="40"/>
      <c r="H582" s="40"/>
    </row>
    <row r="583" spans="5:8">
      <c r="E583" s="40"/>
      <c r="F583" s="40"/>
      <c r="G583" s="40"/>
      <c r="H583" s="40"/>
    </row>
    <row r="584" spans="5:8">
      <c r="E584" s="40"/>
      <c r="F584" s="40"/>
      <c r="G584" s="40"/>
      <c r="H584" s="40"/>
    </row>
    <row r="585" spans="5:8">
      <c r="E585" s="40"/>
      <c r="F585" s="40"/>
      <c r="G585" s="40"/>
      <c r="H585" s="40"/>
    </row>
    <row r="586" spans="5:8">
      <c r="E586" s="40"/>
      <c r="F586" s="40"/>
      <c r="G586" s="40"/>
      <c r="H586" s="40"/>
    </row>
    <row r="587" spans="5:8">
      <c r="E587" s="40"/>
      <c r="F587" s="40"/>
      <c r="G587" s="40"/>
      <c r="H587" s="40"/>
    </row>
    <row r="588" spans="5:8">
      <c r="E588" s="40"/>
      <c r="F588" s="40"/>
      <c r="G588" s="40"/>
      <c r="H588" s="40"/>
    </row>
    <row r="589" spans="5:8">
      <c r="E589" s="40"/>
      <c r="F589" s="40"/>
      <c r="G589" s="40"/>
      <c r="H589" s="40"/>
    </row>
    <row r="590" spans="5:8">
      <c r="E590" s="40"/>
      <c r="F590" s="40"/>
      <c r="G590" s="40"/>
      <c r="H590" s="40"/>
    </row>
    <row r="591" spans="5:8">
      <c r="E591" s="40"/>
      <c r="F591" s="40"/>
      <c r="G591" s="40"/>
      <c r="H591" s="40"/>
    </row>
    <row r="592" spans="5:8">
      <c r="E592" s="40"/>
      <c r="F592" s="40"/>
      <c r="G592" s="40"/>
      <c r="H592" s="40"/>
    </row>
    <row r="593" spans="5:8">
      <c r="E593" s="40"/>
      <c r="F593" s="40"/>
      <c r="G593" s="40"/>
      <c r="H593" s="40"/>
    </row>
    <row r="594" spans="5:8">
      <c r="E594" s="40"/>
      <c r="F594" s="40"/>
      <c r="G594" s="40"/>
      <c r="H594" s="40"/>
    </row>
    <row r="595" spans="5:8">
      <c r="E595" s="40"/>
      <c r="F595" s="40"/>
      <c r="G595" s="40"/>
      <c r="H595" s="40"/>
    </row>
    <row r="596" spans="5:8">
      <c r="E596" s="40"/>
      <c r="F596" s="40"/>
      <c r="G596" s="40"/>
      <c r="H596" s="40"/>
    </row>
    <row r="597" spans="5:8">
      <c r="E597" s="40"/>
      <c r="F597" s="40"/>
      <c r="G597" s="40"/>
      <c r="H597" s="40"/>
    </row>
    <row r="598" spans="5:8">
      <c r="E598" s="40"/>
      <c r="F598" s="40"/>
      <c r="G598" s="40"/>
      <c r="H598" s="40"/>
    </row>
    <row r="599" spans="5:8">
      <c r="E599" s="40"/>
      <c r="F599" s="40"/>
      <c r="G599" s="40"/>
      <c r="H599" s="40"/>
    </row>
    <row r="600" spans="5:8">
      <c r="E600" s="40"/>
      <c r="F600" s="40"/>
      <c r="G600" s="40"/>
      <c r="H600" s="40"/>
    </row>
    <row r="601" spans="5:8">
      <c r="E601" s="40"/>
      <c r="F601" s="40"/>
      <c r="G601" s="40"/>
      <c r="H601" s="40"/>
    </row>
    <row r="602" spans="5:8">
      <c r="E602" s="40"/>
      <c r="F602" s="40"/>
      <c r="G602" s="40"/>
      <c r="H602" s="40"/>
    </row>
    <row r="603" spans="5:8">
      <c r="E603" s="40"/>
      <c r="F603" s="40"/>
      <c r="G603" s="40"/>
      <c r="H603" s="40"/>
    </row>
    <row r="604" spans="5:8">
      <c r="E604" s="40"/>
      <c r="F604" s="40"/>
      <c r="G604" s="40"/>
      <c r="H604" s="40"/>
    </row>
    <row r="605" spans="5:8">
      <c r="E605" s="40"/>
      <c r="F605" s="40"/>
      <c r="G605" s="40"/>
      <c r="H605" s="40"/>
    </row>
    <row r="606" spans="5:8">
      <c r="E606" s="40"/>
      <c r="F606" s="40"/>
      <c r="G606" s="40"/>
      <c r="H606" s="40"/>
    </row>
    <row r="607" spans="5:8">
      <c r="E607" s="40"/>
      <c r="F607" s="40"/>
      <c r="G607" s="40"/>
      <c r="H607" s="40"/>
    </row>
    <row r="608" spans="5:8">
      <c r="E608" s="40"/>
      <c r="F608" s="40"/>
      <c r="G608" s="40"/>
      <c r="H608" s="40"/>
    </row>
    <row r="609" spans="5:8">
      <c r="E609" s="40"/>
      <c r="F609" s="40"/>
      <c r="G609" s="40"/>
      <c r="H609" s="40"/>
    </row>
    <row r="610" spans="5:8">
      <c r="E610" s="40"/>
      <c r="F610" s="40"/>
      <c r="G610" s="40"/>
      <c r="H610" s="40"/>
    </row>
    <row r="611" spans="5:8">
      <c r="E611" s="40"/>
      <c r="F611" s="40"/>
      <c r="G611" s="40"/>
      <c r="H611" s="40"/>
    </row>
    <row r="612" spans="5:8">
      <c r="E612" s="40"/>
      <c r="F612" s="40"/>
      <c r="G612" s="40"/>
      <c r="H612" s="40"/>
    </row>
    <row r="613" spans="5:8">
      <c r="E613" s="40"/>
      <c r="F613" s="40"/>
      <c r="G613" s="40"/>
      <c r="H613" s="40"/>
    </row>
    <row r="614" spans="5:8">
      <c r="E614" s="40"/>
      <c r="F614" s="40"/>
      <c r="G614" s="40"/>
      <c r="H614" s="40"/>
    </row>
    <row r="615" spans="5:8">
      <c r="E615" s="40"/>
      <c r="F615" s="40"/>
      <c r="G615" s="40"/>
      <c r="H615" s="40"/>
    </row>
    <row r="616" spans="5:8">
      <c r="E616" s="40"/>
      <c r="F616" s="40"/>
      <c r="G616" s="40"/>
      <c r="H616" s="40"/>
    </row>
    <row r="617" spans="5:8">
      <c r="E617" s="40"/>
      <c r="F617" s="40"/>
      <c r="G617" s="40"/>
      <c r="H617" s="40"/>
    </row>
    <row r="618" spans="5:8">
      <c r="E618" s="40"/>
      <c r="F618" s="40"/>
      <c r="G618" s="40"/>
      <c r="H618" s="40"/>
    </row>
    <row r="619" spans="5:8">
      <c r="E619" s="40"/>
      <c r="F619" s="40"/>
      <c r="G619" s="40"/>
      <c r="H619" s="40"/>
    </row>
    <row r="620" spans="5:8">
      <c r="E620" s="40"/>
      <c r="F620" s="40"/>
      <c r="G620" s="40"/>
      <c r="H620" s="40"/>
    </row>
    <row r="621" spans="5:8">
      <c r="E621" s="40"/>
      <c r="F621" s="40"/>
      <c r="G621" s="40"/>
      <c r="H621" s="40"/>
    </row>
    <row r="622" spans="5:8">
      <c r="E622" s="40"/>
      <c r="F622" s="40"/>
      <c r="G622" s="40"/>
      <c r="H622" s="40"/>
    </row>
    <row r="623" spans="5:8">
      <c r="E623" s="40"/>
      <c r="F623" s="40"/>
      <c r="G623" s="40"/>
      <c r="H623" s="40"/>
    </row>
    <row r="624" spans="5:8">
      <c r="E624" s="40"/>
      <c r="F624" s="40"/>
      <c r="G624" s="40"/>
      <c r="H624" s="40"/>
    </row>
    <row r="625" spans="5:8">
      <c r="E625" s="40"/>
      <c r="F625" s="40"/>
      <c r="G625" s="40"/>
      <c r="H625" s="40"/>
    </row>
    <row r="626" spans="5:8">
      <c r="E626" s="40"/>
      <c r="F626" s="40"/>
      <c r="G626" s="40"/>
      <c r="H626" s="40"/>
    </row>
    <row r="627" spans="5:8">
      <c r="E627" s="40"/>
      <c r="F627" s="40"/>
      <c r="G627" s="40"/>
      <c r="H627" s="40"/>
    </row>
    <row r="628" spans="5:8">
      <c r="E628" s="40"/>
      <c r="F628" s="40"/>
      <c r="G628" s="40"/>
      <c r="H628" s="40"/>
    </row>
    <row r="629" spans="5:8">
      <c r="E629" s="40"/>
      <c r="F629" s="40"/>
      <c r="G629" s="40"/>
      <c r="H629" s="40"/>
    </row>
    <row r="630" spans="5:8">
      <c r="E630" s="40"/>
      <c r="F630" s="40"/>
      <c r="G630" s="40"/>
      <c r="H630" s="40"/>
    </row>
    <row r="631" spans="5:8">
      <c r="E631" s="40"/>
      <c r="F631" s="40"/>
      <c r="G631" s="40"/>
      <c r="H631" s="40"/>
    </row>
    <row r="632" spans="5:8">
      <c r="E632" s="40"/>
      <c r="F632" s="40"/>
      <c r="G632" s="40"/>
      <c r="H632" s="40"/>
    </row>
    <row r="633" spans="5:8">
      <c r="E633" s="40"/>
      <c r="F633" s="40"/>
      <c r="G633" s="40"/>
      <c r="H633" s="40"/>
    </row>
    <row r="634" spans="5:8">
      <c r="E634" s="40"/>
      <c r="F634" s="40"/>
      <c r="G634" s="40"/>
      <c r="H634" s="40"/>
    </row>
    <row r="635" spans="5:8">
      <c r="E635" s="40"/>
      <c r="F635" s="40"/>
      <c r="G635" s="40"/>
      <c r="H635" s="40"/>
    </row>
    <row r="636" spans="5:8">
      <c r="E636" s="40"/>
      <c r="F636" s="40"/>
      <c r="G636" s="40"/>
      <c r="H636" s="40"/>
    </row>
    <row r="637" spans="5:8">
      <c r="E637" s="40"/>
      <c r="F637" s="40"/>
      <c r="G637" s="40"/>
      <c r="H637" s="40"/>
    </row>
    <row r="638" spans="5:8">
      <c r="E638" s="40"/>
      <c r="F638" s="40"/>
      <c r="G638" s="40"/>
      <c r="H638" s="40"/>
    </row>
    <row r="639" spans="5:8">
      <c r="E639" s="40"/>
      <c r="F639" s="40"/>
      <c r="G639" s="40"/>
      <c r="H639" s="40"/>
    </row>
    <row r="640" spans="5:8">
      <c r="E640" s="40"/>
      <c r="F640" s="40"/>
      <c r="G640" s="40"/>
      <c r="H640" s="40"/>
    </row>
    <row r="641" spans="5:8">
      <c r="E641" s="40"/>
      <c r="F641" s="40"/>
      <c r="G641" s="40"/>
      <c r="H641" s="40"/>
    </row>
    <row r="642" spans="5:8">
      <c r="E642" s="40"/>
      <c r="F642" s="40"/>
      <c r="G642" s="40"/>
      <c r="H642" s="40"/>
    </row>
    <row r="643" spans="5:8">
      <c r="E643" s="40"/>
      <c r="F643" s="40"/>
      <c r="G643" s="40"/>
      <c r="H643" s="40"/>
    </row>
    <row r="644" spans="5:8">
      <c r="E644" s="40"/>
      <c r="F644" s="40"/>
      <c r="G644" s="40"/>
      <c r="H644" s="40"/>
    </row>
    <row r="645" spans="5:8">
      <c r="E645" s="40"/>
      <c r="F645" s="40"/>
      <c r="G645" s="40"/>
      <c r="H645" s="40"/>
    </row>
    <row r="646" spans="5:8">
      <c r="E646" s="40"/>
      <c r="F646" s="40"/>
      <c r="G646" s="40"/>
      <c r="H646" s="40"/>
    </row>
    <row r="647" spans="5:8">
      <c r="E647" s="40"/>
      <c r="F647" s="40"/>
      <c r="G647" s="40"/>
      <c r="H647" s="40"/>
    </row>
    <row r="648" spans="5:8">
      <c r="E648" s="40"/>
      <c r="F648" s="40"/>
      <c r="G648" s="40"/>
      <c r="H648" s="40"/>
    </row>
    <row r="649" spans="5:8">
      <c r="E649" s="40"/>
      <c r="F649" s="40"/>
      <c r="G649" s="40"/>
      <c r="H649" s="40"/>
    </row>
    <row r="650" spans="5:8">
      <c r="E650" s="40"/>
      <c r="F650" s="40"/>
      <c r="G650" s="40"/>
      <c r="H650" s="40"/>
    </row>
    <row r="651" spans="5:8">
      <c r="E651" s="40"/>
      <c r="F651" s="40"/>
      <c r="G651" s="40"/>
      <c r="H651" s="40"/>
    </row>
    <row r="652" spans="5:8">
      <c r="E652" s="40"/>
      <c r="F652" s="40"/>
      <c r="G652" s="40"/>
      <c r="H652" s="40"/>
    </row>
    <row r="653" spans="5:8">
      <c r="E653" s="40"/>
      <c r="F653" s="40"/>
      <c r="G653" s="40"/>
      <c r="H653" s="40"/>
    </row>
    <row r="654" spans="5:8">
      <c r="E654" s="40"/>
      <c r="F654" s="40"/>
      <c r="G654" s="40"/>
      <c r="H654" s="40"/>
    </row>
    <row r="655" spans="5:8">
      <c r="E655" s="40"/>
      <c r="F655" s="40"/>
      <c r="G655" s="40"/>
      <c r="H655" s="40"/>
    </row>
    <row r="656" spans="5:8">
      <c r="E656" s="40"/>
      <c r="F656" s="40"/>
      <c r="G656" s="40"/>
      <c r="H656" s="40"/>
    </row>
    <row r="657" spans="5:8">
      <c r="E657" s="40"/>
      <c r="F657" s="40"/>
      <c r="G657" s="40"/>
      <c r="H657" s="40"/>
    </row>
    <row r="658" spans="5:8">
      <c r="E658" s="40"/>
      <c r="F658" s="40"/>
      <c r="G658" s="40"/>
      <c r="H658" s="40"/>
    </row>
    <row r="659" spans="5:8">
      <c r="E659" s="40"/>
      <c r="F659" s="40"/>
      <c r="G659" s="40"/>
      <c r="H659" s="40"/>
    </row>
    <row r="660" spans="5:8">
      <c r="E660" s="40"/>
      <c r="F660" s="40"/>
      <c r="G660" s="40"/>
      <c r="H660" s="40"/>
    </row>
    <row r="661" spans="5:8">
      <c r="E661" s="40"/>
      <c r="F661" s="40"/>
      <c r="G661" s="40"/>
      <c r="H661" s="40"/>
    </row>
    <row r="662" spans="5:8">
      <c r="E662" s="40"/>
      <c r="F662" s="40"/>
      <c r="G662" s="40"/>
      <c r="H662" s="40"/>
    </row>
    <row r="663" spans="5:8">
      <c r="E663" s="40"/>
      <c r="F663" s="40"/>
      <c r="G663" s="40"/>
      <c r="H663" s="40"/>
    </row>
    <row r="664" spans="5:8">
      <c r="E664" s="40"/>
      <c r="F664" s="40"/>
      <c r="G664" s="40"/>
      <c r="H664" s="40"/>
    </row>
    <row r="665" spans="5:8">
      <c r="E665" s="40"/>
      <c r="F665" s="40"/>
      <c r="G665" s="40"/>
      <c r="H665" s="40"/>
    </row>
    <row r="666" spans="5:8">
      <c r="E666" s="40"/>
      <c r="F666" s="40"/>
      <c r="G666" s="40"/>
      <c r="H666" s="40"/>
    </row>
    <row r="667" spans="5:8">
      <c r="E667" s="40"/>
      <c r="F667" s="40"/>
      <c r="G667" s="40"/>
      <c r="H667" s="40"/>
    </row>
    <row r="668" spans="5:8">
      <c r="E668" s="40"/>
      <c r="F668" s="40"/>
      <c r="G668" s="40"/>
      <c r="H668" s="40"/>
    </row>
    <row r="669" spans="5:8">
      <c r="E669" s="40"/>
      <c r="F669" s="40"/>
      <c r="G669" s="40"/>
      <c r="H669" s="40"/>
    </row>
    <row r="670" spans="5:8">
      <c r="E670" s="40"/>
      <c r="F670" s="40"/>
      <c r="G670" s="40"/>
      <c r="H670" s="40"/>
    </row>
    <row r="671" spans="5:8">
      <c r="E671" s="40"/>
      <c r="F671" s="40"/>
      <c r="G671" s="40"/>
      <c r="H671" s="40"/>
    </row>
    <row r="672" spans="5:8">
      <c r="E672" s="40"/>
      <c r="F672" s="40"/>
      <c r="G672" s="40"/>
      <c r="H672" s="40"/>
    </row>
    <row r="673" spans="5:8">
      <c r="E673" s="40"/>
      <c r="F673" s="40"/>
      <c r="G673" s="40"/>
      <c r="H673" s="40"/>
    </row>
    <row r="674" spans="5:8">
      <c r="E674" s="40"/>
      <c r="F674" s="40"/>
      <c r="G674" s="40"/>
      <c r="H674" s="40"/>
    </row>
    <row r="675" spans="5:8">
      <c r="E675" s="40"/>
      <c r="F675" s="40"/>
      <c r="G675" s="40"/>
      <c r="H675" s="40"/>
    </row>
    <row r="676" spans="5:8">
      <c r="E676" s="40"/>
      <c r="F676" s="40"/>
      <c r="G676" s="40"/>
      <c r="H676" s="40"/>
    </row>
    <row r="677" spans="5:8">
      <c r="E677" s="40"/>
      <c r="F677" s="40"/>
      <c r="G677" s="40"/>
      <c r="H677" s="40"/>
    </row>
    <row r="678" spans="5:8">
      <c r="E678" s="40"/>
      <c r="F678" s="40"/>
      <c r="G678" s="40"/>
      <c r="H678" s="40"/>
    </row>
    <row r="679" spans="5:8">
      <c r="E679" s="40"/>
      <c r="F679" s="40"/>
      <c r="G679" s="40"/>
      <c r="H679" s="40"/>
    </row>
    <row r="680" spans="5:8">
      <c r="E680" s="40"/>
      <c r="F680" s="40"/>
      <c r="G680" s="40"/>
      <c r="H680" s="40"/>
    </row>
    <row r="681" spans="5:8">
      <c r="E681" s="40"/>
      <c r="F681" s="40"/>
      <c r="G681" s="40"/>
      <c r="H681" s="40"/>
    </row>
    <row r="682" spans="5:8">
      <c r="E682" s="40"/>
      <c r="F682" s="40"/>
      <c r="G682" s="40"/>
      <c r="H682" s="40"/>
    </row>
    <row r="683" spans="5:8">
      <c r="E683" s="40"/>
      <c r="F683" s="40"/>
      <c r="G683" s="40"/>
      <c r="H683" s="40"/>
    </row>
    <row r="684" spans="5:8">
      <c r="E684" s="40"/>
      <c r="F684" s="40"/>
      <c r="G684" s="40"/>
      <c r="H684" s="40"/>
    </row>
    <row r="685" spans="5:8">
      <c r="E685" s="40"/>
      <c r="F685" s="40"/>
      <c r="G685" s="40"/>
      <c r="H685" s="40"/>
    </row>
    <row r="686" spans="5:8">
      <c r="E686" s="40"/>
      <c r="F686" s="40"/>
      <c r="G686" s="40"/>
      <c r="H686" s="40"/>
    </row>
    <row r="687" spans="5:8">
      <c r="E687" s="40"/>
      <c r="F687" s="40"/>
      <c r="G687" s="40"/>
      <c r="H687" s="40"/>
    </row>
    <row r="688" spans="5:8">
      <c r="E688" s="40"/>
      <c r="F688" s="40"/>
      <c r="G688" s="40"/>
      <c r="H688" s="40"/>
    </row>
    <row r="689" spans="5:8">
      <c r="E689" s="40"/>
      <c r="F689" s="40"/>
      <c r="G689" s="40"/>
      <c r="H689" s="40"/>
    </row>
    <row r="690" spans="5:8">
      <c r="E690" s="40"/>
      <c r="F690" s="40"/>
      <c r="G690" s="40"/>
      <c r="H690" s="40"/>
    </row>
    <row r="691" spans="5:8">
      <c r="E691" s="40"/>
      <c r="F691" s="40"/>
      <c r="G691" s="40"/>
      <c r="H691" s="40"/>
    </row>
    <row r="692" spans="5:8">
      <c r="E692" s="40"/>
      <c r="F692" s="40"/>
      <c r="G692" s="40"/>
      <c r="H692" s="40"/>
    </row>
    <row r="693" spans="5:8">
      <c r="E693" s="40"/>
      <c r="F693" s="40"/>
      <c r="G693" s="40"/>
      <c r="H693" s="40"/>
    </row>
    <row r="694" spans="5:8">
      <c r="E694" s="40"/>
      <c r="F694" s="40"/>
      <c r="G694" s="40"/>
      <c r="H694" s="40"/>
    </row>
    <row r="695" spans="5:8">
      <c r="E695" s="40"/>
      <c r="F695" s="40"/>
      <c r="G695" s="40"/>
      <c r="H695" s="40"/>
    </row>
    <row r="696" spans="5:8">
      <c r="E696" s="40"/>
      <c r="F696" s="40"/>
      <c r="G696" s="40"/>
      <c r="H696" s="40"/>
    </row>
    <row r="697" spans="5:8">
      <c r="E697" s="40"/>
      <c r="F697" s="40"/>
      <c r="G697" s="40"/>
      <c r="H697" s="40"/>
    </row>
    <row r="698" spans="5:8">
      <c r="E698" s="40"/>
      <c r="F698" s="40"/>
      <c r="G698" s="40"/>
      <c r="H698" s="40"/>
    </row>
    <row r="699" spans="5:8">
      <c r="E699" s="40"/>
      <c r="F699" s="40"/>
      <c r="G699" s="40"/>
      <c r="H699" s="40"/>
    </row>
    <row r="700" spans="5:8">
      <c r="E700" s="40"/>
      <c r="F700" s="40"/>
      <c r="G700" s="40"/>
      <c r="H700" s="40"/>
    </row>
    <row r="701" spans="5:8">
      <c r="E701" s="40"/>
      <c r="F701" s="40"/>
      <c r="G701" s="40"/>
      <c r="H701" s="40"/>
    </row>
    <row r="702" spans="5:8">
      <c r="E702" s="40"/>
      <c r="F702" s="40"/>
      <c r="G702" s="40"/>
      <c r="H702" s="40"/>
    </row>
    <row r="703" spans="5:8">
      <c r="E703" s="40"/>
      <c r="F703" s="40"/>
      <c r="G703" s="40"/>
      <c r="H703" s="40"/>
    </row>
    <row r="704" spans="5:8">
      <c r="E704" s="40"/>
      <c r="F704" s="40"/>
      <c r="G704" s="40"/>
      <c r="H704" s="40"/>
    </row>
    <row r="705" spans="5:8">
      <c r="E705" s="40"/>
      <c r="F705" s="40"/>
      <c r="G705" s="40"/>
      <c r="H705" s="40"/>
    </row>
    <row r="706" spans="5:8">
      <c r="E706" s="40"/>
      <c r="F706" s="40"/>
      <c r="G706" s="40"/>
      <c r="H706" s="40"/>
    </row>
    <row r="707" spans="5:8">
      <c r="E707" s="40"/>
      <c r="F707" s="40"/>
      <c r="G707" s="40"/>
      <c r="H707" s="40"/>
    </row>
    <row r="708" spans="5:8">
      <c r="E708" s="40"/>
      <c r="F708" s="40"/>
      <c r="G708" s="40"/>
      <c r="H708" s="40"/>
    </row>
    <row r="709" spans="5:8">
      <c r="E709" s="40"/>
      <c r="F709" s="40"/>
      <c r="G709" s="40"/>
      <c r="H709" s="40"/>
    </row>
    <row r="710" spans="5:8">
      <c r="E710" s="40"/>
      <c r="F710" s="40"/>
      <c r="G710" s="40"/>
      <c r="H710" s="40"/>
    </row>
    <row r="711" spans="5:8">
      <c r="E711" s="40"/>
      <c r="F711" s="40"/>
      <c r="G711" s="40"/>
      <c r="H711" s="40"/>
    </row>
    <row r="712" spans="5:8">
      <c r="E712" s="40"/>
      <c r="F712" s="40"/>
      <c r="G712" s="40"/>
      <c r="H712" s="40"/>
    </row>
    <row r="713" spans="5:8">
      <c r="E713" s="40"/>
      <c r="F713" s="40"/>
      <c r="G713" s="40"/>
      <c r="H713" s="40"/>
    </row>
    <row r="714" spans="5:8">
      <c r="E714" s="40"/>
      <c r="F714" s="40"/>
      <c r="G714" s="40"/>
      <c r="H714" s="40"/>
    </row>
    <row r="715" spans="5:8">
      <c r="E715" s="40"/>
      <c r="F715" s="40"/>
      <c r="G715" s="40"/>
      <c r="H715" s="40"/>
    </row>
    <row r="716" spans="5:8">
      <c r="E716" s="40"/>
      <c r="F716" s="40"/>
      <c r="G716" s="40"/>
      <c r="H716" s="40"/>
    </row>
    <row r="717" spans="5:8">
      <c r="E717" s="40"/>
      <c r="F717" s="40"/>
      <c r="G717" s="40"/>
      <c r="H717" s="40"/>
    </row>
    <row r="718" spans="5:8">
      <c r="E718" s="40"/>
      <c r="F718" s="40"/>
      <c r="G718" s="40"/>
      <c r="H718" s="40"/>
    </row>
    <row r="719" spans="5:8">
      <c r="E719" s="40"/>
      <c r="F719" s="40"/>
      <c r="G719" s="40"/>
      <c r="H719" s="40"/>
    </row>
    <row r="720" spans="5:8">
      <c r="E720" s="40"/>
      <c r="F720" s="40"/>
      <c r="G720" s="40"/>
      <c r="H720" s="40"/>
    </row>
    <row r="721" spans="5:8">
      <c r="E721" s="40"/>
      <c r="F721" s="40"/>
      <c r="G721" s="40"/>
      <c r="H721" s="40"/>
    </row>
    <row r="722" spans="5:8">
      <c r="E722" s="40"/>
      <c r="F722" s="40"/>
      <c r="G722" s="40"/>
      <c r="H722" s="40"/>
    </row>
    <row r="723" spans="5:8">
      <c r="E723" s="40"/>
      <c r="F723" s="40"/>
      <c r="G723" s="40"/>
      <c r="H723" s="40"/>
    </row>
    <row r="724" spans="5:8">
      <c r="E724" s="40"/>
      <c r="F724" s="40"/>
      <c r="G724" s="40"/>
      <c r="H724" s="40"/>
    </row>
    <row r="725" spans="5:8">
      <c r="E725" s="40"/>
      <c r="F725" s="40"/>
      <c r="G725" s="40"/>
      <c r="H725" s="40"/>
    </row>
    <row r="726" spans="5:8">
      <c r="E726" s="40"/>
      <c r="F726" s="40"/>
      <c r="G726" s="40"/>
      <c r="H726" s="40"/>
    </row>
    <row r="727" spans="5:8">
      <c r="E727" s="40"/>
      <c r="F727" s="40"/>
      <c r="G727" s="40"/>
      <c r="H727" s="40"/>
    </row>
    <row r="728" spans="5:8">
      <c r="E728" s="40"/>
      <c r="F728" s="40"/>
      <c r="G728" s="40"/>
      <c r="H728" s="40"/>
    </row>
    <row r="729" spans="5:8">
      <c r="E729" s="40"/>
      <c r="F729" s="40"/>
      <c r="G729" s="40"/>
      <c r="H729" s="40"/>
    </row>
    <row r="730" spans="5:8">
      <c r="E730" s="40"/>
      <c r="F730" s="40"/>
      <c r="G730" s="40"/>
      <c r="H730" s="40"/>
    </row>
    <row r="731" spans="5:8">
      <c r="E731" s="40"/>
      <c r="F731" s="40"/>
      <c r="G731" s="40"/>
      <c r="H731" s="40"/>
    </row>
    <row r="732" spans="5:8">
      <c r="E732" s="40"/>
      <c r="F732" s="40"/>
      <c r="G732" s="40"/>
      <c r="H732" s="40"/>
    </row>
    <row r="733" spans="5:8">
      <c r="E733" s="40"/>
      <c r="F733" s="40"/>
      <c r="G733" s="40"/>
      <c r="H733" s="40"/>
    </row>
    <row r="734" spans="5:8">
      <c r="E734" s="40"/>
      <c r="F734" s="40"/>
      <c r="G734" s="40"/>
      <c r="H734" s="40"/>
    </row>
    <row r="735" spans="5:8">
      <c r="E735" s="40"/>
      <c r="F735" s="40"/>
      <c r="G735" s="40"/>
      <c r="H735" s="40"/>
    </row>
    <row r="736" spans="5:8">
      <c r="E736" s="40"/>
      <c r="F736" s="40"/>
      <c r="G736" s="40"/>
      <c r="H736" s="40"/>
    </row>
    <row r="737" spans="5:8">
      <c r="E737" s="40"/>
      <c r="F737" s="40"/>
      <c r="G737" s="40"/>
      <c r="H737" s="40"/>
    </row>
    <row r="738" spans="5:8">
      <c r="E738" s="40"/>
      <c r="F738" s="40"/>
      <c r="G738" s="40"/>
      <c r="H738" s="40"/>
    </row>
    <row r="739" spans="5:8">
      <c r="E739" s="40"/>
      <c r="F739" s="40"/>
      <c r="G739" s="40"/>
      <c r="H739" s="40"/>
    </row>
    <row r="740" spans="5:8">
      <c r="E740" s="40"/>
      <c r="F740" s="40"/>
      <c r="G740" s="40"/>
      <c r="H740" s="40"/>
    </row>
    <row r="741" spans="5:8">
      <c r="E741" s="40"/>
      <c r="F741" s="40"/>
      <c r="G741" s="40"/>
      <c r="H741" s="40"/>
    </row>
    <row r="742" spans="5:8">
      <c r="E742" s="40"/>
      <c r="F742" s="40"/>
      <c r="G742" s="40"/>
      <c r="H742" s="40"/>
    </row>
    <row r="743" spans="5:8">
      <c r="E743" s="40"/>
      <c r="F743" s="40"/>
      <c r="G743" s="40"/>
      <c r="H743" s="40"/>
    </row>
    <row r="744" spans="5:8">
      <c r="E744" s="40"/>
      <c r="F744" s="40"/>
      <c r="G744" s="40"/>
      <c r="H744" s="40"/>
    </row>
    <row r="745" spans="5:8">
      <c r="E745" s="40"/>
      <c r="F745" s="40"/>
      <c r="G745" s="40"/>
      <c r="H745" s="40"/>
    </row>
    <row r="746" spans="5:8">
      <c r="E746" s="40"/>
      <c r="F746" s="40"/>
      <c r="G746" s="40"/>
      <c r="H746" s="40"/>
    </row>
    <row r="747" spans="5:8">
      <c r="E747" s="40"/>
      <c r="F747" s="40"/>
      <c r="G747" s="40"/>
      <c r="H747" s="40"/>
    </row>
    <row r="748" spans="5:8">
      <c r="E748" s="40"/>
      <c r="F748" s="40"/>
      <c r="G748" s="40"/>
      <c r="H748" s="40"/>
    </row>
    <row r="749" spans="5:8">
      <c r="E749" s="40"/>
      <c r="F749" s="40"/>
      <c r="G749" s="40"/>
      <c r="H749" s="40"/>
    </row>
    <row r="750" spans="5:8">
      <c r="E750" s="40"/>
      <c r="F750" s="40"/>
      <c r="G750" s="40"/>
      <c r="H750" s="40"/>
    </row>
    <row r="751" spans="5:8">
      <c r="E751" s="40"/>
      <c r="F751" s="40"/>
      <c r="G751" s="40"/>
      <c r="H751" s="40"/>
    </row>
    <row r="752" spans="5:8">
      <c r="E752" s="40"/>
      <c r="F752" s="40"/>
      <c r="G752" s="40"/>
      <c r="H752" s="40"/>
    </row>
    <row r="753" spans="5:8">
      <c r="E753" s="40"/>
      <c r="F753" s="40"/>
      <c r="G753" s="40"/>
      <c r="H753" s="40"/>
    </row>
    <row r="754" spans="5:8">
      <c r="E754" s="40"/>
      <c r="F754" s="40"/>
      <c r="G754" s="40"/>
      <c r="H754" s="40"/>
    </row>
    <row r="755" spans="5:8">
      <c r="E755" s="40"/>
      <c r="F755" s="40"/>
      <c r="G755" s="40"/>
      <c r="H755" s="40"/>
    </row>
    <row r="756" spans="5:8">
      <c r="E756" s="40"/>
      <c r="F756" s="40"/>
      <c r="G756" s="40"/>
      <c r="H756" s="40"/>
    </row>
    <row r="757" spans="5:8">
      <c r="E757" s="40"/>
      <c r="F757" s="40"/>
      <c r="G757" s="40"/>
      <c r="H757" s="40"/>
    </row>
    <row r="758" spans="5:8">
      <c r="E758" s="40"/>
      <c r="F758" s="40"/>
      <c r="G758" s="40"/>
      <c r="H758" s="40"/>
    </row>
    <row r="759" spans="5:8">
      <c r="E759" s="40"/>
      <c r="F759" s="40"/>
      <c r="G759" s="40"/>
      <c r="H759" s="40"/>
    </row>
    <row r="760" spans="5:8">
      <c r="E760" s="40"/>
      <c r="F760" s="40"/>
      <c r="G760" s="40"/>
      <c r="H760" s="40"/>
    </row>
    <row r="761" spans="5:8">
      <c r="E761" s="40"/>
      <c r="F761" s="40"/>
      <c r="G761" s="40"/>
      <c r="H761" s="40"/>
    </row>
    <row r="762" spans="5:8">
      <c r="E762" s="40"/>
      <c r="F762" s="40"/>
      <c r="G762" s="40"/>
      <c r="H762" s="40"/>
    </row>
    <row r="763" spans="5:8">
      <c r="E763" s="40"/>
      <c r="F763" s="40"/>
      <c r="G763" s="40"/>
      <c r="H763" s="40"/>
    </row>
    <row r="764" spans="5:8">
      <c r="E764" s="40"/>
      <c r="F764" s="40"/>
      <c r="G764" s="40"/>
      <c r="H764" s="40"/>
    </row>
    <row r="765" spans="5:8">
      <c r="E765" s="40"/>
      <c r="F765" s="40"/>
      <c r="G765" s="40"/>
      <c r="H765" s="40"/>
    </row>
    <row r="766" spans="5:8">
      <c r="E766" s="40"/>
      <c r="F766" s="40"/>
      <c r="G766" s="40"/>
      <c r="H766" s="40"/>
    </row>
    <row r="767" spans="5:8">
      <c r="E767" s="40"/>
      <c r="F767" s="40"/>
      <c r="G767" s="40"/>
      <c r="H767" s="40"/>
    </row>
    <row r="768" spans="5:8">
      <c r="E768" s="40"/>
      <c r="F768" s="40"/>
      <c r="G768" s="40"/>
      <c r="H768" s="40"/>
    </row>
    <row r="769" spans="5:8">
      <c r="E769" s="40"/>
      <c r="F769" s="40"/>
      <c r="G769" s="40"/>
      <c r="H769" s="40"/>
    </row>
    <row r="770" spans="5:8">
      <c r="E770" s="40"/>
      <c r="F770" s="40"/>
      <c r="G770" s="40"/>
      <c r="H770" s="40"/>
    </row>
    <row r="771" spans="5:8">
      <c r="E771" s="40"/>
      <c r="F771" s="40"/>
      <c r="G771" s="40"/>
      <c r="H771" s="40"/>
    </row>
    <row r="772" spans="5:8">
      <c r="E772" s="40"/>
      <c r="F772" s="40"/>
      <c r="G772" s="40"/>
      <c r="H772" s="40"/>
    </row>
    <row r="773" spans="5:8">
      <c r="E773" s="40"/>
      <c r="F773" s="40"/>
      <c r="G773" s="40"/>
      <c r="H773" s="40"/>
    </row>
    <row r="774" spans="5:8">
      <c r="E774" s="40"/>
      <c r="F774" s="40"/>
      <c r="G774" s="40"/>
      <c r="H774" s="40"/>
    </row>
    <row r="775" spans="5:8">
      <c r="E775" s="40"/>
      <c r="F775" s="40"/>
      <c r="G775" s="40"/>
      <c r="H775" s="40"/>
    </row>
    <row r="776" spans="5:8">
      <c r="E776" s="40"/>
      <c r="F776" s="40"/>
      <c r="G776" s="40"/>
      <c r="H776" s="40"/>
    </row>
    <row r="777" spans="5:8">
      <c r="E777" s="40"/>
      <c r="F777" s="40"/>
      <c r="G777" s="40"/>
      <c r="H777" s="40"/>
    </row>
    <row r="778" spans="5:8">
      <c r="E778" s="40"/>
      <c r="F778" s="40"/>
      <c r="G778" s="40"/>
      <c r="H778" s="40"/>
    </row>
    <row r="779" spans="5:8">
      <c r="E779" s="40"/>
      <c r="F779" s="40"/>
      <c r="G779" s="40"/>
      <c r="H779" s="40"/>
    </row>
    <row r="780" spans="5:8">
      <c r="E780" s="40"/>
      <c r="F780" s="40"/>
      <c r="G780" s="40"/>
      <c r="H780" s="40"/>
    </row>
    <row r="781" spans="5:8">
      <c r="E781" s="40"/>
      <c r="F781" s="40"/>
      <c r="G781" s="40"/>
      <c r="H781" s="40"/>
    </row>
    <row r="782" spans="5:8">
      <c r="E782" s="40"/>
      <c r="F782" s="40"/>
      <c r="G782" s="40"/>
      <c r="H782" s="40"/>
    </row>
    <row r="783" spans="5:8">
      <c r="E783" s="40"/>
      <c r="F783" s="40"/>
      <c r="G783" s="40"/>
      <c r="H783" s="40"/>
    </row>
    <row r="784" spans="5:8">
      <c r="E784" s="40"/>
      <c r="F784" s="40"/>
      <c r="G784" s="40"/>
      <c r="H784" s="40"/>
    </row>
    <row r="785" spans="5:8">
      <c r="E785" s="40"/>
      <c r="F785" s="40"/>
      <c r="G785" s="40"/>
      <c r="H785" s="40"/>
    </row>
    <row r="786" spans="5:8">
      <c r="E786" s="40"/>
      <c r="F786" s="40"/>
      <c r="G786" s="40"/>
      <c r="H786" s="40"/>
    </row>
    <row r="787" spans="5:8">
      <c r="E787" s="40"/>
      <c r="F787" s="40"/>
      <c r="G787" s="40"/>
      <c r="H787" s="40"/>
    </row>
    <row r="788" spans="5:8">
      <c r="E788" s="40"/>
      <c r="F788" s="40"/>
      <c r="G788" s="40"/>
      <c r="H788" s="40"/>
    </row>
    <row r="789" spans="5:8">
      <c r="E789" s="40"/>
      <c r="F789" s="40"/>
      <c r="G789" s="40"/>
      <c r="H789" s="40"/>
    </row>
    <row r="790" spans="5:8">
      <c r="E790" s="40"/>
      <c r="F790" s="40"/>
      <c r="G790" s="40"/>
      <c r="H790" s="40"/>
    </row>
    <row r="791" spans="5:8">
      <c r="E791" s="40"/>
      <c r="F791" s="40"/>
      <c r="G791" s="40"/>
      <c r="H791" s="40"/>
    </row>
    <row r="792" spans="5:8">
      <c r="E792" s="40"/>
      <c r="F792" s="40"/>
      <c r="G792" s="40"/>
      <c r="H792" s="40"/>
    </row>
    <row r="793" spans="5:8">
      <c r="E793" s="40"/>
      <c r="F793" s="40"/>
      <c r="G793" s="40"/>
      <c r="H793" s="40"/>
    </row>
    <row r="794" spans="5:8">
      <c r="E794" s="40"/>
      <c r="F794" s="40"/>
      <c r="G794" s="40"/>
      <c r="H794" s="40"/>
    </row>
    <row r="795" spans="5:8">
      <c r="E795" s="40"/>
      <c r="F795" s="40"/>
      <c r="G795" s="40"/>
      <c r="H795" s="40"/>
    </row>
    <row r="796" spans="5:8">
      <c r="E796" s="40"/>
      <c r="F796" s="40"/>
      <c r="G796" s="40"/>
      <c r="H796" s="40"/>
    </row>
    <row r="797" spans="5:8">
      <c r="E797" s="40"/>
      <c r="F797" s="40"/>
      <c r="G797" s="40"/>
      <c r="H797" s="40"/>
    </row>
    <row r="798" spans="5:8">
      <c r="E798" s="40"/>
      <c r="F798" s="40"/>
      <c r="G798" s="40"/>
      <c r="H798" s="40"/>
    </row>
    <row r="799" spans="5:8">
      <c r="E799" s="40"/>
      <c r="F799" s="40"/>
      <c r="G799" s="40"/>
      <c r="H799" s="40"/>
    </row>
    <row r="800" spans="5:8">
      <c r="E800" s="40"/>
      <c r="F800" s="40"/>
      <c r="G800" s="40"/>
      <c r="H800" s="40"/>
    </row>
    <row r="801" spans="5:8">
      <c r="E801" s="40"/>
      <c r="F801" s="40"/>
      <c r="G801" s="40"/>
      <c r="H801" s="40"/>
    </row>
    <row r="802" spans="5:8">
      <c r="E802" s="40"/>
      <c r="F802" s="40"/>
      <c r="G802" s="40"/>
      <c r="H802" s="40"/>
    </row>
    <row r="803" spans="5:8">
      <c r="E803" s="40"/>
      <c r="F803" s="40"/>
      <c r="G803" s="40"/>
      <c r="H803" s="40"/>
    </row>
    <row r="804" spans="5:8">
      <c r="E804" s="40"/>
      <c r="F804" s="40"/>
      <c r="G804" s="40"/>
      <c r="H804" s="40"/>
    </row>
    <row r="805" spans="5:8">
      <c r="E805" s="40"/>
      <c r="F805" s="40"/>
      <c r="G805" s="40"/>
      <c r="H805" s="40"/>
    </row>
    <row r="806" spans="5:8">
      <c r="E806" s="40"/>
      <c r="F806" s="40"/>
      <c r="G806" s="40"/>
      <c r="H806" s="40"/>
    </row>
    <row r="807" spans="5:8">
      <c r="E807" s="40"/>
      <c r="F807" s="40"/>
      <c r="G807" s="40"/>
      <c r="H807" s="40"/>
    </row>
    <row r="808" spans="5:8">
      <c r="E808" s="40"/>
      <c r="F808" s="40"/>
      <c r="G808" s="40"/>
      <c r="H808" s="40"/>
    </row>
    <row r="809" spans="5:8">
      <c r="E809" s="40"/>
      <c r="F809" s="40"/>
      <c r="G809" s="40"/>
      <c r="H809" s="40"/>
    </row>
    <row r="810" spans="5:8">
      <c r="E810" s="40"/>
      <c r="F810" s="40"/>
      <c r="G810" s="40"/>
      <c r="H810" s="40"/>
    </row>
    <row r="811" spans="5:8">
      <c r="E811" s="40"/>
      <c r="F811" s="40"/>
      <c r="G811" s="40"/>
      <c r="H811" s="40"/>
    </row>
    <row r="812" spans="5:8">
      <c r="E812" s="40"/>
      <c r="F812" s="40"/>
      <c r="G812" s="40"/>
      <c r="H812" s="40"/>
    </row>
    <row r="813" spans="5:8">
      <c r="E813" s="40"/>
      <c r="F813" s="40"/>
      <c r="G813" s="40"/>
      <c r="H813" s="40"/>
    </row>
    <row r="814" spans="5:8">
      <c r="E814" s="40"/>
      <c r="F814" s="40"/>
      <c r="G814" s="40"/>
      <c r="H814" s="40"/>
    </row>
    <row r="815" spans="5:8">
      <c r="E815" s="40"/>
      <c r="F815" s="40"/>
      <c r="G815" s="40"/>
      <c r="H815" s="40"/>
    </row>
    <row r="816" spans="5:8">
      <c r="E816" s="40"/>
      <c r="F816" s="40"/>
      <c r="G816" s="40"/>
      <c r="H816" s="40"/>
    </row>
    <row r="817" spans="5:8">
      <c r="E817" s="40"/>
      <c r="F817" s="40"/>
      <c r="G817" s="40"/>
      <c r="H817" s="40"/>
    </row>
    <row r="818" spans="5:8">
      <c r="E818" s="40"/>
      <c r="F818" s="40"/>
      <c r="G818" s="40"/>
      <c r="H818" s="40"/>
    </row>
    <row r="819" spans="5:8">
      <c r="E819" s="40"/>
      <c r="F819" s="40"/>
      <c r="G819" s="40"/>
      <c r="H819" s="40"/>
    </row>
    <row r="820" spans="5:8">
      <c r="E820" s="40"/>
      <c r="F820" s="40"/>
      <c r="G820" s="40"/>
      <c r="H820" s="40"/>
    </row>
    <row r="821" spans="5:8">
      <c r="E821" s="40"/>
      <c r="F821" s="40"/>
      <c r="G821" s="40"/>
      <c r="H821" s="40"/>
    </row>
    <row r="822" spans="5:8">
      <c r="E822" s="40"/>
      <c r="F822" s="40"/>
      <c r="G822" s="40"/>
      <c r="H822" s="40"/>
    </row>
    <row r="823" spans="5:8">
      <c r="E823" s="40"/>
      <c r="F823" s="40"/>
      <c r="G823" s="40"/>
      <c r="H823" s="40"/>
    </row>
    <row r="824" spans="5:8">
      <c r="E824" s="40"/>
      <c r="F824" s="40"/>
      <c r="G824" s="40"/>
      <c r="H824" s="40"/>
    </row>
    <row r="825" spans="5:8">
      <c r="E825" s="40"/>
      <c r="F825" s="40"/>
      <c r="G825" s="40"/>
      <c r="H825" s="40"/>
    </row>
    <row r="826" spans="5:8">
      <c r="E826" s="40"/>
      <c r="F826" s="40"/>
      <c r="G826" s="40"/>
      <c r="H826" s="40"/>
    </row>
    <row r="827" spans="5:8">
      <c r="E827" s="40"/>
      <c r="F827" s="40"/>
      <c r="G827" s="40"/>
      <c r="H827" s="40"/>
    </row>
    <row r="828" spans="5:8">
      <c r="E828" s="40"/>
      <c r="F828" s="40"/>
      <c r="G828" s="40"/>
      <c r="H828" s="40"/>
    </row>
    <row r="829" spans="5:8">
      <c r="E829" s="40"/>
      <c r="F829" s="40"/>
      <c r="G829" s="40"/>
      <c r="H829" s="40"/>
    </row>
    <row r="830" spans="5:8">
      <c r="E830" s="40"/>
      <c r="F830" s="40"/>
      <c r="G830" s="40"/>
      <c r="H830" s="40"/>
    </row>
    <row r="831" spans="5:8">
      <c r="E831" s="40"/>
      <c r="F831" s="40"/>
      <c r="G831" s="40"/>
      <c r="H831" s="40"/>
    </row>
    <row r="832" spans="5:8">
      <c r="E832" s="40"/>
      <c r="F832" s="40"/>
      <c r="G832" s="40"/>
      <c r="H832" s="40"/>
    </row>
    <row r="833" spans="5:8">
      <c r="E833" s="40"/>
      <c r="F833" s="40"/>
      <c r="G833" s="40"/>
      <c r="H833" s="40"/>
    </row>
    <row r="834" spans="5:8">
      <c r="E834" s="40"/>
      <c r="F834" s="40"/>
      <c r="G834" s="40"/>
      <c r="H834" s="40"/>
    </row>
    <row r="835" spans="5:8">
      <c r="E835" s="40"/>
      <c r="F835" s="40"/>
      <c r="G835" s="40"/>
      <c r="H835" s="40"/>
    </row>
    <row r="836" spans="5:8">
      <c r="E836" s="40"/>
      <c r="F836" s="40"/>
      <c r="G836" s="40"/>
      <c r="H836" s="40"/>
    </row>
    <row r="837" spans="5:8">
      <c r="E837" s="40"/>
      <c r="F837" s="40"/>
      <c r="G837" s="40"/>
      <c r="H837" s="40"/>
    </row>
    <row r="838" spans="5:8">
      <c r="E838" s="40"/>
      <c r="F838" s="40"/>
      <c r="G838" s="40"/>
      <c r="H838" s="40"/>
    </row>
    <row r="839" spans="5:8">
      <c r="E839" s="40"/>
      <c r="F839" s="40"/>
      <c r="G839" s="40"/>
      <c r="H839" s="40"/>
    </row>
    <row r="840" spans="5:8">
      <c r="E840" s="40"/>
      <c r="F840" s="40"/>
      <c r="G840" s="40"/>
      <c r="H840" s="40"/>
    </row>
    <row r="841" spans="5:8">
      <c r="E841" s="40"/>
      <c r="F841" s="40"/>
      <c r="G841" s="40"/>
      <c r="H841" s="40"/>
    </row>
    <row r="842" spans="5:8">
      <c r="E842" s="40"/>
      <c r="F842" s="40"/>
      <c r="G842" s="40"/>
      <c r="H842" s="40"/>
    </row>
    <row r="843" spans="5:8">
      <c r="E843" s="40"/>
      <c r="F843" s="40"/>
      <c r="G843" s="40"/>
      <c r="H843" s="40"/>
    </row>
    <row r="844" spans="5:8">
      <c r="E844" s="40"/>
      <c r="F844" s="40"/>
      <c r="G844" s="40"/>
      <c r="H844" s="40"/>
    </row>
    <row r="845" spans="5:8">
      <c r="E845" s="40"/>
      <c r="F845" s="40"/>
      <c r="G845" s="40"/>
      <c r="H845" s="40"/>
    </row>
    <row r="846" spans="5:8">
      <c r="E846" s="40"/>
      <c r="F846" s="40"/>
      <c r="G846" s="40"/>
      <c r="H846" s="40"/>
    </row>
    <row r="847" spans="5:8">
      <c r="E847" s="40"/>
      <c r="F847" s="40"/>
      <c r="G847" s="40"/>
      <c r="H847" s="40"/>
    </row>
    <row r="848" spans="5:8">
      <c r="E848" s="40"/>
      <c r="F848" s="40"/>
      <c r="G848" s="40"/>
      <c r="H848" s="40"/>
    </row>
    <row r="849" spans="5:8">
      <c r="E849" s="40"/>
      <c r="F849" s="40"/>
      <c r="G849" s="40"/>
      <c r="H849" s="40"/>
    </row>
    <row r="850" spans="5:8">
      <c r="E850" s="40"/>
      <c r="F850" s="40"/>
      <c r="G850" s="40"/>
      <c r="H850" s="40"/>
    </row>
    <row r="851" spans="5:8">
      <c r="E851" s="40"/>
      <c r="F851" s="40"/>
      <c r="G851" s="40"/>
      <c r="H851" s="40"/>
    </row>
    <row r="852" spans="5:8">
      <c r="E852" s="40"/>
      <c r="F852" s="40"/>
      <c r="G852" s="40"/>
      <c r="H852" s="40"/>
    </row>
    <row r="853" spans="5:8">
      <c r="E853" s="40"/>
      <c r="F853" s="40"/>
      <c r="G853" s="40"/>
      <c r="H853" s="40"/>
    </row>
    <row r="854" spans="5:8">
      <c r="E854" s="40"/>
      <c r="F854" s="40"/>
      <c r="G854" s="40"/>
      <c r="H854" s="40"/>
    </row>
    <row r="855" spans="5:8">
      <c r="E855" s="40"/>
      <c r="F855" s="40"/>
      <c r="G855" s="40"/>
      <c r="H855" s="40"/>
    </row>
    <row r="856" spans="5:8">
      <c r="E856" s="40"/>
      <c r="F856" s="40"/>
      <c r="G856" s="40"/>
      <c r="H856" s="40"/>
    </row>
    <row r="857" spans="5:8">
      <c r="E857" s="40"/>
      <c r="F857" s="40"/>
      <c r="G857" s="40"/>
      <c r="H857" s="40"/>
    </row>
    <row r="858" spans="5:8">
      <c r="E858" s="40"/>
      <c r="F858" s="40"/>
      <c r="G858" s="40"/>
      <c r="H858" s="40"/>
    </row>
    <row r="859" spans="5:8">
      <c r="E859" s="40"/>
      <c r="F859" s="40"/>
      <c r="G859" s="40"/>
      <c r="H859" s="40"/>
    </row>
    <row r="860" spans="5:8">
      <c r="E860" s="40"/>
      <c r="F860" s="40"/>
      <c r="G860" s="40"/>
      <c r="H860" s="40"/>
    </row>
    <row r="861" spans="5:8">
      <c r="E861" s="40"/>
      <c r="F861" s="40"/>
      <c r="G861" s="40"/>
      <c r="H861" s="40"/>
    </row>
    <row r="862" spans="5:8">
      <c r="E862" s="40"/>
      <c r="F862" s="40"/>
      <c r="G862" s="40"/>
      <c r="H862" s="40"/>
    </row>
    <row r="863" spans="5:8">
      <c r="E863" s="40"/>
      <c r="F863" s="40"/>
      <c r="G863" s="40"/>
      <c r="H863" s="40"/>
    </row>
    <row r="864" spans="5:8">
      <c r="E864" s="40"/>
      <c r="F864" s="40"/>
      <c r="G864" s="40"/>
      <c r="H864" s="40"/>
    </row>
    <row r="865" spans="5:8">
      <c r="E865" s="40"/>
      <c r="F865" s="40"/>
      <c r="G865" s="40"/>
      <c r="H865" s="40"/>
    </row>
    <row r="866" spans="5:8">
      <c r="E866" s="40"/>
      <c r="F866" s="40"/>
      <c r="G866" s="40"/>
      <c r="H866" s="40"/>
    </row>
    <row r="867" spans="5:8">
      <c r="E867" s="40"/>
      <c r="F867" s="40"/>
      <c r="G867" s="40"/>
      <c r="H867" s="40"/>
    </row>
    <row r="868" spans="5:8">
      <c r="E868" s="40"/>
      <c r="F868" s="40"/>
      <c r="G868" s="40"/>
      <c r="H868" s="40"/>
    </row>
    <row r="869" spans="5:8">
      <c r="E869" s="40"/>
      <c r="F869" s="40"/>
      <c r="G869" s="40"/>
      <c r="H869" s="40"/>
    </row>
    <row r="870" spans="5:8">
      <c r="E870" s="40"/>
      <c r="F870" s="40"/>
      <c r="G870" s="40"/>
      <c r="H870" s="40"/>
    </row>
    <row r="871" spans="5:8">
      <c r="E871" s="40"/>
      <c r="F871" s="40"/>
      <c r="G871" s="40"/>
      <c r="H871" s="40"/>
    </row>
    <row r="872" spans="5:8">
      <c r="E872" s="40"/>
      <c r="F872" s="40"/>
      <c r="G872" s="40"/>
      <c r="H872" s="40"/>
    </row>
    <row r="873" spans="5:8">
      <c r="E873" s="40"/>
      <c r="F873" s="40"/>
      <c r="G873" s="40"/>
      <c r="H873" s="40"/>
    </row>
    <row r="874" spans="5:8">
      <c r="E874" s="40"/>
      <c r="F874" s="40"/>
      <c r="G874" s="40"/>
      <c r="H874" s="40"/>
    </row>
    <row r="875" spans="5:8">
      <c r="E875" s="40"/>
      <c r="F875" s="40"/>
      <c r="G875" s="40"/>
      <c r="H875" s="40"/>
    </row>
    <row r="876" spans="5:8">
      <c r="E876" s="40"/>
      <c r="F876" s="40"/>
      <c r="G876" s="40"/>
      <c r="H876" s="40"/>
    </row>
    <row r="877" spans="5:8">
      <c r="E877" s="40"/>
      <c r="F877" s="40"/>
      <c r="G877" s="40"/>
      <c r="H877" s="40"/>
    </row>
    <row r="878" spans="5:8">
      <c r="E878" s="40"/>
      <c r="F878" s="40"/>
      <c r="G878" s="40"/>
      <c r="H878" s="40"/>
    </row>
    <row r="879" spans="5:8">
      <c r="E879" s="40"/>
      <c r="F879" s="40"/>
      <c r="G879" s="40"/>
      <c r="H879" s="40"/>
    </row>
    <row r="880" spans="5:8">
      <c r="E880" s="40"/>
      <c r="F880" s="40"/>
      <c r="G880" s="40"/>
      <c r="H880" s="40"/>
    </row>
    <row r="881" spans="5:8">
      <c r="E881" s="40"/>
      <c r="F881" s="40"/>
      <c r="G881" s="40"/>
      <c r="H881" s="40"/>
    </row>
    <row r="882" spans="5:8">
      <c r="E882" s="40"/>
      <c r="F882" s="40"/>
      <c r="G882" s="40"/>
      <c r="H882" s="40"/>
    </row>
    <row r="883" spans="5:8">
      <c r="E883" s="40"/>
      <c r="F883" s="40"/>
      <c r="G883" s="40"/>
      <c r="H883" s="40"/>
    </row>
    <row r="884" spans="5:8">
      <c r="E884" s="40"/>
      <c r="F884" s="40"/>
      <c r="G884" s="40"/>
      <c r="H884" s="40"/>
    </row>
    <row r="885" spans="5:8">
      <c r="E885" s="40"/>
      <c r="F885" s="40"/>
      <c r="G885" s="40"/>
      <c r="H885" s="40"/>
    </row>
    <row r="886" spans="5:8">
      <c r="E886" s="40"/>
      <c r="F886" s="40"/>
      <c r="G886" s="40"/>
      <c r="H886" s="40"/>
    </row>
    <row r="887" spans="5:8">
      <c r="E887" s="40"/>
      <c r="F887" s="40"/>
      <c r="G887" s="40"/>
      <c r="H887" s="40"/>
    </row>
    <row r="888" spans="5:8">
      <c r="E888" s="40"/>
      <c r="F888" s="40"/>
      <c r="G888" s="40"/>
      <c r="H888" s="40"/>
    </row>
    <row r="889" spans="5:8">
      <c r="E889" s="40"/>
      <c r="F889" s="40"/>
      <c r="G889" s="40"/>
      <c r="H889" s="40"/>
    </row>
    <row r="890" spans="5:8">
      <c r="E890" s="40"/>
      <c r="F890" s="40"/>
      <c r="G890" s="40"/>
      <c r="H890" s="40"/>
    </row>
    <row r="891" spans="5:8">
      <c r="E891" s="40"/>
      <c r="F891" s="40"/>
      <c r="G891" s="40"/>
      <c r="H891" s="40"/>
    </row>
    <row r="892" spans="5:8">
      <c r="E892" s="40"/>
      <c r="F892" s="40"/>
      <c r="G892" s="40"/>
      <c r="H892" s="40"/>
    </row>
    <row r="893" spans="5:8">
      <c r="E893" s="40"/>
      <c r="F893" s="40"/>
      <c r="G893" s="40"/>
      <c r="H893" s="40"/>
    </row>
    <row r="894" spans="5:8">
      <c r="E894" s="40"/>
      <c r="F894" s="40"/>
      <c r="G894" s="40"/>
      <c r="H894" s="40"/>
    </row>
    <row r="895" spans="5:8">
      <c r="E895" s="40"/>
      <c r="F895" s="40"/>
      <c r="G895" s="40"/>
      <c r="H895" s="40"/>
    </row>
    <row r="896" spans="5:8">
      <c r="E896" s="40"/>
      <c r="F896" s="40"/>
      <c r="G896" s="40"/>
      <c r="H896" s="40"/>
    </row>
    <row r="897" spans="5:8">
      <c r="E897" s="40"/>
      <c r="F897" s="40"/>
      <c r="G897" s="40"/>
      <c r="H897" s="40"/>
    </row>
    <row r="898" spans="5:8">
      <c r="E898" s="40"/>
      <c r="F898" s="40"/>
      <c r="G898" s="40"/>
      <c r="H898" s="40"/>
    </row>
    <row r="899" spans="5:8">
      <c r="E899" s="40"/>
      <c r="F899" s="40"/>
      <c r="G899" s="40"/>
      <c r="H899" s="40"/>
    </row>
    <row r="900" spans="5:8">
      <c r="E900" s="40"/>
      <c r="F900" s="40"/>
      <c r="G900" s="40"/>
      <c r="H900" s="40"/>
    </row>
    <row r="901" spans="5:8">
      <c r="E901" s="40"/>
      <c r="F901" s="40"/>
      <c r="G901" s="40"/>
      <c r="H901" s="40"/>
    </row>
    <row r="902" spans="5:8">
      <c r="E902" s="40"/>
      <c r="F902" s="40"/>
      <c r="G902" s="40"/>
      <c r="H902" s="40"/>
    </row>
    <row r="903" spans="5:8">
      <c r="E903" s="40"/>
      <c r="F903" s="40"/>
      <c r="G903" s="40"/>
      <c r="H903" s="40"/>
    </row>
    <row r="904" spans="5:8">
      <c r="E904" s="40"/>
      <c r="F904" s="40"/>
      <c r="G904" s="40"/>
      <c r="H904" s="40"/>
    </row>
    <row r="905" spans="5:8">
      <c r="E905" s="40"/>
      <c r="F905" s="40"/>
      <c r="G905" s="40"/>
      <c r="H905" s="40"/>
    </row>
    <row r="906" spans="5:8">
      <c r="E906" s="40"/>
      <c r="F906" s="40"/>
      <c r="G906" s="40"/>
      <c r="H906" s="40"/>
    </row>
    <row r="907" spans="5:8">
      <c r="E907" s="40"/>
      <c r="F907" s="40"/>
      <c r="G907" s="40"/>
      <c r="H907" s="40"/>
    </row>
    <row r="908" spans="5:8">
      <c r="E908" s="40"/>
      <c r="F908" s="40"/>
      <c r="G908" s="40"/>
      <c r="H908" s="40"/>
    </row>
    <row r="909" spans="5:8">
      <c r="E909" s="40"/>
      <c r="F909" s="40"/>
      <c r="G909" s="40"/>
      <c r="H909" s="40"/>
    </row>
    <row r="910" spans="5:8">
      <c r="E910" s="40"/>
      <c r="F910" s="40"/>
      <c r="G910" s="40"/>
      <c r="H910" s="40"/>
    </row>
    <row r="911" spans="5:8">
      <c r="E911" s="40"/>
      <c r="F911" s="40"/>
      <c r="G911" s="40"/>
      <c r="H911" s="40"/>
    </row>
    <row r="912" spans="5:8">
      <c r="E912" s="40"/>
      <c r="F912" s="40"/>
      <c r="G912" s="40"/>
      <c r="H912" s="40"/>
    </row>
    <row r="913" spans="5:8">
      <c r="E913" s="40"/>
      <c r="F913" s="40"/>
      <c r="G913" s="40"/>
      <c r="H913" s="40"/>
    </row>
    <row r="914" spans="5:8">
      <c r="E914" s="40"/>
      <c r="F914" s="40"/>
      <c r="G914" s="40"/>
      <c r="H914" s="40"/>
    </row>
    <row r="915" spans="5:8">
      <c r="E915" s="40"/>
      <c r="F915" s="40"/>
      <c r="G915" s="40"/>
      <c r="H915" s="40"/>
    </row>
    <row r="916" spans="5:8">
      <c r="E916" s="40"/>
      <c r="F916" s="40"/>
      <c r="G916" s="40"/>
      <c r="H916" s="40"/>
    </row>
    <row r="917" spans="5:8">
      <c r="E917" s="40"/>
      <c r="F917" s="40"/>
      <c r="G917" s="40"/>
      <c r="H917" s="40"/>
    </row>
    <row r="918" spans="5:8">
      <c r="E918" s="40"/>
      <c r="F918" s="40"/>
      <c r="G918" s="40"/>
      <c r="H918" s="40"/>
    </row>
    <row r="919" spans="5:8">
      <c r="E919" s="40"/>
      <c r="F919" s="40"/>
      <c r="G919" s="40"/>
      <c r="H919" s="40"/>
    </row>
    <row r="920" spans="5:8">
      <c r="E920" s="40"/>
      <c r="F920" s="40"/>
      <c r="G920" s="40"/>
      <c r="H920" s="40"/>
    </row>
    <row r="921" spans="5:8">
      <c r="E921" s="40"/>
      <c r="F921" s="40"/>
      <c r="G921" s="40"/>
      <c r="H921" s="40"/>
    </row>
    <row r="922" spans="5:8">
      <c r="E922" s="40"/>
      <c r="F922" s="40"/>
      <c r="G922" s="40"/>
      <c r="H922" s="40"/>
    </row>
    <row r="923" spans="5:8">
      <c r="E923" s="40"/>
      <c r="F923" s="40"/>
      <c r="G923" s="40"/>
      <c r="H923" s="40"/>
    </row>
    <row r="924" spans="5:8">
      <c r="E924" s="40"/>
      <c r="F924" s="40"/>
      <c r="G924" s="40"/>
      <c r="H924" s="40"/>
    </row>
    <row r="925" spans="5:8">
      <c r="E925" s="40"/>
      <c r="F925" s="40"/>
      <c r="G925" s="40"/>
      <c r="H925" s="40"/>
    </row>
    <row r="926" spans="5:8">
      <c r="E926" s="40"/>
      <c r="F926" s="40"/>
      <c r="G926" s="40"/>
      <c r="H926" s="40"/>
    </row>
    <row r="927" spans="5:8">
      <c r="E927" s="40"/>
      <c r="F927" s="40"/>
      <c r="G927" s="40"/>
      <c r="H927" s="40"/>
    </row>
    <row r="928" spans="5:8">
      <c r="E928" s="40"/>
      <c r="F928" s="40"/>
      <c r="G928" s="40"/>
      <c r="H928" s="40"/>
    </row>
    <row r="929" spans="5:8">
      <c r="E929" s="40"/>
      <c r="F929" s="40"/>
      <c r="G929" s="40"/>
      <c r="H929" s="40"/>
    </row>
    <row r="930" spans="5:8">
      <c r="E930" s="40"/>
      <c r="F930" s="40"/>
      <c r="G930" s="40"/>
      <c r="H930" s="40"/>
    </row>
    <row r="931" spans="5:8">
      <c r="E931" s="40"/>
      <c r="F931" s="40"/>
      <c r="G931" s="40"/>
      <c r="H931" s="40"/>
    </row>
    <row r="932" spans="5:8">
      <c r="E932" s="40"/>
      <c r="F932" s="40"/>
      <c r="G932" s="40"/>
      <c r="H932" s="40"/>
    </row>
    <row r="933" spans="5:8">
      <c r="E933" s="40"/>
      <c r="F933" s="40"/>
      <c r="G933" s="40"/>
      <c r="H933" s="40"/>
    </row>
    <row r="934" spans="5:8">
      <c r="E934" s="40"/>
      <c r="F934" s="40"/>
      <c r="G934" s="40"/>
      <c r="H934" s="40"/>
    </row>
    <row r="935" spans="5:8">
      <c r="E935" s="40"/>
      <c r="F935" s="40"/>
      <c r="G935" s="40"/>
      <c r="H935" s="40"/>
    </row>
    <row r="936" spans="5:8">
      <c r="E936" s="40"/>
      <c r="F936" s="40"/>
      <c r="G936" s="40"/>
      <c r="H936" s="40"/>
    </row>
    <row r="937" spans="5:8">
      <c r="E937" s="40"/>
      <c r="F937" s="40"/>
      <c r="G937" s="40"/>
      <c r="H937" s="40"/>
    </row>
    <row r="938" spans="5:8">
      <c r="E938" s="40"/>
      <c r="F938" s="40"/>
      <c r="G938" s="40"/>
      <c r="H938" s="40"/>
    </row>
    <row r="939" spans="5:8">
      <c r="E939" s="40"/>
      <c r="F939" s="40"/>
      <c r="G939" s="40"/>
      <c r="H939" s="40"/>
    </row>
    <row r="940" spans="5:8">
      <c r="E940" s="40"/>
      <c r="F940" s="40"/>
      <c r="G940" s="40"/>
      <c r="H940" s="40"/>
    </row>
    <row r="941" spans="5:8">
      <c r="E941" s="40"/>
      <c r="F941" s="40"/>
      <c r="G941" s="40"/>
      <c r="H941" s="40"/>
    </row>
    <row r="942" spans="5:8">
      <c r="E942" s="40"/>
      <c r="F942" s="40"/>
      <c r="G942" s="40"/>
      <c r="H942" s="40"/>
    </row>
    <row r="943" spans="5:8">
      <c r="E943" s="40"/>
      <c r="F943" s="40"/>
      <c r="G943" s="40"/>
      <c r="H943" s="40"/>
    </row>
    <row r="944" spans="5:8">
      <c r="E944" s="40"/>
      <c r="F944" s="40"/>
      <c r="G944" s="40"/>
      <c r="H944" s="40"/>
    </row>
    <row r="945" spans="5:8">
      <c r="E945" s="40"/>
      <c r="F945" s="40"/>
      <c r="G945" s="40"/>
      <c r="H945" s="40"/>
    </row>
    <row r="946" spans="5:8">
      <c r="E946" s="40"/>
      <c r="F946" s="40"/>
      <c r="G946" s="40"/>
      <c r="H946" s="40"/>
    </row>
    <row r="947" spans="5:8">
      <c r="E947" s="40"/>
      <c r="F947" s="40"/>
      <c r="G947" s="40"/>
      <c r="H947" s="40"/>
    </row>
    <row r="948" spans="5:8">
      <c r="E948" s="40"/>
      <c r="F948" s="40"/>
      <c r="G948" s="40"/>
      <c r="H948" s="40"/>
    </row>
    <row r="949" spans="5:8">
      <c r="E949" s="40"/>
      <c r="F949" s="40"/>
      <c r="G949" s="40"/>
      <c r="H949" s="40"/>
    </row>
    <row r="950" spans="5:8">
      <c r="E950" s="40"/>
      <c r="F950" s="40"/>
      <c r="G950" s="40"/>
      <c r="H950" s="40"/>
    </row>
    <row r="951" spans="5:8">
      <c r="E951" s="40"/>
      <c r="F951" s="40"/>
      <c r="G951" s="40"/>
      <c r="H951" s="40"/>
    </row>
    <row r="952" spans="5:8">
      <c r="E952" s="40"/>
      <c r="F952" s="40"/>
      <c r="G952" s="40"/>
      <c r="H952" s="40"/>
    </row>
    <row r="953" spans="5:8">
      <c r="E953" s="40"/>
      <c r="F953" s="40"/>
      <c r="G953" s="40"/>
      <c r="H953" s="40"/>
    </row>
    <row r="954" spans="5:8">
      <c r="E954" s="40"/>
      <c r="F954" s="40"/>
      <c r="G954" s="40"/>
      <c r="H954" s="40"/>
    </row>
    <row r="955" spans="5:8">
      <c r="E955" s="40"/>
      <c r="F955" s="40"/>
      <c r="G955" s="40"/>
      <c r="H955" s="40"/>
    </row>
    <row r="956" spans="5:8">
      <c r="E956" s="40"/>
      <c r="F956" s="40"/>
      <c r="G956" s="40"/>
      <c r="H956" s="40"/>
    </row>
    <row r="957" spans="5:8">
      <c r="E957" s="40"/>
      <c r="F957" s="40"/>
      <c r="G957" s="40"/>
      <c r="H957" s="40"/>
    </row>
    <row r="958" spans="5:8">
      <c r="E958" s="40"/>
      <c r="F958" s="40"/>
      <c r="G958" s="40"/>
      <c r="H958" s="40"/>
    </row>
    <row r="959" spans="5:8">
      <c r="E959" s="40"/>
      <c r="F959" s="40"/>
      <c r="G959" s="40"/>
      <c r="H959" s="40"/>
    </row>
    <row r="960" spans="5:8">
      <c r="E960" s="40"/>
      <c r="F960" s="40"/>
      <c r="G960" s="40"/>
      <c r="H960" s="40"/>
    </row>
    <row r="961" spans="5:8">
      <c r="E961" s="40"/>
      <c r="F961" s="40"/>
      <c r="G961" s="40"/>
      <c r="H961" s="40"/>
    </row>
    <row r="962" spans="5:8">
      <c r="E962" s="40"/>
      <c r="F962" s="40"/>
      <c r="G962" s="40"/>
      <c r="H962" s="40"/>
    </row>
    <row r="963" spans="5:8">
      <c r="E963" s="40"/>
      <c r="F963" s="40"/>
      <c r="G963" s="40"/>
      <c r="H963" s="40"/>
    </row>
    <row r="964" spans="5:8">
      <c r="E964" s="40"/>
      <c r="F964" s="40"/>
      <c r="G964" s="40"/>
      <c r="H964" s="40"/>
    </row>
    <row r="965" spans="5:8">
      <c r="E965" s="40"/>
      <c r="F965" s="40"/>
      <c r="G965" s="40"/>
      <c r="H965" s="40"/>
    </row>
    <row r="966" spans="5:8">
      <c r="E966" s="40"/>
      <c r="F966" s="40"/>
      <c r="G966" s="40"/>
      <c r="H966" s="4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M13"/>
  <sheetViews>
    <sheetView workbookViewId="0">
      <selection activeCell="A14" sqref="A14"/>
    </sheetView>
  </sheetViews>
  <sheetFormatPr defaultColWidth="12.5703125" defaultRowHeight="15" customHeight="1"/>
  <cols>
    <col min="1" max="16384" width="12.5703125" style="31"/>
  </cols>
  <sheetData>
    <row r="1" spans="1:13" ht="15.75">
      <c r="A1" s="27" t="s">
        <v>284</v>
      </c>
      <c r="C1" s="28" t="s">
        <v>285</v>
      </c>
      <c r="J1" s="27"/>
      <c r="M1" s="29"/>
    </row>
    <row r="2" spans="1:13" ht="15" customHeight="1">
      <c r="A2" s="28"/>
    </row>
    <row r="3" spans="1:13" ht="15" customHeight="1">
      <c r="A3" s="28" t="s">
        <v>286</v>
      </c>
    </row>
    <row r="4" spans="1:13" ht="15" customHeight="1">
      <c r="A4" s="30"/>
      <c r="J4" s="30"/>
    </row>
    <row r="6" spans="1:13">
      <c r="A6" s="27" t="s">
        <v>287</v>
      </c>
    </row>
    <row r="8" spans="1:13" ht="15" customHeight="1">
      <c r="A8" s="28" t="s">
        <v>288</v>
      </c>
    </row>
    <row r="11" spans="1:13" ht="15" customHeight="1">
      <c r="A11" s="27" t="s">
        <v>289</v>
      </c>
    </row>
    <row r="12" spans="1:13" ht="15" customHeight="1">
      <c r="A12" s="30"/>
      <c r="J12" s="30"/>
    </row>
    <row r="13" spans="1:13" ht="15" customHeight="1">
      <c r="A13" s="28" t="s">
        <v>290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LiD Calculator</vt:lpstr>
      <vt:lpstr>Decals</vt:lpstr>
      <vt:lpstr>Fighters</vt:lpstr>
      <vt:lpstr>Weapons</vt:lpstr>
      <vt:lpstr>Lists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Mascoutah Yard</dc:creator>
  <cp:lastModifiedBy>Mascoutah Yard</cp:lastModifiedBy>
  <dcterms:created xsi:type="dcterms:W3CDTF">2025-11-12T13:57:32Z</dcterms:created>
  <dcterms:modified xsi:type="dcterms:W3CDTF">2025-11-20T21:38:26Z</dcterms:modified>
</cp:coreProperties>
</file>