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urmeier-my.sharepoint.com/personal/mascoutah_surmeier_com/Documents/Desktop/Useful Documents/Projects/"/>
    </mc:Choice>
  </mc:AlternateContent>
  <xr:revisionPtr revIDLastSave="2162" documentId="11_8553CDACC7550BBEDDBDCDB16F855A7CD9EB238D" xr6:coauthVersionLast="47" xr6:coauthVersionMax="47" xr10:uidLastSave="{1D071672-30B2-4328-AAC5-C00852AEDE24}"/>
  <bookViews>
    <workbookView xWindow="-120" yWindow="-120" windowWidth="29040" windowHeight="15840" xr2:uid="{00000000-000D-0000-FFFF-FFFF00000000}"/>
  </bookViews>
  <sheets>
    <sheet name="LiD Calculator" sheetId="1" r:id="rId1"/>
    <sheet name="Decals" sheetId="2" r:id="rId2"/>
    <sheet name="Fighters" sheetId="6" r:id="rId3"/>
    <sheet name="Weapons" sheetId="7" r:id="rId4"/>
    <sheet name="Weapon Moves" sheetId="9" r:id="rId5"/>
    <sheet name="Lists" sheetId="3" r:id="rId6"/>
    <sheet name="Notes" sheetId="4" r:id="rId7"/>
  </sheets>
  <definedNames>
    <definedName name="_xlnm._FilterDatabase" localSheetId="1" hidden="1">Decals!$A$1:$Z$178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YLD8iuuatnypr0BgccKy1LA7xpobRz7VyycG6gyqw5I="/>
    </ext>
  </extLst>
</workbook>
</file>

<file path=xl/calcChain.xml><?xml version="1.0" encoding="utf-8"?>
<calcChain xmlns="http://schemas.openxmlformats.org/spreadsheetml/2006/main">
  <c r="B24" i="1" l="1"/>
  <c r="K14" i="1"/>
  <c r="K15" i="1"/>
  <c r="K16" i="1"/>
  <c r="K17" i="1"/>
  <c r="K18" i="1"/>
  <c r="K19" i="1"/>
  <c r="K20" i="1"/>
  <c r="K21" i="1"/>
  <c r="J14" i="1"/>
  <c r="J15" i="1"/>
  <c r="J16" i="1"/>
  <c r="J17" i="1"/>
  <c r="J18" i="1"/>
  <c r="J19" i="1"/>
  <c r="J20" i="1"/>
  <c r="J21" i="1"/>
  <c r="K13" i="1"/>
  <c r="J13" i="1"/>
  <c r="J4" i="1"/>
  <c r="S8" i="1"/>
  <c r="S7" i="1"/>
  <c r="S6" i="1"/>
  <c r="S5" i="1"/>
  <c r="S4" i="1"/>
  <c r="S3" i="1"/>
  <c r="S2" i="1"/>
  <c r="Q8" i="1"/>
  <c r="Q7" i="1"/>
  <c r="Q6" i="1"/>
  <c r="Q5" i="1"/>
  <c r="Q4" i="1"/>
  <c r="Q3" i="1"/>
  <c r="Q2" i="1"/>
  <c r="G13" i="1" l="1"/>
  <c r="F14" i="1"/>
  <c r="G14" i="1"/>
  <c r="H14" i="1"/>
  <c r="I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F15" i="1"/>
  <c r="G15" i="1"/>
  <c r="H15" i="1"/>
  <c r="I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F16" i="1"/>
  <c r="G16" i="1"/>
  <c r="H16" i="1"/>
  <c r="I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F17" i="1"/>
  <c r="G17" i="1"/>
  <c r="H17" i="1"/>
  <c r="I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F18" i="1"/>
  <c r="G18" i="1"/>
  <c r="H18" i="1"/>
  <c r="I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F19" i="1"/>
  <c r="G19" i="1"/>
  <c r="H19" i="1"/>
  <c r="I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F20" i="1"/>
  <c r="G20" i="1"/>
  <c r="H20" i="1"/>
  <c r="I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F21" i="1"/>
  <c r="G21" i="1"/>
  <c r="H21" i="1"/>
  <c r="I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I13" i="1"/>
  <c r="H13" i="1"/>
  <c r="F13" i="1"/>
  <c r="N5" i="1"/>
  <c r="J5" i="1"/>
  <c r="J6" i="1"/>
  <c r="N8" i="1"/>
  <c r="N7" i="1"/>
  <c r="N6" i="1"/>
  <c r="J8" i="1"/>
  <c r="L8" i="1"/>
  <c r="L7" i="1"/>
  <c r="B5" i="1" a="1"/>
  <c r="B5" i="1" s="1"/>
  <c r="C5" i="1" a="1"/>
  <c r="C5" i="1" s="1"/>
  <c r="D5" i="1" a="1"/>
  <c r="D5" i="1" s="1"/>
  <c r="E5" i="1" a="1"/>
  <c r="E5" i="1" s="1"/>
  <c r="F5" i="1" a="1"/>
  <c r="F5" i="1" s="1"/>
  <c r="G5" i="1" s="1"/>
  <c r="A5" i="1" a="1"/>
  <c r="A5" i="1" s="1"/>
  <c r="O30" i="1" l="1"/>
  <c r="C32" i="1"/>
  <c r="C31" i="1"/>
  <c r="V24" i="1"/>
  <c r="K28" i="1" s="1"/>
  <c r="AA24" i="1"/>
  <c r="AB24" i="1"/>
  <c r="Y24" i="1"/>
  <c r="X24" i="1"/>
  <c r="I28" i="1" s="1"/>
  <c r="W24" i="1"/>
  <c r="L28" i="1" s="1"/>
  <c r="T24" i="1"/>
  <c r="G28" i="1" s="1"/>
  <c r="Z24" i="1"/>
  <c r="U24" i="1"/>
  <c r="H28" i="1" s="1"/>
  <c r="K24" i="1"/>
  <c r="E24" i="1"/>
  <c r="G24" i="1"/>
  <c r="J24" i="1"/>
  <c r="I24" i="1"/>
  <c r="M24" i="1"/>
  <c r="N24" i="1"/>
  <c r="H24" i="1"/>
  <c r="L24" i="1"/>
  <c r="J7" i="1"/>
  <c r="AC18" i="1" l="1"/>
  <c r="F24" i="1" s="1"/>
  <c r="AC20" i="1"/>
  <c r="AC19" i="1"/>
  <c r="AC16" i="1"/>
  <c r="AC14" i="1"/>
  <c r="AC13" i="1"/>
  <c r="AC21" i="1"/>
  <c r="AC15" i="1"/>
  <c r="P24" i="1" s="1"/>
  <c r="C28" i="1" s="1"/>
  <c r="AC17" i="1"/>
  <c r="C24" i="1" l="1"/>
  <c r="S24" i="1"/>
  <c r="F28" i="1" s="1"/>
  <c r="D24" i="1"/>
  <c r="Q24" i="1"/>
  <c r="D28" i="1" s="1"/>
  <c r="A24" i="1"/>
  <c r="R24" i="1"/>
  <c r="E28" i="1" s="1"/>
  <c r="O24" i="1"/>
  <c r="B28" i="1" s="1"/>
  <c r="A28" i="1" l="1"/>
  <c r="G31" i="1" s="1"/>
  <c r="K31" i="1" s="1"/>
  <c r="O31" i="1" s="1"/>
  <c r="G32" i="1" l="1"/>
  <c r="K32" i="1" s="1"/>
  <c r="O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<sst xmlns="http://schemas.openxmlformats.org/spreadsheetml/2006/main" count="1485" uniqueCount="513">
  <si>
    <t>ATK</t>
  </si>
  <si>
    <t>Assault Rifle</t>
  </si>
  <si>
    <t>RAW TYPE</t>
  </si>
  <si>
    <t>Piercing</t>
  </si>
  <si>
    <t>ELEMENT TYPE</t>
  </si>
  <si>
    <t>None</t>
  </si>
  <si>
    <t>Decals</t>
  </si>
  <si>
    <t>Name</t>
  </si>
  <si>
    <t>A GRP</t>
  </si>
  <si>
    <t>C GRP</t>
  </si>
  <si>
    <t>REQ WEP</t>
  </si>
  <si>
    <t>REQ ELE</t>
  </si>
  <si>
    <t>REQ FAC</t>
  </si>
  <si>
    <t>ATK *</t>
  </si>
  <si>
    <t>ATK 2 *</t>
  </si>
  <si>
    <t>HS *</t>
  </si>
  <si>
    <t>CRIT %</t>
  </si>
  <si>
    <t>CRIT *</t>
  </si>
  <si>
    <t>EXPLOSIVE</t>
  </si>
  <si>
    <t>Professional Cosplayer</t>
  </si>
  <si>
    <t>Joker</t>
  </si>
  <si>
    <t>Barbarian</t>
  </si>
  <si>
    <t>Critical Attack</t>
  </si>
  <si>
    <t>Assault Rifle Addict</t>
  </si>
  <si>
    <t>Golden Gym</t>
  </si>
  <si>
    <t>Five-leaf Clover</t>
  </si>
  <si>
    <t>Serial Killer</t>
  </si>
  <si>
    <t>NAME</t>
  </si>
  <si>
    <t>RAGE DMG *</t>
  </si>
  <si>
    <t>HP &lt;= 15%</t>
  </si>
  <si>
    <t>HP 100%</t>
  </si>
  <si>
    <t>DOWN ATK *</t>
  </si>
  <si>
    <t>REQS</t>
  </si>
  <si>
    <t>Comments</t>
  </si>
  <si>
    <t>Super Hero</t>
  </si>
  <si>
    <t>Legendary Hero</t>
  </si>
  <si>
    <t>Bull</t>
  </si>
  <si>
    <t>Raging Bull</t>
  </si>
  <si>
    <t>Dumbbell</t>
  </si>
  <si>
    <t>Barbell</t>
  </si>
  <si>
    <t>Judge's Gavel</t>
  </si>
  <si>
    <t>One Shot One Kill</t>
  </si>
  <si>
    <t>Dual Wielding Master</t>
  </si>
  <si>
    <t>Master Builder</t>
  </si>
  <si>
    <t>DOD</t>
  </si>
  <si>
    <t>Drill Sergeant</t>
  </si>
  <si>
    <t>WE</t>
  </si>
  <si>
    <t>Wizard</t>
  </si>
  <si>
    <t>CW</t>
  </si>
  <si>
    <t>Medalist</t>
  </si>
  <si>
    <t>MILK</t>
  </si>
  <si>
    <t>Samurai</t>
  </si>
  <si>
    <t>Slash</t>
  </si>
  <si>
    <t>Slugger</t>
  </si>
  <si>
    <t>Blunt</t>
  </si>
  <si>
    <t>Firestarter</t>
  </si>
  <si>
    <t>Fire</t>
  </si>
  <si>
    <t>Electrifier</t>
  </si>
  <si>
    <t>Electric</t>
  </si>
  <si>
    <t>Hornet</t>
  </si>
  <si>
    <t>Poison</t>
  </si>
  <si>
    <t>Giant Killer</t>
  </si>
  <si>
    <t>Four-leaf Clover</t>
  </si>
  <si>
    <t>Superalloy</t>
  </si>
  <si>
    <t>Dengeki Playstation</t>
  </si>
  <si>
    <t>Self-Defense</t>
  </si>
  <si>
    <t>Hammer Addict</t>
  </si>
  <si>
    <t>Hammer</t>
  </si>
  <si>
    <t>Machete Addict</t>
  </si>
  <si>
    <t>Machete</t>
  </si>
  <si>
    <t>Saber Addict</t>
  </si>
  <si>
    <t>Saber</t>
  </si>
  <si>
    <t>Fireworks Addict</t>
  </si>
  <si>
    <t>Fireworks</t>
  </si>
  <si>
    <t>Trump Card</t>
  </si>
  <si>
    <t>Iron Addict</t>
  </si>
  <si>
    <t>Iron</t>
  </si>
  <si>
    <t>Crossbow Addict</t>
  </si>
  <si>
    <t>Crossbow</t>
  </si>
  <si>
    <t>Katana Addict</t>
  </si>
  <si>
    <t>Katana</t>
  </si>
  <si>
    <t>Hockey Addict</t>
  </si>
  <si>
    <t>Hockey Stick</t>
  </si>
  <si>
    <t>Panther Mode</t>
  </si>
  <si>
    <t>Jupiter Style</t>
  </si>
  <si>
    <t>Durga Angel</t>
  </si>
  <si>
    <t>Crowd Pleaser</t>
  </si>
  <si>
    <t>Cerberus</t>
  </si>
  <si>
    <t>Trigger Happy</t>
  </si>
  <si>
    <t>HP 100%: Requires Assault Rife</t>
  </si>
  <si>
    <t>Tiger II</t>
  </si>
  <si>
    <t>Chi-Ha</t>
  </si>
  <si>
    <t>T95E2</t>
  </si>
  <si>
    <t>INVADER (WoT)</t>
  </si>
  <si>
    <t>Full Metal Jacket</t>
  </si>
  <si>
    <t>Sniper Rifle</t>
  </si>
  <si>
    <t>Hagakure</t>
  </si>
  <si>
    <t>Buzzsaw Addict</t>
  </si>
  <si>
    <t>Buzzsaw</t>
  </si>
  <si>
    <t>Magnum Addict</t>
  </si>
  <si>
    <t>Magnum</t>
  </si>
  <si>
    <t>Sword Addict</t>
  </si>
  <si>
    <t>Sword</t>
  </si>
  <si>
    <t>Poison Master</t>
  </si>
  <si>
    <t>Sniper Rifle Addict</t>
  </si>
  <si>
    <t>Chopper Addict</t>
  </si>
  <si>
    <t>Chopper</t>
  </si>
  <si>
    <t>Claw Addict</t>
  </si>
  <si>
    <t>Claw</t>
  </si>
  <si>
    <t>Night Assassin</t>
  </si>
  <si>
    <t>Knife</t>
  </si>
  <si>
    <t>Knife Addict</t>
  </si>
  <si>
    <t>Chainsaw Addict</t>
  </si>
  <si>
    <t>Chainsaw</t>
  </si>
  <si>
    <t>Pitching Addict</t>
  </si>
  <si>
    <t>Pitching</t>
  </si>
  <si>
    <t>Pinch Hitter</t>
  </si>
  <si>
    <t>Bat</t>
  </si>
  <si>
    <t>Bowling Addict</t>
  </si>
  <si>
    <t>Bowling Ball</t>
  </si>
  <si>
    <t>Bat Addict</t>
  </si>
  <si>
    <t>Rocket Launcher Addict</t>
  </si>
  <si>
    <t>Rocket Launcher</t>
  </si>
  <si>
    <t>Con Smith</t>
  </si>
  <si>
    <t>Samantha</t>
  </si>
  <si>
    <t>Kevin Smith</t>
  </si>
  <si>
    <t>Dan Smith</t>
  </si>
  <si>
    <t>KAEDE Smith</t>
  </si>
  <si>
    <t>Mask De Smith</t>
  </si>
  <si>
    <t>Garcian Smith</t>
  </si>
  <si>
    <t>Pickaxe Addict</t>
  </si>
  <si>
    <t>Pickaxe</t>
  </si>
  <si>
    <t>Axe Addict</t>
  </si>
  <si>
    <t>Axe</t>
  </si>
  <si>
    <t>Shotgun Addict</t>
  </si>
  <si>
    <t>Shotgun</t>
  </si>
  <si>
    <t>Hammerhead</t>
  </si>
  <si>
    <t>Gravedigger</t>
  </si>
  <si>
    <t>Shovel</t>
  </si>
  <si>
    <t>Corkscrew Punch</t>
  </si>
  <si>
    <t>Boxing Gloves</t>
  </si>
  <si>
    <t>Boxing Addict</t>
  </si>
  <si>
    <t>Fire Baton Addict</t>
  </si>
  <si>
    <t>Fire Baton</t>
  </si>
  <si>
    <t>Drill Addict</t>
  </si>
  <si>
    <t>Drill</t>
  </si>
  <si>
    <t>Thunder Road</t>
  </si>
  <si>
    <t>Motorcycle</t>
  </si>
  <si>
    <t>Vigilante</t>
  </si>
  <si>
    <t>Fire Rod Addict</t>
  </si>
  <si>
    <t>Fire Rod</t>
  </si>
  <si>
    <t>Motorcycle Addict</t>
  </si>
  <si>
    <t>Welding Gun Addict</t>
  </si>
  <si>
    <t>Welding Gun</t>
  </si>
  <si>
    <t>Don Quixote</t>
  </si>
  <si>
    <t>Drill Mole</t>
  </si>
  <si>
    <t>Nail Gun Addict</t>
  </si>
  <si>
    <t>Nail Gun</t>
  </si>
  <si>
    <t>Shovel Addict</t>
  </si>
  <si>
    <t>Flamethrower Addict</t>
  </si>
  <si>
    <t>Flamethrower</t>
  </si>
  <si>
    <t>Flashdance</t>
  </si>
  <si>
    <t>ANGRY MAMA</t>
  </si>
  <si>
    <t>Death Hunt</t>
  </si>
  <si>
    <t>Requires Shotgun</t>
  </si>
  <si>
    <t>Stun Rod Addict</t>
  </si>
  <si>
    <t>Stun Rod</t>
  </si>
  <si>
    <t>Shuriken Addict</t>
  </si>
  <si>
    <t>Shuriken</t>
  </si>
  <si>
    <t>Thunder Rod Addict</t>
  </si>
  <si>
    <t>Thunder Rod</t>
  </si>
  <si>
    <t>TRAVIS TOUCHDOWN (NMH)</t>
  </si>
  <si>
    <t>Requires Machete</t>
  </si>
  <si>
    <t>SYLVIA CHRISTEL (NMH)</t>
  </si>
  <si>
    <t>Requires Full Matching Armor</t>
  </si>
  <si>
    <t>SHINOBU (NMH)</t>
  </si>
  <si>
    <t>Requires Katana</t>
  </si>
  <si>
    <t>SPEED BUSTER (NMH)</t>
  </si>
  <si>
    <t>Requires DOD</t>
  </si>
  <si>
    <t>DESTROYMAN (NMH)</t>
  </si>
  <si>
    <t>Requires Candle Wolf</t>
  </si>
  <si>
    <t>HOLLY SUMMERS (NMH)</t>
  </si>
  <si>
    <t>Requires War Ensemble</t>
  </si>
  <si>
    <t>BAD GIRL (NMH)</t>
  </si>
  <si>
    <t>Requires MILK</t>
  </si>
  <si>
    <t>HENRY (NMH)</t>
  </si>
  <si>
    <t>ATK 2: Perfect Guard</t>
  </si>
  <si>
    <t>Musketeer</t>
  </si>
  <si>
    <t>Lumberjack</t>
  </si>
  <si>
    <t>Bazooka Wake-Up</t>
  </si>
  <si>
    <t>ATK 2: Final Round</t>
  </si>
  <si>
    <t>Spear Addict</t>
  </si>
  <si>
    <t>Spear</t>
  </si>
  <si>
    <t>Warrior Monk</t>
  </si>
  <si>
    <t>Great Hero</t>
  </si>
  <si>
    <t>Requires Sword</t>
  </si>
  <si>
    <t>CENTER FORWARD</t>
  </si>
  <si>
    <t>Requires Hockey Stick</t>
  </si>
  <si>
    <t>Invader</t>
  </si>
  <si>
    <t>TDM Only</t>
  </si>
  <si>
    <t>Dragonfire</t>
  </si>
  <si>
    <t>Requires Flamethrower</t>
  </si>
  <si>
    <t>Jungle Tiger</t>
  </si>
  <si>
    <t>Flail Addict</t>
  </si>
  <si>
    <t>Flail</t>
  </si>
  <si>
    <t>Six-leaf Clover</t>
  </si>
  <si>
    <t>Salamander</t>
  </si>
  <si>
    <t>Requires Fire Rod</t>
  </si>
  <si>
    <t>Firewheel</t>
  </si>
  <si>
    <t>Perfect Closer</t>
  </si>
  <si>
    <t>Pitching Machine</t>
  </si>
  <si>
    <t>ATK 2: Random with Full Set</t>
  </si>
  <si>
    <t>Archery Addict</t>
  </si>
  <si>
    <t>Archer's Bow</t>
  </si>
  <si>
    <t>Local Butcher</t>
  </si>
  <si>
    <t>Niten Ichi-ryu</t>
  </si>
  <si>
    <t>Requires Dual Wield Same Weapon</t>
  </si>
  <si>
    <t>King of Coal</t>
  </si>
  <si>
    <t>Pro Bowler</t>
  </si>
  <si>
    <t>ATK 2: Random on Triple Strike</t>
  </si>
  <si>
    <t>Chimera</t>
  </si>
  <si>
    <t>TDM Defense Only</t>
  </si>
  <si>
    <t>Timber Addict</t>
  </si>
  <si>
    <t>Timber</t>
  </si>
  <si>
    <t>Bandit</t>
  </si>
  <si>
    <t>Stun Gun Addict</t>
  </si>
  <si>
    <t>Stun Gun</t>
  </si>
  <si>
    <t>Electric Bop</t>
  </si>
  <si>
    <t>Lion Dance Addict</t>
  </si>
  <si>
    <t>Lion Dance Knuckle</t>
  </si>
  <si>
    <t>Lion Man</t>
  </si>
  <si>
    <t>Requires Lion Dance Knuckle</t>
  </si>
  <si>
    <t>Billy the Kid</t>
  </si>
  <si>
    <t>Spin Master</t>
  </si>
  <si>
    <t>Requires Yo-Yo</t>
  </si>
  <si>
    <t>Yo-Yo Addict</t>
  </si>
  <si>
    <t>Yo-Yo</t>
  </si>
  <si>
    <t>Below the Belt</t>
  </si>
  <si>
    <t>Final Hero</t>
  </si>
  <si>
    <t>Superalloy Death Zam</t>
  </si>
  <si>
    <t>ATK 2: Enemy HP &gt;= 70%</t>
  </si>
  <si>
    <t>Rio Bravo</t>
  </si>
  <si>
    <t>Special Unit Captain</t>
  </si>
  <si>
    <t>Uncle-D2 (DEATHVERSE)</t>
  </si>
  <si>
    <t>Queen B (DEATHVERSE)</t>
  </si>
  <si>
    <t>Queen of the Wolves</t>
  </si>
  <si>
    <t>Blacksmith</t>
  </si>
  <si>
    <t>Violence Class</t>
  </si>
  <si>
    <t>Precocious Bouncer</t>
  </si>
  <si>
    <t>Poison General</t>
  </si>
  <si>
    <t>One Way Ticket</t>
  </si>
  <si>
    <t>Dog Day Afternoon</t>
  </si>
  <si>
    <t>Fire Angel</t>
  </si>
  <si>
    <t>Grand Master Builder</t>
  </si>
  <si>
    <t>Hellish Drill Sergeant</t>
  </si>
  <si>
    <t>Electro Beast</t>
  </si>
  <si>
    <t>Arch Wizard</t>
  </si>
  <si>
    <t>Queen Of Spades</t>
  </si>
  <si>
    <t>Platinum Medalist</t>
  </si>
  <si>
    <t>Magic Fencer</t>
  </si>
  <si>
    <t>Requires (Blunt or Slash) + (Fire, Electric, or Poison)</t>
  </si>
  <si>
    <t>WEAPON TYPES</t>
  </si>
  <si>
    <t>LUK</t>
  </si>
  <si>
    <t>Crit Chance</t>
  </si>
  <si>
    <t>Attack Damage Formula</t>
  </si>
  <si>
    <t>(Current working formula. Will be changed as better information is gathered)</t>
  </si>
  <si>
    <t>Defense Formula</t>
  </si>
  <si>
    <t>1.1 +((DEF * FUN * (VIT + 25)) / 23200)</t>
  </si>
  <si>
    <t>Final Damage Calculation</t>
  </si>
  <si>
    <t>ATK FORM / DEF FORM</t>
  </si>
  <si>
    <t>GRADE</t>
  </si>
  <si>
    <t>ALL-ROUNDER</t>
  </si>
  <si>
    <t>HP</t>
  </si>
  <si>
    <t>STM</t>
  </si>
  <si>
    <t>STR</t>
  </si>
  <si>
    <t>DEX</t>
  </si>
  <si>
    <t>VIT</t>
  </si>
  <si>
    <t>STRIKER</t>
  </si>
  <si>
    <t>DEFENDER</t>
  </si>
  <si>
    <t>ATTACKER</t>
  </si>
  <si>
    <t>SHOOTER</t>
  </si>
  <si>
    <t>COLLECTOR</t>
  </si>
  <si>
    <t>SKILL MASTER</t>
  </si>
  <si>
    <t>LUCKY STAR</t>
  </si>
  <si>
    <t>FIGHTER CLASS</t>
  </si>
  <si>
    <t>FIGHTER CLASSES</t>
  </si>
  <si>
    <t>All-rounder</t>
  </si>
  <si>
    <t>Striker</t>
  </si>
  <si>
    <t>Defender</t>
  </si>
  <si>
    <t>Attacker</t>
  </si>
  <si>
    <t>Shooter</t>
  </si>
  <si>
    <t>Collector</t>
  </si>
  <si>
    <t>Skill Master</t>
  </si>
  <si>
    <t>Lucky Star</t>
  </si>
  <si>
    <t>SELECT FIGHTER</t>
  </si>
  <si>
    <t>Faction</t>
  </si>
  <si>
    <t>Hands</t>
  </si>
  <si>
    <t>REQ</t>
  </si>
  <si>
    <t>T1</t>
  </si>
  <si>
    <t>T2</t>
  </si>
  <si>
    <t>T3</t>
  </si>
  <si>
    <t>T4</t>
  </si>
  <si>
    <t>B</t>
  </si>
  <si>
    <t>C</t>
  </si>
  <si>
    <t>A</t>
  </si>
  <si>
    <t>-</t>
  </si>
  <si>
    <t>D</t>
  </si>
  <si>
    <t>Spike Crusher</t>
  </si>
  <si>
    <t>Hell Spike Crusher</t>
  </si>
  <si>
    <t>Static Massager</t>
  </si>
  <si>
    <t>Viral Massager</t>
  </si>
  <si>
    <t>Assault Rifle RE</t>
  </si>
  <si>
    <t>M2G-87</t>
  </si>
  <si>
    <t>M2G-87 Mod.1 FireFly</t>
  </si>
  <si>
    <t>Sword RE</t>
  </si>
  <si>
    <t>Claws</t>
  </si>
  <si>
    <t>Death's Scythe</t>
  </si>
  <si>
    <t>Vajra of Light</t>
  </si>
  <si>
    <t>Vajra of God</t>
  </si>
  <si>
    <t>Head of Medusa</t>
  </si>
  <si>
    <t>Head of Euryale</t>
  </si>
  <si>
    <t>Mortal Bobslayer</t>
  </si>
  <si>
    <t>Immortal Bobslayer</t>
  </si>
  <si>
    <t>Jackal Sword</t>
  </si>
  <si>
    <t>Jackal Sword D</t>
  </si>
  <si>
    <t>Jackal Blaster</t>
  </si>
  <si>
    <t>Jackal Blaster D</t>
  </si>
  <si>
    <t>Jackal Yo-Yo</t>
  </si>
  <si>
    <t>Jackal Yo-Yo D</t>
  </si>
  <si>
    <t>Fists</t>
  </si>
  <si>
    <t>Yes</t>
  </si>
  <si>
    <t>Death's Scythe (Red)</t>
  </si>
  <si>
    <t>WA</t>
  </si>
  <si>
    <t>NONE</t>
  </si>
  <si>
    <t>RAGE</t>
  </si>
  <si>
    <t>GUARD POWER</t>
  </si>
  <si>
    <t>STAMINA</t>
  </si>
  <si>
    <t>RAW %</t>
  </si>
  <si>
    <t>E TYPE</t>
  </si>
  <si>
    <t>E %</t>
  </si>
  <si>
    <t>DEX %</t>
  </si>
  <si>
    <t>STR %</t>
  </si>
  <si>
    <t>9</t>
  </si>
  <si>
    <t>14</t>
  </si>
  <si>
    <t>19</t>
  </si>
  <si>
    <t>Beam Katana</t>
  </si>
  <si>
    <t>Demon Gun</t>
  </si>
  <si>
    <t>GLIDER</t>
  </si>
  <si>
    <t>Assault Rifle WoT</t>
  </si>
  <si>
    <t>Lion Dance Knuckles</t>
  </si>
  <si>
    <t>Motorcycle ZX</t>
  </si>
  <si>
    <t>Yes Knife</t>
  </si>
  <si>
    <t>No Knife</t>
  </si>
  <si>
    <t>SELECT WEAPON</t>
  </si>
  <si>
    <t>WEAPON</t>
  </si>
  <si>
    <t>TIER</t>
  </si>
  <si>
    <t>HEADSHOT</t>
  </si>
  <si>
    <t>OPTIONAL FUNSHOTS</t>
  </si>
  <si>
    <t>SLASH</t>
  </si>
  <si>
    <t>BLUNT</t>
  </si>
  <si>
    <t>PIERCE</t>
  </si>
  <si>
    <t>HEAD</t>
  </si>
  <si>
    <t>BODY</t>
  </si>
  <si>
    <t>LEG</t>
  </si>
  <si>
    <t>Type</t>
  </si>
  <si>
    <t>Scythe</t>
  </si>
  <si>
    <t>Bobslayer</t>
  </si>
  <si>
    <t>General formula (Formula is applied to weapon damage types separately)</t>
  </si>
  <si>
    <t>f(DAM1) + f(DAM2) = Final Attack Power</t>
  </si>
  <si>
    <t>SLASH *</t>
  </si>
  <si>
    <t>BLUNT *</t>
  </si>
  <si>
    <t>PIERCING *</t>
  </si>
  <si>
    <t>FIRE *</t>
  </si>
  <si>
    <t>ELECTRIC *</t>
  </si>
  <si>
    <t>POISON *</t>
  </si>
  <si>
    <t>ATK 2: After dodge, reset after attack</t>
  </si>
  <si>
    <t>ATK 2: After perfect guard, reset after attack</t>
  </si>
  <si>
    <t>TYPE</t>
  </si>
  <si>
    <t>RAW</t>
  </si>
  <si>
    <t>ELE</t>
  </si>
  <si>
    <t>HS</t>
  </si>
  <si>
    <t>HANDS</t>
  </si>
  <si>
    <t>FACTION</t>
  </si>
  <si>
    <t>REQ DAM</t>
  </si>
  <si>
    <t>FIRE,ELECTRIC,POISON</t>
  </si>
  <si>
    <t>SLASH,BLUNT</t>
  </si>
  <si>
    <t>MEETS REQS</t>
  </si>
  <si>
    <t>DAMAGE TYPE MODIFIERS</t>
  </si>
  <si>
    <t>CRIT MODIFIERS</t>
  </si>
  <si>
    <t>OTHER DAMAGE MODIFIERS</t>
  </si>
  <si>
    <t>FIRE</t>
  </si>
  <si>
    <t>ELECTRIC</t>
  </si>
  <si>
    <t>POISON</t>
  </si>
  <si>
    <t>DECAL ATK GROUPING MODIFIERS</t>
  </si>
  <si>
    <t>FINAL MODIFIERS</t>
  </si>
  <si>
    <t>BASE</t>
  </si>
  <si>
    <t>Sum</t>
  </si>
  <si>
    <t>Average</t>
  </si>
  <si>
    <t>Running Total</t>
  </si>
  <si>
    <t>Count</t>
  </si>
  <si>
    <t>SCALE VAL</t>
  </si>
  <si>
    <t>RAW BASE</t>
  </si>
  <si>
    <t>* BASE MOD</t>
  </si>
  <si>
    <t>* TYPE MOD</t>
  </si>
  <si>
    <t>* SCALE VAL</t>
  </si>
  <si>
    <t>ELEMENT BASE</t>
  </si>
  <si>
    <t>WP * ATK * MODS * FUN * Scale * Coeff * (1-RES)</t>
  </si>
  <si>
    <t>Move Name</t>
  </si>
  <si>
    <t>Coeff</t>
  </si>
  <si>
    <t>Move Name2</t>
  </si>
  <si>
    <t>Coeff3</t>
  </si>
  <si>
    <t>Move Name4</t>
  </si>
  <si>
    <t>Coeff5</t>
  </si>
  <si>
    <t>Move Name6</t>
  </si>
  <si>
    <t>Coeff7</t>
  </si>
  <si>
    <t>normal</t>
  </si>
  <si>
    <t>Move Name3</t>
  </si>
  <si>
    <t>Move Name5</t>
  </si>
  <si>
    <t>Move Name7</t>
  </si>
  <si>
    <t>Coeff2</t>
  </si>
  <si>
    <t>Coeff4</t>
  </si>
  <si>
    <t>Coeff6</t>
  </si>
  <si>
    <t>steam</t>
  </si>
  <si>
    <t>Rage</t>
  </si>
  <si>
    <t xml:space="preserve"> normal P2</t>
  </si>
  <si>
    <t xml:space="preserve"> normal P3</t>
  </si>
  <si>
    <t xml:space="preserve"> Rage p1</t>
  </si>
  <si>
    <t xml:space="preserve"> Rage p2</t>
  </si>
  <si>
    <t>alt attack</t>
  </si>
  <si>
    <t>normal P2</t>
  </si>
  <si>
    <t>normal P3</t>
  </si>
  <si>
    <t>backdrop</t>
  </si>
  <si>
    <t>dropkick</t>
  </si>
  <si>
    <t>3-ball rage</t>
  </si>
  <si>
    <t>yoyo combo</t>
  </si>
  <si>
    <t>alt attack yoyo</t>
  </si>
  <si>
    <t>L1 non-charged</t>
  </si>
  <si>
    <t xml:space="preserve"> L1 charged</t>
  </si>
  <si>
    <t xml:space="preserve"> L2 non-charged</t>
  </si>
  <si>
    <t xml:space="preserve"> L2 charged</t>
  </si>
  <si>
    <t>L2 P1</t>
  </si>
  <si>
    <t>L2 P2</t>
  </si>
  <si>
    <t xml:space="preserve"> R1</t>
  </si>
  <si>
    <t xml:space="preserve"> R2</t>
  </si>
  <si>
    <t>L2 P1 fire</t>
  </si>
  <si>
    <t>L2 P2 fire</t>
  </si>
  <si>
    <t>L2</t>
  </si>
  <si>
    <t xml:space="preserve"> normal P4</t>
  </si>
  <si>
    <t>normal L1 boosted</t>
  </si>
  <si>
    <t>L2 P3</t>
  </si>
  <si>
    <t>L1</t>
  </si>
  <si>
    <t xml:space="preserve"> normal p2</t>
  </si>
  <si>
    <t xml:space="preserve"> normal p3</t>
  </si>
  <si>
    <t xml:space="preserve"> p3 AoE</t>
  </si>
  <si>
    <t xml:space="preserve"> Rage p3</t>
  </si>
  <si>
    <t>Charged 4 ammo</t>
  </si>
  <si>
    <t>melee</t>
  </si>
  <si>
    <t>knife</t>
  </si>
  <si>
    <t>shotgun</t>
  </si>
  <si>
    <t>fireworks</t>
  </si>
  <si>
    <t>rocket</t>
  </si>
  <si>
    <t>grenade</t>
  </si>
  <si>
    <t>M2g rifle</t>
  </si>
  <si>
    <t>1 Bar Rage</t>
  </si>
  <si>
    <t>2 Bar Rage</t>
  </si>
  <si>
    <t>pitching</t>
  </si>
  <si>
    <t>pitching melee</t>
  </si>
  <si>
    <t>pitching rage</t>
  </si>
  <si>
    <t>blaster</t>
  </si>
  <si>
    <t>Blaster melee</t>
  </si>
  <si>
    <t>Blaster Rage</t>
  </si>
  <si>
    <t xml:space="preserve">  0 charge</t>
  </si>
  <si>
    <t xml:space="preserve"> Charged close</t>
  </si>
  <si>
    <t xml:space="preserve"> Charged far</t>
  </si>
  <si>
    <t>DoT</t>
  </si>
  <si>
    <t>Rage DoT</t>
  </si>
  <si>
    <t xml:space="preserve"> R1 P1</t>
  </si>
  <si>
    <t xml:space="preserve"> R2 P2</t>
  </si>
  <si>
    <t xml:space="preserve"> R2 P1</t>
  </si>
  <si>
    <t xml:space="preserve"> R1 P2</t>
  </si>
  <si>
    <t xml:space="preserve">L1 </t>
  </si>
  <si>
    <t xml:space="preserve">Delayed </t>
  </si>
  <si>
    <t xml:space="preserve"> normal P2 </t>
  </si>
  <si>
    <t>guard</t>
  </si>
  <si>
    <t xml:space="preserve"> normal uncharged</t>
  </si>
  <si>
    <t xml:space="preserve"> Normal 100%</t>
  </si>
  <si>
    <t xml:space="preserve"> normal sword</t>
  </si>
  <si>
    <t xml:space="preserve"> normal sword P2</t>
  </si>
  <si>
    <t xml:space="preserve"> Delayed sword</t>
  </si>
  <si>
    <t xml:space="preserve"> alt attack sword</t>
  </si>
  <si>
    <t xml:space="preserve"> rage sword</t>
  </si>
  <si>
    <t xml:space="preserve"> L1-R1</t>
  </si>
  <si>
    <t xml:space="preserve"> R2 not charged</t>
  </si>
  <si>
    <t xml:space="preserve"> R2 charged</t>
  </si>
  <si>
    <t>L1 P2 ticks</t>
  </si>
  <si>
    <t>3 Bar Rage</t>
  </si>
  <si>
    <t xml:space="preserve"> normal P5</t>
  </si>
  <si>
    <t xml:space="preserve"> normal P7</t>
  </si>
  <si>
    <t>normal uncharged</t>
  </si>
  <si>
    <t xml:space="preserve"> alt attack P2</t>
  </si>
  <si>
    <t xml:space="preserve"> normal P11</t>
  </si>
  <si>
    <t xml:space="preserve"> normal P15</t>
  </si>
  <si>
    <t>alt attack fire</t>
  </si>
  <si>
    <t xml:space="preserve">normal </t>
  </si>
  <si>
    <t xml:space="preserve"> normal P6</t>
  </si>
  <si>
    <t>T1 Bowling</t>
  </si>
  <si>
    <t>Dominion</t>
  </si>
  <si>
    <t>Medusa</t>
  </si>
  <si>
    <t>Lethal Weapon</t>
  </si>
  <si>
    <t>Electro Trigger</t>
  </si>
  <si>
    <t>Brutal yoyo</t>
  </si>
  <si>
    <t>WEAPON ATTACKS</t>
  </si>
  <si>
    <t>COEFF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</si>
</sst>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"/>
  </numFmts>
  <fonts count="3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ptos Narrow"/>
      <family val="2"/>
    </font>
    <font>
      <b/>
      <sz val="11"/>
      <color theme="1"/>
      <name val="Serif"/>
    </font>
    <font>
      <b/>
      <sz val="11"/>
      <color theme="1"/>
      <name val="Arial"/>
      <family val="2"/>
    </font>
    <font>
      <b/>
      <sz val="11"/>
      <color rgb="FF000000"/>
      <name val="Sans-serif"/>
    </font>
    <font>
      <sz val="11"/>
      <color rgb="FF000000"/>
      <name val="Sans-serif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u/>
      <sz val="11"/>
      <color theme="1"/>
      <name val="Arial"/>
      <family val="2"/>
    </font>
    <font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</font>
    <font>
      <sz val="11"/>
      <color theme="1"/>
      <name val="Aptos Narrow"/>
      <family val="2"/>
      <scheme val="major"/>
    </font>
    <font>
      <sz val="11"/>
      <color rgb="FF0A0A0A"/>
      <name val="Aptos Narrow"/>
      <family val="2"/>
      <scheme val="major"/>
    </font>
    <font>
      <i/>
      <sz val="11"/>
      <name val="Aptos Narrow"/>
      <family val="2"/>
    </font>
    <font>
      <i/>
      <u/>
      <sz val="11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</font>
    <font>
      <i/>
      <sz val="11"/>
      <color theme="0" tint="-0.499984740745262"/>
      <name val="Aptos Narrow"/>
      <family val="2"/>
      <scheme val="minor"/>
    </font>
    <font>
      <b/>
      <sz val="11"/>
      <color theme="1"/>
      <name val="Aptos Narrow"/>
      <family val="2"/>
      <scheme val="maj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F1A983"/>
        <bgColor rgb="FFF1A983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theme="4"/>
        <bgColor theme="4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theme="0"/>
      </patternFill>
    </fill>
    <fill>
      <patternFill patternType="solid">
        <fgColor theme="5" tint="0.39997558519241921"/>
        <bgColor rgb="FFF1A983"/>
      </patternFill>
    </fill>
    <fill>
      <patternFill patternType="solid">
        <fgColor theme="0"/>
        <bgColor rgb="FFFFFF99"/>
      </patternFill>
    </fill>
    <fill>
      <patternFill patternType="solid">
        <fgColor rgb="FFFFFF99"/>
        <bgColor theme="0"/>
      </patternFill>
    </fill>
    <fill>
      <patternFill patternType="solid">
        <fgColor rgb="FFFFFF99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99"/>
        <bgColor rgb="FFD8D8D8"/>
      </patternFill>
    </fill>
    <fill>
      <patternFill patternType="solid">
        <fgColor theme="1"/>
        <bgColor theme="0"/>
      </patternFill>
    </fill>
    <fill>
      <patternFill patternType="solid">
        <fgColor theme="0" tint="-0.14999847407452621"/>
        <bgColor rgb="FFFFFF99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5" tint="-0.249977111117893"/>
        <bgColor theme="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E8E8E8"/>
      </left>
      <right/>
      <top/>
      <bottom/>
      <diagonal/>
    </border>
    <border>
      <left/>
      <right style="thin">
        <color rgb="FFE8E8E8"/>
      </right>
      <top/>
      <bottom/>
      <diagonal/>
    </border>
    <border>
      <left style="thin">
        <color rgb="FFE8E8E8"/>
      </left>
      <right style="thin">
        <color rgb="FFE8E8E8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medium">
        <color rgb="FF000000"/>
      </left>
      <right/>
      <top style="thin">
        <color rgb="FF45B0E1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double">
        <color theme="1"/>
      </bottom>
      <diagonal/>
    </border>
    <border>
      <left style="medium">
        <color rgb="FF000000"/>
      </left>
      <right/>
      <top/>
      <bottom style="double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double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 style="medium">
        <color rgb="FF000000"/>
      </right>
      <top style="medium">
        <color theme="1"/>
      </top>
      <bottom/>
      <diagonal/>
    </border>
    <border>
      <left style="medium">
        <color rgb="FF000000"/>
      </left>
      <right style="medium">
        <color rgb="FF000000"/>
      </right>
      <top style="medium">
        <color theme="1"/>
      </top>
      <bottom/>
      <diagonal/>
    </border>
    <border>
      <left style="medium">
        <color rgb="FF000000"/>
      </left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13">
    <xf numFmtId="0" fontId="0" fillId="0" borderId="0" xfId="0"/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/>
    <xf numFmtId="0" fontId="7" fillId="5" borderId="13" xfId="0" applyFont="1" applyFill="1" applyBorder="1" applyAlignment="1">
      <alignment horizontal="left"/>
    </xf>
    <xf numFmtId="0" fontId="2" fillId="6" borderId="14" xfId="0" applyFont="1" applyFill="1" applyBorder="1" applyAlignment="1">
      <alignment horizontal="left"/>
    </xf>
    <xf numFmtId="0" fontId="2" fillId="6" borderId="6" xfId="0" applyFont="1" applyFill="1" applyBorder="1"/>
    <xf numFmtId="0" fontId="2" fillId="6" borderId="6" xfId="0" applyFont="1" applyFill="1" applyBorder="1" applyAlignment="1">
      <alignment horizontal="left"/>
    </xf>
    <xf numFmtId="0" fontId="4" fillId="6" borderId="6" xfId="0" applyFont="1" applyFill="1" applyBorder="1"/>
    <xf numFmtId="0" fontId="4" fillId="6" borderId="6" xfId="0" applyFont="1" applyFill="1" applyBorder="1" applyAlignment="1">
      <alignment horizontal="right"/>
    </xf>
    <xf numFmtId="0" fontId="4" fillId="6" borderId="15" xfId="0" applyFont="1" applyFill="1" applyBorder="1"/>
    <xf numFmtId="0" fontId="2" fillId="3" borderId="16" xfId="0" applyFont="1" applyFill="1" applyBorder="1" applyAlignment="1">
      <alignment horizontal="left"/>
    </xf>
    <xf numFmtId="0" fontId="4" fillId="3" borderId="10" xfId="0" applyFont="1" applyFill="1" applyBorder="1"/>
    <xf numFmtId="0" fontId="4" fillId="3" borderId="10" xfId="0" applyFont="1" applyFill="1" applyBorder="1" applyAlignment="1">
      <alignment horizontal="left"/>
    </xf>
    <xf numFmtId="0" fontId="4" fillId="3" borderId="10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left"/>
    </xf>
    <xf numFmtId="0" fontId="4" fillId="6" borderId="6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6" fillId="0" borderId="0" xfId="0" applyFont="1"/>
    <xf numFmtId="0" fontId="9" fillId="7" borderId="0" xfId="0" applyFont="1" applyFill="1"/>
    <xf numFmtId="0" fontId="9" fillId="8" borderId="0" xfId="0" applyFont="1" applyFill="1"/>
    <xf numFmtId="0" fontId="10" fillId="8" borderId="0" xfId="0" applyFont="1" applyFill="1" applyAlignment="1">
      <alignment horizontal="center"/>
    </xf>
    <xf numFmtId="0" fontId="0" fillId="7" borderId="0" xfId="0" applyFill="1"/>
    <xf numFmtId="0" fontId="6" fillId="8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11" fillId="8" borderId="0" xfId="0" applyFont="1" applyFill="1"/>
    <xf numFmtId="0" fontId="12" fillId="8" borderId="0" xfId="0" applyFont="1" applyFill="1" applyAlignment="1">
      <alignment horizontal="left"/>
    </xf>
    <xf numFmtId="0" fontId="13" fillId="8" borderId="0" xfId="0" applyFont="1" applyFill="1"/>
    <xf numFmtId="0" fontId="11" fillId="8" borderId="0" xfId="0" applyFont="1" applyFill="1" applyAlignment="1">
      <alignment horizontal="left"/>
    </xf>
    <xf numFmtId="0" fontId="1" fillId="8" borderId="0" xfId="0" applyFont="1" applyFill="1"/>
    <xf numFmtId="0" fontId="0" fillId="0" borderId="12" xfId="0" applyBorder="1"/>
    <xf numFmtId="0" fontId="18" fillId="9" borderId="20" xfId="0" applyFont="1" applyFill="1" applyBorder="1" applyAlignment="1">
      <alignment horizontal="center"/>
    </xf>
    <xf numFmtId="0" fontId="18" fillId="10" borderId="21" xfId="0" applyFont="1" applyFill="1" applyBorder="1" applyAlignment="1">
      <alignment horizontal="center"/>
    </xf>
    <xf numFmtId="0" fontId="18" fillId="11" borderId="21" xfId="0" applyFont="1" applyFill="1" applyBorder="1" applyAlignment="1">
      <alignment horizontal="center"/>
    </xf>
    <xf numFmtId="0" fontId="18" fillId="14" borderId="21" xfId="0" applyFont="1" applyFill="1" applyBorder="1" applyAlignment="1">
      <alignment horizontal="center"/>
    </xf>
    <xf numFmtId="0" fontId="18" fillId="15" borderId="21" xfId="0" applyFont="1" applyFill="1" applyBorder="1" applyAlignment="1">
      <alignment horizontal="center"/>
    </xf>
    <xf numFmtId="0" fontId="18" fillId="16" borderId="21" xfId="0" applyFont="1" applyFill="1" applyBorder="1" applyAlignment="1">
      <alignment horizontal="center"/>
    </xf>
    <xf numFmtId="0" fontId="0" fillId="17" borderId="22" xfId="0" applyFill="1" applyBorder="1"/>
    <xf numFmtId="0" fontId="0" fillId="17" borderId="24" xfId="0" applyFill="1" applyBorder="1"/>
    <xf numFmtId="0" fontId="0" fillId="18" borderId="18" xfId="0" applyFill="1" applyBorder="1"/>
    <xf numFmtId="0" fontId="0" fillId="18" borderId="25" xfId="0" applyFill="1" applyBorder="1"/>
    <xf numFmtId="0" fontId="0" fillId="19" borderId="18" xfId="0" applyFill="1" applyBorder="1"/>
    <xf numFmtId="0" fontId="0" fillId="19" borderId="25" xfId="0" applyFill="1" applyBorder="1"/>
    <xf numFmtId="0" fontId="0" fillId="12" borderId="18" xfId="0" applyFill="1" applyBorder="1"/>
    <xf numFmtId="0" fontId="0" fillId="12" borderId="25" xfId="0" applyFill="1" applyBorder="1"/>
    <xf numFmtId="0" fontId="0" fillId="13" borderId="18" xfId="0" applyFill="1" applyBorder="1"/>
    <xf numFmtId="0" fontId="0" fillId="13" borderId="25" xfId="0" applyFill="1" applyBorder="1"/>
    <xf numFmtId="0" fontId="0" fillId="20" borderId="23" xfId="0" applyFill="1" applyBorder="1"/>
    <xf numFmtId="0" fontId="0" fillId="20" borderId="26" xfId="0" applyFill="1" applyBorder="1"/>
    <xf numFmtId="0" fontId="18" fillId="22" borderId="19" xfId="0" applyFont="1" applyFill="1" applyBorder="1" applyAlignment="1">
      <alignment horizontal="right"/>
    </xf>
    <xf numFmtId="0" fontId="18" fillId="21" borderId="17" xfId="0" applyFont="1" applyFill="1" applyBorder="1" applyAlignment="1">
      <alignment horizontal="right"/>
    </xf>
    <xf numFmtId="0" fontId="0" fillId="23" borderId="0" xfId="0" applyFill="1"/>
    <xf numFmtId="0" fontId="18" fillId="7" borderId="0" xfId="0" applyFont="1" applyFill="1"/>
    <xf numFmtId="0" fontId="1" fillId="7" borderId="0" xfId="0" applyFont="1" applyFill="1"/>
    <xf numFmtId="0" fontId="18" fillId="9" borderId="17" xfId="0" applyFont="1" applyFill="1" applyBorder="1" applyAlignment="1">
      <alignment horizontal="center"/>
    </xf>
    <xf numFmtId="0" fontId="18" fillId="10" borderId="17" xfId="0" applyFont="1" applyFill="1" applyBorder="1" applyAlignment="1">
      <alignment horizontal="center"/>
    </xf>
    <xf numFmtId="0" fontId="18" fillId="11" borderId="17" xfId="0" applyFont="1" applyFill="1" applyBorder="1" applyAlignment="1">
      <alignment horizontal="center"/>
    </xf>
    <xf numFmtId="0" fontId="18" fillId="16" borderId="17" xfId="0" applyFont="1" applyFill="1" applyBorder="1" applyAlignment="1">
      <alignment horizontal="center"/>
    </xf>
    <xf numFmtId="0" fontId="18" fillId="15" borderId="17" xfId="0" applyFont="1" applyFill="1" applyBorder="1" applyAlignment="1">
      <alignment horizontal="center"/>
    </xf>
    <xf numFmtId="0" fontId="18" fillId="14" borderId="17" xfId="0" applyFont="1" applyFill="1" applyBorder="1" applyAlignment="1">
      <alignment horizontal="center"/>
    </xf>
    <xf numFmtId="0" fontId="3" fillId="7" borderId="12" xfId="0" applyFont="1" applyFill="1" applyBorder="1"/>
    <xf numFmtId="0" fontId="21" fillId="3" borderId="17" xfId="0" applyFont="1" applyFill="1" applyBorder="1" applyAlignment="1">
      <alignment vertical="center" wrapText="1"/>
    </xf>
    <xf numFmtId="0" fontId="22" fillId="0" borderId="0" xfId="0" applyFont="1"/>
    <xf numFmtId="0" fontId="23" fillId="0" borderId="0" xfId="0" applyFont="1"/>
    <xf numFmtId="0" fontId="18" fillId="29" borderId="17" xfId="0" applyFont="1" applyFill="1" applyBorder="1" applyAlignment="1">
      <alignment horizontal="center"/>
    </xf>
    <xf numFmtId="0" fontId="19" fillId="0" borderId="17" xfId="0" applyFont="1" applyBorder="1"/>
    <xf numFmtId="0" fontId="0" fillId="0" borderId="12" xfId="0" applyBorder="1" applyAlignment="1">
      <alignment horizontal="center"/>
    </xf>
    <xf numFmtId="0" fontId="18" fillId="30" borderId="27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2" fillId="25" borderId="17" xfId="0" applyFont="1" applyFill="1" applyBorder="1" applyAlignment="1">
      <alignment horizontal="center"/>
    </xf>
    <xf numFmtId="0" fontId="3" fillId="7" borderId="1" xfId="0" applyFont="1" applyFill="1" applyBorder="1"/>
    <xf numFmtId="0" fontId="3" fillId="7" borderId="2" xfId="0" applyFont="1" applyFill="1" applyBorder="1"/>
    <xf numFmtId="0" fontId="5" fillId="27" borderId="1" xfId="0" applyFont="1" applyFill="1" applyBorder="1" applyAlignment="1">
      <alignment horizontal="left"/>
    </xf>
    <xf numFmtId="0" fontId="8" fillId="27" borderId="1" xfId="0" applyFont="1" applyFill="1" applyBorder="1" applyAlignment="1">
      <alignment horizontal="left"/>
    </xf>
    <xf numFmtId="0" fontId="21" fillId="3" borderId="7" xfId="0" applyFont="1" applyFill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8" fillId="11" borderId="17" xfId="0" applyFont="1" applyFill="1" applyBorder="1" applyAlignment="1">
      <alignment horizontal="center"/>
    </xf>
    <xf numFmtId="0" fontId="5" fillId="27" borderId="8" xfId="0" applyFont="1" applyFill="1" applyBorder="1" applyAlignment="1">
      <alignment horizontal="left"/>
    </xf>
    <xf numFmtId="0" fontId="3" fillId="7" borderId="8" xfId="0" applyFont="1" applyFill="1" applyBorder="1"/>
    <xf numFmtId="0" fontId="3" fillId="7" borderId="9" xfId="0" applyFont="1" applyFill="1" applyBorder="1"/>
    <xf numFmtId="0" fontId="18" fillId="29" borderId="17" xfId="0" applyFont="1" applyFill="1" applyBorder="1" applyAlignment="1">
      <alignment horizontal="center"/>
    </xf>
    <xf numFmtId="0" fontId="0" fillId="11" borderId="17" xfId="0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18" fillId="29" borderId="21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7" xfId="0" applyBorder="1" applyAlignment="1">
      <alignment horizontal="center"/>
    </xf>
    <xf numFmtId="0" fontId="2" fillId="26" borderId="17" xfId="0" applyFont="1" applyFill="1" applyBorder="1" applyAlignment="1">
      <alignment horizontal="center"/>
    </xf>
    <xf numFmtId="0" fontId="2" fillId="28" borderId="2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4" fillId="0" borderId="17" xfId="0" applyFont="1" applyBorder="1"/>
    <xf numFmtId="0" fontId="2" fillId="4" borderId="27" xfId="0" applyFont="1" applyFill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18" fillId="24" borderId="17" xfId="0" applyFont="1" applyFill="1" applyBorder="1" applyAlignment="1">
      <alignment horizontal="center"/>
    </xf>
    <xf numFmtId="0" fontId="0" fillId="24" borderId="17" xfId="0" applyFill="1" applyBorder="1" applyAlignment="1">
      <alignment horizontal="center"/>
    </xf>
    <xf numFmtId="0" fontId="25" fillId="0" borderId="0" xfId="0" applyFont="1"/>
    <xf numFmtId="0" fontId="2" fillId="6" borderId="10" xfId="0" applyFont="1" applyFill="1" applyBorder="1"/>
    <xf numFmtId="0" fontId="4" fillId="6" borderId="10" xfId="0" applyFont="1" applyFill="1" applyBorder="1"/>
    <xf numFmtId="0" fontId="21" fillId="3" borderId="17" xfId="0" applyFont="1" applyFill="1" applyBorder="1" applyAlignment="1"/>
    <xf numFmtId="0" fontId="2" fillId="3" borderId="29" xfId="0" applyFont="1" applyFill="1" applyBorder="1" applyAlignment="1"/>
    <xf numFmtId="0" fontId="21" fillId="3" borderId="32" xfId="0" applyFont="1" applyFill="1" applyBorder="1" applyAlignment="1"/>
    <xf numFmtId="0" fontId="21" fillId="3" borderId="2" xfId="0" applyFont="1" applyFill="1" applyBorder="1" applyAlignment="1">
      <alignment horizontal="right" vertical="center" wrapText="1"/>
    </xf>
    <xf numFmtId="0" fontId="15" fillId="3" borderId="17" xfId="0" applyFont="1" applyFill="1" applyBorder="1" applyAlignment="1">
      <alignment horizontal="center"/>
    </xf>
    <xf numFmtId="0" fontId="2" fillId="23" borderId="12" xfId="0" applyFont="1" applyFill="1" applyBorder="1" applyAlignment="1">
      <alignment horizontal="center"/>
    </xf>
    <xf numFmtId="0" fontId="2" fillId="32" borderId="8" xfId="0" applyFont="1" applyFill="1" applyBorder="1" applyAlignment="1">
      <alignment horizontal="center"/>
    </xf>
    <xf numFmtId="0" fontId="2" fillId="33" borderId="17" xfId="0" applyFont="1" applyFill="1" applyBorder="1" applyAlignment="1"/>
    <xf numFmtId="0" fontId="18" fillId="22" borderId="17" xfId="0" applyFont="1" applyFill="1" applyBorder="1" applyAlignment="1"/>
    <xf numFmtId="0" fontId="2" fillId="33" borderId="7" xfId="0" applyFont="1" applyFill="1" applyBorder="1" applyAlignment="1"/>
    <xf numFmtId="0" fontId="2" fillId="6" borderId="10" xfId="0" applyFont="1" applyFill="1" applyBorder="1" applyAlignment="1">
      <alignment horizontal="left"/>
    </xf>
    <xf numFmtId="0" fontId="4" fillId="6" borderId="10" xfId="0" applyFont="1" applyFill="1" applyBorder="1" applyAlignment="1">
      <alignment horizontal="left"/>
    </xf>
    <xf numFmtId="0" fontId="2" fillId="6" borderId="10" xfId="0" applyFont="1" applyFill="1" applyBorder="1" applyAlignment="1">
      <alignment horizontal="right"/>
    </xf>
    <xf numFmtId="0" fontId="4" fillId="6" borderId="10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3" fillId="29" borderId="8" xfId="0" applyFont="1" applyFill="1" applyBorder="1"/>
    <xf numFmtId="0" fontId="3" fillId="7" borderId="16" xfId="0" applyFont="1" applyFill="1" applyBorder="1"/>
    <xf numFmtId="0" fontId="3" fillId="7" borderId="11" xfId="0" applyFont="1" applyFill="1" applyBorder="1"/>
    <xf numFmtId="0" fontId="8" fillId="27" borderId="16" xfId="0" applyFont="1" applyFill="1" applyBorder="1" applyAlignment="1">
      <alignment horizontal="left"/>
    </xf>
    <xf numFmtId="0" fontId="2" fillId="31" borderId="7" xfId="0" applyFont="1" applyFill="1" applyBorder="1" applyAlignment="1">
      <alignment horizontal="center"/>
    </xf>
    <xf numFmtId="0" fontId="7" fillId="5" borderId="27" xfId="0" applyFont="1" applyFill="1" applyBorder="1"/>
    <xf numFmtId="0" fontId="7" fillId="5" borderId="27" xfId="0" applyFont="1" applyFill="1" applyBorder="1" applyAlignment="1">
      <alignment horizontal="left"/>
    </xf>
    <xf numFmtId="0" fontId="7" fillId="5" borderId="37" xfId="0" applyFont="1" applyFill="1" applyBorder="1"/>
    <xf numFmtId="0" fontId="2" fillId="2" borderId="39" xfId="0" applyFont="1" applyFill="1" applyBorder="1" applyAlignment="1">
      <alignment horizontal="center"/>
    </xf>
    <xf numFmtId="0" fontId="18" fillId="0" borderId="39" xfId="0" applyFont="1" applyBorder="1" applyAlignment="1">
      <alignment horizontal="center"/>
    </xf>
    <xf numFmtId="0" fontId="26" fillId="23" borderId="39" xfId="0" applyFont="1" applyFill="1" applyBorder="1" applyAlignment="1"/>
    <xf numFmtId="0" fontId="18" fillId="0" borderId="39" xfId="0" applyFont="1" applyBorder="1" applyAlignment="1">
      <alignment horizontal="center"/>
    </xf>
    <xf numFmtId="0" fontId="19" fillId="0" borderId="39" xfId="0" applyFont="1" applyBorder="1"/>
    <xf numFmtId="0" fontId="7" fillId="5" borderId="39" xfId="0" applyFont="1" applyFill="1" applyBorder="1"/>
    <xf numFmtId="0" fontId="0" fillId="23" borderId="17" xfId="0" applyFill="1" applyBorder="1" applyAlignment="1"/>
    <xf numFmtId="0" fontId="0" fillId="7" borderId="19" xfId="0" applyFill="1" applyBorder="1" applyAlignment="1">
      <alignment horizontal="center"/>
    </xf>
    <xf numFmtId="0" fontId="0" fillId="7" borderId="28" xfId="0" applyFill="1" applyBorder="1" applyAlignment="1">
      <alignment horizontal="center"/>
    </xf>
    <xf numFmtId="0" fontId="18" fillId="22" borderId="28" xfId="0" applyFont="1" applyFill="1" applyBorder="1" applyAlignment="1"/>
    <xf numFmtId="0" fontId="27" fillId="0" borderId="33" xfId="0" applyNumberFormat="1" applyFont="1" applyBorder="1" applyAlignment="1">
      <alignment horizontal="right"/>
    </xf>
    <xf numFmtId="0" fontId="27" fillId="0" borderId="7" xfId="0" applyNumberFormat="1" applyFont="1" applyBorder="1" applyAlignment="1">
      <alignment horizontal="right"/>
    </xf>
    <xf numFmtId="0" fontId="27" fillId="0" borderId="34" xfId="0" applyNumberFormat="1" applyFont="1" applyBorder="1" applyAlignment="1">
      <alignment horizontal="right"/>
    </xf>
    <xf numFmtId="0" fontId="27" fillId="0" borderId="35" xfId="0" applyNumberFormat="1" applyFont="1" applyBorder="1" applyAlignment="1">
      <alignment horizontal="right"/>
    </xf>
    <xf numFmtId="0" fontId="27" fillId="0" borderId="36" xfId="0" applyNumberFormat="1" applyFont="1" applyBorder="1" applyAlignment="1">
      <alignment horizontal="right"/>
    </xf>
    <xf numFmtId="0" fontId="28" fillId="22" borderId="39" xfId="0" applyFont="1" applyFill="1" applyBorder="1"/>
    <xf numFmtId="0" fontId="28" fillId="35" borderId="39" xfId="0" applyFont="1" applyFill="1" applyBorder="1"/>
    <xf numFmtId="0" fontId="28" fillId="19" borderId="39" xfId="0" applyFont="1" applyFill="1" applyBorder="1"/>
    <xf numFmtId="0" fontId="28" fillId="22" borderId="41" xfId="0" applyFont="1" applyFill="1" applyBorder="1"/>
    <xf numFmtId="0" fontId="28" fillId="0" borderId="39" xfId="0" applyFont="1" applyBorder="1" applyAlignment="1">
      <alignment horizontal="center"/>
    </xf>
    <xf numFmtId="0" fontId="27" fillId="0" borderId="13" xfId="0" applyNumberFormat="1" applyFont="1" applyBorder="1" applyAlignment="1">
      <alignment horizontal="right"/>
    </xf>
    <xf numFmtId="0" fontId="27" fillId="0" borderId="9" xfId="0" applyNumberFormat="1" applyFont="1" applyBorder="1" applyAlignment="1">
      <alignment horizontal="right"/>
    </xf>
    <xf numFmtId="0" fontId="27" fillId="0" borderId="40" xfId="0" applyNumberFormat="1" applyFont="1" applyBorder="1" applyAlignment="1">
      <alignment horizontal="right"/>
    </xf>
    <xf numFmtId="0" fontId="7" fillId="5" borderId="29" xfId="0" applyFont="1" applyFill="1" applyBorder="1" applyAlignment="1">
      <alignment horizontal="left"/>
    </xf>
    <xf numFmtId="0" fontId="28" fillId="0" borderId="39" xfId="0" applyFont="1" applyBorder="1"/>
    <xf numFmtId="0" fontId="27" fillId="0" borderId="47" xfId="0" applyNumberFormat="1" applyFont="1" applyBorder="1" applyAlignment="1">
      <alignment horizontal="right"/>
    </xf>
    <xf numFmtId="0" fontId="7" fillId="5" borderId="41" xfId="0" applyFont="1" applyFill="1" applyBorder="1"/>
    <xf numFmtId="0" fontId="18" fillId="0" borderId="48" xfId="0" applyFont="1" applyBorder="1" applyAlignment="1">
      <alignment horizontal="center"/>
    </xf>
    <xf numFmtId="0" fontId="7" fillId="37" borderId="38" xfId="0" applyFont="1" applyFill="1" applyBorder="1"/>
    <xf numFmtId="0" fontId="28" fillId="22" borderId="46" xfId="0" applyFont="1" applyFill="1" applyBorder="1"/>
    <xf numFmtId="0" fontId="18" fillId="29" borderId="45" xfId="0" applyFont="1" applyFill="1" applyBorder="1" applyAlignment="1">
      <alignment horizontal="center"/>
    </xf>
    <xf numFmtId="0" fontId="2" fillId="27" borderId="49" xfId="0" applyFont="1" applyFill="1" applyBorder="1" applyAlignment="1">
      <alignment horizontal="left"/>
    </xf>
    <xf numFmtId="0" fontId="3" fillId="7" borderId="44" xfId="0" applyFont="1" applyFill="1" applyBorder="1"/>
    <xf numFmtId="0" fontId="3" fillId="7" borderId="43" xfId="0" applyFont="1" applyFill="1" applyBorder="1"/>
    <xf numFmtId="0" fontId="27" fillId="0" borderId="50" xfId="0" applyNumberFormat="1" applyFont="1" applyBorder="1" applyAlignment="1">
      <alignment horizontal="right"/>
    </xf>
    <xf numFmtId="0" fontId="27" fillId="0" borderId="51" xfId="0" applyNumberFormat="1" applyFont="1" applyBorder="1" applyAlignment="1">
      <alignment horizontal="right"/>
    </xf>
    <xf numFmtId="0" fontId="27" fillId="0" borderId="52" xfId="0" applyNumberFormat="1" applyFont="1" applyBorder="1" applyAlignment="1">
      <alignment horizontal="right"/>
    </xf>
    <xf numFmtId="0" fontId="28" fillId="0" borderId="53" xfId="0" applyFont="1" applyBorder="1"/>
    <xf numFmtId="0" fontId="27" fillId="0" borderId="43" xfId="0" applyNumberFormat="1" applyFont="1" applyBorder="1" applyAlignment="1">
      <alignment horizontal="right"/>
    </xf>
    <xf numFmtId="0" fontId="18" fillId="14" borderId="39" xfId="0" applyFont="1" applyFill="1" applyBorder="1" applyAlignment="1">
      <alignment horizontal="center"/>
    </xf>
    <xf numFmtId="0" fontId="18" fillId="11" borderId="39" xfId="0" applyFont="1" applyFill="1" applyBorder="1" applyAlignment="1">
      <alignment horizontal="center"/>
    </xf>
    <xf numFmtId="0" fontId="18" fillId="21" borderId="39" xfId="0" applyFont="1" applyFill="1" applyBorder="1" applyAlignment="1">
      <alignment horizontal="center"/>
    </xf>
    <xf numFmtId="0" fontId="18" fillId="21" borderId="41" xfId="0" applyFont="1" applyFill="1" applyBorder="1" applyAlignment="1">
      <alignment horizontal="center"/>
    </xf>
    <xf numFmtId="0" fontId="18" fillId="7" borderId="39" xfId="0" applyFont="1" applyFill="1" applyBorder="1" applyAlignment="1">
      <alignment horizontal="center"/>
    </xf>
    <xf numFmtId="0" fontId="18" fillId="11" borderId="41" xfId="0" applyFont="1" applyFill="1" applyBorder="1" applyAlignment="1">
      <alignment horizontal="center"/>
    </xf>
    <xf numFmtId="0" fontId="18" fillId="11" borderId="42" xfId="0" applyFont="1" applyFill="1" applyBorder="1" applyAlignment="1">
      <alignment horizontal="center"/>
    </xf>
    <xf numFmtId="0" fontId="18" fillId="7" borderId="12" xfId="0" applyFont="1" applyFill="1" applyBorder="1" applyAlignment="1"/>
    <xf numFmtId="0" fontId="18" fillId="7" borderId="12" xfId="0" applyFont="1" applyFill="1" applyBorder="1" applyAlignment="1">
      <alignment horizontal="center"/>
    </xf>
    <xf numFmtId="0" fontId="26" fillId="24" borderId="41" xfId="0" applyFont="1" applyFill="1" applyBorder="1" applyAlignment="1">
      <alignment horizontal="center"/>
    </xf>
    <xf numFmtId="0" fontId="26" fillId="24" borderId="31" xfId="0" applyFont="1" applyFill="1" applyBorder="1" applyAlignment="1">
      <alignment horizontal="center"/>
    </xf>
    <xf numFmtId="0" fontId="26" fillId="24" borderId="42" xfId="0" applyFont="1" applyFill="1" applyBorder="1" applyAlignment="1">
      <alignment horizontal="center"/>
    </xf>
    <xf numFmtId="0" fontId="18" fillId="16" borderId="39" xfId="0" applyFont="1" applyFill="1" applyBorder="1" applyAlignment="1">
      <alignment horizontal="center"/>
    </xf>
    <xf numFmtId="0" fontId="18" fillId="38" borderId="39" xfId="0" applyFont="1" applyFill="1" applyBorder="1" applyAlignment="1">
      <alignment horizontal="center"/>
    </xf>
    <xf numFmtId="0" fontId="18" fillId="7" borderId="39" xfId="0" applyFont="1" applyFill="1" applyBorder="1" applyAlignment="1">
      <alignment horizontal="center"/>
    </xf>
    <xf numFmtId="0" fontId="18" fillId="36" borderId="39" xfId="0" applyFont="1" applyFill="1" applyBorder="1" applyAlignment="1">
      <alignment horizontal="center"/>
    </xf>
    <xf numFmtId="0" fontId="18" fillId="18" borderId="39" xfId="0" applyFont="1" applyFill="1" applyBorder="1" applyAlignment="1">
      <alignment horizontal="center"/>
    </xf>
    <xf numFmtId="0" fontId="18" fillId="15" borderId="39" xfId="0" applyFont="1" applyFill="1" applyBorder="1" applyAlignment="1">
      <alignment horizontal="center"/>
    </xf>
    <xf numFmtId="0" fontId="18" fillId="34" borderId="39" xfId="0" applyFont="1" applyFill="1" applyBorder="1" applyAlignment="1">
      <alignment horizontal="center"/>
    </xf>
    <xf numFmtId="0" fontId="18" fillId="39" borderId="39" xfId="0" applyFont="1" applyFill="1" applyBorder="1" applyAlignment="1">
      <alignment horizontal="center"/>
    </xf>
    <xf numFmtId="0" fontId="22" fillId="0" borderId="0" xfId="0" applyNumberFormat="1" applyFont="1"/>
    <xf numFmtId="0" fontId="23" fillId="0" borderId="0" xfId="0" applyNumberFormat="1" applyFont="1"/>
    <xf numFmtId="0" fontId="18" fillId="21" borderId="39" xfId="0" applyFont="1" applyFill="1" applyBorder="1" applyAlignment="1">
      <alignment horizontal="center"/>
    </xf>
    <xf numFmtId="0" fontId="0" fillId="0" borderId="0" xfId="0" applyFill="1"/>
    <xf numFmtId="0" fontId="18" fillId="0" borderId="0" xfId="0" applyFont="1" applyFill="1" applyAlignment="1">
      <alignment horizontal="center"/>
    </xf>
    <xf numFmtId="0" fontId="29" fillId="0" borderId="0" xfId="0" applyFont="1" applyFill="1" applyBorder="1"/>
    <xf numFmtId="0" fontId="29" fillId="0" borderId="0" xfId="0" applyFont="1" applyFill="1"/>
    <xf numFmtId="0" fontId="29" fillId="0" borderId="30" xfId="0" applyFont="1" applyFill="1" applyBorder="1"/>
    <xf numFmtId="0" fontId="30" fillId="0" borderId="0" xfId="0" applyFont="1"/>
    <xf numFmtId="0" fontId="30" fillId="0" borderId="0" xfId="0" applyFont="1" applyAlignment="1">
      <alignment horizontal="right"/>
    </xf>
    <xf numFmtId="164" fontId="30" fillId="0" borderId="0" xfId="0" applyNumberFormat="1" applyFont="1" applyAlignment="1">
      <alignment horizontal="right"/>
    </xf>
    <xf numFmtId="0" fontId="0" fillId="0" borderId="0" xfId="0" applyFill="1" applyAlignment="1">
      <alignment horizontal="center"/>
    </xf>
    <xf numFmtId="0" fontId="31" fillId="0" borderId="0" xfId="0" applyFont="1" applyAlignment="1">
      <alignment horizontal="right"/>
    </xf>
    <xf numFmtId="164" fontId="31" fillId="0" borderId="0" xfId="0" applyNumberFormat="1" applyFont="1" applyAlignment="1">
      <alignment horizontal="right"/>
    </xf>
    <xf numFmtId="0" fontId="31" fillId="0" borderId="0" xfId="0" applyFont="1"/>
    <xf numFmtId="164" fontId="30" fillId="0" borderId="0" xfId="0" applyNumberFormat="1" applyFont="1" applyFill="1" applyAlignment="1">
      <alignment horizontal="center"/>
    </xf>
    <xf numFmtId="0" fontId="0" fillId="0" borderId="1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23" borderId="19" xfId="0" applyFill="1" applyBorder="1" applyAlignment="1"/>
    <xf numFmtId="0" fontId="19" fillId="0" borderId="19" xfId="0" applyFont="1" applyBorder="1" applyAlignment="1">
      <alignment horizontal="center"/>
    </xf>
    <xf numFmtId="0" fontId="24" fillId="0" borderId="8" xfId="0" applyFont="1" applyBorder="1"/>
    <xf numFmtId="0" fontId="18" fillId="21" borderId="39" xfId="0" applyFont="1" applyFill="1" applyBorder="1"/>
    <xf numFmtId="0" fontId="18" fillId="11" borderId="53" xfId="0" applyFont="1" applyFill="1" applyBorder="1" applyAlignment="1">
      <alignment horizontal="center"/>
    </xf>
    <xf numFmtId="0" fontId="19" fillId="0" borderId="41" xfId="0" applyFont="1" applyBorder="1" applyAlignment="1">
      <alignment horizontal="left"/>
    </xf>
    <xf numFmtId="0" fontId="19" fillId="0" borderId="42" xfId="0" applyFont="1" applyBorder="1" applyAlignment="1">
      <alignment horizontal="left"/>
    </xf>
  </cellXfs>
  <cellStyles count="1">
    <cellStyle name="Normal" xfId="0" builtinId="0"/>
  </cellStyles>
  <dxfs count="80">
    <dxf>
      <font>
        <color rgb="FFC00000"/>
      </font>
    </dxf>
    <dxf>
      <font>
        <b/>
        <i val="0"/>
        <color theme="1"/>
      </font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fill>
        <patternFill patternType="none">
          <fgColor theme="0" tint="-0.14999847407452621"/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border diagonalUp="0" diagonalDown="0">
        <left style="medium">
          <color rgb="FF000000"/>
        </left>
        <right/>
        <top style="medium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C1E4F5"/>
          <bgColor rgb="FFC1E4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2">
    <tableStyle name="Lists-style" pivot="0" count="2" xr9:uid="{00000000-0011-0000-FFFF-FFFF00000000}">
      <tableStyleElement type="firstRowStripe" dxfId="79"/>
      <tableStyleElement type="secondRowStripe" dxfId="78"/>
    </tableStyle>
    <tableStyle name="TableStyleMedium16 2" pivot="0" count="8" xr9:uid="{550A0348-215F-4A82-A7B6-C57F74F8E2D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</tableStyles>
  <colors>
    <mruColors>
      <color rgb="FFFFFF66"/>
      <color rgb="FFFF4B4B"/>
      <color rgb="FFFFFF99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</xdr:row>
      <xdr:rowOff>28575</xdr:rowOff>
    </xdr:from>
    <xdr:to>
      <xdr:col>1</xdr:col>
      <xdr:colOff>209550</xdr:colOff>
      <xdr:row>6</xdr:row>
      <xdr:rowOff>57150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46603AC3-134C-605E-285E-96C879899D2E}"/>
            </a:ext>
          </a:extLst>
        </xdr:cNvPr>
        <xdr:cNvSpPr/>
      </xdr:nvSpPr>
      <xdr:spPr>
        <a:xfrm>
          <a:off x="933450" y="809625"/>
          <a:ext cx="114300" cy="21907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95C0AB-480B-4E68-B80D-E918071006FF}" name="TableDecals" displayName="TableDecals" ref="A1:Z178" totalsRowShown="0" headerRowDxfId="32" dataDxfId="33">
  <autoFilter ref="A1:Z178" xr:uid="{00000000-0009-0000-0000-000001000000}"/>
  <tableColumns count="26">
    <tableColumn id="1" xr3:uid="{AEF5E23E-E4CD-470E-B59C-36A72728319F}" name="NAME" dataDxfId="57"/>
    <tableColumn id="2" xr3:uid="{41651E7D-28E9-4B02-9E50-D87EE511AF20}" name="A GRP" dataDxfId="56"/>
    <tableColumn id="3" xr3:uid="{735F88BA-9B03-4F2F-AEF0-8CDD401CAFBB}" name="C GRP" dataDxfId="55"/>
    <tableColumn id="4" xr3:uid="{4869BC39-A2EB-474C-B540-129E924501CF}" name="REQ WEP" dataDxfId="54"/>
    <tableColumn id="5" xr3:uid="{33CCDCB5-BF12-443A-ADFB-270AED8F5087}" name="REQ FAC" dataDxfId="53"/>
    <tableColumn id="25" xr3:uid="{C238DF93-9D2F-46DD-BBB5-EE8C12FAD172}" name="REQ DAM" dataDxfId="31"/>
    <tableColumn id="26" xr3:uid="{DEF58643-E0A6-43F4-AA5B-B19E3C507B3F}" name="REQ ELE" dataDxfId="30"/>
    <tableColumn id="6" xr3:uid="{A2A82BEB-A06B-4DE1-AC29-64172017F32F}" name="HANDS" dataDxfId="52"/>
    <tableColumn id="7" xr3:uid="{00836B31-5833-45B9-B9C3-A2B8C11F1E87}" name="ATK *" dataDxfId="51"/>
    <tableColumn id="8" xr3:uid="{2B60963D-93A4-4970-977A-997361EA7F71}" name="ATK 2 *" dataDxfId="50"/>
    <tableColumn id="9" xr3:uid="{E97490B5-2E4C-484C-894B-9A87D7DD1DDC}" name="SLASH *" dataDxfId="49"/>
    <tableColumn id="10" xr3:uid="{BC3624BC-3177-41C8-A133-D863B8441CD0}" name="BLUNT *" dataDxfId="48"/>
    <tableColumn id="11" xr3:uid="{A31D3C07-EF2C-40FD-81D5-ED8F15AAE691}" name="PIERCING *" dataDxfId="47"/>
    <tableColumn id="12" xr3:uid="{1086802F-F01A-4A93-B0BB-88443265438F}" name="FIRE *" dataDxfId="46"/>
    <tableColumn id="13" xr3:uid="{3D83652A-2F6B-47AC-8881-7D0FC17C117B}" name="ELECTRIC *" dataDxfId="45"/>
    <tableColumn id="14" xr3:uid="{3B0CD093-FBEB-419E-B8B5-F6053DA3F705}" name="POISON *" dataDxfId="44"/>
    <tableColumn id="15" xr3:uid="{4019451C-35B8-406E-B55B-40C2E146C2EE}" name="HS *" dataDxfId="43"/>
    <tableColumn id="16" xr3:uid="{92EEBD90-D156-4BE4-ABF4-C01B69DDE1E5}" name="CRIT %" dataDxfId="42"/>
    <tableColumn id="17" xr3:uid="{AF95360D-8697-4595-8AA8-6D168F95E531}" name="CRIT *" dataDxfId="41"/>
    <tableColumn id="18" xr3:uid="{BD96F960-6361-4594-9110-A61DA011BAFF}" name="EXPLOSIVE" dataDxfId="40"/>
    <tableColumn id="19" xr3:uid="{4A8968CA-96DB-444F-A36B-E10F7DD0430A}" name="RAGE DMG *" dataDxfId="39"/>
    <tableColumn id="20" xr3:uid="{E0599C5E-6DD1-437C-91E6-6A3176D7C6AD}" name="HP &lt;= 15%" dataDxfId="38"/>
    <tableColumn id="21" xr3:uid="{E90A9C38-D3AD-4C81-954D-26C309F8ED3F}" name="HP 100%" dataDxfId="37"/>
    <tableColumn id="22" xr3:uid="{1EF33E99-44F9-439D-A96F-873CF1772ADA}" name="DOWN ATK *" dataDxfId="36"/>
    <tableColumn id="23" xr3:uid="{FC2505CF-B441-4744-8647-525372BC60C0}" name="REQS" dataDxfId="35"/>
    <tableColumn id="24" xr3:uid="{77EF5746-EADE-4EB0-9047-39FBC9C859AD}" name="Comments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2B25D4-9767-4D0E-A5FB-3C9806934C67}" name="TableWeapons" displayName="TableWeapons" ref="A1:V74" totalsRowShown="0" headerRowDxfId="77" dataDxfId="76">
  <autoFilter ref="A1:V74" xr:uid="{F82B25D4-9767-4D0E-A5FB-3C9806934C67}"/>
  <tableColumns count="22">
    <tableColumn id="1" xr3:uid="{D6003D26-3350-4558-81AA-B5288EC25CB7}" name="Name" dataDxfId="75"/>
    <tableColumn id="2" xr3:uid="{3BDF7038-E613-4C82-B3E4-D450682D7C89}" name="Type" dataDxfId="74"/>
    <tableColumn id="3" xr3:uid="{88FC19EC-BD35-419C-879D-4FD47F0E939B}" name="Faction" dataDxfId="73"/>
    <tableColumn id="4" xr3:uid="{4F745570-C6B4-411A-A647-7D7E3437C986}" name="Hands" dataDxfId="72"/>
    <tableColumn id="5" xr3:uid="{618D6A98-7CBD-4106-830B-0EBAC8D9EE0E}" name="RAGE" dataDxfId="71"/>
    <tableColumn id="6" xr3:uid="{00201C20-73A7-4E35-AC51-EE208A3DB420}" name="GUARD POWER" dataDxfId="70"/>
    <tableColumn id="7" xr3:uid="{1DA1DFD8-C2A1-41C1-A039-8059E3B47C9D}" name="STAMINA" dataDxfId="69"/>
    <tableColumn id="8" xr3:uid="{1928815A-489D-48FD-965D-A05CCF041D40}" name="REQ" dataDxfId="68"/>
    <tableColumn id="9" xr3:uid="{24140181-848B-4ABF-B8FB-654F0A9EE82C}" name="RAW TYPE" dataDxfId="67"/>
    <tableColumn id="10" xr3:uid="{468F6FF0-3D25-45DE-BCFA-B5502FB9B7C1}" name="RAW %" dataDxfId="27"/>
    <tableColumn id="11" xr3:uid="{C8F00D7D-698F-4E56-BBBE-0C207F591510}" name="E TYPE" dataDxfId="66"/>
    <tableColumn id="12" xr3:uid="{ABD0D640-9165-4D8A-AE60-DEFED6CDCB90}" name="E %" dataDxfId="26"/>
    <tableColumn id="13" xr3:uid="{78AF09F7-D704-4237-B498-C865C605A10F}" name="STR %" dataDxfId="29"/>
    <tableColumn id="14" xr3:uid="{D6F8C6ED-DCC2-4C77-9ED1-D3D5DAEB18B9}" name="DEX %" dataDxfId="28"/>
    <tableColumn id="15" xr3:uid="{899F8242-CBFD-45E4-B779-F6DF2F84BF03}" name="T1" dataDxfId="65"/>
    <tableColumn id="16" xr3:uid="{27FE88A6-2009-48F3-8B84-5B811B59EEF5}" name="T2" dataDxfId="64"/>
    <tableColumn id="17" xr3:uid="{36BF8E8D-728E-44F7-9793-1DDDD5097DBF}" name="T3" dataDxfId="63"/>
    <tableColumn id="18" xr3:uid="{904CF4F0-EAF3-4EA7-8FB0-9F0EB0AA3E0F}" name="T4" dataDxfId="62"/>
    <tableColumn id="19" xr3:uid="{BEFED345-5D2B-4103-9D75-BD461F5B8C94}" name="9" dataDxfId="61"/>
    <tableColumn id="20" xr3:uid="{90542C8E-57F4-4BCC-80A2-E492045DD806}" name="14" dataDxfId="60"/>
    <tableColumn id="21" xr3:uid="{7F32673B-6702-4C9D-9CC9-6EFFC357334F}" name="19" dataDxfId="59"/>
    <tableColumn id="22" xr3:uid="{359921F5-95F9-4679-BF68-A0A54B533504}" name="HEADSHOT" dataDxfId="58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157799-8CF1-4931-89B3-E968FC444CBC}" name="TableMoves" displayName="TableMoves" ref="A1:O74" totalsRowShown="0" headerRowDxfId="18" dataDxfId="17">
  <autoFilter ref="A1:O74" xr:uid="{A3157799-8CF1-4931-89B3-E968FC444CBC}"/>
  <sortState xmlns:xlrd2="http://schemas.microsoft.com/office/spreadsheetml/2017/richdata2" ref="A2:N74">
    <sortCondition ref="A1:A74"/>
  </sortState>
  <tableColumns count="15">
    <tableColumn id="1" xr3:uid="{70568732-77E7-41C8-BF73-5969FCA8A14C}" name="Name" dataDxfId="16"/>
    <tableColumn id="2" xr3:uid="{CE7F14D0-DF33-4366-925B-A4E99014F594}" name="Move Name" dataDxfId="15"/>
    <tableColumn id="16" xr3:uid="{4B1117AA-BCD6-4407-A3B6-86ACA5D4736F}" name="Coeff" dataDxfId="3"/>
    <tableColumn id="4" xr3:uid="{598F906A-2A6D-433C-912A-2701422A04E5}" name="Move Name2" dataDxfId="14"/>
    <tableColumn id="17" xr3:uid="{E66BE197-D0CC-40F2-A36A-8627FCEE1A5B}" name="Coeff2" dataDxfId="13"/>
    <tableColumn id="6" xr3:uid="{0167AAFD-6BD3-4938-A28F-360669DD02AE}" name="Move Name3" dataDxfId="12"/>
    <tableColumn id="18" xr3:uid="{A846DB77-4395-412C-AAD6-9F2A30872086}" name="Coeff3" dataDxfId="11"/>
    <tableColumn id="8" xr3:uid="{9DFD57BF-EE65-4F4E-9966-C1A9E11244C0}" name="Move Name4" dataDxfId="10"/>
    <tableColumn id="19" xr3:uid="{EAFDDEF2-E2CA-4BD1-925E-879480BC4864}" name="Coeff4" dataDxfId="9"/>
    <tableColumn id="10" xr3:uid="{2453E1EB-EBAE-4725-8B78-5BB3D9FB49DB}" name="Move Name5" dataDxfId="8"/>
    <tableColumn id="20" xr3:uid="{22E3AD6D-3F90-44CF-B535-AA536961E86D}" name="Coeff5" dataDxfId="7"/>
    <tableColumn id="12" xr3:uid="{A6DAE8E1-B5FA-4850-8D30-339F1A81CE57}" name="Move Name6" dataDxfId="6"/>
    <tableColumn id="21" xr3:uid="{57B7D1B0-7D6E-4496-9AED-71D3C48A3E23}" name="Coeff6" dataDxfId="5"/>
    <tableColumn id="14" xr3:uid="{6291AA15-928F-4A92-82EE-366296765B33}" name="Move Name7" dataDxfId="4"/>
    <tableColumn id="22" xr3:uid="{4B9D3C08-2CAA-44E9-8A22-EA15C910920F}" name="Coeff7" dataDxfId="2"/>
  </tableColumns>
  <tableStyleInfo name="TableStyleMedium16 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85"/>
  <sheetViews>
    <sheetView tabSelected="1" zoomScaleNormal="100" workbookViewId="0">
      <selection activeCell="Q27" sqref="Q27"/>
    </sheetView>
  </sheetViews>
  <sheetFormatPr defaultColWidth="12.5703125" defaultRowHeight="15" customHeight="1"/>
  <cols>
    <col min="1" max="7" width="8.5703125" customWidth="1"/>
    <col min="8" max="8" width="12.7109375" customWidth="1"/>
    <col min="9" max="14" width="8.5703125" customWidth="1"/>
    <col min="15" max="15" width="11.42578125" customWidth="1"/>
    <col min="16" max="16" width="8.5703125" customWidth="1"/>
    <col min="17" max="17" width="12.28515625" customWidth="1"/>
    <col min="18" max="18" width="9.7109375" customWidth="1"/>
    <col min="19" max="21" width="8.5703125" customWidth="1"/>
    <col min="22" max="22" width="11.140625" customWidth="1"/>
    <col min="23" max="23" width="10.85546875" customWidth="1"/>
    <col min="24" max="24" width="10.140625" customWidth="1"/>
    <col min="25" max="25" width="9.140625" customWidth="1"/>
    <col min="26" max="26" width="12.42578125" customWidth="1"/>
  </cols>
  <sheetData>
    <row r="1" spans="1:29" ht="15.75" thickBot="1">
      <c r="A1" s="93" t="s">
        <v>294</v>
      </c>
      <c r="B1" s="93"/>
      <c r="C1" s="93"/>
      <c r="D1" s="93"/>
      <c r="E1" s="93"/>
      <c r="F1" s="93"/>
      <c r="G1" s="93"/>
      <c r="H1" s="66"/>
      <c r="I1" s="83" t="s">
        <v>353</v>
      </c>
      <c r="J1" s="88"/>
      <c r="K1" s="89"/>
      <c r="L1" s="89"/>
      <c r="M1" s="89"/>
      <c r="N1" s="89"/>
      <c r="O1" s="89"/>
      <c r="P1" s="36"/>
      <c r="Q1" s="173" t="s">
        <v>511</v>
      </c>
      <c r="R1" s="174"/>
      <c r="S1" s="210" t="s">
        <v>512</v>
      </c>
    </row>
    <row r="2" spans="1:29" ht="15.75" thickBot="1">
      <c r="A2" s="99" t="s">
        <v>284</v>
      </c>
      <c r="B2" s="100"/>
      <c r="C2" s="95" t="s">
        <v>289</v>
      </c>
      <c r="D2" s="95"/>
      <c r="E2" s="95"/>
      <c r="F2" s="95"/>
      <c r="G2" s="95"/>
      <c r="H2" s="36"/>
      <c r="I2" s="87" t="s">
        <v>354</v>
      </c>
      <c r="J2" s="87"/>
      <c r="K2" s="92" t="s">
        <v>80</v>
      </c>
      <c r="L2" s="92"/>
      <c r="M2" s="92"/>
      <c r="N2" s="92"/>
      <c r="O2" s="204"/>
      <c r="P2" s="209">
        <v>1</v>
      </c>
      <c r="Q2" s="211" t="str">
        <f ca="1">INDIRECT(
  ADDRESS(
   MATCH(K2,'Weapon Moves'!A2:A74) + 1,2,1,1,"Weapon Moves"
  )
)</f>
        <v xml:space="preserve"> R1 P1</v>
      </c>
      <c r="R2" s="212"/>
      <c r="S2" s="133">
        <f ca="1">INDIRECT(
  ADDRESS(
   MATCH(K2,'Weapon Moves'!A2:A74) + 1,3,1,1,"Weapon Moves"
  )
)</f>
        <v>0.24820016290272939</v>
      </c>
    </row>
    <row r="3" spans="1:29" ht="15.75" thickBot="1">
      <c r="A3" s="94" t="s">
        <v>270</v>
      </c>
      <c r="B3" s="94"/>
      <c r="C3" s="96">
        <v>8</v>
      </c>
      <c r="D3" s="96"/>
      <c r="E3" s="96"/>
      <c r="F3" s="96"/>
      <c r="G3" s="96"/>
      <c r="I3" s="90" t="s">
        <v>355</v>
      </c>
      <c r="J3" s="90"/>
      <c r="K3" s="91" t="s">
        <v>342</v>
      </c>
      <c r="L3" s="91"/>
      <c r="M3" s="91"/>
      <c r="N3" s="91"/>
      <c r="O3" s="205"/>
      <c r="P3" s="209">
        <v>2</v>
      </c>
      <c r="Q3" s="211" t="str">
        <f ca="1">INDIRECT(
  ADDRESS(
   MATCH(K2,'Weapon Moves'!A2:A74) + 1,4,1,1,"Weapon Moves"
  )
)</f>
        <v>L2 P1</v>
      </c>
      <c r="R3" s="212"/>
      <c r="S3" s="133">
        <f ca="1">INDIRECT(
  ADDRESS(
   MATCH(K2,'Weapon Moves'!A2:A74) + 1,5,1,1,"Weapon Moves"
  )
)</f>
        <v>0.12494520312678015</v>
      </c>
    </row>
    <row r="4" spans="1:29" ht="15.75" thickBot="1">
      <c r="A4" s="60" t="s">
        <v>272</v>
      </c>
      <c r="B4" s="61" t="s">
        <v>273</v>
      </c>
      <c r="C4" s="62" t="s">
        <v>274</v>
      </c>
      <c r="D4" s="63" t="s">
        <v>275</v>
      </c>
      <c r="E4" s="64" t="s">
        <v>276</v>
      </c>
      <c r="F4" s="65" t="s">
        <v>262</v>
      </c>
      <c r="G4" s="76" t="s">
        <v>16</v>
      </c>
      <c r="H4" s="107"/>
      <c r="I4" s="138" t="s">
        <v>382</v>
      </c>
      <c r="J4" s="136" t="str">
        <f>_xlfn.XLOOKUP(K2,TableWeapons[Name],TableWeapons[Faction],"")</f>
        <v>CW</v>
      </c>
      <c r="K4" s="137"/>
      <c r="L4" s="135"/>
      <c r="M4" s="135"/>
      <c r="N4" s="135"/>
      <c r="O4" s="206"/>
      <c r="P4" s="209">
        <v>3</v>
      </c>
      <c r="Q4" s="211" t="str">
        <f ca="1">INDIRECT(
  ADDRESS(
   MATCH(K2,'Weapon Moves'!A2:A74) + 1,6,1,1,"Weapon Moves"
  )
)</f>
        <v xml:space="preserve"> R2 P2</v>
      </c>
      <c r="R4" s="212"/>
      <c r="S4" s="133">
        <f ca="1">INDIRECT(
  ADDRESS(
   MATCH(K2,'Weapon Moves'!A2:A74) + 1,7,1,1,"Weapon Moves"
  )
)</f>
        <v>0.23257841377947283</v>
      </c>
    </row>
    <row r="5" spans="1:29" ht="15.75" thickBot="1">
      <c r="A5" s="67" cm="1">
        <f t="array" ref="A5">INDEX(Fighters!$B$3:$AW$10,
  MATCH('LiD Calculator'!$C$3,Fighters!$A$3:$A$10,0),
  MATCH('LiD Calculator'!$C$2,Fighters!$B$1:$AW$1,0) + MATCH(A4,Fighters!$B$2:$G$2,0) - 1
)</f>
        <v>12325</v>
      </c>
      <c r="B5" s="67" cm="1">
        <f t="array" ref="B5">INDEX(Fighters!$B$3:$AW$10,
  MATCH('LiD Calculator'!$C$3,Fighters!$A$3:$A$10,0),
  MATCH('LiD Calculator'!$C$2,Fighters!$B$1:$AW$1,0) + MATCH(B4,Fighters!$B$2:$G$2,0) - 1
)</f>
        <v>249</v>
      </c>
      <c r="C5" s="67" cm="1">
        <f t="array" ref="C5">INDEX(Fighters!$B$3:$AW$10,
  MATCH('LiD Calculator'!$C$3,Fighters!$A$3:$A$10,0),
  MATCH('LiD Calculator'!$C$2,Fighters!$B$1:$AW$1,0) + MATCH(C4,Fighters!$B$2:$G$2,0) - 1
)</f>
        <v>520</v>
      </c>
      <c r="D5" s="67" cm="1">
        <f t="array" ref="D5">INDEX(Fighters!$B$3:$AW$10,
  MATCH('LiD Calculator'!$C$3,Fighters!$A$3:$A$10,0),
  MATCH('LiD Calculator'!$C$2,Fighters!$B$1:$AW$1,0) + MATCH(D4,Fighters!$B$2:$G$2,0) - 1
)</f>
        <v>520</v>
      </c>
      <c r="E5" s="67" cm="1">
        <f t="array" ref="E5">INDEX(Fighters!$B$3:$AW$10,
  MATCH('LiD Calculator'!$C$3,Fighters!$A$3:$A$10,0),
  MATCH('LiD Calculator'!$C$2,Fighters!$B$1:$AW$1,0) + MATCH(E4,Fighters!$B$2:$G$2,0) - 1
)</f>
        <v>154</v>
      </c>
      <c r="F5" s="67" cm="1">
        <f t="array" ref="F5">INDEX(Fighters!$B$3:$AW$10,
  MATCH('LiD Calculator'!$C$3,Fighters!$A$3:$A$10,0),
  MATCH('LiD Calculator'!$C$2,Fighters!$B$1:$AW$1,0) + MATCH(F4,Fighters!$B$2:$G$2,0) - 1
)</f>
        <v>53</v>
      </c>
      <c r="G5" s="106">
        <f>_xlfn.XLOOKUP(F5,Lists!I2:I192,Lists!J2:J192)</f>
        <v>35.5</v>
      </c>
      <c r="H5" s="108"/>
      <c r="I5" s="113" t="s">
        <v>0</v>
      </c>
      <c r="J5" s="97">
        <f>INDEX(Weapons!$O$2:$U$74,
  MATCH('LiD Calculator'!$K$2,Weapons!$A$2:$A$74, 0),
  MATCH('LiD Calculator'!$K$3,Weapons!$O$1:$U$1, 0)
)</f>
        <v>3403</v>
      </c>
      <c r="K5" s="98"/>
      <c r="L5" s="111"/>
      <c r="M5" s="114" t="s">
        <v>381</v>
      </c>
      <c r="N5" s="82">
        <f>_xlfn.XLOOKUP(K2,TableWeapons[Name], TableWeapons[Hands])</f>
        <v>2</v>
      </c>
      <c r="O5" s="207"/>
      <c r="P5" s="209">
        <v>4</v>
      </c>
      <c r="Q5" s="211" t="str">
        <f ca="1">INDIRECT(
  ADDRESS(
   MATCH(K2,'Weapon Moves'!A2:A74) + 1,8,1,1,"Weapon Moves"
  )
)</f>
        <v xml:space="preserve"> R2 P1</v>
      </c>
      <c r="R5" s="212"/>
      <c r="S5" s="133">
        <f ca="1">INDIRECT(
  ADDRESS(
   MATCH(K2,'Weapon Moves'!A2:A74) + 1,9,1,1,"Weapon Moves"
  )
)</f>
        <v>0.14660260694072363</v>
      </c>
    </row>
    <row r="6" spans="1:29" ht="15.75" thickBot="1">
      <c r="H6" s="74"/>
      <c r="I6" s="113" t="s">
        <v>377</v>
      </c>
      <c r="J6" s="110" t="str">
        <f>_xlfn.XLOOKUP(K2,TableWeapons[Name],TableWeapons[Type])</f>
        <v>Katana</v>
      </c>
      <c r="K6" s="98"/>
      <c r="L6" s="112"/>
      <c r="M6" s="114" t="s">
        <v>341</v>
      </c>
      <c r="N6" s="82">
        <f>_xlfn.XLOOKUP(K2,TableWeapons[Name],TableWeapons[STR %])</f>
        <v>60</v>
      </c>
      <c r="O6" s="207"/>
      <c r="P6" s="209">
        <v>5</v>
      </c>
      <c r="Q6" s="211" t="str">
        <f ca="1">INDIRECT(
  ADDRESS(
   MATCH(K2,'Weapon Moves'!A2:A74) + 1,10,1,1,"Weapon Moves"
  )
)</f>
        <v xml:space="preserve"> R1 P2</v>
      </c>
      <c r="R6" s="212"/>
      <c r="S6" s="133">
        <f ca="1">INDIRECT(
  ADDRESS(
   MATCH(K2,'Weapon Moves'!A2:A74) + 1,11,1,1,"Weapon Moves"
  )
)</f>
        <v>0.2312030014703626</v>
      </c>
    </row>
    <row r="7" spans="1:29" ht="15.75" thickBot="1">
      <c r="A7" s="83" t="s">
        <v>357</v>
      </c>
      <c r="B7" s="83"/>
      <c r="C7" s="83"/>
      <c r="D7" s="83"/>
      <c r="E7" s="83"/>
      <c r="F7" s="83"/>
      <c r="G7" s="83"/>
      <c r="H7" s="75"/>
      <c r="I7" s="113" t="s">
        <v>378</v>
      </c>
      <c r="J7" s="110" t="str">
        <f>_xlfn.XLOOKUP(J6,Weapons!A2:A74,Weapons!I2:I74)</f>
        <v>Slash</v>
      </c>
      <c r="K7" s="98"/>
      <c r="L7" s="109">
        <f>_xlfn.XLOOKUP(K2,TableWeapons[Name],TableWeapons[RAW %])</f>
        <v>100</v>
      </c>
      <c r="M7" s="114" t="s">
        <v>340</v>
      </c>
      <c r="N7" s="82">
        <f>_xlfn.XLOOKUP(K2,TableWeapons[Name],TableWeapons[DEX %])</f>
        <v>40</v>
      </c>
      <c r="O7" s="207"/>
      <c r="P7" s="209">
        <v>6</v>
      </c>
      <c r="Q7" s="211" t="str">
        <f ca="1">INDIRECT(
  ADDRESS(
   MATCH(K2,'Weapon Moves'!A2:A74) + 1,12,1,1,"Weapon Moves"
  )
)</f>
        <v xml:space="preserve">L1 </v>
      </c>
      <c r="R7" s="212"/>
      <c r="S7" s="133">
        <f ca="1">INDIRECT(
  ADDRESS(
   MATCH(K2,'Weapon Moves'!A2:A74) + 1,13,1,1,"Weapon Moves"
  )
)</f>
        <v>8.6447589048761347E-2</v>
      </c>
    </row>
    <row r="8" spans="1:29" ht="15.75" thickBot="1">
      <c r="A8" s="73" t="s">
        <v>358</v>
      </c>
      <c r="B8" s="73" t="s">
        <v>359</v>
      </c>
      <c r="C8" s="73" t="s">
        <v>360</v>
      </c>
      <c r="D8" s="73" t="s">
        <v>361</v>
      </c>
      <c r="E8" s="73" t="s">
        <v>362</v>
      </c>
      <c r="F8" s="73" t="s">
        <v>363</v>
      </c>
      <c r="G8" s="72"/>
      <c r="H8" s="36"/>
      <c r="I8" s="113" t="s">
        <v>379</v>
      </c>
      <c r="J8" s="110">
        <f>_xlfn.XLOOKUP(K2,TableWeapons[Name],TableWeapons[E TYPE])</f>
        <v>0</v>
      </c>
      <c r="K8" s="98"/>
      <c r="L8" s="109">
        <f>_xlfn.XLOOKUP(K2,TableWeapons[Name], TableWeapons[E %])</f>
        <v>0</v>
      </c>
      <c r="M8" s="115" t="s">
        <v>380</v>
      </c>
      <c r="N8" s="81">
        <f>_xlfn.XLOOKUP(K2,TableWeapons[Name],TableWeapons[HEADSHOT])</f>
        <v>0</v>
      </c>
      <c r="O8" s="208"/>
      <c r="P8" s="209">
        <v>7</v>
      </c>
      <c r="Q8" s="211" t="str">
        <f ca="1">INDIRECT(
  ADDRESS(
   MATCH(K2,'Weapon Moves'!A2:A74) + 1,14,1,1,"Weapon Moves"
  )
)</f>
        <v>Rage</v>
      </c>
      <c r="R8" s="212"/>
      <c r="S8" s="133">
        <f ca="1">INDIRECT(
  ADDRESS(
   MATCH(K2,'Weapon Moves'!A2:A74) + 1,15,1,1,"Weapon Moves"
  )
)</f>
        <v>0.53603467497216828</v>
      </c>
    </row>
    <row r="9" spans="1:29" ht="15.75" thickBot="1">
      <c r="A9" s="71">
        <v>0</v>
      </c>
      <c r="B9" s="71">
        <v>0</v>
      </c>
      <c r="C9" s="71">
        <v>0</v>
      </c>
      <c r="D9" s="71">
        <v>0</v>
      </c>
      <c r="E9" s="71">
        <v>0</v>
      </c>
      <c r="F9" s="71">
        <v>0</v>
      </c>
      <c r="L9" s="1"/>
      <c r="N9" s="2"/>
    </row>
    <row r="10" spans="1:29" ht="15.75" thickBot="1"/>
    <row r="11" spans="1:29" ht="15.75" thickBot="1">
      <c r="A11" s="36"/>
      <c r="B11" s="129" t="s">
        <v>6</v>
      </c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</row>
    <row r="12" spans="1:29" ht="16.5" thickTop="1" thickBot="1">
      <c r="B12" s="125" t="s">
        <v>7</v>
      </c>
      <c r="C12" s="121"/>
      <c r="D12" s="121"/>
      <c r="E12" s="121"/>
      <c r="F12" s="126" t="s">
        <v>8</v>
      </c>
      <c r="G12" s="126" t="s">
        <v>9</v>
      </c>
      <c r="H12" s="127" t="s">
        <v>10</v>
      </c>
      <c r="I12" s="127" t="s">
        <v>12</v>
      </c>
      <c r="J12" s="152" t="s">
        <v>383</v>
      </c>
      <c r="K12" s="152" t="s">
        <v>11</v>
      </c>
      <c r="L12" s="127" t="s">
        <v>381</v>
      </c>
      <c r="M12" s="126" t="s">
        <v>13</v>
      </c>
      <c r="N12" s="126" t="s">
        <v>14</v>
      </c>
      <c r="O12" s="126" t="s">
        <v>369</v>
      </c>
      <c r="P12" s="126" t="s">
        <v>370</v>
      </c>
      <c r="Q12" s="126" t="s">
        <v>371</v>
      </c>
      <c r="R12" s="126" t="s">
        <v>372</v>
      </c>
      <c r="S12" s="126" t="s">
        <v>373</v>
      </c>
      <c r="T12" s="126" t="s">
        <v>374</v>
      </c>
      <c r="U12" s="126" t="s">
        <v>15</v>
      </c>
      <c r="V12" s="126" t="s">
        <v>16</v>
      </c>
      <c r="W12" s="126" t="s">
        <v>17</v>
      </c>
      <c r="X12" s="126" t="s">
        <v>18</v>
      </c>
      <c r="Y12" s="126" t="s">
        <v>28</v>
      </c>
      <c r="Z12" s="128" t="s">
        <v>29</v>
      </c>
      <c r="AA12" s="134" t="s">
        <v>30</v>
      </c>
      <c r="AB12" s="155" t="s">
        <v>31</v>
      </c>
      <c r="AC12" s="157" t="s">
        <v>386</v>
      </c>
    </row>
    <row r="13" spans="1:29" ht="15.75" thickBot="1">
      <c r="A13" s="70">
        <v>1</v>
      </c>
      <c r="B13" s="84" t="s">
        <v>252</v>
      </c>
      <c r="C13" s="85"/>
      <c r="D13" s="85"/>
      <c r="E13" s="86"/>
      <c r="F13" s="139">
        <f>_xlfn.XLOOKUP($B13,TableDecals[NAME], TableDecals[A GRP],"")</f>
        <v>5</v>
      </c>
      <c r="G13" s="139">
        <f>_xlfn.XLOOKUP($B13,TableDecals[NAME], TableDecals[C GRP],"")</f>
        <v>0</v>
      </c>
      <c r="H13" s="139">
        <f>_xlfn.XLOOKUP($B13,TableDecals[NAME], TableDecals[REQ WEP],"")</f>
        <v>0</v>
      </c>
      <c r="I13" s="140">
        <f>_xlfn.XLOOKUP($B13,TableDecals[NAME], TableDecals[REQ FAC],"")</f>
        <v>0</v>
      </c>
      <c r="J13" s="153">
        <f>_xlfn.XLOOKUP($B13,TableDecals[NAME], TableDecals[REQ DAM],"")</f>
        <v>0</v>
      </c>
      <c r="K13" s="153">
        <f>_xlfn.XLOOKUP($B13,TableDecals[NAME], TableDecals[REQ ELE],"")</f>
        <v>0</v>
      </c>
      <c r="L13" s="150">
        <f>_xlfn.XLOOKUP($B13,TableDecals[NAME], TableDecals[HANDS],"")</f>
        <v>0</v>
      </c>
      <c r="M13" s="139">
        <f>_xlfn.XLOOKUP($B13,TableDecals[NAME], TableDecals[ATK *],"")</f>
        <v>0</v>
      </c>
      <c r="N13" s="139">
        <f>_xlfn.XLOOKUP($B13,TableDecals[NAME], TableDecals[ATK 2 *],"")</f>
        <v>0</v>
      </c>
      <c r="O13" s="139">
        <f>_xlfn.XLOOKUP($B13,TableDecals[NAME], TableDecals[SLASH *],"")</f>
        <v>0</v>
      </c>
      <c r="P13" s="139">
        <f>_xlfn.XLOOKUP($B13,TableDecals[NAME], TableDecals[BLUNT *],"")</f>
        <v>0</v>
      </c>
      <c r="Q13" s="139">
        <f>_xlfn.XLOOKUP($B13,TableDecals[NAME], TableDecals[PIERCING *],"")</f>
        <v>0</v>
      </c>
      <c r="R13" s="139">
        <f>_xlfn.XLOOKUP($B13,TableDecals[NAME], TableDecals[FIRE *],"")</f>
        <v>30</v>
      </c>
      <c r="S13" s="139">
        <f>_xlfn.XLOOKUP($B13,TableDecals[NAME], TableDecals[ELECTRIC *],"")</f>
        <v>0</v>
      </c>
      <c r="T13" s="139">
        <f>_xlfn.XLOOKUP($B13,TableDecals[NAME], TableDecals[POISON *],"")</f>
        <v>0</v>
      </c>
      <c r="U13" s="139">
        <f>_xlfn.XLOOKUP($B13,TableDecals[NAME], TableDecals[HS *],"")</f>
        <v>0</v>
      </c>
      <c r="V13" s="139">
        <f>_xlfn.XLOOKUP($B13,TableDecals[NAME], TableDecals[CRIT %],"")</f>
        <v>0</v>
      </c>
      <c r="W13" s="139">
        <f>_xlfn.XLOOKUP($B13,TableDecals[NAME], TableDecals[CRIT *],"")</f>
        <v>0</v>
      </c>
      <c r="X13" s="139">
        <f>_xlfn.XLOOKUP($B13,TableDecals[NAME], TableDecals[EXPLOSIVE],"")</f>
        <v>0</v>
      </c>
      <c r="Y13" s="139">
        <f>_xlfn.XLOOKUP($B13,TableDecals[NAME], TableDecals[RAGE DMG *],"")</f>
        <v>0</v>
      </c>
      <c r="Z13" s="139">
        <f>_xlfn.XLOOKUP($B13,TableDecals[NAME], TableDecals[HP &lt;= 15%],"")</f>
        <v>0</v>
      </c>
      <c r="AA13" s="140">
        <f>_xlfn.XLOOKUP($B13,TableDecals[NAME], TableDecals[HP 100%],"")</f>
        <v>0</v>
      </c>
      <c r="AB13" s="154">
        <f>_xlfn.XLOOKUP($B13,TableDecals[NAME], TableDecals[DOWN ATK *],"")</f>
        <v>0</v>
      </c>
      <c r="AC13" s="156" t="str">
        <f>IF(
  AND(
    OR(H13=$J$6,H13=0),
    OR(I13=$J$4,I13=0),
    OR(ISNUMBER(SEARCH($J$7,J13)),ISNUMBER(J13)),
    OR(ISNUMBER(SEARCH($J$8,K13)),ISNUMBER(K13)),
    OR(L13=$N$5,L13=0)
  ),"YES","NO"
)</f>
        <v>YES</v>
      </c>
    </row>
    <row r="14" spans="1:29" ht="15.75" thickBot="1">
      <c r="A14" s="70">
        <v>2</v>
      </c>
      <c r="B14" s="80" t="s">
        <v>101</v>
      </c>
      <c r="C14" s="77"/>
      <c r="D14" s="77"/>
      <c r="E14" s="78"/>
      <c r="F14" s="139">
        <f>_xlfn.XLOOKUP($B14,TableDecals[NAME], TableDecals[A GRP],"")</f>
        <v>4</v>
      </c>
      <c r="G14" s="139">
        <f>_xlfn.XLOOKUP($B14,TableDecals[NAME], TableDecals[C GRP],"")</f>
        <v>0</v>
      </c>
      <c r="H14" s="139" t="str">
        <f>_xlfn.XLOOKUP($B14,TableDecals[NAME], TableDecals[REQ WEP],"")</f>
        <v>Sword</v>
      </c>
      <c r="I14" s="140">
        <f>_xlfn.XLOOKUP($B14,TableDecals[NAME], TableDecals[REQ FAC],"")</f>
        <v>0</v>
      </c>
      <c r="J14" s="153">
        <f>_xlfn.XLOOKUP($B14,TableDecals[NAME], TableDecals[REQ DAM],"")</f>
        <v>0</v>
      </c>
      <c r="K14" s="153">
        <f>_xlfn.XLOOKUP($B14,TableDecals[NAME], TableDecals[REQ ELE],"")</f>
        <v>0</v>
      </c>
      <c r="L14" s="150">
        <f>_xlfn.XLOOKUP($B14,TableDecals[NAME], TableDecals[HANDS],"")</f>
        <v>0</v>
      </c>
      <c r="M14" s="139">
        <f>_xlfn.XLOOKUP($B14,TableDecals[NAME], TableDecals[ATK *],"")</f>
        <v>30</v>
      </c>
      <c r="N14" s="139">
        <f>_xlfn.XLOOKUP($B14,TableDecals[NAME], TableDecals[ATK 2 *],"")</f>
        <v>0</v>
      </c>
      <c r="O14" s="139">
        <f>_xlfn.XLOOKUP($B14,TableDecals[NAME], TableDecals[SLASH *],"")</f>
        <v>0</v>
      </c>
      <c r="P14" s="139">
        <f>_xlfn.XLOOKUP($B14,TableDecals[NAME], TableDecals[BLUNT *],"")</f>
        <v>0</v>
      </c>
      <c r="Q14" s="139">
        <f>_xlfn.XLOOKUP($B14,TableDecals[NAME], TableDecals[PIERCING *],"")</f>
        <v>0</v>
      </c>
      <c r="R14" s="139">
        <f>_xlfn.XLOOKUP($B14,TableDecals[NAME], TableDecals[FIRE *],"")</f>
        <v>0</v>
      </c>
      <c r="S14" s="139">
        <f>_xlfn.XLOOKUP($B14,TableDecals[NAME], TableDecals[ELECTRIC *],"")</f>
        <v>0</v>
      </c>
      <c r="T14" s="139">
        <f>_xlfn.XLOOKUP($B14,TableDecals[NAME], TableDecals[POISON *],"")</f>
        <v>0</v>
      </c>
      <c r="U14" s="139">
        <f>_xlfn.XLOOKUP($B14,TableDecals[NAME], TableDecals[HS *],"")</f>
        <v>0</v>
      </c>
      <c r="V14" s="139">
        <f>_xlfn.XLOOKUP($B14,TableDecals[NAME], TableDecals[CRIT %],"")</f>
        <v>0</v>
      </c>
      <c r="W14" s="139">
        <f>_xlfn.XLOOKUP($B14,TableDecals[NAME], TableDecals[CRIT *],"")</f>
        <v>0</v>
      </c>
      <c r="X14" s="139">
        <f>_xlfn.XLOOKUP($B14,TableDecals[NAME], TableDecals[EXPLOSIVE],"")</f>
        <v>0</v>
      </c>
      <c r="Y14" s="139">
        <f>_xlfn.XLOOKUP($B14,TableDecals[NAME], TableDecals[RAGE DMG *],"")</f>
        <v>0</v>
      </c>
      <c r="Z14" s="139">
        <f>_xlfn.XLOOKUP($B14,TableDecals[NAME], TableDecals[HP &lt;= 15%],"")</f>
        <v>0</v>
      </c>
      <c r="AA14" s="140">
        <f>_xlfn.XLOOKUP($B14,TableDecals[NAME], TableDecals[HP 100%],"")</f>
        <v>0</v>
      </c>
      <c r="AB14" s="154">
        <f>_xlfn.XLOOKUP($B14,TableDecals[NAME], TableDecals[DOWN ATK *],"")</f>
        <v>0</v>
      </c>
      <c r="AC14" s="156" t="str">
        <f t="shared" ref="AC14:AC21" si="0">IF(
  AND(
    OR(H14=$J$6,H14=0),
    OR(I14=$J$4,I14=0),
    OR(ISNUMBER(SEARCH($J$7,J14)),ISNUMBER(J14)),
    OR(ISNUMBER(SEARCH($J$8,K14)),ISNUMBER(K14)),
    OR(L14=$N$5,L14=0)
  ),"YES","NO"
)</f>
        <v>NO</v>
      </c>
    </row>
    <row r="15" spans="1:29" ht="15.75" thickBot="1">
      <c r="A15" s="70">
        <v>3</v>
      </c>
      <c r="B15" s="80" t="s">
        <v>259</v>
      </c>
      <c r="C15" s="77"/>
      <c r="D15" s="77"/>
      <c r="E15" s="78"/>
      <c r="F15" s="139">
        <f>_xlfn.XLOOKUP($B15,TableDecals[NAME], TableDecals[A GRP],"")</f>
        <v>5</v>
      </c>
      <c r="G15" s="139">
        <f>_xlfn.XLOOKUP($B15,TableDecals[NAME], TableDecals[C GRP],"")</f>
        <v>2</v>
      </c>
      <c r="H15" s="139">
        <f>_xlfn.XLOOKUP($B15,TableDecals[NAME], TableDecals[REQ WEP],"")</f>
        <v>0</v>
      </c>
      <c r="I15" s="140">
        <f>_xlfn.XLOOKUP($B15,TableDecals[NAME], TableDecals[REQ FAC],"")</f>
        <v>0</v>
      </c>
      <c r="J15" s="153" t="str">
        <f>_xlfn.XLOOKUP($B15,TableDecals[NAME], TableDecals[REQ DAM],"")</f>
        <v>SLASH,BLUNT</v>
      </c>
      <c r="K15" s="153" t="str">
        <f>_xlfn.XLOOKUP($B15,TableDecals[NAME], TableDecals[REQ ELE],"")</f>
        <v>FIRE,ELECTRIC,POISON</v>
      </c>
      <c r="L15" s="150">
        <f>_xlfn.XLOOKUP($B15,TableDecals[NAME], TableDecals[HANDS],"")</f>
        <v>0</v>
      </c>
      <c r="M15" s="139">
        <f>_xlfn.XLOOKUP($B15,TableDecals[NAME], TableDecals[ATK *],"")</f>
        <v>0</v>
      </c>
      <c r="N15" s="139">
        <f>_xlfn.XLOOKUP($B15,TableDecals[NAME], TableDecals[ATK 2 *],"")</f>
        <v>0</v>
      </c>
      <c r="O15" s="139">
        <f>_xlfn.XLOOKUP($B15,TableDecals[NAME], TableDecals[SLASH *],"")</f>
        <v>50</v>
      </c>
      <c r="P15" s="139">
        <f>_xlfn.XLOOKUP($B15,TableDecals[NAME], TableDecals[BLUNT *],"")</f>
        <v>50</v>
      </c>
      <c r="Q15" s="139">
        <f>_xlfn.XLOOKUP($B15,TableDecals[NAME], TableDecals[PIERCING *],"")</f>
        <v>0</v>
      </c>
      <c r="R15" s="139">
        <f>_xlfn.XLOOKUP($B15,TableDecals[NAME], TableDecals[FIRE *],"")</f>
        <v>50</v>
      </c>
      <c r="S15" s="139">
        <f>_xlfn.XLOOKUP($B15,TableDecals[NAME], TableDecals[ELECTRIC *],"")</f>
        <v>50</v>
      </c>
      <c r="T15" s="139">
        <f>_xlfn.XLOOKUP($B15,TableDecals[NAME], TableDecals[POISON *],"")</f>
        <v>50</v>
      </c>
      <c r="U15" s="139">
        <f>_xlfn.XLOOKUP($B15,TableDecals[NAME], TableDecals[HS *],"")</f>
        <v>0</v>
      </c>
      <c r="V15" s="139">
        <f>_xlfn.XLOOKUP($B15,TableDecals[NAME], TableDecals[CRIT %],"")</f>
        <v>0</v>
      </c>
      <c r="W15" s="139">
        <f>_xlfn.XLOOKUP($B15,TableDecals[NAME], TableDecals[CRIT *],"")</f>
        <v>10</v>
      </c>
      <c r="X15" s="139">
        <f>_xlfn.XLOOKUP($B15,TableDecals[NAME], TableDecals[EXPLOSIVE],"")</f>
        <v>0</v>
      </c>
      <c r="Y15" s="139">
        <f>_xlfn.XLOOKUP($B15,TableDecals[NAME], TableDecals[RAGE DMG *],"")</f>
        <v>0</v>
      </c>
      <c r="Z15" s="139">
        <f>_xlfn.XLOOKUP($B15,TableDecals[NAME], TableDecals[HP &lt;= 15%],"")</f>
        <v>0</v>
      </c>
      <c r="AA15" s="140">
        <f>_xlfn.XLOOKUP($B15,TableDecals[NAME], TableDecals[HP 100%],"")</f>
        <v>0</v>
      </c>
      <c r="AB15" s="154">
        <f>_xlfn.XLOOKUP($B15,TableDecals[NAME], TableDecals[DOWN ATK *],"")</f>
        <v>0</v>
      </c>
      <c r="AC15" s="156" t="str">
        <f t="shared" si="0"/>
        <v>NO</v>
      </c>
    </row>
    <row r="16" spans="1:29" ht="15.75" thickBot="1">
      <c r="A16" s="70">
        <v>4</v>
      </c>
      <c r="B16" s="79" t="s">
        <v>193</v>
      </c>
      <c r="C16" s="77"/>
      <c r="D16" s="77"/>
      <c r="E16" s="78"/>
      <c r="F16" s="139">
        <f>_xlfn.XLOOKUP($B16,TableDecals[NAME], TableDecals[A GRP],"")</f>
        <v>5</v>
      </c>
      <c r="G16" s="139">
        <f>_xlfn.XLOOKUP($B16,TableDecals[NAME], TableDecals[C GRP],"")</f>
        <v>0</v>
      </c>
      <c r="H16" s="139">
        <f>_xlfn.XLOOKUP($B16,TableDecals[NAME], TableDecals[REQ WEP],"")</f>
        <v>0</v>
      </c>
      <c r="I16" s="140">
        <f>_xlfn.XLOOKUP($B16,TableDecals[NAME], TableDecals[REQ FAC],"")</f>
        <v>0</v>
      </c>
      <c r="J16" s="153">
        <f>_xlfn.XLOOKUP($B16,TableDecals[NAME], TableDecals[REQ DAM],"")</f>
        <v>0</v>
      </c>
      <c r="K16" s="153">
        <f>_xlfn.XLOOKUP($B16,TableDecals[NAME], TableDecals[REQ ELE],"")</f>
        <v>0</v>
      </c>
      <c r="L16" s="150">
        <f>_xlfn.XLOOKUP($B16,TableDecals[NAME], TableDecals[HANDS],"")</f>
        <v>0</v>
      </c>
      <c r="M16" s="139">
        <f>_xlfn.XLOOKUP($B16,TableDecals[NAME], TableDecals[ATK *],"")</f>
        <v>0</v>
      </c>
      <c r="N16" s="139">
        <f>_xlfn.XLOOKUP($B16,TableDecals[NAME], TableDecals[ATK 2 *],"")</f>
        <v>0</v>
      </c>
      <c r="O16" s="139">
        <f>_xlfn.XLOOKUP($B16,TableDecals[NAME], TableDecals[SLASH *],"")</f>
        <v>30</v>
      </c>
      <c r="P16" s="139">
        <f>_xlfn.XLOOKUP($B16,TableDecals[NAME], TableDecals[BLUNT *],"")</f>
        <v>30</v>
      </c>
      <c r="Q16" s="139">
        <f>_xlfn.XLOOKUP($B16,TableDecals[NAME], TableDecals[PIERCING *],"")</f>
        <v>0</v>
      </c>
      <c r="R16" s="139">
        <f>_xlfn.XLOOKUP($B16,TableDecals[NAME], TableDecals[FIRE *],"")</f>
        <v>0</v>
      </c>
      <c r="S16" s="139">
        <f>_xlfn.XLOOKUP($B16,TableDecals[NAME], TableDecals[ELECTRIC *],"")</f>
        <v>0</v>
      </c>
      <c r="T16" s="139">
        <f>_xlfn.XLOOKUP($B16,TableDecals[NAME], TableDecals[POISON *],"")</f>
        <v>0</v>
      </c>
      <c r="U16" s="139">
        <f>_xlfn.XLOOKUP($B16,TableDecals[NAME], TableDecals[HS *],"")</f>
        <v>0</v>
      </c>
      <c r="V16" s="139">
        <f>_xlfn.XLOOKUP($B16,TableDecals[NAME], TableDecals[CRIT %],"")</f>
        <v>0</v>
      </c>
      <c r="W16" s="139">
        <f>_xlfn.XLOOKUP($B16,TableDecals[NAME], TableDecals[CRIT *],"")</f>
        <v>0</v>
      </c>
      <c r="X16" s="139">
        <f>_xlfn.XLOOKUP($B16,TableDecals[NAME], TableDecals[EXPLOSIVE],"")</f>
        <v>0</v>
      </c>
      <c r="Y16" s="139">
        <f>_xlfn.XLOOKUP($B16,TableDecals[NAME], TableDecals[RAGE DMG *],"")</f>
        <v>0</v>
      </c>
      <c r="Z16" s="139">
        <f>_xlfn.XLOOKUP($B16,TableDecals[NAME], TableDecals[HP &lt;= 15%],"")</f>
        <v>0</v>
      </c>
      <c r="AA16" s="140">
        <f>_xlfn.XLOOKUP($B16,TableDecals[NAME], TableDecals[HP 100%],"")</f>
        <v>0</v>
      </c>
      <c r="AB16" s="154">
        <f>_xlfn.XLOOKUP($B16,TableDecals[NAME], TableDecals[DOWN ATK *],"")</f>
        <v>0</v>
      </c>
      <c r="AC16" s="156" t="str">
        <f t="shared" si="0"/>
        <v>YES</v>
      </c>
    </row>
    <row r="17" spans="1:29" ht="15.75" thickBot="1">
      <c r="A17" s="70">
        <v>5</v>
      </c>
      <c r="B17" s="79" t="s">
        <v>247</v>
      </c>
      <c r="C17" s="77"/>
      <c r="D17" s="77"/>
      <c r="E17" s="78"/>
      <c r="F17" s="139">
        <f>_xlfn.XLOOKUP($B17,TableDecals[NAME], TableDecals[A GRP],"")</f>
        <v>5</v>
      </c>
      <c r="G17" s="139">
        <f>_xlfn.XLOOKUP($B17,TableDecals[NAME], TableDecals[C GRP],"")</f>
        <v>0</v>
      </c>
      <c r="H17" s="139">
        <f>_xlfn.XLOOKUP($B17,TableDecals[NAME], TableDecals[REQ WEP],"")</f>
        <v>0</v>
      </c>
      <c r="I17" s="140">
        <f>_xlfn.XLOOKUP($B17,TableDecals[NAME], TableDecals[REQ FAC],"")</f>
        <v>0</v>
      </c>
      <c r="J17" s="153">
        <f>_xlfn.XLOOKUP($B17,TableDecals[NAME], TableDecals[REQ DAM],"")</f>
        <v>0</v>
      </c>
      <c r="K17" s="153">
        <f>_xlfn.XLOOKUP($B17,TableDecals[NAME], TableDecals[REQ ELE],"")</f>
        <v>0</v>
      </c>
      <c r="L17" s="150">
        <f>_xlfn.XLOOKUP($B17,TableDecals[NAME], TableDecals[HANDS],"")</f>
        <v>0</v>
      </c>
      <c r="M17" s="139">
        <f>_xlfn.XLOOKUP($B17,TableDecals[NAME], TableDecals[ATK *],"")</f>
        <v>0</v>
      </c>
      <c r="N17" s="139">
        <f>_xlfn.XLOOKUP($B17,TableDecals[NAME], TableDecals[ATK 2 *],"")</f>
        <v>0</v>
      </c>
      <c r="O17" s="139">
        <f>_xlfn.XLOOKUP($B17,TableDecals[NAME], TableDecals[SLASH *],"")</f>
        <v>40</v>
      </c>
      <c r="P17" s="139">
        <f>_xlfn.XLOOKUP($B17,TableDecals[NAME], TableDecals[BLUNT *],"")</f>
        <v>40</v>
      </c>
      <c r="Q17" s="139">
        <f>_xlfn.XLOOKUP($B17,TableDecals[NAME], TableDecals[PIERCING *],"")</f>
        <v>0</v>
      </c>
      <c r="R17" s="139">
        <f>_xlfn.XLOOKUP($B17,TableDecals[NAME], TableDecals[FIRE *],"")</f>
        <v>0</v>
      </c>
      <c r="S17" s="139">
        <f>_xlfn.XLOOKUP($B17,TableDecals[NAME], TableDecals[ELECTRIC *],"")</f>
        <v>0</v>
      </c>
      <c r="T17" s="139">
        <f>_xlfn.XLOOKUP($B17,TableDecals[NAME], TableDecals[POISON *],"")</f>
        <v>0</v>
      </c>
      <c r="U17" s="139">
        <f>_xlfn.XLOOKUP($B17,TableDecals[NAME], TableDecals[HS *],"")</f>
        <v>0</v>
      </c>
      <c r="V17" s="139">
        <f>_xlfn.XLOOKUP($B17,TableDecals[NAME], TableDecals[CRIT %],"")</f>
        <v>0</v>
      </c>
      <c r="W17" s="139">
        <f>_xlfn.XLOOKUP($B17,TableDecals[NAME], TableDecals[CRIT *],"")</f>
        <v>0</v>
      </c>
      <c r="X17" s="139">
        <f>_xlfn.XLOOKUP($B17,TableDecals[NAME], TableDecals[EXPLOSIVE],"")</f>
        <v>0</v>
      </c>
      <c r="Y17" s="139">
        <f>_xlfn.XLOOKUP($B17,TableDecals[NAME], TableDecals[RAGE DMG *],"")</f>
        <v>0</v>
      </c>
      <c r="Z17" s="139">
        <f>_xlfn.XLOOKUP($B17,TableDecals[NAME], TableDecals[HP &lt;= 15%],"")</f>
        <v>0</v>
      </c>
      <c r="AA17" s="140">
        <f>_xlfn.XLOOKUP($B17,TableDecals[NAME], TableDecals[HP 100%],"")</f>
        <v>0</v>
      </c>
      <c r="AB17" s="154">
        <f>_xlfn.XLOOKUP($B17,TableDecals[NAME], TableDecals[DOWN ATK *],"")</f>
        <v>0</v>
      </c>
      <c r="AC17" s="156" t="str">
        <f t="shared" si="0"/>
        <v>YES</v>
      </c>
    </row>
    <row r="18" spans="1:29" ht="15.75" thickBot="1">
      <c r="A18" s="70">
        <v>6</v>
      </c>
      <c r="B18" s="80" t="s">
        <v>24</v>
      </c>
      <c r="C18" s="77"/>
      <c r="D18" s="77"/>
      <c r="E18" s="78"/>
      <c r="F18" s="139">
        <f>_xlfn.XLOOKUP($B18,TableDecals[NAME], TableDecals[A GRP],"")</f>
        <v>1</v>
      </c>
      <c r="G18" s="139">
        <f>_xlfn.XLOOKUP($B18,TableDecals[NAME], TableDecals[C GRP],"")</f>
        <v>0</v>
      </c>
      <c r="H18" s="139">
        <f>_xlfn.XLOOKUP($B18,TableDecals[NAME], TableDecals[REQ WEP],"")</f>
        <v>0</v>
      </c>
      <c r="I18" s="140">
        <f>_xlfn.XLOOKUP($B18,TableDecals[NAME], TableDecals[REQ FAC],"")</f>
        <v>0</v>
      </c>
      <c r="J18" s="153">
        <f>_xlfn.XLOOKUP($B18,TableDecals[NAME], TableDecals[REQ DAM],"")</f>
        <v>0</v>
      </c>
      <c r="K18" s="153">
        <f>_xlfn.XLOOKUP($B18,TableDecals[NAME], TableDecals[REQ ELE],"")</f>
        <v>0</v>
      </c>
      <c r="L18" s="150">
        <f>_xlfn.XLOOKUP($B18,TableDecals[NAME], TableDecals[HANDS],"")</f>
        <v>0</v>
      </c>
      <c r="M18" s="139">
        <f>_xlfn.XLOOKUP($B18,TableDecals[NAME], TableDecals[ATK *],"")</f>
        <v>30</v>
      </c>
      <c r="N18" s="139">
        <f>_xlfn.XLOOKUP($B18,TableDecals[NAME], TableDecals[ATK 2 *],"")</f>
        <v>0</v>
      </c>
      <c r="O18" s="139">
        <f>_xlfn.XLOOKUP($B18,TableDecals[NAME], TableDecals[SLASH *],"")</f>
        <v>0</v>
      </c>
      <c r="P18" s="139">
        <f>_xlfn.XLOOKUP($B18,TableDecals[NAME], TableDecals[BLUNT *],"")</f>
        <v>0</v>
      </c>
      <c r="Q18" s="139">
        <f>_xlfn.XLOOKUP($B18,TableDecals[NAME], TableDecals[PIERCING *],"")</f>
        <v>0</v>
      </c>
      <c r="R18" s="139">
        <f>_xlfn.XLOOKUP($B18,TableDecals[NAME], TableDecals[FIRE *],"")</f>
        <v>0</v>
      </c>
      <c r="S18" s="139">
        <f>_xlfn.XLOOKUP($B18,TableDecals[NAME], TableDecals[ELECTRIC *],"")</f>
        <v>0</v>
      </c>
      <c r="T18" s="139">
        <f>_xlfn.XLOOKUP($B18,TableDecals[NAME], TableDecals[POISON *],"")</f>
        <v>0</v>
      </c>
      <c r="U18" s="139">
        <f>_xlfn.XLOOKUP($B18,TableDecals[NAME], TableDecals[HS *],"")</f>
        <v>0</v>
      </c>
      <c r="V18" s="139">
        <f>_xlfn.XLOOKUP($B18,TableDecals[NAME], TableDecals[CRIT %],"")</f>
        <v>0</v>
      </c>
      <c r="W18" s="139">
        <f>_xlfn.XLOOKUP($B18,TableDecals[NAME], TableDecals[CRIT *],"")</f>
        <v>0</v>
      </c>
      <c r="X18" s="139">
        <f>_xlfn.XLOOKUP($B18,TableDecals[NAME], TableDecals[EXPLOSIVE],"")</f>
        <v>0</v>
      </c>
      <c r="Y18" s="139">
        <f>_xlfn.XLOOKUP($B18,TableDecals[NAME], TableDecals[RAGE DMG *],"")</f>
        <v>0</v>
      </c>
      <c r="Z18" s="139">
        <f>_xlfn.XLOOKUP($B18,TableDecals[NAME], TableDecals[HP &lt;= 15%],"")</f>
        <v>0</v>
      </c>
      <c r="AA18" s="140">
        <f>_xlfn.XLOOKUP($B18,TableDecals[NAME], TableDecals[HP 100%],"")</f>
        <v>0</v>
      </c>
      <c r="AB18" s="154">
        <f>_xlfn.XLOOKUP($B18,TableDecals[NAME], TableDecals[DOWN ATK *],"")</f>
        <v>0</v>
      </c>
      <c r="AC18" s="156" t="str">
        <f t="shared" si="0"/>
        <v>YES</v>
      </c>
    </row>
    <row r="19" spans="1:29" ht="15" customHeight="1" thickBot="1">
      <c r="A19" s="70">
        <v>7</v>
      </c>
      <c r="B19" s="80" t="s">
        <v>26</v>
      </c>
      <c r="C19" s="77"/>
      <c r="D19" s="77"/>
      <c r="E19" s="78"/>
      <c r="F19" s="139">
        <f>_xlfn.XLOOKUP($B19,TableDecals[NAME], TableDecals[A GRP],"")</f>
        <v>1</v>
      </c>
      <c r="G19" s="139">
        <f>_xlfn.XLOOKUP($B19,TableDecals[NAME], TableDecals[C GRP],"")</f>
        <v>0</v>
      </c>
      <c r="H19" s="139">
        <f>_xlfn.XLOOKUP($B19,TableDecals[NAME], TableDecals[REQ WEP],"")</f>
        <v>0</v>
      </c>
      <c r="I19" s="140">
        <f>_xlfn.XLOOKUP($B19,TableDecals[NAME], TableDecals[REQ FAC],"")</f>
        <v>0</v>
      </c>
      <c r="J19" s="153">
        <f>_xlfn.XLOOKUP($B19,TableDecals[NAME], TableDecals[REQ DAM],"")</f>
        <v>0</v>
      </c>
      <c r="K19" s="153">
        <f>_xlfn.XLOOKUP($B19,TableDecals[NAME], TableDecals[REQ ELE],"")</f>
        <v>0</v>
      </c>
      <c r="L19" s="150">
        <f>_xlfn.XLOOKUP($B19,TableDecals[NAME], TableDecals[HANDS],"")</f>
        <v>0</v>
      </c>
      <c r="M19" s="139">
        <f>_xlfn.XLOOKUP($B19,TableDecals[NAME], TableDecals[ATK *],"")</f>
        <v>100</v>
      </c>
      <c r="N19" s="139">
        <f>_xlfn.XLOOKUP($B19,TableDecals[NAME], TableDecals[ATK 2 *],"")</f>
        <v>0</v>
      </c>
      <c r="O19" s="139">
        <f>_xlfn.XLOOKUP($B19,TableDecals[NAME], TableDecals[SLASH *],"")</f>
        <v>0</v>
      </c>
      <c r="P19" s="139">
        <f>_xlfn.XLOOKUP($B19,TableDecals[NAME], TableDecals[BLUNT *],"")</f>
        <v>0</v>
      </c>
      <c r="Q19" s="139">
        <f>_xlfn.XLOOKUP($B19,TableDecals[NAME], TableDecals[PIERCING *],"")</f>
        <v>0</v>
      </c>
      <c r="R19" s="139">
        <f>_xlfn.XLOOKUP($B19,TableDecals[NAME], TableDecals[FIRE *],"")</f>
        <v>0</v>
      </c>
      <c r="S19" s="139">
        <f>_xlfn.XLOOKUP($B19,TableDecals[NAME], TableDecals[ELECTRIC *],"")</f>
        <v>0</v>
      </c>
      <c r="T19" s="139">
        <f>_xlfn.XLOOKUP($B19,TableDecals[NAME], TableDecals[POISON *],"")</f>
        <v>0</v>
      </c>
      <c r="U19" s="139">
        <f>_xlfn.XLOOKUP($B19,TableDecals[NAME], TableDecals[HS *],"")</f>
        <v>0</v>
      </c>
      <c r="V19" s="139">
        <f>_xlfn.XLOOKUP($B19,TableDecals[NAME], TableDecals[CRIT %],"")</f>
        <v>0</v>
      </c>
      <c r="W19" s="139">
        <f>_xlfn.XLOOKUP($B19,TableDecals[NAME], TableDecals[CRIT *],"")</f>
        <v>0</v>
      </c>
      <c r="X19" s="139">
        <f>_xlfn.XLOOKUP($B19,TableDecals[NAME], TableDecals[EXPLOSIVE],"")</f>
        <v>0</v>
      </c>
      <c r="Y19" s="139">
        <f>_xlfn.XLOOKUP($B19,TableDecals[NAME], TableDecals[RAGE DMG *],"")</f>
        <v>0</v>
      </c>
      <c r="Z19" s="139">
        <f>_xlfn.XLOOKUP($B19,TableDecals[NAME], TableDecals[HP &lt;= 15%],"")</f>
        <v>0</v>
      </c>
      <c r="AA19" s="140">
        <f>_xlfn.XLOOKUP($B19,TableDecals[NAME], TableDecals[HP 100%],"")</f>
        <v>0</v>
      </c>
      <c r="AB19" s="154">
        <f>_xlfn.XLOOKUP($B19,TableDecals[NAME], TableDecals[DOWN ATK *],"")</f>
        <v>0</v>
      </c>
      <c r="AC19" s="156" t="str">
        <f t="shared" si="0"/>
        <v>YES</v>
      </c>
    </row>
    <row r="20" spans="1:29" ht="15.75" thickBot="1">
      <c r="A20" s="70">
        <v>8</v>
      </c>
      <c r="B20" s="124"/>
      <c r="C20" s="122"/>
      <c r="D20" s="122"/>
      <c r="E20" s="123"/>
      <c r="F20" s="141">
        <f>_xlfn.XLOOKUP($B20,TableDecals[NAME], TableDecals[A GRP],"")</f>
        <v>0</v>
      </c>
      <c r="G20" s="141">
        <f>_xlfn.XLOOKUP($B20,TableDecals[NAME], TableDecals[C GRP],"")</f>
        <v>0</v>
      </c>
      <c r="H20" s="141">
        <f>_xlfn.XLOOKUP($B20,TableDecals[NAME], TableDecals[REQ WEP],"")</f>
        <v>0</v>
      </c>
      <c r="I20" s="149">
        <f>_xlfn.XLOOKUP($B20,TableDecals[NAME], TableDecals[REQ FAC],"")</f>
        <v>0</v>
      </c>
      <c r="J20" s="153">
        <f>_xlfn.XLOOKUP($B20,TableDecals[NAME], TableDecals[REQ DAM],"")</f>
        <v>0</v>
      </c>
      <c r="K20" s="153">
        <f>_xlfn.XLOOKUP($B20,TableDecals[NAME], TableDecals[REQ ELE],"")</f>
        <v>0</v>
      </c>
      <c r="L20" s="151">
        <f>_xlfn.XLOOKUP($B20,TableDecals[NAME], TableDecals[HANDS],"")</f>
        <v>0</v>
      </c>
      <c r="M20" s="139">
        <f>_xlfn.XLOOKUP($B20,TableDecals[NAME], TableDecals[ATK *],"")</f>
        <v>0</v>
      </c>
      <c r="N20" s="139">
        <f>_xlfn.XLOOKUP($B20,TableDecals[NAME], TableDecals[ATK 2 *],"")</f>
        <v>0</v>
      </c>
      <c r="O20" s="139">
        <f>_xlfn.XLOOKUP($B20,TableDecals[NAME], TableDecals[SLASH *],"")</f>
        <v>0</v>
      </c>
      <c r="P20" s="139">
        <f>_xlfn.XLOOKUP($B20,TableDecals[NAME], TableDecals[BLUNT *],"")</f>
        <v>0</v>
      </c>
      <c r="Q20" s="139">
        <f>_xlfn.XLOOKUP($B20,TableDecals[NAME], TableDecals[PIERCING *],"")</f>
        <v>0</v>
      </c>
      <c r="R20" s="139">
        <f>_xlfn.XLOOKUP($B20,TableDecals[NAME], TableDecals[FIRE *],"")</f>
        <v>0</v>
      </c>
      <c r="S20" s="139">
        <f>_xlfn.XLOOKUP($B20,TableDecals[NAME], TableDecals[ELECTRIC *],"")</f>
        <v>0</v>
      </c>
      <c r="T20" s="139">
        <f>_xlfn.XLOOKUP($B20,TableDecals[NAME], TableDecals[POISON *],"")</f>
        <v>0</v>
      </c>
      <c r="U20" s="139">
        <f>_xlfn.XLOOKUP($B20,TableDecals[NAME], TableDecals[HS *],"")</f>
        <v>0</v>
      </c>
      <c r="V20" s="139">
        <f>_xlfn.XLOOKUP($B20,TableDecals[NAME], TableDecals[CRIT %],"")</f>
        <v>0</v>
      </c>
      <c r="W20" s="139">
        <f>_xlfn.XLOOKUP($B20,TableDecals[NAME], TableDecals[CRIT *],"")</f>
        <v>0</v>
      </c>
      <c r="X20" s="139">
        <f>_xlfn.XLOOKUP($B20,TableDecals[NAME], TableDecals[EXPLOSIVE],"")</f>
        <v>0</v>
      </c>
      <c r="Y20" s="139">
        <f>_xlfn.XLOOKUP($B20,TableDecals[NAME], TableDecals[RAGE DMG *],"")</f>
        <v>0</v>
      </c>
      <c r="Z20" s="139">
        <f>_xlfn.XLOOKUP($B20,TableDecals[NAME], TableDecals[HP &lt;= 15%],"")</f>
        <v>0</v>
      </c>
      <c r="AA20" s="140">
        <f>_xlfn.XLOOKUP($B20,TableDecals[NAME], TableDecals[HP 100%],"")</f>
        <v>0</v>
      </c>
      <c r="AB20" s="154">
        <f>_xlfn.XLOOKUP($B20,TableDecals[NAME], TableDecals[DOWN ATK *],"")</f>
        <v>0</v>
      </c>
      <c r="AC20" s="156" t="str">
        <f t="shared" si="0"/>
        <v>YES</v>
      </c>
    </row>
    <row r="21" spans="1:29" ht="15.75" thickBot="1">
      <c r="A21" s="159">
        <v>9</v>
      </c>
      <c r="B21" s="160"/>
      <c r="C21" s="161"/>
      <c r="D21" s="161"/>
      <c r="E21" s="162"/>
      <c r="F21" s="163">
        <f>_xlfn.XLOOKUP($B21,TableDecals[NAME], TableDecals[A GRP],"")</f>
        <v>0</v>
      </c>
      <c r="G21" s="164">
        <f>_xlfn.XLOOKUP($B21,TableDecals[NAME], TableDecals[C GRP],"")</f>
        <v>0</v>
      </c>
      <c r="H21" s="164">
        <f>_xlfn.XLOOKUP($B21,TableDecals[NAME], TableDecals[REQ WEP],"")</f>
        <v>0</v>
      </c>
      <c r="I21" s="165">
        <f>_xlfn.XLOOKUP($B21,TableDecals[NAME], TableDecals[REQ FAC],"")</f>
        <v>0</v>
      </c>
      <c r="J21" s="166">
        <f>_xlfn.XLOOKUP($B21,TableDecals[NAME], TableDecals[REQ DAM],"")</f>
        <v>0</v>
      </c>
      <c r="K21" s="166">
        <f>_xlfn.XLOOKUP($B21,TableDecals[NAME], TableDecals[REQ ELE],"")</f>
        <v>0</v>
      </c>
      <c r="L21" s="167">
        <f>_xlfn.XLOOKUP($B21,TableDecals[NAME], TableDecals[HANDS],"")</f>
        <v>0</v>
      </c>
      <c r="M21" s="151">
        <f>_xlfn.XLOOKUP($B21,TableDecals[NAME], TableDecals[ATK *],"")</f>
        <v>0</v>
      </c>
      <c r="N21" s="141">
        <f>_xlfn.XLOOKUP($B21,TableDecals[NAME], TableDecals[ATK 2 *],"")</f>
        <v>0</v>
      </c>
      <c r="O21" s="142">
        <f>_xlfn.XLOOKUP($B21,TableDecals[NAME], TableDecals[SLASH *],"")</f>
        <v>0</v>
      </c>
      <c r="P21" s="142">
        <f>_xlfn.XLOOKUP($B21,TableDecals[NAME], TableDecals[BLUNT *],"")</f>
        <v>0</v>
      </c>
      <c r="Q21" s="142">
        <f>_xlfn.XLOOKUP($B21,TableDecals[NAME], TableDecals[PIERCING *],"")</f>
        <v>0</v>
      </c>
      <c r="R21" s="142">
        <f>_xlfn.XLOOKUP($B21,TableDecals[NAME], TableDecals[FIRE *],"")</f>
        <v>0</v>
      </c>
      <c r="S21" s="142">
        <f>_xlfn.XLOOKUP($B21,TableDecals[NAME], TableDecals[ELECTRIC *],"")</f>
        <v>0</v>
      </c>
      <c r="T21" s="142">
        <f>_xlfn.XLOOKUP($B21,TableDecals[NAME], TableDecals[POISON *],"")</f>
        <v>0</v>
      </c>
      <c r="U21" s="142">
        <f>_xlfn.XLOOKUP($B21,TableDecals[NAME], TableDecals[HS *],"")</f>
        <v>0</v>
      </c>
      <c r="V21" s="142">
        <f>_xlfn.XLOOKUP($B21,TableDecals[NAME], TableDecals[CRIT %],"")</f>
        <v>0</v>
      </c>
      <c r="W21" s="142">
        <f>_xlfn.XLOOKUP($B21,TableDecals[NAME], TableDecals[CRIT *],"")</f>
        <v>0</v>
      </c>
      <c r="X21" s="142">
        <f>_xlfn.XLOOKUP($B21,TableDecals[NAME], TableDecals[EXPLOSIVE],"")</f>
        <v>0</v>
      </c>
      <c r="Y21" s="142">
        <f>_xlfn.XLOOKUP($B21,TableDecals[NAME], TableDecals[RAGE DMG *],"")</f>
        <v>0</v>
      </c>
      <c r="Z21" s="142">
        <f>_xlfn.XLOOKUP($B21,TableDecals[NAME], TableDecals[HP &lt;= 15%],"")</f>
        <v>0</v>
      </c>
      <c r="AA21" s="143">
        <f>_xlfn.XLOOKUP($B21,TableDecals[NAME], TableDecals[HP 100%],"")</f>
        <v>0</v>
      </c>
      <c r="AB21" s="154">
        <f>_xlfn.XLOOKUP($B21,TableDecals[NAME], TableDecals[DOWN ATK *],"")</f>
        <v>0</v>
      </c>
      <c r="AC21" s="156" t="str">
        <f t="shared" si="0"/>
        <v>YES</v>
      </c>
    </row>
    <row r="22" spans="1:29" ht="15.75" customHeight="1" thickTop="1" thickBot="1">
      <c r="A22" s="169" t="s">
        <v>393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</row>
    <row r="23" spans="1:29" ht="15.75" customHeight="1" thickBot="1">
      <c r="A23" s="170">
        <v>1</v>
      </c>
      <c r="B23" s="170">
        <v>2</v>
      </c>
      <c r="C23" s="170">
        <v>3</v>
      </c>
      <c r="D23" s="170">
        <v>4</v>
      </c>
      <c r="E23" s="170">
        <v>6</v>
      </c>
      <c r="F23" s="170">
        <v>7</v>
      </c>
      <c r="G23" s="170">
        <v>8</v>
      </c>
      <c r="H23" s="170">
        <v>9</v>
      </c>
      <c r="I23" s="170">
        <v>10</v>
      </c>
      <c r="J23" s="170">
        <v>11</v>
      </c>
      <c r="K23" s="170">
        <v>12</v>
      </c>
      <c r="L23" s="170">
        <v>13</v>
      </c>
      <c r="M23" s="170">
        <v>14</v>
      </c>
      <c r="N23" s="171">
        <v>15</v>
      </c>
      <c r="O23" s="177" t="s">
        <v>387</v>
      </c>
      <c r="P23" s="178"/>
      <c r="Q23" s="178"/>
      <c r="R23" s="178"/>
      <c r="S23" s="178"/>
      <c r="T23" s="179"/>
      <c r="U23" s="131"/>
      <c r="V23" s="181" t="s">
        <v>388</v>
      </c>
      <c r="W23" s="181"/>
      <c r="X23" s="168" t="s">
        <v>389</v>
      </c>
      <c r="Y23" s="168"/>
      <c r="Z23" s="168"/>
      <c r="AA23" s="168"/>
      <c r="AB23" s="168"/>
    </row>
    <row r="24" spans="1:29" ht="15.75" customHeight="1" thickBot="1">
      <c r="A24" s="148">
        <f>SUMIFS($M$13:$M$21,$F$13:$F$21,A23,$AC$13:$AC$21,"YES") / 100 + 1</f>
        <v>2.2999999999999998</v>
      </c>
      <c r="B24" s="148">
        <f>SUMIFS($M$13:$M$21,$F$13:$F$21,B23,$AC$13:$AC$21,"YES") / 100 + 1</f>
        <v>1</v>
      </c>
      <c r="C24" s="148">
        <f>SUMIFS($M$13:$M$21,$F$13:$F$21,C23,$AC$13:$AC$21,"YES") / 100 + 1</f>
        <v>1</v>
      </c>
      <c r="D24" s="148">
        <f>SUMIFS($M$13:$M$21,$F$13:$F$21,D23,$AC$13:$AC$21,"YES") / 100 + 1</f>
        <v>1</v>
      </c>
      <c r="E24" s="148">
        <f>SUMIFS($M$13:$M$21,$F$13:$F$21,E23,$AC$13:$AC$21,"YES") / 100 + 1</f>
        <v>1</v>
      </c>
      <c r="F24" s="148">
        <f>SUMIFS($M$13:$M$21,$F$13:$F$21,F23,$AC$13:$AC$21,"YES") / 100 + 1</f>
        <v>1</v>
      </c>
      <c r="G24" s="148">
        <f>SUMIFS($M$13:$M$21,$F$13:$F$21,G23,$AC$13:$AC$21,"YES") / 100 + 1</f>
        <v>1</v>
      </c>
      <c r="H24" s="148">
        <f>SUMIFS($M$13:$M$21,$F$13:$F$21,H23,$AC$13:$AC$21,"YES") / 100 + 1</f>
        <v>1</v>
      </c>
      <c r="I24" s="148">
        <f>SUMIFS($M$13:$M$21,$F$13:$F$21,I23,$AC$13:$AC$21,"YES") / 100 + 1</f>
        <v>1</v>
      </c>
      <c r="J24" s="148">
        <f>SUMIFS($M$13:$M$21,$F$13:$F$21,J23,$AC$13:$AC$21,"YES") / 100 + 1</f>
        <v>1</v>
      </c>
      <c r="K24" s="148">
        <f>SUMIFS($M$13:$M$21,$F$13:$F$21,K23,$AC$13:$AC$21,"YES") / 100 + 1</f>
        <v>1</v>
      </c>
      <c r="L24" s="148">
        <f>SUMIFS($M$13:$M$21,$F$13:$F$21,L23,$AC$13:$AC$21,"YES") / 100 + 1</f>
        <v>1</v>
      </c>
      <c r="M24" s="148">
        <f>SUMIFS($M$13:$M$21,$F$13:$F$21,M23,$AC$13:$AC$21,"YES") / 100 + 1</f>
        <v>1</v>
      </c>
      <c r="N24" s="148">
        <f>SUMIFS($M$13:$M$21,$F$13:$F$21,N23,$AC$13:$AC$21,"YES") / 100 + 1</f>
        <v>1</v>
      </c>
      <c r="O24" s="158">
        <f>IF($J$7="Slash",
  SUMIFS(O13:O21,$AC$13:$AC$21,"YES"),
  0
)  / 100 + 1</f>
        <v>1.7</v>
      </c>
      <c r="P24" s="158">
        <f>IF($J$7="Blunt",
  SUMIFS(P13:P21,$AC$13:$AC$21,"YES"),
  0
) / 100 + 1</f>
        <v>1</v>
      </c>
      <c r="Q24" s="158">
        <f>IF($J$7="Piercing",
  SUMIFS(Q13:Q21,$AC$13:$AC$21,"YES"),
  0
) / 100 + 1</f>
        <v>1</v>
      </c>
      <c r="R24" s="158">
        <f>IF($J$8="Fire",
  SUMIFS(R13:R21,$AC$13:$AC$21,"YES"),
  0
) / 100 + 1</f>
        <v>1</v>
      </c>
      <c r="S24" s="158">
        <f>IF($J$8="Electric",
  SUMIFS(S13:S21,$AC$13:$AC$21,"YES"),
  0
) / 100 + 1</f>
        <v>1</v>
      </c>
      <c r="T24" s="158">
        <f>IF($J$8="Poison",
  SUMIFS(T13:T21,$AC$13:$AC$21,"YES"),
  0
) / 100 + 1</f>
        <v>1</v>
      </c>
      <c r="U24" s="158">
        <f>SUM(U13:U21) / 100 + 1</f>
        <v>1</v>
      </c>
      <c r="V24" s="145">
        <f>SUM(V13:V21)</f>
        <v>0</v>
      </c>
      <c r="W24" s="145">
        <f>SUM(W13:W21) / 100 + 1</f>
        <v>1.1000000000000001</v>
      </c>
      <c r="X24" s="146">
        <f>SUM(X13:X21)  / 100 + 1</f>
        <v>1</v>
      </c>
      <c r="Y24" s="144">
        <f>SUM(Y13:Y21)  / 100 + 1</f>
        <v>1</v>
      </c>
      <c r="Z24" s="144">
        <f>SUM(Z13:Z21)  / 100 + 1</f>
        <v>1</v>
      </c>
      <c r="AA24" s="147">
        <f>SUM(AA13:AA21)  / 100 + 1</f>
        <v>1</v>
      </c>
      <c r="AB24" s="144">
        <f>SUM(AB13:AB21)  / 100 + 1</f>
        <v>1</v>
      </c>
    </row>
    <row r="25" spans="1:29" ht="15.75" customHeight="1" thickBot="1"/>
    <row r="26" spans="1:29" ht="15.75" customHeight="1" thickBot="1">
      <c r="A26" s="169" t="s">
        <v>394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5"/>
      <c r="N26" s="175"/>
      <c r="O26" s="175"/>
    </row>
    <row r="27" spans="1:29" ht="15.75" thickBot="1">
      <c r="A27" s="170" t="s">
        <v>395</v>
      </c>
      <c r="B27" s="170" t="s">
        <v>358</v>
      </c>
      <c r="C27" s="170" t="s">
        <v>359</v>
      </c>
      <c r="D27" s="170" t="s">
        <v>360</v>
      </c>
      <c r="E27" s="183" t="s">
        <v>390</v>
      </c>
      <c r="F27" s="184" t="s">
        <v>391</v>
      </c>
      <c r="G27" s="185" t="s">
        <v>392</v>
      </c>
      <c r="H27" s="186" t="s">
        <v>356</v>
      </c>
      <c r="I27" s="187" t="s">
        <v>18</v>
      </c>
      <c r="J27" s="187"/>
      <c r="K27" s="180" t="s">
        <v>16</v>
      </c>
      <c r="L27" s="180" t="s">
        <v>17</v>
      </c>
      <c r="M27" s="176"/>
      <c r="O27" s="176"/>
    </row>
    <row r="28" spans="1:29" ht="15.75" thickBot="1">
      <c r="A28" s="172">
        <f>PRODUCT(A24:N24)</f>
        <v>2.2999999999999998</v>
      </c>
      <c r="B28" s="172">
        <f>O24 * IF(J7="Slash",A9 / 100 + 1,1)</f>
        <v>1.7</v>
      </c>
      <c r="C28" s="172">
        <f>P24 * IF(J7="Blunt",B9 / 100 + 1,1)</f>
        <v>1</v>
      </c>
      <c r="D28" s="172">
        <f>Q24 * IF(J7="Piercing",C9 / 100 + 1,1)</f>
        <v>1</v>
      </c>
      <c r="E28" s="132">
        <f>R24</f>
        <v>1</v>
      </c>
      <c r="F28" s="132">
        <f>S24</f>
        <v>1</v>
      </c>
      <c r="G28" s="132">
        <f>T24</f>
        <v>1</v>
      </c>
      <c r="H28" s="132">
        <f>IF(N8&gt;0,N8*U24,1)</f>
        <v>1</v>
      </c>
      <c r="I28" s="130">
        <f>X24</f>
        <v>1</v>
      </c>
      <c r="J28" s="130"/>
      <c r="K28" s="172">
        <f>IF(SUM(G5,V24)&gt;99.9, 99.9, SUM(G5,V24))</f>
        <v>35.5</v>
      </c>
      <c r="L28" s="172">
        <f>W24</f>
        <v>1.1000000000000001</v>
      </c>
      <c r="M28" s="176"/>
      <c r="O28" s="176"/>
    </row>
    <row r="29" spans="1:29" ht="15.75" customHeight="1" thickBot="1"/>
    <row r="30" spans="1:29" ht="15.75" customHeight="1" thickBot="1">
      <c r="M30" s="190" t="s">
        <v>400</v>
      </c>
      <c r="N30" s="190"/>
      <c r="O30" s="130">
        <f>(C5*(N6/100)+D5*(N7/100)+15)</f>
        <v>535</v>
      </c>
      <c r="P30" s="130"/>
    </row>
    <row r="31" spans="1:29" ht="15.75" customHeight="1" thickBot="1">
      <c r="A31" s="169" t="s">
        <v>401</v>
      </c>
      <c r="B31" s="169"/>
      <c r="C31" s="130">
        <f>J5*(L7/100)</f>
        <v>3403</v>
      </c>
      <c r="D31" s="130"/>
      <c r="E31" s="169" t="s">
        <v>402</v>
      </c>
      <c r="F31" s="169"/>
      <c r="G31" s="130">
        <f>C31*A28</f>
        <v>7826.9</v>
      </c>
      <c r="H31" s="130"/>
      <c r="I31" s="169" t="s">
        <v>403</v>
      </c>
      <c r="J31" s="169"/>
      <c r="K31" s="182">
        <f>G31*PRODUCT(B28:D28)</f>
        <v>13305.73</v>
      </c>
      <c r="L31" s="182"/>
      <c r="M31" s="169" t="s">
        <v>404</v>
      </c>
      <c r="N31" s="169"/>
      <c r="O31" s="130">
        <f>K31*O30</f>
        <v>7118565.5499999998</v>
      </c>
      <c r="P31" s="130"/>
    </row>
    <row r="32" spans="1:29" ht="15.75" customHeight="1" thickBot="1">
      <c r="A32" s="169" t="s">
        <v>405</v>
      </c>
      <c r="B32" s="169"/>
      <c r="C32" s="130">
        <f>J5*(L8/100)</f>
        <v>0</v>
      </c>
      <c r="D32" s="130"/>
      <c r="E32" s="169" t="s">
        <v>402</v>
      </c>
      <c r="F32" s="169"/>
      <c r="G32" s="130">
        <f>C32*A28</f>
        <v>0</v>
      </c>
      <c r="H32" s="130"/>
      <c r="I32" s="169" t="s">
        <v>403</v>
      </c>
      <c r="J32" s="169"/>
      <c r="K32" s="182">
        <f>G32*PRODUCT(E28:G28)</f>
        <v>0</v>
      </c>
      <c r="L32" s="182"/>
      <c r="M32" s="169" t="s">
        <v>404</v>
      </c>
      <c r="N32" s="169"/>
      <c r="O32" s="130">
        <f>K32*O30</f>
        <v>0</v>
      </c>
      <c r="P32" s="130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mergeCells count="64">
    <mergeCell ref="Q8:R8"/>
    <mergeCell ref="Q7:R7"/>
    <mergeCell ref="Q6:R6"/>
    <mergeCell ref="Q5:R5"/>
    <mergeCell ref="Q4:R4"/>
    <mergeCell ref="Q3:R3"/>
    <mergeCell ref="Q2:R2"/>
    <mergeCell ref="Q1:R1"/>
    <mergeCell ref="K31:L31"/>
    <mergeCell ref="M31:N31"/>
    <mergeCell ref="O31:P31"/>
    <mergeCell ref="A32:B32"/>
    <mergeCell ref="C32:D32"/>
    <mergeCell ref="E32:F32"/>
    <mergeCell ref="G32:H32"/>
    <mergeCell ref="I32:J32"/>
    <mergeCell ref="K32:L32"/>
    <mergeCell ref="M32:N32"/>
    <mergeCell ref="O32:P32"/>
    <mergeCell ref="A31:B31"/>
    <mergeCell ref="C31:D31"/>
    <mergeCell ref="E31:F31"/>
    <mergeCell ref="G31:H31"/>
    <mergeCell ref="I31:J31"/>
    <mergeCell ref="I28:J28"/>
    <mergeCell ref="A26:L26"/>
    <mergeCell ref="M30:N30"/>
    <mergeCell ref="O30:P30"/>
    <mergeCell ref="I27:J27"/>
    <mergeCell ref="J4:K4"/>
    <mergeCell ref="B11:AB11"/>
    <mergeCell ref="V23:W23"/>
    <mergeCell ref="A22:N22"/>
    <mergeCell ref="X23:AB23"/>
    <mergeCell ref="O23:T23"/>
    <mergeCell ref="A1:G1"/>
    <mergeCell ref="A3:B3"/>
    <mergeCell ref="C2:G2"/>
    <mergeCell ref="C3:G3"/>
    <mergeCell ref="J5:K5"/>
    <mergeCell ref="A2:B2"/>
    <mergeCell ref="I1:O1"/>
    <mergeCell ref="I2:J2"/>
    <mergeCell ref="I3:J3"/>
    <mergeCell ref="K3:O3"/>
    <mergeCell ref="K2:O2"/>
    <mergeCell ref="N7:O7"/>
    <mergeCell ref="J6:K6"/>
    <mergeCell ref="J7:K7"/>
    <mergeCell ref="J8:K8"/>
    <mergeCell ref="N8:O8"/>
    <mergeCell ref="B12:E12"/>
    <mergeCell ref="N6:O6"/>
    <mergeCell ref="N5:O5"/>
    <mergeCell ref="A7:G7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</mergeCells>
  <conditionalFormatting sqref="F13:AB21 A24:AB24">
    <cfRule type="cellIs" dxfId="1" priority="2" operator="greaterThan">
      <formula>0</formula>
    </cfRule>
  </conditionalFormatting>
  <conditionalFormatting sqref="AC13:AC21">
    <cfRule type="containsText" dxfId="0" priority="1" operator="containsText" text="NO">
      <formula>NOT(ISERROR(SEARCH("NO",AC13)))</formula>
    </cfRule>
  </conditionalFormatting>
  <dataValidations count="2">
    <dataValidation allowBlank="1" showErrorMessage="1" sqref="L7:L8 N8:O8" xr:uid="{FF7B25D5-DFAE-4FE2-BFF2-48C4AF3821F5}"/>
    <dataValidation operator="greaterThanOrEqual" allowBlank="1" showErrorMessage="1" sqref="J5:K5" xr:uid="{1E9CBA08-36F4-4BBB-80A5-B77EF4C55F4E}"/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xr:uid="{00000000-0002-0000-0000-000003000000}">
          <x14:formula1>
            <xm:f>Decals!$A$3:$A$161</xm:f>
          </x14:formula1>
          <xm:sqref>B13:B21</xm:sqref>
        </x14:dataValidation>
        <x14:dataValidation type="list" allowBlank="1" showErrorMessage="1" xr:uid="{00000000-0002-0000-0000-000006000000}">
          <x14:formula1>
            <xm:f>Lists!$C$2:$C$45</xm:f>
          </x14:formula1>
          <xm:sqref>J6</xm:sqref>
        </x14:dataValidation>
        <x14:dataValidation type="list" allowBlank="1" showInputMessage="1" showErrorMessage="1" xr:uid="{AE53961D-6F3A-4AC2-AEA5-CC6017FDA4A8}">
          <x14:formula1>
            <xm:f>Lists!$A$2:$A$9</xm:f>
          </x14:formula1>
          <xm:sqref>C2</xm:sqref>
        </x14:dataValidation>
        <x14:dataValidation type="list" allowBlank="1" showInputMessage="1" showErrorMessage="1" xr:uid="{37785C5E-CFEA-4179-8811-797262460C6E}">
          <x14:formula1>
            <xm:f>Fighters!$A$3:$A$10</xm:f>
          </x14:formula1>
          <xm:sqref>C3</xm:sqref>
        </x14:dataValidation>
        <x14:dataValidation type="list" allowBlank="1" showInputMessage="1" showErrorMessage="1" xr:uid="{80CD9FA2-16EC-4403-9774-5841C6A8AB00}">
          <x14:formula1>
            <xm:f>Weapons!$A$2:$A$74</xm:f>
          </x14:formula1>
          <xm:sqref>K2:O2</xm:sqref>
        </x14:dataValidation>
        <x14:dataValidation type="list" allowBlank="1" showInputMessage="1" showErrorMessage="1" xr:uid="{FA280FC1-195E-4B72-AC69-B86279207F28}">
          <x14:formula1>
            <xm:f>Weapons!$O$1:$U$1</xm:f>
          </x14:formula1>
          <xm:sqref>K3:O3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D113" sqref="D113"/>
    </sheetView>
  </sheetViews>
  <sheetFormatPr defaultColWidth="12.5703125" defaultRowHeight="15" customHeight="1"/>
  <cols>
    <col min="1" max="1" width="27.28515625" customWidth="1"/>
    <col min="2" max="2" width="8.7109375" customWidth="1"/>
    <col min="3" max="3" width="9" customWidth="1"/>
    <col min="4" max="4" width="18.42578125" customWidth="1"/>
    <col min="5" max="7" width="11.140625" customWidth="1"/>
    <col min="8" max="8" width="11.140625" style="120" customWidth="1"/>
    <col min="9" max="9" width="8" customWidth="1"/>
    <col min="10" max="10" width="9.42578125" customWidth="1"/>
    <col min="11" max="12" width="10.5703125" bestFit="1" customWidth="1"/>
    <col min="13" max="13" width="13.7109375" bestFit="1" customWidth="1"/>
    <col min="14" max="14" width="8.7109375" bestFit="1" customWidth="1"/>
    <col min="15" max="15" width="13.7109375" bestFit="1" customWidth="1"/>
    <col min="16" max="16" width="11.85546875" bestFit="1" customWidth="1"/>
    <col min="17" max="17" width="7.28515625" customWidth="1"/>
    <col min="18" max="18" width="9.5703125" customWidth="1"/>
    <col min="19" max="19" width="9" customWidth="1"/>
    <col min="20" max="20" width="13.140625" customWidth="1"/>
    <col min="21" max="21" width="14.5703125" customWidth="1"/>
    <col min="22" max="22" width="12.28515625" customWidth="1"/>
    <col min="23" max="23" width="10.85546875" customWidth="1"/>
    <col min="24" max="24" width="14.5703125" customWidth="1"/>
    <col min="25" max="25" width="8.28515625" customWidth="1"/>
    <col min="26" max="26" width="47.42578125" customWidth="1"/>
    <col min="27" max="33" width="8.5703125" customWidth="1"/>
  </cols>
  <sheetData>
    <row r="1" spans="1:26" ht="15.75" thickBot="1">
      <c r="A1" s="3" t="s">
        <v>27</v>
      </c>
      <c r="B1" s="4" t="s">
        <v>8</v>
      </c>
      <c r="C1" s="4" t="s">
        <v>9</v>
      </c>
      <c r="D1" s="5" t="s">
        <v>10</v>
      </c>
      <c r="E1" s="5" t="s">
        <v>12</v>
      </c>
      <c r="F1" s="5" t="s">
        <v>383</v>
      </c>
      <c r="G1" s="5" t="s">
        <v>11</v>
      </c>
      <c r="H1" s="5" t="s">
        <v>381</v>
      </c>
      <c r="I1" s="4" t="s">
        <v>13</v>
      </c>
      <c r="J1" s="4" t="s">
        <v>14</v>
      </c>
      <c r="K1" s="4" t="s">
        <v>369</v>
      </c>
      <c r="L1" s="4" t="s">
        <v>370</v>
      </c>
      <c r="M1" s="4" t="s">
        <v>371</v>
      </c>
      <c r="N1" s="4" t="s">
        <v>372</v>
      </c>
      <c r="O1" s="4" t="s">
        <v>373</v>
      </c>
      <c r="P1" s="4" t="s">
        <v>374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28</v>
      </c>
      <c r="V1" s="4" t="s">
        <v>29</v>
      </c>
      <c r="W1" s="4" t="s">
        <v>30</v>
      </c>
      <c r="X1" s="4" t="s">
        <v>31</v>
      </c>
      <c r="Y1" s="4" t="s">
        <v>32</v>
      </c>
      <c r="Z1" s="4" t="s">
        <v>33</v>
      </c>
    </row>
    <row r="2" spans="1:26" ht="16.5" thickTop="1" thickBot="1">
      <c r="A2" s="6"/>
      <c r="B2" s="7"/>
      <c r="C2" s="7"/>
      <c r="D2" s="8"/>
      <c r="E2" s="8"/>
      <c r="F2" s="116"/>
      <c r="G2" s="116"/>
      <c r="H2" s="118"/>
      <c r="I2" s="7"/>
      <c r="J2" s="7"/>
      <c r="K2" s="104"/>
      <c r="L2" s="104"/>
      <c r="M2" s="104"/>
      <c r="N2" s="104"/>
      <c r="O2" s="104"/>
      <c r="P2" s="104"/>
      <c r="Q2" s="9"/>
      <c r="R2" s="9"/>
      <c r="S2" s="9"/>
      <c r="T2" s="10"/>
      <c r="U2" s="11"/>
      <c r="V2" s="11"/>
      <c r="W2" s="11"/>
      <c r="X2" s="11"/>
      <c r="Y2" s="11"/>
      <c r="Z2" s="11"/>
    </row>
    <row r="3" spans="1:26" ht="15.75" thickBot="1">
      <c r="A3" s="12" t="s">
        <v>34</v>
      </c>
      <c r="B3" s="13">
        <v>1</v>
      </c>
      <c r="C3" s="13"/>
      <c r="D3" s="14"/>
      <c r="E3" s="14"/>
      <c r="F3" s="14"/>
      <c r="G3" s="14"/>
      <c r="H3" s="15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5"/>
      <c r="U3" s="13"/>
      <c r="V3" s="13"/>
      <c r="W3" s="13">
        <v>15</v>
      </c>
      <c r="X3" s="13"/>
      <c r="Y3" s="13"/>
      <c r="Z3" s="13"/>
    </row>
    <row r="4" spans="1:26" ht="15.75" thickBot="1">
      <c r="A4" s="16" t="s">
        <v>35</v>
      </c>
      <c r="B4" s="9">
        <v>1</v>
      </c>
      <c r="C4" s="9"/>
      <c r="D4" s="17"/>
      <c r="E4" s="17"/>
      <c r="F4" s="117"/>
      <c r="G4" s="117"/>
      <c r="H4" s="119"/>
      <c r="I4" s="9"/>
      <c r="J4" s="9"/>
      <c r="K4" s="105"/>
      <c r="L4" s="105"/>
      <c r="M4" s="105"/>
      <c r="N4" s="105"/>
      <c r="O4" s="105"/>
      <c r="P4" s="105"/>
      <c r="Q4" s="9"/>
      <c r="R4" s="9"/>
      <c r="S4" s="9"/>
      <c r="T4" s="10"/>
      <c r="U4" s="9"/>
      <c r="V4" s="9"/>
      <c r="W4" s="9">
        <v>30</v>
      </c>
      <c r="X4" s="9"/>
      <c r="Y4" s="9"/>
      <c r="Z4" s="9"/>
    </row>
    <row r="5" spans="1:26" ht="15.75" thickBot="1">
      <c r="A5" s="12" t="s">
        <v>36</v>
      </c>
      <c r="B5" s="13">
        <v>1</v>
      </c>
      <c r="C5" s="13"/>
      <c r="D5" s="14"/>
      <c r="E5" s="14"/>
      <c r="F5" s="14"/>
      <c r="G5" s="14"/>
      <c r="H5" s="15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5"/>
      <c r="U5" s="13"/>
      <c r="V5" s="13">
        <v>30</v>
      </c>
      <c r="W5" s="13"/>
      <c r="X5" s="13"/>
      <c r="Y5" s="13"/>
      <c r="Z5" s="13"/>
    </row>
    <row r="6" spans="1:26" ht="15.75" thickBot="1">
      <c r="A6" s="16" t="s">
        <v>37</v>
      </c>
      <c r="B6" s="9">
        <v>1</v>
      </c>
      <c r="C6" s="9"/>
      <c r="D6" s="17"/>
      <c r="E6" s="17"/>
      <c r="F6" s="117"/>
      <c r="G6" s="117"/>
      <c r="H6" s="119"/>
      <c r="I6" s="9"/>
      <c r="J6" s="9"/>
      <c r="K6" s="105"/>
      <c r="L6" s="105"/>
      <c r="M6" s="105"/>
      <c r="N6" s="105"/>
      <c r="O6" s="105"/>
      <c r="P6" s="105"/>
      <c r="Q6" s="9"/>
      <c r="R6" s="9"/>
      <c r="S6" s="9"/>
      <c r="T6" s="10"/>
      <c r="U6" s="9"/>
      <c r="V6" s="9">
        <v>60</v>
      </c>
      <c r="W6" s="9"/>
      <c r="X6" s="9"/>
      <c r="Y6" s="9"/>
      <c r="Z6" s="9"/>
    </row>
    <row r="7" spans="1:26" ht="15.75" thickBot="1">
      <c r="A7" s="12" t="s">
        <v>26</v>
      </c>
      <c r="B7" s="13">
        <v>1</v>
      </c>
      <c r="C7" s="13"/>
      <c r="D7" s="14"/>
      <c r="E7" s="14"/>
      <c r="F7" s="14"/>
      <c r="G7" s="14"/>
      <c r="H7" s="15"/>
      <c r="I7" s="13">
        <v>100</v>
      </c>
      <c r="J7" s="13"/>
      <c r="K7" s="13"/>
      <c r="L7" s="13"/>
      <c r="M7" s="13"/>
      <c r="N7" s="13"/>
      <c r="O7" s="13"/>
      <c r="P7" s="13"/>
      <c r="Q7" s="13"/>
      <c r="R7" s="13"/>
      <c r="S7" s="13"/>
      <c r="T7" s="15"/>
      <c r="U7" s="13"/>
      <c r="V7" s="13"/>
      <c r="W7" s="13"/>
      <c r="X7" s="13"/>
      <c r="Y7" s="13"/>
      <c r="Z7" s="13"/>
    </row>
    <row r="8" spans="1:26" ht="15.75" thickBot="1">
      <c r="A8" s="16" t="s">
        <v>38</v>
      </c>
      <c r="B8" s="9">
        <v>1</v>
      </c>
      <c r="C8" s="9"/>
      <c r="D8" s="17"/>
      <c r="E8" s="17"/>
      <c r="F8" s="117"/>
      <c r="G8" s="117"/>
      <c r="H8" s="119"/>
      <c r="I8" s="9">
        <v>7</v>
      </c>
      <c r="J8" s="9"/>
      <c r="K8" s="105"/>
      <c r="L8" s="105"/>
      <c r="M8" s="105"/>
      <c r="N8" s="105"/>
      <c r="O8" s="105"/>
      <c r="P8" s="105"/>
      <c r="Q8" s="9"/>
      <c r="R8" s="9"/>
      <c r="S8" s="9"/>
      <c r="T8" s="10"/>
      <c r="U8" s="9"/>
      <c r="V8" s="9"/>
      <c r="W8" s="9"/>
      <c r="X8" s="9"/>
      <c r="Y8" s="9"/>
      <c r="Z8" s="9"/>
    </row>
    <row r="9" spans="1:26" ht="15.75" thickBot="1">
      <c r="A9" s="12" t="s">
        <v>39</v>
      </c>
      <c r="B9" s="13">
        <v>1</v>
      </c>
      <c r="C9" s="13"/>
      <c r="D9" s="14"/>
      <c r="E9" s="14"/>
      <c r="F9" s="14"/>
      <c r="G9" s="14"/>
      <c r="H9" s="15"/>
      <c r="I9" s="13">
        <v>15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5"/>
      <c r="U9" s="13"/>
      <c r="V9" s="13"/>
      <c r="W9" s="13"/>
      <c r="X9" s="13"/>
      <c r="Y9" s="13"/>
      <c r="Z9" s="13"/>
    </row>
    <row r="10" spans="1:26" ht="15.75" thickBot="1">
      <c r="A10" s="16" t="s">
        <v>40</v>
      </c>
      <c r="B10" s="9"/>
      <c r="C10" s="9"/>
      <c r="D10" s="17"/>
      <c r="E10" s="17"/>
      <c r="F10" s="117"/>
      <c r="G10" s="117"/>
      <c r="H10" s="119"/>
      <c r="I10" s="9"/>
      <c r="J10" s="9"/>
      <c r="K10" s="105"/>
      <c r="L10" s="105"/>
      <c r="M10" s="105"/>
      <c r="N10" s="105"/>
      <c r="O10" s="105"/>
      <c r="P10" s="105"/>
      <c r="Q10" s="9"/>
      <c r="R10" s="9"/>
      <c r="S10" s="9"/>
      <c r="T10" s="10"/>
      <c r="U10" s="9"/>
      <c r="V10" s="9"/>
      <c r="W10" s="9"/>
      <c r="X10" s="9">
        <v>100</v>
      </c>
      <c r="Y10" s="9"/>
      <c r="Z10" s="9"/>
    </row>
    <row r="11" spans="1:26" ht="15.75" thickBot="1">
      <c r="A11" s="12" t="s">
        <v>41</v>
      </c>
      <c r="B11" s="13">
        <v>11</v>
      </c>
      <c r="C11" s="13"/>
      <c r="D11" s="14"/>
      <c r="E11" s="14"/>
      <c r="F11" s="14"/>
      <c r="G11" s="14"/>
      <c r="H11" s="15"/>
      <c r="I11" s="13"/>
      <c r="J11" s="13"/>
      <c r="K11" s="13"/>
      <c r="L11" s="13"/>
      <c r="M11" s="13"/>
      <c r="N11" s="13"/>
      <c r="O11" s="13"/>
      <c r="P11" s="13"/>
      <c r="Q11" s="13">
        <v>70</v>
      </c>
      <c r="R11" s="13"/>
      <c r="S11" s="13"/>
      <c r="T11" s="15"/>
      <c r="U11" s="13"/>
      <c r="V11" s="13"/>
      <c r="W11" s="13"/>
      <c r="X11" s="13"/>
      <c r="Y11" s="13"/>
      <c r="Z11" s="13"/>
    </row>
    <row r="12" spans="1:26" ht="15.75" thickBot="1">
      <c r="A12" s="16" t="s">
        <v>21</v>
      </c>
      <c r="B12" s="9">
        <v>7</v>
      </c>
      <c r="C12" s="9"/>
      <c r="D12" s="17"/>
      <c r="E12" s="17"/>
      <c r="F12" s="117"/>
      <c r="G12" s="117"/>
      <c r="H12" s="119">
        <v>2</v>
      </c>
      <c r="I12" s="9">
        <v>20</v>
      </c>
      <c r="J12" s="9"/>
      <c r="K12" s="105"/>
      <c r="L12" s="105"/>
      <c r="M12" s="105"/>
      <c r="N12" s="105"/>
      <c r="O12" s="105"/>
      <c r="P12" s="105"/>
      <c r="Q12" s="9"/>
      <c r="R12" s="9"/>
      <c r="S12" s="9"/>
      <c r="T12" s="10"/>
      <c r="U12" s="9"/>
      <c r="V12" s="9"/>
      <c r="W12" s="9"/>
      <c r="X12" s="9"/>
      <c r="Y12" s="9"/>
      <c r="Z12" s="9"/>
    </row>
    <row r="13" spans="1:26" ht="15.75" thickBot="1">
      <c r="A13" s="12" t="s">
        <v>42</v>
      </c>
      <c r="B13" s="13">
        <v>6</v>
      </c>
      <c r="C13" s="13"/>
      <c r="D13" s="14"/>
      <c r="E13" s="14"/>
      <c r="F13" s="14"/>
      <c r="G13" s="14"/>
      <c r="H13" s="15"/>
      <c r="I13" s="13">
        <v>10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5"/>
      <c r="U13" s="13"/>
      <c r="V13" s="13"/>
      <c r="W13" s="13"/>
      <c r="X13" s="13"/>
      <c r="Y13" s="13"/>
      <c r="Z13" s="13"/>
    </row>
    <row r="14" spans="1:26" ht="15.75" thickBot="1">
      <c r="A14" s="16" t="s">
        <v>43</v>
      </c>
      <c r="B14" s="9">
        <v>3</v>
      </c>
      <c r="C14" s="9"/>
      <c r="D14" s="17"/>
      <c r="E14" s="17" t="s">
        <v>44</v>
      </c>
      <c r="F14" s="117"/>
      <c r="G14" s="117"/>
      <c r="H14" s="119"/>
      <c r="I14" s="9">
        <v>7</v>
      </c>
      <c r="J14" s="9"/>
      <c r="K14" s="105"/>
      <c r="L14" s="105"/>
      <c r="M14" s="105"/>
      <c r="N14" s="105"/>
      <c r="O14" s="105"/>
      <c r="P14" s="105"/>
      <c r="Q14" s="9"/>
      <c r="R14" s="9"/>
      <c r="S14" s="9"/>
      <c r="T14" s="10"/>
      <c r="U14" s="9"/>
      <c r="V14" s="9"/>
      <c r="W14" s="9"/>
      <c r="X14" s="9"/>
      <c r="Y14" s="9"/>
      <c r="Z14" s="9"/>
    </row>
    <row r="15" spans="1:26" ht="15.75" thickBot="1">
      <c r="A15" s="12" t="s">
        <v>45</v>
      </c>
      <c r="B15" s="13">
        <v>3</v>
      </c>
      <c r="C15" s="13"/>
      <c r="D15" s="14"/>
      <c r="E15" s="14" t="s">
        <v>46</v>
      </c>
      <c r="F15" s="14"/>
      <c r="G15" s="14"/>
      <c r="H15" s="15"/>
      <c r="I15" s="13">
        <v>7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5"/>
      <c r="U15" s="13"/>
      <c r="V15" s="13"/>
      <c r="W15" s="13"/>
      <c r="X15" s="13"/>
      <c r="Y15" s="13"/>
      <c r="Z15" s="13"/>
    </row>
    <row r="16" spans="1:26" ht="15.75" thickBot="1">
      <c r="A16" s="16" t="s">
        <v>47</v>
      </c>
      <c r="B16" s="9">
        <v>3</v>
      </c>
      <c r="C16" s="9"/>
      <c r="D16" s="17"/>
      <c r="E16" s="17" t="s">
        <v>48</v>
      </c>
      <c r="F16" s="117"/>
      <c r="G16" s="117"/>
      <c r="H16" s="119"/>
      <c r="I16" s="9">
        <v>7</v>
      </c>
      <c r="J16" s="9"/>
      <c r="K16" s="105"/>
      <c r="L16" s="105"/>
      <c r="M16" s="105"/>
      <c r="N16" s="105"/>
      <c r="O16" s="105"/>
      <c r="P16" s="105"/>
      <c r="Q16" s="9"/>
      <c r="R16" s="9"/>
      <c r="S16" s="9"/>
      <c r="T16" s="10"/>
      <c r="U16" s="9"/>
      <c r="V16" s="9"/>
      <c r="W16" s="9"/>
      <c r="X16" s="9"/>
      <c r="Y16" s="9"/>
      <c r="Z16" s="9"/>
    </row>
    <row r="17" spans="1:26" ht="15.75" thickBot="1">
      <c r="A17" s="12" t="s">
        <v>49</v>
      </c>
      <c r="B17" s="13">
        <v>3</v>
      </c>
      <c r="C17" s="13"/>
      <c r="D17" s="14"/>
      <c r="E17" s="14" t="s">
        <v>50</v>
      </c>
      <c r="F17" s="14"/>
      <c r="G17" s="14"/>
      <c r="H17" s="15"/>
      <c r="I17" s="13">
        <v>7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5"/>
      <c r="U17" s="13"/>
      <c r="V17" s="13"/>
      <c r="W17" s="13"/>
      <c r="X17" s="13"/>
      <c r="Y17" s="13"/>
      <c r="Z17" s="13"/>
    </row>
    <row r="18" spans="1:26" ht="15.75" thickBot="1">
      <c r="A18" s="16" t="s">
        <v>51</v>
      </c>
      <c r="B18" s="9">
        <v>5</v>
      </c>
      <c r="C18" s="9"/>
      <c r="D18" s="17"/>
      <c r="E18" s="17"/>
      <c r="F18" s="117"/>
      <c r="G18" s="117"/>
      <c r="H18" s="119"/>
      <c r="I18" s="9"/>
      <c r="J18" s="9"/>
      <c r="K18" s="105">
        <v>10</v>
      </c>
      <c r="L18" s="105"/>
      <c r="M18" s="105"/>
      <c r="N18" s="105"/>
      <c r="O18" s="105"/>
      <c r="P18" s="105"/>
      <c r="Q18" s="9"/>
      <c r="R18" s="9"/>
      <c r="S18" s="9"/>
      <c r="T18" s="10"/>
      <c r="U18" s="9"/>
      <c r="V18" s="9"/>
      <c r="W18" s="9"/>
      <c r="X18" s="9"/>
      <c r="Y18" s="9"/>
      <c r="Z18" s="9"/>
    </row>
    <row r="19" spans="1:26" ht="15.75" thickBot="1">
      <c r="A19" s="12" t="s">
        <v>53</v>
      </c>
      <c r="B19" s="13">
        <v>5</v>
      </c>
      <c r="C19" s="13"/>
      <c r="D19" s="14"/>
      <c r="E19" s="14"/>
      <c r="F19" s="14"/>
      <c r="G19" s="14"/>
      <c r="H19" s="15"/>
      <c r="I19" s="13"/>
      <c r="J19" s="13"/>
      <c r="K19" s="13"/>
      <c r="L19" s="13">
        <v>10</v>
      </c>
      <c r="M19" s="13"/>
      <c r="N19" s="13"/>
      <c r="O19" s="13"/>
      <c r="P19" s="13"/>
      <c r="Q19" s="13"/>
      <c r="R19" s="13"/>
      <c r="S19" s="13"/>
      <c r="T19" s="15"/>
      <c r="U19" s="13"/>
      <c r="V19" s="13"/>
      <c r="W19" s="13"/>
      <c r="X19" s="13"/>
      <c r="Y19" s="13"/>
      <c r="Z19" s="13"/>
    </row>
    <row r="20" spans="1:26" ht="15.75" thickBot="1">
      <c r="A20" s="16" t="s">
        <v>55</v>
      </c>
      <c r="B20" s="9">
        <v>5</v>
      </c>
      <c r="C20" s="9"/>
      <c r="D20" s="17"/>
      <c r="E20" s="17"/>
      <c r="F20" s="117"/>
      <c r="G20" s="117"/>
      <c r="H20" s="119"/>
      <c r="I20" s="9"/>
      <c r="J20" s="9"/>
      <c r="K20" s="105"/>
      <c r="L20" s="105"/>
      <c r="M20" s="105"/>
      <c r="N20" s="105">
        <v>10</v>
      </c>
      <c r="O20" s="105"/>
      <c r="P20" s="105"/>
      <c r="Q20" s="9"/>
      <c r="R20" s="9"/>
      <c r="S20" s="9"/>
      <c r="T20" s="10"/>
      <c r="U20" s="9"/>
      <c r="V20" s="9"/>
      <c r="W20" s="9"/>
      <c r="X20" s="9"/>
      <c r="Y20" s="9"/>
      <c r="Z20" s="9"/>
    </row>
    <row r="21" spans="1:26" ht="15.75" customHeight="1" thickBot="1">
      <c r="A21" s="12" t="s">
        <v>57</v>
      </c>
      <c r="B21" s="13">
        <v>5</v>
      </c>
      <c r="C21" s="13"/>
      <c r="D21" s="14"/>
      <c r="E21" s="14"/>
      <c r="F21" s="14"/>
      <c r="G21" s="14"/>
      <c r="H21" s="15"/>
      <c r="I21" s="13"/>
      <c r="J21" s="13"/>
      <c r="K21" s="13"/>
      <c r="L21" s="13"/>
      <c r="M21" s="13"/>
      <c r="N21" s="13"/>
      <c r="O21" s="13">
        <v>10</v>
      </c>
      <c r="P21" s="13"/>
      <c r="Q21" s="13"/>
      <c r="R21" s="13"/>
      <c r="S21" s="13"/>
      <c r="T21" s="15"/>
      <c r="U21" s="13"/>
      <c r="V21" s="13"/>
      <c r="W21" s="13"/>
      <c r="X21" s="13"/>
      <c r="Y21" s="13"/>
      <c r="Z21" s="13"/>
    </row>
    <row r="22" spans="1:26" ht="15.75" customHeight="1" thickBot="1">
      <c r="A22" s="16" t="s">
        <v>59</v>
      </c>
      <c r="B22" s="9">
        <v>5</v>
      </c>
      <c r="C22" s="9"/>
      <c r="D22" s="17"/>
      <c r="E22" s="17"/>
      <c r="F22" s="117"/>
      <c r="G22" s="117"/>
      <c r="H22" s="119"/>
      <c r="I22" s="9"/>
      <c r="J22" s="9"/>
      <c r="K22" s="105"/>
      <c r="L22" s="105"/>
      <c r="M22" s="105"/>
      <c r="N22" s="105"/>
      <c r="O22" s="105"/>
      <c r="P22" s="105">
        <v>10</v>
      </c>
      <c r="Q22" s="9"/>
      <c r="R22" s="9"/>
      <c r="S22" s="9"/>
      <c r="T22" s="10"/>
      <c r="U22" s="9"/>
      <c r="V22" s="9"/>
      <c r="W22" s="9"/>
      <c r="X22" s="9"/>
      <c r="Y22" s="9"/>
      <c r="Z22" s="9"/>
    </row>
    <row r="23" spans="1:26" ht="15.75" customHeight="1" thickBot="1">
      <c r="A23" s="12" t="s">
        <v>61</v>
      </c>
      <c r="B23" s="13">
        <v>8</v>
      </c>
      <c r="C23" s="13"/>
      <c r="D23" s="14"/>
      <c r="E23" s="14"/>
      <c r="F23" s="14"/>
      <c r="G23" s="14"/>
      <c r="H23" s="15"/>
      <c r="I23" s="13">
        <v>30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5"/>
      <c r="U23" s="13"/>
      <c r="V23" s="13"/>
      <c r="W23" s="13"/>
      <c r="X23" s="13"/>
      <c r="Y23" s="13"/>
      <c r="Z23" s="13"/>
    </row>
    <row r="24" spans="1:26" ht="15.75" customHeight="1" thickBot="1">
      <c r="A24" s="16" t="s">
        <v>62</v>
      </c>
      <c r="B24" s="9"/>
      <c r="C24" s="9"/>
      <c r="D24" s="17"/>
      <c r="E24" s="17"/>
      <c r="F24" s="117"/>
      <c r="G24" s="117"/>
      <c r="H24" s="119"/>
      <c r="I24" s="9"/>
      <c r="J24" s="9"/>
      <c r="K24" s="105"/>
      <c r="L24" s="105"/>
      <c r="M24" s="105"/>
      <c r="N24" s="105"/>
      <c r="O24" s="105"/>
      <c r="P24" s="105"/>
      <c r="Q24" s="9"/>
      <c r="R24" s="9">
        <v>10</v>
      </c>
      <c r="S24" s="9"/>
      <c r="T24" s="10"/>
      <c r="U24" s="9"/>
      <c r="V24" s="9"/>
      <c r="W24" s="9"/>
      <c r="X24" s="9"/>
      <c r="Y24" s="9"/>
      <c r="Z24" s="9"/>
    </row>
    <row r="25" spans="1:26" ht="15.75" customHeight="1" thickBot="1">
      <c r="A25" s="12" t="s">
        <v>25</v>
      </c>
      <c r="B25" s="13"/>
      <c r="C25" s="13"/>
      <c r="D25" s="14"/>
      <c r="E25" s="14"/>
      <c r="F25" s="14"/>
      <c r="G25" s="14"/>
      <c r="H25" s="15"/>
      <c r="I25" s="13"/>
      <c r="J25" s="13"/>
      <c r="K25" s="13"/>
      <c r="L25" s="13"/>
      <c r="M25" s="13"/>
      <c r="N25" s="13"/>
      <c r="O25" s="13"/>
      <c r="P25" s="13"/>
      <c r="Q25" s="13"/>
      <c r="R25" s="13">
        <v>20</v>
      </c>
      <c r="S25" s="13"/>
      <c r="T25" s="15"/>
      <c r="U25" s="13"/>
      <c r="V25" s="13"/>
      <c r="W25" s="13"/>
      <c r="X25" s="13"/>
      <c r="Y25" s="13"/>
      <c r="Z25" s="13"/>
    </row>
    <row r="26" spans="1:26" ht="15.75" customHeight="1" thickBot="1">
      <c r="A26" s="16" t="s">
        <v>63</v>
      </c>
      <c r="B26" s="9">
        <v>9</v>
      </c>
      <c r="C26" s="9"/>
      <c r="D26" s="17"/>
      <c r="E26" s="17"/>
      <c r="F26" s="117"/>
      <c r="G26" s="117"/>
      <c r="H26" s="119"/>
      <c r="I26" s="9">
        <v>20</v>
      </c>
      <c r="J26" s="9"/>
      <c r="K26" s="105"/>
      <c r="L26" s="105"/>
      <c r="M26" s="105"/>
      <c r="N26" s="105"/>
      <c r="O26" s="105"/>
      <c r="P26" s="105"/>
      <c r="Q26" s="9"/>
      <c r="R26" s="9"/>
      <c r="S26" s="9"/>
      <c r="T26" s="10"/>
      <c r="U26" s="9"/>
      <c r="V26" s="9"/>
      <c r="W26" s="9"/>
      <c r="X26" s="9"/>
      <c r="Y26" s="9"/>
      <c r="Z26" s="9"/>
    </row>
    <row r="27" spans="1:26" ht="15.75" customHeight="1" thickBot="1">
      <c r="A27" s="12" t="s">
        <v>64</v>
      </c>
      <c r="B27" s="13"/>
      <c r="C27" s="13"/>
      <c r="D27" s="14"/>
      <c r="E27" s="14"/>
      <c r="F27" s="14"/>
      <c r="G27" s="14"/>
      <c r="H27" s="15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5"/>
      <c r="U27" s="13"/>
      <c r="V27" s="13"/>
      <c r="W27" s="13"/>
      <c r="X27" s="13">
        <v>10</v>
      </c>
      <c r="Y27" s="13"/>
      <c r="Z27" s="13"/>
    </row>
    <row r="28" spans="1:26" ht="15.75" customHeight="1" thickBot="1">
      <c r="A28" s="16" t="s">
        <v>65</v>
      </c>
      <c r="B28" s="9"/>
      <c r="C28" s="9"/>
      <c r="D28" s="17"/>
      <c r="E28" s="17"/>
      <c r="F28" s="117"/>
      <c r="G28" s="117"/>
      <c r="H28" s="119"/>
      <c r="I28" s="9">
        <v>50</v>
      </c>
      <c r="J28" s="9"/>
      <c r="K28" s="105"/>
      <c r="L28" s="105"/>
      <c r="M28" s="105"/>
      <c r="N28" s="105"/>
      <c r="O28" s="105"/>
      <c r="P28" s="105"/>
      <c r="Q28" s="9"/>
      <c r="R28" s="9"/>
      <c r="S28" s="9"/>
      <c r="T28" s="10"/>
      <c r="U28" s="9"/>
      <c r="V28" s="9"/>
      <c r="W28" s="9"/>
      <c r="X28" s="9"/>
      <c r="Y28" s="9"/>
      <c r="Z28" s="9"/>
    </row>
    <row r="29" spans="1:26" ht="15.75" customHeight="1" thickBot="1">
      <c r="A29" s="12" t="s">
        <v>66</v>
      </c>
      <c r="B29" s="13">
        <v>4</v>
      </c>
      <c r="C29" s="13"/>
      <c r="D29" s="14" t="s">
        <v>67</v>
      </c>
      <c r="E29" s="14"/>
      <c r="F29" s="14"/>
      <c r="G29" s="14"/>
      <c r="H29" s="15"/>
      <c r="I29" s="13">
        <v>30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5"/>
      <c r="U29" s="13"/>
      <c r="V29" s="13"/>
      <c r="W29" s="13"/>
      <c r="X29" s="13"/>
      <c r="Y29" s="13"/>
      <c r="Z29" s="13"/>
    </row>
    <row r="30" spans="1:26" ht="15.75" customHeight="1" thickBot="1">
      <c r="A30" s="16" t="s">
        <v>68</v>
      </c>
      <c r="B30" s="9">
        <v>4</v>
      </c>
      <c r="C30" s="9"/>
      <c r="D30" s="17" t="s">
        <v>69</v>
      </c>
      <c r="E30" s="17"/>
      <c r="F30" s="117"/>
      <c r="G30" s="117"/>
      <c r="H30" s="119"/>
      <c r="I30" s="9">
        <v>30</v>
      </c>
      <c r="J30" s="9"/>
      <c r="K30" s="105"/>
      <c r="L30" s="105"/>
      <c r="M30" s="105"/>
      <c r="N30" s="105"/>
      <c r="O30" s="105"/>
      <c r="P30" s="105"/>
      <c r="Q30" s="9"/>
      <c r="R30" s="9"/>
      <c r="S30" s="9"/>
      <c r="T30" s="10"/>
      <c r="U30" s="9"/>
      <c r="V30" s="9"/>
      <c r="W30" s="9"/>
      <c r="X30" s="9"/>
      <c r="Y30" s="9"/>
      <c r="Z30" s="9"/>
    </row>
    <row r="31" spans="1:26" ht="15.75" customHeight="1" thickBot="1">
      <c r="A31" s="12" t="s">
        <v>23</v>
      </c>
      <c r="B31" s="13">
        <v>4</v>
      </c>
      <c r="C31" s="13"/>
      <c r="D31" s="14" t="s">
        <v>1</v>
      </c>
      <c r="E31" s="14"/>
      <c r="F31" s="14"/>
      <c r="G31" s="14"/>
      <c r="H31" s="15"/>
      <c r="I31" s="13">
        <v>30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5"/>
      <c r="U31" s="13"/>
      <c r="V31" s="13"/>
      <c r="W31" s="13"/>
      <c r="X31" s="13"/>
      <c r="Y31" s="13"/>
      <c r="Z31" s="13"/>
    </row>
    <row r="32" spans="1:26" ht="15.75" customHeight="1" thickBot="1">
      <c r="A32" s="16" t="s">
        <v>70</v>
      </c>
      <c r="B32" s="9">
        <v>4</v>
      </c>
      <c r="C32" s="9"/>
      <c r="D32" s="17" t="s">
        <v>71</v>
      </c>
      <c r="E32" s="17"/>
      <c r="F32" s="117"/>
      <c r="G32" s="117"/>
      <c r="H32" s="119"/>
      <c r="I32" s="9">
        <v>30</v>
      </c>
      <c r="J32" s="9"/>
      <c r="K32" s="105"/>
      <c r="L32" s="105"/>
      <c r="M32" s="105"/>
      <c r="N32" s="105"/>
      <c r="O32" s="105"/>
      <c r="P32" s="105"/>
      <c r="Q32" s="9"/>
      <c r="R32" s="9"/>
      <c r="S32" s="9"/>
      <c r="T32" s="10"/>
      <c r="U32" s="9"/>
      <c r="V32" s="9"/>
      <c r="W32" s="9"/>
      <c r="X32" s="9"/>
      <c r="Y32" s="9"/>
      <c r="Z32" s="9"/>
    </row>
    <row r="33" spans="1:26" ht="15.75" customHeight="1" thickBot="1">
      <c r="A33" s="12" t="s">
        <v>72</v>
      </c>
      <c r="B33" s="13">
        <v>4</v>
      </c>
      <c r="C33" s="13"/>
      <c r="D33" s="14" t="s">
        <v>73</v>
      </c>
      <c r="E33" s="14"/>
      <c r="F33" s="14"/>
      <c r="G33" s="14"/>
      <c r="H33" s="15"/>
      <c r="I33" s="13">
        <v>30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5"/>
      <c r="U33" s="13"/>
      <c r="V33" s="13"/>
      <c r="W33" s="13"/>
      <c r="X33" s="13"/>
      <c r="Y33" s="13"/>
      <c r="Z33" s="13"/>
    </row>
    <row r="34" spans="1:26" ht="15.75" customHeight="1" thickBot="1">
      <c r="A34" s="16" t="s">
        <v>74</v>
      </c>
      <c r="B34" s="9"/>
      <c r="C34" s="9"/>
      <c r="D34" s="17"/>
      <c r="E34" s="17"/>
      <c r="F34" s="117"/>
      <c r="G34" s="117"/>
      <c r="H34" s="119"/>
      <c r="I34" s="9">
        <v>20</v>
      </c>
      <c r="J34" s="9"/>
      <c r="K34" s="105"/>
      <c r="L34" s="105"/>
      <c r="M34" s="105"/>
      <c r="N34" s="105"/>
      <c r="O34" s="105"/>
      <c r="P34" s="105"/>
      <c r="Q34" s="9"/>
      <c r="R34" s="9"/>
      <c r="S34" s="9"/>
      <c r="T34" s="10"/>
      <c r="U34" s="9"/>
      <c r="V34" s="9"/>
      <c r="W34" s="9"/>
      <c r="X34" s="9"/>
      <c r="Y34" s="9"/>
      <c r="Z34" s="9"/>
    </row>
    <row r="35" spans="1:26" ht="15.75" customHeight="1" thickBot="1">
      <c r="A35" s="12" t="s">
        <v>75</v>
      </c>
      <c r="B35" s="13">
        <v>4</v>
      </c>
      <c r="C35" s="13"/>
      <c r="D35" s="14" t="s">
        <v>76</v>
      </c>
      <c r="E35" s="14"/>
      <c r="F35" s="14"/>
      <c r="G35" s="14"/>
      <c r="H35" s="15"/>
      <c r="I35" s="13">
        <v>30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5"/>
      <c r="U35" s="13"/>
      <c r="V35" s="13"/>
      <c r="W35" s="13"/>
      <c r="X35" s="13"/>
      <c r="Y35" s="13"/>
      <c r="Z35" s="13"/>
    </row>
    <row r="36" spans="1:26" ht="15.75" customHeight="1" thickBot="1">
      <c r="A36" s="16" t="s">
        <v>77</v>
      </c>
      <c r="B36" s="9">
        <v>4</v>
      </c>
      <c r="C36" s="9"/>
      <c r="D36" s="17" t="s">
        <v>78</v>
      </c>
      <c r="E36" s="17"/>
      <c r="F36" s="117"/>
      <c r="G36" s="117"/>
      <c r="H36" s="119"/>
      <c r="I36" s="9">
        <v>30</v>
      </c>
      <c r="J36" s="9"/>
      <c r="K36" s="105"/>
      <c r="L36" s="105"/>
      <c r="M36" s="105"/>
      <c r="N36" s="105"/>
      <c r="O36" s="105"/>
      <c r="P36" s="105"/>
      <c r="Q36" s="9"/>
      <c r="R36" s="9"/>
      <c r="S36" s="9"/>
      <c r="T36" s="10"/>
      <c r="U36" s="9"/>
      <c r="V36" s="9"/>
      <c r="W36" s="9"/>
      <c r="X36" s="9"/>
      <c r="Y36" s="9"/>
      <c r="Z36" s="9"/>
    </row>
    <row r="37" spans="1:26" ht="15.75" customHeight="1" thickBot="1">
      <c r="A37" s="12" t="s">
        <v>79</v>
      </c>
      <c r="B37" s="13">
        <v>4</v>
      </c>
      <c r="C37" s="13"/>
      <c r="D37" s="14" t="s">
        <v>80</v>
      </c>
      <c r="E37" s="14"/>
      <c r="F37" s="14"/>
      <c r="G37" s="14"/>
      <c r="H37" s="15"/>
      <c r="I37" s="13">
        <v>30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5"/>
      <c r="U37" s="13"/>
      <c r="V37" s="13"/>
      <c r="W37" s="13"/>
      <c r="X37" s="13"/>
      <c r="Y37" s="13"/>
      <c r="Z37" s="13"/>
    </row>
    <row r="38" spans="1:26" ht="15.75" customHeight="1" thickBot="1">
      <c r="A38" s="16" t="s">
        <v>81</v>
      </c>
      <c r="B38" s="9">
        <v>4</v>
      </c>
      <c r="C38" s="9"/>
      <c r="D38" s="17" t="s">
        <v>82</v>
      </c>
      <c r="E38" s="17"/>
      <c r="F38" s="117"/>
      <c r="G38" s="117"/>
      <c r="H38" s="119"/>
      <c r="I38" s="9">
        <v>30</v>
      </c>
      <c r="J38" s="9"/>
      <c r="K38" s="105"/>
      <c r="L38" s="105"/>
      <c r="M38" s="105"/>
      <c r="N38" s="105"/>
      <c r="O38" s="105"/>
      <c r="P38" s="105"/>
      <c r="Q38" s="9"/>
      <c r="R38" s="9"/>
      <c r="S38" s="9"/>
      <c r="T38" s="10"/>
      <c r="U38" s="9"/>
      <c r="V38" s="9"/>
      <c r="W38" s="9"/>
      <c r="X38" s="9"/>
      <c r="Y38" s="9"/>
      <c r="Z38" s="9"/>
    </row>
    <row r="39" spans="1:26" ht="15.75" customHeight="1" thickBot="1">
      <c r="A39" s="12" t="s">
        <v>83</v>
      </c>
      <c r="B39" s="13"/>
      <c r="C39" s="13"/>
      <c r="D39" s="14"/>
      <c r="E39" s="14"/>
      <c r="F39" s="14"/>
      <c r="G39" s="14"/>
      <c r="H39" s="15"/>
      <c r="I39" s="13">
        <v>5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5"/>
      <c r="U39" s="13"/>
      <c r="V39" s="13"/>
      <c r="W39" s="13"/>
      <c r="X39" s="13"/>
      <c r="Y39" s="13"/>
      <c r="Z39" s="13"/>
    </row>
    <row r="40" spans="1:26" ht="15.75" customHeight="1" thickBot="1">
      <c r="A40" s="16" t="s">
        <v>84</v>
      </c>
      <c r="B40" s="9">
        <v>5</v>
      </c>
      <c r="C40" s="9"/>
      <c r="D40" s="17"/>
      <c r="E40" s="17"/>
      <c r="F40" s="117"/>
      <c r="G40" s="117"/>
      <c r="H40" s="119"/>
      <c r="I40" s="9"/>
      <c r="J40" s="9"/>
      <c r="K40" s="105">
        <v>10</v>
      </c>
      <c r="L40" s="105">
        <v>10</v>
      </c>
      <c r="M40" s="105"/>
      <c r="N40" s="105"/>
      <c r="O40" s="105"/>
      <c r="P40" s="105"/>
      <c r="Q40" s="9"/>
      <c r="R40" s="9"/>
      <c r="S40" s="9"/>
      <c r="T40" s="10"/>
      <c r="U40" s="9"/>
      <c r="V40" s="9"/>
      <c r="W40" s="9"/>
      <c r="X40" s="9"/>
      <c r="Y40" s="9"/>
      <c r="Z40" s="9"/>
    </row>
    <row r="41" spans="1:26" ht="15.75" customHeight="1" thickBot="1">
      <c r="A41" s="12" t="s">
        <v>85</v>
      </c>
      <c r="B41" s="13"/>
      <c r="C41" s="13"/>
      <c r="D41" s="14"/>
      <c r="E41" s="14"/>
      <c r="F41" s="14"/>
      <c r="G41" s="14"/>
      <c r="H41" s="15"/>
      <c r="I41" s="13"/>
      <c r="J41" s="13"/>
      <c r="K41" s="13"/>
      <c r="L41" s="13"/>
      <c r="M41" s="13"/>
      <c r="N41" s="13"/>
      <c r="O41" s="13"/>
      <c r="P41" s="13"/>
      <c r="Q41" s="13"/>
      <c r="R41" s="13">
        <v>15</v>
      </c>
      <c r="S41" s="13"/>
      <c r="T41" s="15"/>
      <c r="U41" s="13"/>
      <c r="V41" s="13"/>
      <c r="W41" s="13"/>
      <c r="X41" s="13"/>
      <c r="Y41" s="13"/>
      <c r="Z41" s="13"/>
    </row>
    <row r="42" spans="1:26" ht="15.75" customHeight="1" thickBot="1">
      <c r="A42" s="16" t="s">
        <v>86</v>
      </c>
      <c r="B42" s="9">
        <v>13</v>
      </c>
      <c r="C42" s="9"/>
      <c r="D42" s="17"/>
      <c r="E42" s="17"/>
      <c r="F42" s="117"/>
      <c r="G42" s="117"/>
      <c r="H42" s="119"/>
      <c r="I42" s="9">
        <v>50</v>
      </c>
      <c r="J42" s="9"/>
      <c r="K42" s="105"/>
      <c r="L42" s="105"/>
      <c r="M42" s="105"/>
      <c r="N42" s="105"/>
      <c r="O42" s="105"/>
      <c r="P42" s="105"/>
      <c r="Q42" s="9"/>
      <c r="R42" s="9"/>
      <c r="S42" s="9"/>
      <c r="T42" s="10"/>
      <c r="U42" s="9"/>
      <c r="V42" s="9"/>
      <c r="W42" s="9"/>
      <c r="X42" s="9"/>
      <c r="Y42" s="9"/>
      <c r="Z42" s="9"/>
    </row>
    <row r="43" spans="1:26" ht="15.75" customHeight="1" thickBot="1">
      <c r="A43" s="12" t="s">
        <v>87</v>
      </c>
      <c r="B43" s="13"/>
      <c r="C43" s="13"/>
      <c r="D43" s="14"/>
      <c r="E43" s="14"/>
      <c r="F43" s="14"/>
      <c r="G43" s="14"/>
      <c r="H43" s="15"/>
      <c r="I43" s="13">
        <v>30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5"/>
      <c r="U43" s="13"/>
      <c r="V43" s="13"/>
      <c r="W43" s="13"/>
      <c r="X43" s="13"/>
      <c r="Y43" s="13"/>
      <c r="Z43" s="13"/>
    </row>
    <row r="44" spans="1:26" ht="15.75" customHeight="1" thickBot="1">
      <c r="A44" s="16" t="s">
        <v>22</v>
      </c>
      <c r="B44" s="9"/>
      <c r="C44" s="9">
        <v>2</v>
      </c>
      <c r="D44" s="17"/>
      <c r="E44" s="17"/>
      <c r="F44" s="117"/>
      <c r="G44" s="117"/>
      <c r="H44" s="119"/>
      <c r="I44" s="9"/>
      <c r="J44" s="9"/>
      <c r="K44" s="105"/>
      <c r="L44" s="105"/>
      <c r="M44" s="105"/>
      <c r="N44" s="105"/>
      <c r="O44" s="105"/>
      <c r="P44" s="105"/>
      <c r="Q44" s="9"/>
      <c r="R44" s="9"/>
      <c r="S44" s="9">
        <v>30</v>
      </c>
      <c r="T44" s="10"/>
      <c r="U44" s="9"/>
      <c r="V44" s="9"/>
      <c r="W44" s="9"/>
      <c r="X44" s="9"/>
      <c r="Y44" s="9"/>
      <c r="Z44" s="9"/>
    </row>
    <row r="45" spans="1:26" ht="15.75" customHeight="1" thickBot="1">
      <c r="A45" s="12" t="s">
        <v>88</v>
      </c>
      <c r="B45" s="13"/>
      <c r="C45" s="13"/>
      <c r="D45" s="14" t="s">
        <v>1</v>
      </c>
      <c r="E45" s="14"/>
      <c r="F45" s="14"/>
      <c r="G45" s="14"/>
      <c r="H45" s="15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5"/>
      <c r="U45" s="13"/>
      <c r="V45" s="13"/>
      <c r="W45" s="13">
        <v>15</v>
      </c>
      <c r="X45" s="13"/>
      <c r="Y45" s="13"/>
      <c r="Z45" s="13" t="s">
        <v>89</v>
      </c>
    </row>
    <row r="46" spans="1:26" ht="15.75" customHeight="1" thickBot="1">
      <c r="A46" s="16" t="s">
        <v>90</v>
      </c>
      <c r="B46" s="9">
        <v>12</v>
      </c>
      <c r="C46" s="9"/>
      <c r="D46" s="17"/>
      <c r="E46" s="17"/>
      <c r="F46" s="117"/>
      <c r="G46" s="117"/>
      <c r="H46" s="119"/>
      <c r="I46" s="9"/>
      <c r="J46" s="9"/>
      <c r="K46" s="105"/>
      <c r="L46" s="105"/>
      <c r="M46" s="105"/>
      <c r="N46" s="105"/>
      <c r="O46" s="105"/>
      <c r="P46" s="105"/>
      <c r="Q46" s="9"/>
      <c r="R46" s="9"/>
      <c r="S46" s="9"/>
      <c r="T46" s="10">
        <v>20</v>
      </c>
      <c r="U46" s="9"/>
      <c r="V46" s="9"/>
      <c r="W46" s="9"/>
      <c r="X46" s="9"/>
      <c r="Y46" s="9"/>
      <c r="Z46" s="9"/>
    </row>
    <row r="47" spans="1:26" ht="15.75" customHeight="1" thickBot="1">
      <c r="A47" s="12" t="s">
        <v>91</v>
      </c>
      <c r="B47" s="13"/>
      <c r="C47" s="13"/>
      <c r="D47" s="14"/>
      <c r="E47" s="14"/>
      <c r="F47" s="14"/>
      <c r="G47" s="14"/>
      <c r="H47" s="15"/>
      <c r="I47" s="13">
        <v>30</v>
      </c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5"/>
      <c r="U47" s="13"/>
      <c r="V47" s="13"/>
      <c r="W47" s="13"/>
      <c r="X47" s="13"/>
      <c r="Y47" s="13"/>
      <c r="Z47" s="13"/>
    </row>
    <row r="48" spans="1:26" ht="15.75" customHeight="1" thickBot="1">
      <c r="A48" s="16" t="s">
        <v>92</v>
      </c>
      <c r="B48" s="9"/>
      <c r="C48" s="9"/>
      <c r="D48" s="17"/>
      <c r="E48" s="17"/>
      <c r="F48" s="117"/>
      <c r="G48" s="117"/>
      <c r="H48" s="119"/>
      <c r="I48" s="9"/>
      <c r="J48" s="9"/>
      <c r="K48" s="105"/>
      <c r="L48" s="105"/>
      <c r="M48" s="105"/>
      <c r="N48" s="105"/>
      <c r="O48" s="105"/>
      <c r="P48" s="105"/>
      <c r="Q48" s="9"/>
      <c r="R48" s="9"/>
      <c r="S48" s="9"/>
      <c r="T48" s="10"/>
      <c r="U48" s="9"/>
      <c r="V48" s="9"/>
      <c r="W48" s="9"/>
      <c r="X48" s="9"/>
      <c r="Y48" s="9"/>
      <c r="Z48" s="9"/>
    </row>
    <row r="49" spans="1:26" ht="15.75" customHeight="1" thickBot="1">
      <c r="A49" s="12" t="s">
        <v>93</v>
      </c>
      <c r="B49" s="13">
        <v>1</v>
      </c>
      <c r="C49" s="13"/>
      <c r="D49" s="14"/>
      <c r="E49" s="14"/>
      <c r="F49" s="14"/>
      <c r="G49" s="14"/>
      <c r="H49" s="15"/>
      <c r="I49" s="13">
        <v>20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5"/>
      <c r="U49" s="13"/>
      <c r="V49" s="13"/>
      <c r="W49" s="13"/>
      <c r="X49" s="13"/>
      <c r="Y49" s="13"/>
      <c r="Z49" s="13"/>
    </row>
    <row r="50" spans="1:26" ht="15.75" customHeight="1" thickBot="1">
      <c r="A50" s="16" t="s">
        <v>94</v>
      </c>
      <c r="B50" s="9">
        <v>11</v>
      </c>
      <c r="C50" s="9"/>
      <c r="D50" s="17" t="s">
        <v>95</v>
      </c>
      <c r="E50" s="17"/>
      <c r="F50" s="117"/>
      <c r="G50" s="117"/>
      <c r="H50" s="119"/>
      <c r="I50" s="9"/>
      <c r="J50" s="9">
        <v>30</v>
      </c>
      <c r="K50" s="105"/>
      <c r="L50" s="105"/>
      <c r="M50" s="105"/>
      <c r="N50" s="105"/>
      <c r="O50" s="105"/>
      <c r="P50" s="105"/>
      <c r="Q50" s="9">
        <v>70</v>
      </c>
      <c r="R50" s="9"/>
      <c r="S50" s="9"/>
      <c r="T50" s="10"/>
      <c r="U50" s="9"/>
      <c r="V50" s="9"/>
      <c r="W50" s="9"/>
      <c r="X50" s="9"/>
      <c r="Y50" s="9"/>
      <c r="Z50" s="9"/>
    </row>
    <row r="51" spans="1:26" ht="15.75" customHeight="1" thickBot="1">
      <c r="A51" s="12" t="s">
        <v>96</v>
      </c>
      <c r="B51" s="13"/>
      <c r="C51" s="13">
        <v>2</v>
      </c>
      <c r="D51" s="14" t="s">
        <v>80</v>
      </c>
      <c r="E51" s="14"/>
      <c r="F51" s="14"/>
      <c r="G51" s="14"/>
      <c r="H51" s="15"/>
      <c r="I51" s="13"/>
      <c r="J51" s="13"/>
      <c r="K51" s="13"/>
      <c r="L51" s="13"/>
      <c r="M51" s="13"/>
      <c r="N51" s="13"/>
      <c r="O51" s="13"/>
      <c r="P51" s="13"/>
      <c r="Q51" s="13"/>
      <c r="R51" s="13">
        <v>60</v>
      </c>
      <c r="S51" s="13">
        <v>30</v>
      </c>
      <c r="T51" s="15"/>
      <c r="U51" s="13"/>
      <c r="V51" s="13"/>
      <c r="W51" s="13"/>
      <c r="X51" s="13"/>
      <c r="Y51" s="13"/>
      <c r="Z51" s="13"/>
    </row>
    <row r="52" spans="1:26" ht="15.75" customHeight="1" thickBot="1">
      <c r="A52" s="16" t="s">
        <v>97</v>
      </c>
      <c r="B52" s="9">
        <v>4</v>
      </c>
      <c r="C52" s="9"/>
      <c r="D52" s="17" t="s">
        <v>98</v>
      </c>
      <c r="E52" s="17"/>
      <c r="F52" s="117"/>
      <c r="G52" s="117"/>
      <c r="H52" s="119"/>
      <c r="I52" s="9">
        <v>30</v>
      </c>
      <c r="J52" s="9"/>
      <c r="K52" s="105"/>
      <c r="L52" s="105"/>
      <c r="M52" s="105"/>
      <c r="N52" s="105"/>
      <c r="O52" s="105"/>
      <c r="P52" s="105"/>
      <c r="Q52" s="9"/>
      <c r="R52" s="9"/>
      <c r="S52" s="9"/>
      <c r="T52" s="10"/>
      <c r="U52" s="9"/>
      <c r="V52" s="9"/>
      <c r="W52" s="9"/>
      <c r="X52" s="9"/>
      <c r="Y52" s="9"/>
      <c r="Z52" s="9"/>
    </row>
    <row r="53" spans="1:26" ht="15.75" customHeight="1" thickBot="1">
      <c r="A53" s="12" t="s">
        <v>99</v>
      </c>
      <c r="B53" s="13">
        <v>4</v>
      </c>
      <c r="C53" s="13"/>
      <c r="D53" s="14" t="s">
        <v>100</v>
      </c>
      <c r="E53" s="14"/>
      <c r="F53" s="14"/>
      <c r="G53" s="14"/>
      <c r="H53" s="15"/>
      <c r="I53" s="13">
        <v>30</v>
      </c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5"/>
      <c r="U53" s="13"/>
      <c r="V53" s="13"/>
      <c r="W53" s="13"/>
      <c r="X53" s="13"/>
      <c r="Y53" s="13"/>
      <c r="Z53" s="13"/>
    </row>
    <row r="54" spans="1:26" ht="15.75" customHeight="1" thickBot="1">
      <c r="A54" s="16" t="s">
        <v>101</v>
      </c>
      <c r="B54" s="9">
        <v>4</v>
      </c>
      <c r="C54" s="9"/>
      <c r="D54" s="17" t="s">
        <v>102</v>
      </c>
      <c r="E54" s="17"/>
      <c r="F54" s="117"/>
      <c r="G54" s="117"/>
      <c r="H54" s="119"/>
      <c r="I54" s="9">
        <v>30</v>
      </c>
      <c r="J54" s="9"/>
      <c r="K54" s="105"/>
      <c r="L54" s="105"/>
      <c r="M54" s="105"/>
      <c r="N54" s="105"/>
      <c r="O54" s="105"/>
      <c r="P54" s="105"/>
      <c r="Q54" s="9"/>
      <c r="R54" s="9"/>
      <c r="S54" s="9"/>
      <c r="T54" s="10"/>
      <c r="U54" s="9"/>
      <c r="V54" s="9"/>
      <c r="W54" s="9"/>
      <c r="X54" s="9"/>
      <c r="Y54" s="9"/>
      <c r="Z54" s="9"/>
    </row>
    <row r="55" spans="1:26" ht="15.75" customHeight="1" thickBot="1">
      <c r="A55" s="12" t="s">
        <v>103</v>
      </c>
      <c r="B55" s="13">
        <v>5</v>
      </c>
      <c r="C55" s="13"/>
      <c r="D55" s="14"/>
      <c r="E55" s="14"/>
      <c r="F55" s="14"/>
      <c r="G55" s="14"/>
      <c r="H55" s="15"/>
      <c r="I55" s="13"/>
      <c r="J55" s="13"/>
      <c r="K55" s="13"/>
      <c r="L55" s="13"/>
      <c r="M55" s="13"/>
      <c r="N55" s="13"/>
      <c r="O55" s="13"/>
      <c r="P55" s="13">
        <v>10</v>
      </c>
      <c r="Q55" s="13"/>
      <c r="R55" s="13"/>
      <c r="S55" s="13"/>
      <c r="T55" s="15"/>
      <c r="U55" s="13"/>
      <c r="V55" s="13"/>
      <c r="W55" s="13"/>
      <c r="X55" s="13"/>
      <c r="Y55" s="13"/>
      <c r="Z55" s="13"/>
    </row>
    <row r="56" spans="1:26" ht="15.75" customHeight="1" thickBot="1">
      <c r="A56" s="16" t="s">
        <v>104</v>
      </c>
      <c r="B56" s="9">
        <v>4</v>
      </c>
      <c r="C56" s="9"/>
      <c r="D56" s="17" t="s">
        <v>95</v>
      </c>
      <c r="E56" s="17"/>
      <c r="F56" s="117"/>
      <c r="G56" s="117"/>
      <c r="H56" s="119"/>
      <c r="I56" s="9">
        <v>30</v>
      </c>
      <c r="J56" s="9"/>
      <c r="K56" s="105"/>
      <c r="L56" s="105"/>
      <c r="M56" s="105"/>
      <c r="N56" s="105"/>
      <c r="O56" s="105"/>
      <c r="P56" s="105"/>
      <c r="Q56" s="9"/>
      <c r="R56" s="9"/>
      <c r="S56" s="9"/>
      <c r="T56" s="10"/>
      <c r="U56" s="9"/>
      <c r="V56" s="9"/>
      <c r="W56" s="9"/>
      <c r="X56" s="9"/>
      <c r="Y56" s="9"/>
      <c r="Z56" s="9"/>
    </row>
    <row r="57" spans="1:26" ht="15.75" customHeight="1" thickBot="1">
      <c r="A57" s="12" t="s">
        <v>105</v>
      </c>
      <c r="B57" s="13">
        <v>4</v>
      </c>
      <c r="C57" s="13"/>
      <c r="D57" s="14" t="s">
        <v>106</v>
      </c>
      <c r="E57" s="14"/>
      <c r="F57" s="14"/>
      <c r="G57" s="14"/>
      <c r="H57" s="15"/>
      <c r="I57" s="13">
        <v>30</v>
      </c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5"/>
      <c r="U57" s="13"/>
      <c r="V57" s="13"/>
      <c r="W57" s="13"/>
      <c r="X57" s="13"/>
      <c r="Y57" s="13"/>
      <c r="Z57" s="13"/>
    </row>
    <row r="58" spans="1:26" ht="15.75" customHeight="1" thickBot="1">
      <c r="A58" s="16" t="s">
        <v>107</v>
      </c>
      <c r="B58" s="9">
        <v>4</v>
      </c>
      <c r="C58" s="9"/>
      <c r="D58" s="17" t="s">
        <v>108</v>
      </c>
      <c r="E58" s="17"/>
      <c r="F58" s="117"/>
      <c r="G58" s="117"/>
      <c r="H58" s="119"/>
      <c r="I58" s="9">
        <v>30</v>
      </c>
      <c r="J58" s="9"/>
      <c r="K58" s="105"/>
      <c r="L58" s="105"/>
      <c r="M58" s="105"/>
      <c r="N58" s="105"/>
      <c r="O58" s="105"/>
      <c r="P58" s="105"/>
      <c r="Q58" s="9"/>
      <c r="R58" s="9"/>
      <c r="S58" s="9"/>
      <c r="T58" s="10"/>
      <c r="U58" s="9"/>
      <c r="V58" s="9"/>
      <c r="W58" s="9"/>
      <c r="X58" s="9"/>
      <c r="Y58" s="9"/>
      <c r="Z58" s="9"/>
    </row>
    <row r="59" spans="1:26" ht="15.75" customHeight="1" thickBot="1">
      <c r="A59" s="12" t="s">
        <v>109</v>
      </c>
      <c r="B59" s="13"/>
      <c r="C59" s="13"/>
      <c r="D59" s="14" t="s">
        <v>110</v>
      </c>
      <c r="E59" s="14"/>
      <c r="F59" s="14"/>
      <c r="G59" s="14"/>
      <c r="H59" s="15"/>
      <c r="I59" s="13"/>
      <c r="J59" s="13">
        <v>100</v>
      </c>
      <c r="K59" s="13"/>
      <c r="L59" s="13"/>
      <c r="M59" s="13"/>
      <c r="N59" s="13"/>
      <c r="O59" s="13"/>
      <c r="P59" s="13"/>
      <c r="Q59" s="13"/>
      <c r="R59" s="13"/>
      <c r="S59" s="13"/>
      <c r="T59" s="15"/>
      <c r="U59" s="13"/>
      <c r="V59" s="13"/>
      <c r="W59" s="13"/>
      <c r="X59" s="13"/>
      <c r="Y59" s="13"/>
      <c r="Z59" s="13"/>
    </row>
    <row r="60" spans="1:26" ht="15.75" customHeight="1" thickBot="1">
      <c r="A60" s="16" t="s">
        <v>111</v>
      </c>
      <c r="B60" s="9">
        <v>4</v>
      </c>
      <c r="C60" s="9"/>
      <c r="D60" s="17" t="s">
        <v>110</v>
      </c>
      <c r="E60" s="17"/>
      <c r="F60" s="117"/>
      <c r="G60" s="117"/>
      <c r="H60" s="119"/>
      <c r="I60" s="9">
        <v>30</v>
      </c>
      <c r="J60" s="9"/>
      <c r="K60" s="105"/>
      <c r="L60" s="105"/>
      <c r="M60" s="105"/>
      <c r="N60" s="105"/>
      <c r="O60" s="105"/>
      <c r="P60" s="105"/>
      <c r="Q60" s="9"/>
      <c r="R60" s="9"/>
      <c r="S60" s="9"/>
      <c r="T60" s="10"/>
      <c r="U60" s="9"/>
      <c r="V60" s="9"/>
      <c r="W60" s="9"/>
      <c r="X60" s="9"/>
      <c r="Y60" s="9"/>
      <c r="Z60" s="9"/>
    </row>
    <row r="61" spans="1:26" ht="15.75" customHeight="1" thickBot="1">
      <c r="A61" s="12" t="s">
        <v>112</v>
      </c>
      <c r="B61" s="13">
        <v>4</v>
      </c>
      <c r="C61" s="13"/>
      <c r="D61" s="14" t="s">
        <v>113</v>
      </c>
      <c r="E61" s="14"/>
      <c r="F61" s="14"/>
      <c r="G61" s="14"/>
      <c r="H61" s="15"/>
      <c r="I61" s="13">
        <v>30</v>
      </c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5"/>
      <c r="U61" s="13"/>
      <c r="V61" s="13"/>
      <c r="W61" s="13"/>
      <c r="X61" s="13"/>
      <c r="Y61" s="13"/>
      <c r="Z61" s="13"/>
    </row>
    <row r="62" spans="1:26" ht="15.75" customHeight="1" thickBot="1">
      <c r="A62" s="16" t="s">
        <v>114</v>
      </c>
      <c r="B62" s="9">
        <v>4</v>
      </c>
      <c r="C62" s="9"/>
      <c r="D62" s="17" t="s">
        <v>115</v>
      </c>
      <c r="E62" s="17"/>
      <c r="F62" s="117"/>
      <c r="G62" s="117"/>
      <c r="H62" s="119"/>
      <c r="I62" s="9">
        <v>30</v>
      </c>
      <c r="J62" s="9"/>
      <c r="K62" s="105"/>
      <c r="L62" s="105"/>
      <c r="M62" s="105"/>
      <c r="N62" s="105"/>
      <c r="O62" s="105"/>
      <c r="P62" s="105"/>
      <c r="Q62" s="9"/>
      <c r="R62" s="9"/>
      <c r="S62" s="9"/>
      <c r="T62" s="10"/>
      <c r="U62" s="9"/>
      <c r="V62" s="9"/>
      <c r="W62" s="9"/>
      <c r="X62" s="9"/>
      <c r="Y62" s="9"/>
      <c r="Z62" s="9"/>
    </row>
    <row r="63" spans="1:26" ht="15.75" customHeight="1" thickBot="1">
      <c r="A63" s="12" t="s">
        <v>116</v>
      </c>
      <c r="B63" s="13"/>
      <c r="C63" s="13"/>
      <c r="D63" s="14" t="s">
        <v>117</v>
      </c>
      <c r="E63" s="14"/>
      <c r="F63" s="14"/>
      <c r="G63" s="14"/>
      <c r="H63" s="15"/>
      <c r="I63" s="13">
        <v>44</v>
      </c>
      <c r="J63" s="13">
        <v>100</v>
      </c>
      <c r="K63" s="13"/>
      <c r="L63" s="13"/>
      <c r="M63" s="13"/>
      <c r="N63" s="13"/>
      <c r="O63" s="13"/>
      <c r="P63" s="13"/>
      <c r="Q63" s="13"/>
      <c r="R63" s="13"/>
      <c r="S63" s="13"/>
      <c r="T63" s="15"/>
      <c r="U63" s="13"/>
      <c r="V63" s="13"/>
      <c r="W63" s="13"/>
      <c r="X63" s="13"/>
      <c r="Y63" s="13"/>
      <c r="Z63" s="13"/>
    </row>
    <row r="64" spans="1:26" ht="15.75" customHeight="1" thickBot="1">
      <c r="A64" s="16" t="s">
        <v>118</v>
      </c>
      <c r="B64" s="9">
        <v>4</v>
      </c>
      <c r="C64" s="9"/>
      <c r="D64" s="17" t="s">
        <v>119</v>
      </c>
      <c r="E64" s="17"/>
      <c r="F64" s="117"/>
      <c r="G64" s="117"/>
      <c r="H64" s="119"/>
      <c r="I64" s="9">
        <v>30</v>
      </c>
      <c r="J64" s="9"/>
      <c r="K64" s="105"/>
      <c r="L64" s="105"/>
      <c r="M64" s="105"/>
      <c r="N64" s="105"/>
      <c r="O64" s="105"/>
      <c r="P64" s="105"/>
      <c r="Q64" s="9"/>
      <c r="R64" s="9"/>
      <c r="S64" s="9"/>
      <c r="T64" s="10"/>
      <c r="U64" s="9"/>
      <c r="V64" s="9"/>
      <c r="W64" s="9"/>
      <c r="X64" s="9"/>
      <c r="Y64" s="9"/>
      <c r="Z64" s="9"/>
    </row>
    <row r="65" spans="1:26" ht="15.75" customHeight="1" thickBot="1">
      <c r="A65" s="12" t="s">
        <v>120</v>
      </c>
      <c r="B65" s="13">
        <v>4</v>
      </c>
      <c r="C65" s="13"/>
      <c r="D65" s="14" t="s">
        <v>117</v>
      </c>
      <c r="E65" s="14"/>
      <c r="F65" s="14"/>
      <c r="G65" s="14"/>
      <c r="H65" s="15"/>
      <c r="I65" s="13">
        <v>30</v>
      </c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5"/>
      <c r="U65" s="13"/>
      <c r="V65" s="13"/>
      <c r="W65" s="13"/>
      <c r="X65" s="13"/>
      <c r="Y65" s="13"/>
      <c r="Z65" s="13"/>
    </row>
    <row r="66" spans="1:26" ht="15.75" customHeight="1" thickBot="1">
      <c r="A66" s="16" t="s">
        <v>121</v>
      </c>
      <c r="B66" s="9">
        <v>4</v>
      </c>
      <c r="C66" s="9"/>
      <c r="D66" s="17" t="s">
        <v>122</v>
      </c>
      <c r="E66" s="17"/>
      <c r="F66" s="117"/>
      <c r="G66" s="117"/>
      <c r="H66" s="119"/>
      <c r="I66" s="9">
        <v>30</v>
      </c>
      <c r="J66" s="9"/>
      <c r="K66" s="105"/>
      <c r="L66" s="105"/>
      <c r="M66" s="105"/>
      <c r="N66" s="105"/>
      <c r="O66" s="105"/>
      <c r="P66" s="105"/>
      <c r="Q66" s="9"/>
      <c r="R66" s="9"/>
      <c r="S66" s="9"/>
      <c r="T66" s="10"/>
      <c r="U66" s="9"/>
      <c r="V66" s="9"/>
      <c r="W66" s="9"/>
      <c r="X66" s="9"/>
      <c r="Y66" s="9"/>
      <c r="Z66" s="9"/>
    </row>
    <row r="67" spans="1:26" ht="15.75" customHeight="1" thickBot="1">
      <c r="A67" s="12" t="s">
        <v>123</v>
      </c>
      <c r="B67" s="13">
        <v>6</v>
      </c>
      <c r="C67" s="13"/>
      <c r="D67" s="14"/>
      <c r="E67" s="14"/>
      <c r="F67" s="14"/>
      <c r="G67" s="14"/>
      <c r="H67" s="15"/>
      <c r="I67" s="13">
        <v>20</v>
      </c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5"/>
      <c r="U67" s="13"/>
      <c r="V67" s="13"/>
      <c r="W67" s="13"/>
      <c r="X67" s="13"/>
      <c r="Y67" s="13"/>
      <c r="Z67" s="13"/>
    </row>
    <row r="68" spans="1:26" ht="15.75" customHeight="1" thickBot="1">
      <c r="A68" s="16" t="s">
        <v>124</v>
      </c>
      <c r="B68" s="9"/>
      <c r="C68" s="9"/>
      <c r="D68" s="17"/>
      <c r="E68" s="17"/>
      <c r="F68" s="117"/>
      <c r="G68" s="117"/>
      <c r="H68" s="119"/>
      <c r="I68" s="9"/>
      <c r="J68" s="9"/>
      <c r="K68" s="105"/>
      <c r="L68" s="105"/>
      <c r="M68" s="105"/>
      <c r="N68" s="105"/>
      <c r="O68" s="105"/>
      <c r="P68" s="105"/>
      <c r="Q68" s="9"/>
      <c r="R68" s="9"/>
      <c r="S68" s="9"/>
      <c r="T68" s="10"/>
      <c r="U68" s="9">
        <v>20</v>
      </c>
      <c r="V68" s="9"/>
      <c r="W68" s="9"/>
      <c r="X68" s="9"/>
      <c r="Y68" s="9"/>
      <c r="Z68" s="9"/>
    </row>
    <row r="69" spans="1:26" ht="15.75" customHeight="1" thickBot="1">
      <c r="A69" s="12" t="s">
        <v>125</v>
      </c>
      <c r="B69" s="13"/>
      <c r="C69" s="13"/>
      <c r="D69" s="14" t="s">
        <v>110</v>
      </c>
      <c r="E69" s="14"/>
      <c r="F69" s="14"/>
      <c r="G69" s="14"/>
      <c r="H69" s="15"/>
      <c r="I69" s="13">
        <v>15</v>
      </c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5"/>
      <c r="U69" s="13"/>
      <c r="V69" s="13"/>
      <c r="W69" s="13"/>
      <c r="X69" s="13"/>
      <c r="Y69" s="13"/>
      <c r="Z69" s="13"/>
    </row>
    <row r="70" spans="1:26" ht="15.75" customHeight="1" thickBot="1">
      <c r="A70" s="16" t="s">
        <v>126</v>
      </c>
      <c r="B70" s="9"/>
      <c r="C70" s="9"/>
      <c r="D70" s="17" t="s">
        <v>100</v>
      </c>
      <c r="E70" s="17"/>
      <c r="F70" s="117"/>
      <c r="G70" s="117"/>
      <c r="H70" s="119"/>
      <c r="I70" s="9">
        <v>15</v>
      </c>
      <c r="J70" s="9"/>
      <c r="K70" s="105"/>
      <c r="L70" s="105"/>
      <c r="M70" s="105"/>
      <c r="N70" s="105"/>
      <c r="O70" s="105"/>
      <c r="P70" s="105"/>
      <c r="Q70" s="9"/>
      <c r="R70" s="9"/>
      <c r="S70" s="9"/>
      <c r="T70" s="10"/>
      <c r="U70" s="9"/>
      <c r="V70" s="9"/>
      <c r="W70" s="9"/>
      <c r="X70" s="9"/>
      <c r="Y70" s="9"/>
      <c r="Z70" s="9"/>
    </row>
    <row r="71" spans="1:26" ht="15.75" customHeight="1" thickBot="1">
      <c r="A71" s="12" t="s">
        <v>127</v>
      </c>
      <c r="B71" s="13"/>
      <c r="C71" s="13"/>
      <c r="D71" s="14" t="s">
        <v>95</v>
      </c>
      <c r="E71" s="14"/>
      <c r="F71" s="14"/>
      <c r="G71" s="14"/>
      <c r="H71" s="15"/>
      <c r="I71" s="13">
        <v>15</v>
      </c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5"/>
      <c r="U71" s="13"/>
      <c r="V71" s="13"/>
      <c r="W71" s="13"/>
      <c r="X71" s="13"/>
      <c r="Y71" s="13"/>
      <c r="Z71" s="13"/>
    </row>
    <row r="72" spans="1:26" ht="15.75" customHeight="1" thickBot="1">
      <c r="A72" s="16" t="s">
        <v>128</v>
      </c>
      <c r="B72" s="9"/>
      <c r="C72" s="9"/>
      <c r="D72" s="17" t="s">
        <v>122</v>
      </c>
      <c r="E72" s="17"/>
      <c r="F72" s="117"/>
      <c r="G72" s="117"/>
      <c r="H72" s="119"/>
      <c r="I72" s="9">
        <v>15</v>
      </c>
      <c r="J72" s="9"/>
      <c r="K72" s="105"/>
      <c r="L72" s="105"/>
      <c r="M72" s="105"/>
      <c r="N72" s="105"/>
      <c r="O72" s="105"/>
      <c r="P72" s="105"/>
      <c r="Q72" s="9"/>
      <c r="R72" s="9"/>
      <c r="S72" s="9"/>
      <c r="T72" s="10"/>
      <c r="U72" s="9"/>
      <c r="V72" s="9"/>
      <c r="W72" s="9"/>
      <c r="X72" s="9"/>
      <c r="Y72" s="9"/>
      <c r="Z72" s="9"/>
    </row>
    <row r="73" spans="1:26" ht="15.75" customHeight="1" thickBot="1">
      <c r="A73" s="12" t="s">
        <v>129</v>
      </c>
      <c r="B73" s="13"/>
      <c r="C73" s="13">
        <v>2</v>
      </c>
      <c r="D73" s="14"/>
      <c r="E73" s="14"/>
      <c r="F73" s="14"/>
      <c r="G73" s="14"/>
      <c r="H73" s="15"/>
      <c r="I73" s="13"/>
      <c r="J73" s="13"/>
      <c r="K73" s="13"/>
      <c r="L73" s="13"/>
      <c r="M73" s="13"/>
      <c r="N73" s="13"/>
      <c r="O73" s="13"/>
      <c r="P73" s="13"/>
      <c r="Q73" s="13"/>
      <c r="R73" s="13">
        <v>15</v>
      </c>
      <c r="S73" s="13">
        <v>15</v>
      </c>
      <c r="T73" s="15"/>
      <c r="U73" s="13"/>
      <c r="V73" s="13"/>
      <c r="W73" s="13"/>
      <c r="X73" s="13"/>
      <c r="Y73" s="13"/>
      <c r="Z73" s="13"/>
    </row>
    <row r="74" spans="1:26" ht="15.75" customHeight="1" thickBot="1">
      <c r="A74" s="16" t="s">
        <v>130</v>
      </c>
      <c r="B74" s="9">
        <v>4</v>
      </c>
      <c r="C74" s="9"/>
      <c r="D74" s="17" t="s">
        <v>131</v>
      </c>
      <c r="E74" s="17"/>
      <c r="F74" s="117"/>
      <c r="G74" s="117"/>
      <c r="H74" s="119"/>
      <c r="I74" s="9">
        <v>30</v>
      </c>
      <c r="J74" s="9"/>
      <c r="K74" s="105"/>
      <c r="L74" s="105"/>
      <c r="M74" s="105"/>
      <c r="N74" s="105"/>
      <c r="O74" s="105"/>
      <c r="P74" s="105"/>
      <c r="Q74" s="9"/>
      <c r="R74" s="9"/>
      <c r="S74" s="9"/>
      <c r="T74" s="10"/>
      <c r="U74" s="9"/>
      <c r="V74" s="9"/>
      <c r="W74" s="9"/>
      <c r="X74" s="9"/>
      <c r="Y74" s="9"/>
      <c r="Z74" s="9"/>
    </row>
    <row r="75" spans="1:26" ht="15.75" customHeight="1" thickBot="1">
      <c r="A75" s="12" t="s">
        <v>132</v>
      </c>
      <c r="B75" s="13">
        <v>4</v>
      </c>
      <c r="C75" s="13"/>
      <c r="D75" s="14" t="s">
        <v>133</v>
      </c>
      <c r="E75" s="14"/>
      <c r="F75" s="14"/>
      <c r="G75" s="14"/>
      <c r="H75" s="15"/>
      <c r="I75" s="13">
        <v>30</v>
      </c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5"/>
      <c r="U75" s="13"/>
      <c r="V75" s="13"/>
      <c r="W75" s="13"/>
      <c r="X75" s="13"/>
      <c r="Y75" s="13"/>
      <c r="Z75" s="13"/>
    </row>
    <row r="76" spans="1:26" ht="15.75" customHeight="1" thickBot="1">
      <c r="A76" s="16" t="s">
        <v>134</v>
      </c>
      <c r="B76" s="9">
        <v>4</v>
      </c>
      <c r="C76" s="9"/>
      <c r="D76" s="17" t="s">
        <v>135</v>
      </c>
      <c r="E76" s="17"/>
      <c r="F76" s="117"/>
      <c r="G76" s="117"/>
      <c r="H76" s="119"/>
      <c r="I76" s="9">
        <v>30</v>
      </c>
      <c r="J76" s="9"/>
      <c r="K76" s="105"/>
      <c r="L76" s="105"/>
      <c r="M76" s="105"/>
      <c r="N76" s="105"/>
      <c r="O76" s="105"/>
      <c r="P76" s="105"/>
      <c r="Q76" s="9"/>
      <c r="R76" s="9"/>
      <c r="S76" s="9"/>
      <c r="T76" s="10"/>
      <c r="U76" s="9"/>
      <c r="V76" s="9"/>
      <c r="W76" s="9"/>
      <c r="X76" s="9"/>
      <c r="Y76" s="9"/>
      <c r="Z76" s="9"/>
    </row>
    <row r="77" spans="1:26" ht="15.75" customHeight="1" thickBot="1">
      <c r="A77" s="12" t="s">
        <v>136</v>
      </c>
      <c r="B77" s="13"/>
      <c r="C77" s="13"/>
      <c r="D77" s="14" t="s">
        <v>67</v>
      </c>
      <c r="E77" s="14"/>
      <c r="F77" s="14"/>
      <c r="G77" s="14"/>
      <c r="H77" s="15"/>
      <c r="I77" s="13">
        <v>70</v>
      </c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5"/>
      <c r="U77" s="13"/>
      <c r="V77" s="13"/>
      <c r="W77" s="13"/>
      <c r="X77" s="13"/>
      <c r="Y77" s="13"/>
      <c r="Z77" s="13"/>
    </row>
    <row r="78" spans="1:26" ht="15.75" customHeight="1" thickBot="1">
      <c r="A78" s="16" t="s">
        <v>137</v>
      </c>
      <c r="B78" s="9"/>
      <c r="C78" s="9"/>
      <c r="D78" s="17" t="s">
        <v>138</v>
      </c>
      <c r="E78" s="17"/>
      <c r="F78" s="117"/>
      <c r="G78" s="117"/>
      <c r="H78" s="119"/>
      <c r="I78" s="9">
        <v>30</v>
      </c>
      <c r="J78" s="9"/>
      <c r="K78" s="105"/>
      <c r="L78" s="105"/>
      <c r="M78" s="105"/>
      <c r="N78" s="105"/>
      <c r="O78" s="105"/>
      <c r="P78" s="105"/>
      <c r="Q78" s="9"/>
      <c r="R78" s="9"/>
      <c r="S78" s="9"/>
      <c r="T78" s="10"/>
      <c r="U78" s="9"/>
      <c r="V78" s="9"/>
      <c r="W78" s="9"/>
      <c r="X78" s="9"/>
      <c r="Y78" s="9"/>
      <c r="Z78" s="9"/>
    </row>
    <row r="79" spans="1:26" ht="15.75" customHeight="1" thickBot="1">
      <c r="A79" s="12" t="s">
        <v>139</v>
      </c>
      <c r="B79" s="13"/>
      <c r="C79" s="13"/>
      <c r="D79" s="14" t="s">
        <v>140</v>
      </c>
      <c r="E79" s="14"/>
      <c r="F79" s="14"/>
      <c r="G79" s="14"/>
      <c r="H79" s="15"/>
      <c r="I79" s="13">
        <v>15</v>
      </c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5"/>
      <c r="U79" s="13"/>
      <c r="V79" s="13"/>
      <c r="W79" s="13"/>
      <c r="X79" s="13"/>
      <c r="Y79" s="13"/>
      <c r="Z79" s="13"/>
    </row>
    <row r="80" spans="1:26" ht="15.75" customHeight="1" thickBot="1">
      <c r="A80" s="16" t="s">
        <v>141</v>
      </c>
      <c r="B80" s="9">
        <v>4</v>
      </c>
      <c r="C80" s="9"/>
      <c r="D80" s="17"/>
      <c r="E80" s="17"/>
      <c r="F80" s="117"/>
      <c r="G80" s="117"/>
      <c r="H80" s="119"/>
      <c r="I80" s="9">
        <v>30</v>
      </c>
      <c r="J80" s="9"/>
      <c r="K80" s="105"/>
      <c r="L80" s="105"/>
      <c r="M80" s="105"/>
      <c r="N80" s="105"/>
      <c r="O80" s="105"/>
      <c r="P80" s="105"/>
      <c r="Q80" s="9"/>
      <c r="R80" s="9"/>
      <c r="S80" s="9"/>
      <c r="T80" s="10"/>
      <c r="U80" s="9"/>
      <c r="V80" s="9"/>
      <c r="W80" s="9"/>
      <c r="X80" s="9"/>
      <c r="Y80" s="9"/>
      <c r="Z80" s="9"/>
    </row>
    <row r="81" spans="1:26" ht="15.75" customHeight="1" thickBot="1">
      <c r="A81" s="12" t="s">
        <v>142</v>
      </c>
      <c r="B81" s="13">
        <v>4</v>
      </c>
      <c r="C81" s="13"/>
      <c r="D81" s="14" t="s">
        <v>143</v>
      </c>
      <c r="E81" s="14"/>
      <c r="F81" s="14"/>
      <c r="G81" s="14"/>
      <c r="H81" s="15"/>
      <c r="I81" s="13">
        <v>30</v>
      </c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5"/>
      <c r="U81" s="13"/>
      <c r="V81" s="13"/>
      <c r="W81" s="13"/>
      <c r="X81" s="13"/>
      <c r="Y81" s="13"/>
      <c r="Z81" s="13"/>
    </row>
    <row r="82" spans="1:26" ht="15.75" customHeight="1" thickBot="1">
      <c r="A82" s="16" t="s">
        <v>144</v>
      </c>
      <c r="B82" s="9">
        <v>4</v>
      </c>
      <c r="C82" s="9"/>
      <c r="D82" s="17" t="s">
        <v>145</v>
      </c>
      <c r="E82" s="17"/>
      <c r="F82" s="117"/>
      <c r="G82" s="117"/>
      <c r="H82" s="119"/>
      <c r="I82" s="9">
        <v>30</v>
      </c>
      <c r="J82" s="9"/>
      <c r="K82" s="105"/>
      <c r="L82" s="105"/>
      <c r="M82" s="105"/>
      <c r="N82" s="105"/>
      <c r="O82" s="105"/>
      <c r="P82" s="105"/>
      <c r="Q82" s="9"/>
      <c r="R82" s="9"/>
      <c r="S82" s="9"/>
      <c r="T82" s="10"/>
      <c r="U82" s="9"/>
      <c r="V82" s="9"/>
      <c r="W82" s="9"/>
      <c r="X82" s="9"/>
      <c r="Y82" s="9"/>
      <c r="Z82" s="9"/>
    </row>
    <row r="83" spans="1:26" ht="15.75" customHeight="1" thickBot="1">
      <c r="A83" s="12" t="s">
        <v>146</v>
      </c>
      <c r="B83" s="13"/>
      <c r="C83" s="13"/>
      <c r="D83" s="14" t="s">
        <v>147</v>
      </c>
      <c r="E83" s="14"/>
      <c r="F83" s="14"/>
      <c r="G83" s="14"/>
      <c r="H83" s="15"/>
      <c r="I83" s="13">
        <v>30</v>
      </c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5"/>
      <c r="U83" s="13">
        <v>20</v>
      </c>
      <c r="V83" s="13"/>
      <c r="W83" s="13"/>
      <c r="X83" s="13"/>
      <c r="Y83" s="13"/>
      <c r="Z83" s="13"/>
    </row>
    <row r="84" spans="1:26" ht="15.75" customHeight="1" thickBot="1">
      <c r="A84" s="16" t="s">
        <v>148</v>
      </c>
      <c r="B84" s="9"/>
      <c r="C84" s="9"/>
      <c r="D84" s="17" t="s">
        <v>100</v>
      </c>
      <c r="E84" s="17"/>
      <c r="F84" s="117"/>
      <c r="G84" s="117"/>
      <c r="H84" s="119"/>
      <c r="I84" s="9">
        <v>30</v>
      </c>
      <c r="J84" s="9">
        <v>100</v>
      </c>
      <c r="K84" s="105"/>
      <c r="L84" s="105"/>
      <c r="M84" s="105"/>
      <c r="N84" s="105"/>
      <c r="O84" s="105"/>
      <c r="P84" s="105"/>
      <c r="Q84" s="9"/>
      <c r="R84" s="9"/>
      <c r="S84" s="9"/>
      <c r="T84" s="10"/>
      <c r="U84" s="9"/>
      <c r="V84" s="9"/>
      <c r="W84" s="9"/>
      <c r="X84" s="9"/>
      <c r="Y84" s="9"/>
      <c r="Z84" s="9" t="s">
        <v>375</v>
      </c>
    </row>
    <row r="85" spans="1:26" ht="15.75" customHeight="1" thickBot="1">
      <c r="A85" s="12" t="s">
        <v>149</v>
      </c>
      <c r="B85" s="13">
        <v>4</v>
      </c>
      <c r="C85" s="13"/>
      <c r="D85" s="14" t="s">
        <v>150</v>
      </c>
      <c r="E85" s="14"/>
      <c r="F85" s="14"/>
      <c r="G85" s="14"/>
      <c r="H85" s="15"/>
      <c r="I85" s="13">
        <v>30</v>
      </c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5"/>
      <c r="U85" s="13"/>
      <c r="V85" s="13"/>
      <c r="W85" s="13"/>
      <c r="X85" s="13"/>
      <c r="Y85" s="13"/>
      <c r="Z85" s="13"/>
    </row>
    <row r="86" spans="1:26" ht="15.75" customHeight="1" thickBot="1">
      <c r="A86" s="16" t="s">
        <v>151</v>
      </c>
      <c r="B86" s="9">
        <v>4</v>
      </c>
      <c r="C86" s="9"/>
      <c r="D86" s="17" t="s">
        <v>147</v>
      </c>
      <c r="E86" s="17"/>
      <c r="F86" s="117"/>
      <c r="G86" s="117"/>
      <c r="H86" s="119"/>
      <c r="I86" s="9">
        <v>30</v>
      </c>
      <c r="J86" s="9"/>
      <c r="K86" s="105"/>
      <c r="L86" s="105"/>
      <c r="M86" s="105"/>
      <c r="N86" s="105"/>
      <c r="O86" s="105"/>
      <c r="P86" s="105"/>
      <c r="Q86" s="9"/>
      <c r="R86" s="9"/>
      <c r="S86" s="9"/>
      <c r="T86" s="10"/>
      <c r="U86" s="9"/>
      <c r="V86" s="9"/>
      <c r="W86" s="9"/>
      <c r="X86" s="9"/>
      <c r="Y86" s="9"/>
      <c r="Z86" s="9"/>
    </row>
    <row r="87" spans="1:26" ht="15.75" customHeight="1" thickBot="1">
      <c r="A87" s="12" t="s">
        <v>152</v>
      </c>
      <c r="B87" s="13">
        <v>4</v>
      </c>
      <c r="C87" s="13"/>
      <c r="D87" s="14" t="s">
        <v>153</v>
      </c>
      <c r="E87" s="14"/>
      <c r="F87" s="14"/>
      <c r="G87" s="14"/>
      <c r="H87" s="15"/>
      <c r="I87" s="13">
        <v>30</v>
      </c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5"/>
      <c r="U87" s="13"/>
      <c r="V87" s="13"/>
      <c r="W87" s="13"/>
      <c r="X87" s="13"/>
      <c r="Y87" s="13"/>
      <c r="Z87" s="13"/>
    </row>
    <row r="88" spans="1:26" ht="15.75" customHeight="1" thickBot="1">
      <c r="A88" s="16" t="s">
        <v>154</v>
      </c>
      <c r="B88" s="9"/>
      <c r="C88" s="9"/>
      <c r="D88" s="17"/>
      <c r="E88" s="17"/>
      <c r="F88" s="117"/>
      <c r="G88" s="117"/>
      <c r="H88" s="119"/>
      <c r="I88" s="9"/>
      <c r="J88" s="9">
        <v>50</v>
      </c>
      <c r="K88" s="105"/>
      <c r="L88" s="105"/>
      <c r="M88" s="105"/>
      <c r="N88" s="105"/>
      <c r="O88" s="105"/>
      <c r="P88" s="105"/>
      <c r="Q88" s="9"/>
      <c r="R88" s="9"/>
      <c r="S88" s="9"/>
      <c r="T88" s="10"/>
      <c r="U88" s="9"/>
      <c r="V88" s="9"/>
      <c r="W88" s="9"/>
      <c r="X88" s="9"/>
      <c r="Y88" s="9"/>
      <c r="Z88" s="9" t="s">
        <v>376</v>
      </c>
    </row>
    <row r="89" spans="1:26" ht="15.75" customHeight="1" thickBot="1">
      <c r="A89" s="12" t="s">
        <v>155</v>
      </c>
      <c r="B89" s="13"/>
      <c r="C89" s="13"/>
      <c r="D89" s="14" t="s">
        <v>145</v>
      </c>
      <c r="E89" s="14"/>
      <c r="F89" s="14"/>
      <c r="G89" s="14"/>
      <c r="H89" s="15"/>
      <c r="I89" s="13">
        <v>40</v>
      </c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5"/>
      <c r="U89" s="13"/>
      <c r="V89" s="13"/>
      <c r="W89" s="13"/>
      <c r="X89" s="13"/>
      <c r="Y89" s="13"/>
      <c r="Z89" s="13"/>
    </row>
    <row r="90" spans="1:26" ht="15.75" customHeight="1" thickBot="1">
      <c r="A90" s="16" t="s">
        <v>156</v>
      </c>
      <c r="B90" s="9">
        <v>4</v>
      </c>
      <c r="C90" s="9"/>
      <c r="D90" s="17" t="s">
        <v>157</v>
      </c>
      <c r="E90" s="17"/>
      <c r="F90" s="117"/>
      <c r="G90" s="117"/>
      <c r="H90" s="119"/>
      <c r="I90" s="9">
        <v>30</v>
      </c>
      <c r="J90" s="9"/>
      <c r="K90" s="105"/>
      <c r="L90" s="105"/>
      <c r="M90" s="105"/>
      <c r="N90" s="105"/>
      <c r="O90" s="105"/>
      <c r="P90" s="105"/>
      <c r="Q90" s="9"/>
      <c r="R90" s="9"/>
      <c r="S90" s="9"/>
      <c r="T90" s="10"/>
      <c r="U90" s="9"/>
      <c r="V90" s="9"/>
      <c r="W90" s="9"/>
      <c r="X90" s="9"/>
      <c r="Y90" s="9"/>
      <c r="Z90" s="9"/>
    </row>
    <row r="91" spans="1:26" ht="15.75" customHeight="1" thickBot="1">
      <c r="A91" s="12" t="s">
        <v>158</v>
      </c>
      <c r="B91" s="13">
        <v>4</v>
      </c>
      <c r="C91" s="13"/>
      <c r="D91" s="14" t="s">
        <v>138</v>
      </c>
      <c r="E91" s="14"/>
      <c r="F91" s="14"/>
      <c r="G91" s="14"/>
      <c r="H91" s="15"/>
      <c r="I91" s="13">
        <v>30</v>
      </c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5"/>
      <c r="U91" s="13"/>
      <c r="V91" s="13"/>
      <c r="W91" s="13"/>
      <c r="X91" s="13"/>
      <c r="Y91" s="13"/>
      <c r="Z91" s="13"/>
    </row>
    <row r="92" spans="1:26" ht="15.75" customHeight="1" thickBot="1">
      <c r="A92" s="16" t="s">
        <v>159</v>
      </c>
      <c r="B92" s="9">
        <v>4</v>
      </c>
      <c r="C92" s="9"/>
      <c r="D92" s="17" t="s">
        <v>160</v>
      </c>
      <c r="E92" s="17"/>
      <c r="F92" s="117"/>
      <c r="G92" s="117"/>
      <c r="H92" s="119"/>
      <c r="I92" s="9">
        <v>30</v>
      </c>
      <c r="J92" s="9"/>
      <c r="K92" s="105"/>
      <c r="L92" s="105"/>
      <c r="M92" s="105"/>
      <c r="N92" s="105"/>
      <c r="O92" s="105"/>
      <c r="P92" s="105"/>
      <c r="Q92" s="9"/>
      <c r="R92" s="9"/>
      <c r="S92" s="9"/>
      <c r="T92" s="10"/>
      <c r="U92" s="9"/>
      <c r="V92" s="9"/>
      <c r="W92" s="9"/>
      <c r="X92" s="9"/>
      <c r="Y92" s="9"/>
      <c r="Z92" s="9"/>
    </row>
    <row r="93" spans="1:26" ht="15.75" customHeight="1" thickBot="1">
      <c r="A93" s="12" t="s">
        <v>161</v>
      </c>
      <c r="B93" s="13"/>
      <c r="C93" s="13"/>
      <c r="D93" s="14" t="s">
        <v>153</v>
      </c>
      <c r="E93" s="14"/>
      <c r="F93" s="14"/>
      <c r="G93" s="14"/>
      <c r="H93" s="15"/>
      <c r="I93" s="13">
        <v>40</v>
      </c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5"/>
      <c r="U93" s="13"/>
      <c r="V93" s="13"/>
      <c r="W93" s="13"/>
      <c r="X93" s="13"/>
      <c r="Y93" s="13"/>
      <c r="Z93" s="13"/>
    </row>
    <row r="94" spans="1:26" ht="15.75" customHeight="1" thickBot="1">
      <c r="A94" s="16" t="s">
        <v>162</v>
      </c>
      <c r="B94" s="9"/>
      <c r="C94" s="9"/>
      <c r="D94" s="17" t="s">
        <v>76</v>
      </c>
      <c r="E94" s="17"/>
      <c r="F94" s="117"/>
      <c r="G94" s="117"/>
      <c r="H94" s="119"/>
      <c r="I94" s="9">
        <v>60</v>
      </c>
      <c r="J94" s="9"/>
      <c r="K94" s="105"/>
      <c r="L94" s="105"/>
      <c r="M94" s="105"/>
      <c r="N94" s="105"/>
      <c r="O94" s="105"/>
      <c r="P94" s="105"/>
      <c r="Q94" s="9"/>
      <c r="R94" s="9"/>
      <c r="S94" s="9"/>
      <c r="T94" s="10"/>
      <c r="U94" s="9"/>
      <c r="V94" s="9"/>
      <c r="W94" s="9"/>
      <c r="X94" s="9"/>
      <c r="Y94" s="9"/>
      <c r="Z94" s="9"/>
    </row>
    <row r="95" spans="1:26" ht="15.75" customHeight="1" thickBot="1">
      <c r="A95" s="12" t="s">
        <v>163</v>
      </c>
      <c r="B95" s="13"/>
      <c r="C95" s="13"/>
      <c r="D95" s="14" t="s">
        <v>135</v>
      </c>
      <c r="E95" s="14"/>
      <c r="F95" s="14"/>
      <c r="G95" s="14"/>
      <c r="H95" s="15"/>
      <c r="I95" s="13">
        <v>30</v>
      </c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5"/>
      <c r="U95" s="13">
        <v>80</v>
      </c>
      <c r="V95" s="13"/>
      <c r="W95" s="13"/>
      <c r="X95" s="13"/>
      <c r="Y95" s="13"/>
      <c r="Z95" s="13" t="s">
        <v>164</v>
      </c>
    </row>
    <row r="96" spans="1:26" ht="15.75" customHeight="1" thickBot="1">
      <c r="A96" s="16" t="s">
        <v>165</v>
      </c>
      <c r="B96" s="9">
        <v>4</v>
      </c>
      <c r="C96" s="9"/>
      <c r="D96" s="17" t="s">
        <v>166</v>
      </c>
      <c r="E96" s="17"/>
      <c r="F96" s="117"/>
      <c r="G96" s="117"/>
      <c r="H96" s="119"/>
      <c r="I96" s="9">
        <v>30</v>
      </c>
      <c r="J96" s="9"/>
      <c r="K96" s="105"/>
      <c r="L96" s="105"/>
      <c r="M96" s="105"/>
      <c r="N96" s="105"/>
      <c r="O96" s="105"/>
      <c r="P96" s="105"/>
      <c r="Q96" s="9"/>
      <c r="R96" s="9"/>
      <c r="S96" s="9"/>
      <c r="T96" s="10"/>
      <c r="U96" s="9"/>
      <c r="V96" s="9"/>
      <c r="W96" s="9"/>
      <c r="X96" s="9"/>
      <c r="Y96" s="9"/>
      <c r="Z96" s="9"/>
    </row>
    <row r="97" spans="1:26" ht="15.75" customHeight="1" thickBot="1">
      <c r="A97" s="12" t="s">
        <v>167</v>
      </c>
      <c r="B97" s="13">
        <v>4</v>
      </c>
      <c r="C97" s="13"/>
      <c r="D97" s="14" t="s">
        <v>168</v>
      </c>
      <c r="E97" s="14"/>
      <c r="F97" s="14"/>
      <c r="G97" s="14"/>
      <c r="H97" s="15"/>
      <c r="I97" s="13">
        <v>30</v>
      </c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5"/>
      <c r="U97" s="13"/>
      <c r="V97" s="13"/>
      <c r="W97" s="13"/>
      <c r="X97" s="13"/>
      <c r="Y97" s="13"/>
      <c r="Z97" s="13"/>
    </row>
    <row r="98" spans="1:26" ht="15.75" customHeight="1" thickBot="1">
      <c r="A98" s="16" t="s">
        <v>169</v>
      </c>
      <c r="B98" s="9">
        <v>4</v>
      </c>
      <c r="C98" s="9"/>
      <c r="D98" s="17" t="s">
        <v>170</v>
      </c>
      <c r="E98" s="17"/>
      <c r="F98" s="117"/>
      <c r="G98" s="117"/>
      <c r="H98" s="119"/>
      <c r="I98" s="9">
        <v>30</v>
      </c>
      <c r="J98" s="9"/>
      <c r="K98" s="105"/>
      <c r="L98" s="105"/>
      <c r="M98" s="105"/>
      <c r="N98" s="105"/>
      <c r="O98" s="105"/>
      <c r="P98" s="105"/>
      <c r="Q98" s="9"/>
      <c r="R98" s="9"/>
      <c r="S98" s="9"/>
      <c r="T98" s="10"/>
      <c r="U98" s="9"/>
      <c r="V98" s="9"/>
      <c r="W98" s="9"/>
      <c r="X98" s="9"/>
      <c r="Y98" s="9"/>
      <c r="Z98" s="9"/>
    </row>
    <row r="99" spans="1:26" ht="15.75" customHeight="1" thickBot="1">
      <c r="A99" s="12" t="s">
        <v>171</v>
      </c>
      <c r="B99" s="13"/>
      <c r="C99" s="13"/>
      <c r="D99" s="14" t="s">
        <v>69</v>
      </c>
      <c r="E99" s="14"/>
      <c r="F99" s="14"/>
      <c r="G99" s="14"/>
      <c r="H99" s="15"/>
      <c r="I99" s="13">
        <v>20</v>
      </c>
      <c r="J99" s="13">
        <v>30</v>
      </c>
      <c r="K99" s="13"/>
      <c r="L99" s="13"/>
      <c r="M99" s="13"/>
      <c r="N99" s="13"/>
      <c r="O99" s="13"/>
      <c r="P99" s="13"/>
      <c r="Q99" s="13"/>
      <c r="R99" s="13"/>
      <c r="S99" s="13"/>
      <c r="T99" s="15"/>
      <c r="U99" s="13"/>
      <c r="V99" s="13"/>
      <c r="W99" s="13"/>
      <c r="X99" s="13"/>
      <c r="Y99" s="13"/>
      <c r="Z99" s="13" t="s">
        <v>172</v>
      </c>
    </row>
    <row r="100" spans="1:26" ht="15.75" customHeight="1" thickBot="1">
      <c r="A100" s="16" t="s">
        <v>173</v>
      </c>
      <c r="B100" s="9">
        <v>3</v>
      </c>
      <c r="C100" s="9"/>
      <c r="D100" s="17"/>
      <c r="E100" s="17"/>
      <c r="F100" s="117"/>
      <c r="G100" s="117"/>
      <c r="H100" s="119"/>
      <c r="I100" s="9">
        <v>10</v>
      </c>
      <c r="J100" s="9"/>
      <c r="K100" s="105"/>
      <c r="L100" s="105"/>
      <c r="M100" s="105"/>
      <c r="N100" s="105"/>
      <c r="O100" s="105"/>
      <c r="P100" s="105"/>
      <c r="Q100" s="9"/>
      <c r="R100" s="9">
        <v>20</v>
      </c>
      <c r="S100" s="9"/>
      <c r="T100" s="10"/>
      <c r="U100" s="9"/>
      <c r="V100" s="9"/>
      <c r="W100" s="9"/>
      <c r="X100" s="9"/>
      <c r="Y100" s="9"/>
      <c r="Z100" s="9" t="s">
        <v>174</v>
      </c>
    </row>
    <row r="101" spans="1:26" ht="15.75" customHeight="1" thickBot="1">
      <c r="A101" s="12" t="s">
        <v>175</v>
      </c>
      <c r="B101" s="13"/>
      <c r="C101" s="13"/>
      <c r="D101" s="14" t="s">
        <v>80</v>
      </c>
      <c r="E101" s="14"/>
      <c r="F101" s="14"/>
      <c r="G101" s="14"/>
      <c r="H101" s="15"/>
      <c r="I101" s="13">
        <v>20</v>
      </c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5"/>
      <c r="U101" s="13"/>
      <c r="V101" s="13"/>
      <c r="W101" s="13"/>
      <c r="X101" s="13"/>
      <c r="Y101" s="13"/>
      <c r="Z101" s="13" t="s">
        <v>176</v>
      </c>
    </row>
    <row r="102" spans="1:26" ht="15.75" customHeight="1" thickBot="1">
      <c r="A102" s="16" t="s">
        <v>177</v>
      </c>
      <c r="B102" s="9"/>
      <c r="C102" s="9"/>
      <c r="D102" s="17"/>
      <c r="E102" s="17" t="s">
        <v>44</v>
      </c>
      <c r="F102" s="117"/>
      <c r="G102" s="117"/>
      <c r="H102" s="119"/>
      <c r="I102" s="9">
        <v>10</v>
      </c>
      <c r="J102" s="9"/>
      <c r="K102" s="105"/>
      <c r="L102" s="105"/>
      <c r="M102" s="105"/>
      <c r="N102" s="105"/>
      <c r="O102" s="105"/>
      <c r="P102" s="105"/>
      <c r="Q102" s="9"/>
      <c r="R102" s="9"/>
      <c r="S102" s="9"/>
      <c r="T102" s="10"/>
      <c r="U102" s="9"/>
      <c r="V102" s="9"/>
      <c r="W102" s="9"/>
      <c r="X102" s="9"/>
      <c r="Y102" s="9"/>
      <c r="Z102" s="9" t="s">
        <v>178</v>
      </c>
    </row>
    <row r="103" spans="1:26" ht="15.75" customHeight="1" thickBot="1">
      <c r="A103" s="12" t="s">
        <v>179</v>
      </c>
      <c r="B103" s="13"/>
      <c r="C103" s="13"/>
      <c r="D103" s="14"/>
      <c r="E103" s="14" t="s">
        <v>48</v>
      </c>
      <c r="F103" s="14"/>
      <c r="G103" s="14"/>
      <c r="H103" s="15"/>
      <c r="I103" s="13">
        <v>10</v>
      </c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5"/>
      <c r="U103" s="13"/>
      <c r="V103" s="13"/>
      <c r="W103" s="13"/>
      <c r="X103" s="13"/>
      <c r="Y103" s="13"/>
      <c r="Z103" s="13" t="s">
        <v>180</v>
      </c>
    </row>
    <row r="104" spans="1:26" ht="15.75" customHeight="1" thickBot="1">
      <c r="A104" s="16" t="s">
        <v>181</v>
      </c>
      <c r="B104" s="9"/>
      <c r="C104" s="9"/>
      <c r="D104" s="17"/>
      <c r="E104" s="17" t="s">
        <v>46</v>
      </c>
      <c r="F104" s="117"/>
      <c r="G104" s="117"/>
      <c r="H104" s="119"/>
      <c r="I104" s="9">
        <v>10</v>
      </c>
      <c r="J104" s="9"/>
      <c r="K104" s="105"/>
      <c r="L104" s="105"/>
      <c r="M104" s="105"/>
      <c r="N104" s="105"/>
      <c r="O104" s="105"/>
      <c r="P104" s="105"/>
      <c r="Q104" s="9"/>
      <c r="R104" s="9"/>
      <c r="S104" s="9"/>
      <c r="T104" s="10"/>
      <c r="U104" s="9"/>
      <c r="V104" s="9"/>
      <c r="W104" s="9"/>
      <c r="X104" s="9"/>
      <c r="Y104" s="9"/>
      <c r="Z104" s="9" t="s">
        <v>182</v>
      </c>
    </row>
    <row r="105" spans="1:26" ht="15.75" customHeight="1" thickBot="1">
      <c r="A105" s="12" t="s">
        <v>183</v>
      </c>
      <c r="B105" s="13"/>
      <c r="C105" s="13"/>
      <c r="D105" s="14"/>
      <c r="E105" s="14" t="s">
        <v>50</v>
      </c>
      <c r="F105" s="14"/>
      <c r="G105" s="14"/>
      <c r="H105" s="15"/>
      <c r="I105" s="13">
        <v>10</v>
      </c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5"/>
      <c r="U105" s="13"/>
      <c r="V105" s="13"/>
      <c r="W105" s="13"/>
      <c r="X105" s="13"/>
      <c r="Y105" s="13"/>
      <c r="Z105" s="13" t="s">
        <v>184</v>
      </c>
    </row>
    <row r="106" spans="1:26" ht="15.75" customHeight="1" thickBot="1">
      <c r="A106" s="16" t="s">
        <v>185</v>
      </c>
      <c r="B106" s="9"/>
      <c r="C106" s="9"/>
      <c r="D106" s="17"/>
      <c r="E106" s="17"/>
      <c r="F106" s="117"/>
      <c r="G106" s="117"/>
      <c r="H106" s="119"/>
      <c r="I106" s="9"/>
      <c r="J106" s="9">
        <v>30</v>
      </c>
      <c r="K106" s="105"/>
      <c r="L106" s="105"/>
      <c r="M106" s="105"/>
      <c r="N106" s="105"/>
      <c r="O106" s="105"/>
      <c r="P106" s="105"/>
      <c r="Q106" s="9"/>
      <c r="R106" s="9"/>
      <c r="S106" s="9"/>
      <c r="T106" s="10"/>
      <c r="U106" s="9"/>
      <c r="V106" s="9"/>
      <c r="W106" s="9"/>
      <c r="X106" s="9"/>
      <c r="Y106" s="9"/>
      <c r="Z106" s="9" t="s">
        <v>186</v>
      </c>
    </row>
    <row r="107" spans="1:26" ht="15.75" customHeight="1" thickBot="1">
      <c r="A107" s="12" t="s">
        <v>187</v>
      </c>
      <c r="B107" s="13"/>
      <c r="C107" s="13"/>
      <c r="D107" s="14" t="s">
        <v>71</v>
      </c>
      <c r="E107" s="14"/>
      <c r="F107" s="14"/>
      <c r="G107" s="14"/>
      <c r="H107" s="15"/>
      <c r="I107" s="13"/>
      <c r="J107" s="13"/>
      <c r="K107" s="13"/>
      <c r="L107" s="13"/>
      <c r="M107" s="13"/>
      <c r="N107" s="13"/>
      <c r="O107" s="13"/>
      <c r="P107" s="13"/>
      <c r="Q107" s="13"/>
      <c r="R107" s="13">
        <v>30</v>
      </c>
      <c r="S107" s="13"/>
      <c r="T107" s="15"/>
      <c r="U107" s="13"/>
      <c r="V107" s="13"/>
      <c r="W107" s="13"/>
      <c r="X107" s="13"/>
      <c r="Y107" s="13"/>
      <c r="Z107" s="13"/>
    </row>
    <row r="108" spans="1:26" ht="15.75" customHeight="1" thickBot="1">
      <c r="A108" s="16" t="s">
        <v>188</v>
      </c>
      <c r="B108" s="9"/>
      <c r="C108" s="9"/>
      <c r="D108" s="17" t="s">
        <v>113</v>
      </c>
      <c r="E108" s="17"/>
      <c r="F108" s="117"/>
      <c r="G108" s="117"/>
      <c r="H108" s="119"/>
      <c r="I108" s="9">
        <v>40</v>
      </c>
      <c r="J108" s="9"/>
      <c r="K108" s="105"/>
      <c r="L108" s="105"/>
      <c r="M108" s="105"/>
      <c r="N108" s="105"/>
      <c r="O108" s="105"/>
      <c r="P108" s="105"/>
      <c r="Q108" s="9"/>
      <c r="R108" s="9"/>
      <c r="S108" s="9"/>
      <c r="T108" s="10"/>
      <c r="U108" s="9"/>
      <c r="V108" s="9"/>
      <c r="W108" s="9"/>
      <c r="X108" s="9"/>
      <c r="Y108" s="9"/>
      <c r="Z108" s="9"/>
    </row>
    <row r="109" spans="1:26" ht="15.75" customHeight="1" thickBot="1">
      <c r="A109" s="12" t="s">
        <v>189</v>
      </c>
      <c r="B109" s="13"/>
      <c r="C109" s="13"/>
      <c r="D109" s="14" t="s">
        <v>122</v>
      </c>
      <c r="E109" s="14"/>
      <c r="F109" s="14"/>
      <c r="G109" s="14"/>
      <c r="H109" s="15"/>
      <c r="I109" s="13">
        <v>80</v>
      </c>
      <c r="J109" s="13">
        <v>100</v>
      </c>
      <c r="K109" s="13"/>
      <c r="L109" s="13"/>
      <c r="M109" s="13"/>
      <c r="N109" s="13"/>
      <c r="O109" s="13"/>
      <c r="P109" s="13"/>
      <c r="Q109" s="13"/>
      <c r="R109" s="13"/>
      <c r="S109" s="13"/>
      <c r="T109" s="15"/>
      <c r="U109" s="13"/>
      <c r="V109" s="13"/>
      <c r="W109" s="13"/>
      <c r="X109" s="13"/>
      <c r="Y109" s="13"/>
      <c r="Z109" s="13" t="s">
        <v>190</v>
      </c>
    </row>
    <row r="110" spans="1:26" ht="15.75" customHeight="1" thickBot="1">
      <c r="A110" s="16" t="s">
        <v>191</v>
      </c>
      <c r="B110" s="9">
        <v>4</v>
      </c>
      <c r="C110" s="9"/>
      <c r="D110" s="17" t="s">
        <v>192</v>
      </c>
      <c r="E110" s="17"/>
      <c r="F110" s="117"/>
      <c r="G110" s="117"/>
      <c r="H110" s="119"/>
      <c r="I110" s="9">
        <v>30</v>
      </c>
      <c r="J110" s="9"/>
      <c r="K110" s="105"/>
      <c r="L110" s="105"/>
      <c r="M110" s="105"/>
      <c r="N110" s="105"/>
      <c r="O110" s="105"/>
      <c r="P110" s="105"/>
      <c r="Q110" s="9"/>
      <c r="R110" s="9"/>
      <c r="S110" s="9"/>
      <c r="T110" s="10"/>
      <c r="U110" s="9"/>
      <c r="V110" s="9"/>
      <c r="W110" s="9"/>
      <c r="X110" s="9"/>
      <c r="Y110" s="9"/>
      <c r="Z110" s="9"/>
    </row>
    <row r="111" spans="1:26" ht="15.75" customHeight="1" thickBot="1">
      <c r="A111" s="12" t="s">
        <v>24</v>
      </c>
      <c r="B111" s="13">
        <v>1</v>
      </c>
      <c r="C111" s="13"/>
      <c r="D111" s="14"/>
      <c r="E111" s="14"/>
      <c r="F111" s="14"/>
      <c r="G111" s="14"/>
      <c r="H111" s="15"/>
      <c r="I111" s="13">
        <v>30</v>
      </c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5"/>
      <c r="U111" s="13"/>
      <c r="V111" s="13"/>
      <c r="W111" s="13"/>
      <c r="X111" s="13"/>
      <c r="Y111" s="13"/>
      <c r="Z111" s="13"/>
    </row>
    <row r="112" spans="1:26" ht="15.75" customHeight="1" thickBot="1">
      <c r="A112" s="16" t="s">
        <v>193</v>
      </c>
      <c r="B112" s="9">
        <v>5</v>
      </c>
      <c r="C112" s="9"/>
      <c r="D112" s="17"/>
      <c r="E112" s="17"/>
      <c r="F112" s="117"/>
      <c r="G112" s="117"/>
      <c r="H112" s="119"/>
      <c r="I112" s="9"/>
      <c r="J112" s="9"/>
      <c r="K112" s="105">
        <v>30</v>
      </c>
      <c r="L112" s="105">
        <v>30</v>
      </c>
      <c r="M112" s="105"/>
      <c r="N112" s="105"/>
      <c r="O112" s="105"/>
      <c r="P112" s="105"/>
      <c r="Q112" s="9"/>
      <c r="R112" s="9"/>
      <c r="S112" s="9"/>
      <c r="T112" s="10"/>
      <c r="U112" s="9"/>
      <c r="V112" s="9"/>
      <c r="W112" s="9"/>
      <c r="X112" s="9"/>
      <c r="Y112" s="9"/>
      <c r="Z112" s="9"/>
    </row>
    <row r="113" spans="1:26" ht="15.75" customHeight="1" thickBot="1">
      <c r="A113" s="12" t="s">
        <v>194</v>
      </c>
      <c r="B113" s="13"/>
      <c r="C113" s="13"/>
      <c r="D113" s="14" t="s">
        <v>102</v>
      </c>
      <c r="E113" s="14"/>
      <c r="F113" s="14"/>
      <c r="G113" s="14"/>
      <c r="H113" s="15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5"/>
      <c r="U113" s="13">
        <v>100</v>
      </c>
      <c r="V113" s="13"/>
      <c r="W113" s="13"/>
      <c r="X113" s="13"/>
      <c r="Y113" s="13"/>
      <c r="Z113" s="13" t="s">
        <v>195</v>
      </c>
    </row>
    <row r="114" spans="1:26" ht="15.75" customHeight="1" thickBot="1">
      <c r="A114" s="16" t="s">
        <v>196</v>
      </c>
      <c r="B114" s="9"/>
      <c r="C114" s="9"/>
      <c r="D114" s="17" t="s">
        <v>82</v>
      </c>
      <c r="E114" s="17"/>
      <c r="F114" s="117"/>
      <c r="G114" s="117"/>
      <c r="H114" s="119"/>
      <c r="I114" s="9">
        <v>100</v>
      </c>
      <c r="J114" s="9"/>
      <c r="K114" s="105"/>
      <c r="L114" s="105"/>
      <c r="M114" s="105"/>
      <c r="N114" s="105"/>
      <c r="O114" s="105"/>
      <c r="P114" s="105"/>
      <c r="Q114" s="9"/>
      <c r="R114" s="9"/>
      <c r="S114" s="9"/>
      <c r="T114" s="10"/>
      <c r="U114" s="9">
        <v>100</v>
      </c>
      <c r="V114" s="9"/>
      <c r="W114" s="9"/>
      <c r="X114" s="9"/>
      <c r="Y114" s="9"/>
      <c r="Z114" s="9" t="s">
        <v>197</v>
      </c>
    </row>
    <row r="115" spans="1:26" ht="15.75" customHeight="1" thickBot="1">
      <c r="A115" s="12" t="s">
        <v>198</v>
      </c>
      <c r="B115" s="13"/>
      <c r="C115" s="13"/>
      <c r="D115" s="14"/>
      <c r="E115" s="14"/>
      <c r="F115" s="14"/>
      <c r="G115" s="14"/>
      <c r="H115" s="15"/>
      <c r="I115" s="13">
        <v>30</v>
      </c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5"/>
      <c r="U115" s="13"/>
      <c r="V115" s="13"/>
      <c r="W115" s="13"/>
      <c r="X115" s="13"/>
      <c r="Y115" s="13"/>
      <c r="Z115" s="13" t="s">
        <v>199</v>
      </c>
    </row>
    <row r="116" spans="1:26" ht="15.75" customHeight="1" thickBot="1">
      <c r="A116" s="16" t="s">
        <v>200</v>
      </c>
      <c r="B116" s="9"/>
      <c r="C116" s="9"/>
      <c r="D116" s="17" t="s">
        <v>160</v>
      </c>
      <c r="E116" s="17"/>
      <c r="F116" s="117"/>
      <c r="G116" s="117"/>
      <c r="H116" s="119"/>
      <c r="I116" s="9"/>
      <c r="J116" s="9"/>
      <c r="K116" s="105"/>
      <c r="L116" s="105"/>
      <c r="M116" s="105"/>
      <c r="N116" s="105">
        <v>100</v>
      </c>
      <c r="O116" s="105"/>
      <c r="P116" s="105"/>
      <c r="Q116" s="9"/>
      <c r="R116" s="9"/>
      <c r="S116" s="9"/>
      <c r="T116" s="10"/>
      <c r="U116" s="9"/>
      <c r="V116" s="9"/>
      <c r="W116" s="9"/>
      <c r="X116" s="9"/>
      <c r="Y116" s="9"/>
      <c r="Z116" s="9" t="s">
        <v>201</v>
      </c>
    </row>
    <row r="117" spans="1:26" ht="15.75" customHeight="1" thickBot="1">
      <c r="A117" s="12" t="s">
        <v>202</v>
      </c>
      <c r="B117" s="13"/>
      <c r="C117" s="13"/>
      <c r="D117" s="14" t="s">
        <v>69</v>
      </c>
      <c r="E117" s="14"/>
      <c r="F117" s="14"/>
      <c r="G117" s="14"/>
      <c r="H117" s="15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5"/>
      <c r="U117" s="13">
        <v>30</v>
      </c>
      <c r="V117" s="13"/>
      <c r="W117" s="13"/>
      <c r="X117" s="13"/>
      <c r="Y117" s="13"/>
      <c r="Z117" s="13" t="s">
        <v>172</v>
      </c>
    </row>
    <row r="118" spans="1:26" ht="15.75" customHeight="1" thickBot="1">
      <c r="A118" s="16" t="s">
        <v>203</v>
      </c>
      <c r="B118" s="9">
        <v>4</v>
      </c>
      <c r="C118" s="9"/>
      <c r="D118" s="17" t="s">
        <v>204</v>
      </c>
      <c r="E118" s="17"/>
      <c r="F118" s="117"/>
      <c r="G118" s="117"/>
      <c r="H118" s="119"/>
      <c r="I118" s="9">
        <v>30</v>
      </c>
      <c r="J118" s="9"/>
      <c r="K118" s="105"/>
      <c r="L118" s="105"/>
      <c r="M118" s="105"/>
      <c r="N118" s="105"/>
      <c r="O118" s="105"/>
      <c r="P118" s="105"/>
      <c r="Q118" s="9"/>
      <c r="R118" s="9"/>
      <c r="S118" s="9"/>
      <c r="T118" s="10"/>
      <c r="U118" s="9"/>
      <c r="V118" s="9"/>
      <c r="W118" s="9"/>
      <c r="X118" s="9"/>
      <c r="Y118" s="9"/>
      <c r="Z118" s="9"/>
    </row>
    <row r="119" spans="1:26" ht="15.75" customHeight="1" thickBot="1">
      <c r="A119" s="12" t="s">
        <v>205</v>
      </c>
      <c r="B119" s="13"/>
      <c r="C119" s="13"/>
      <c r="D119" s="14"/>
      <c r="E119" s="14"/>
      <c r="F119" s="14"/>
      <c r="G119" s="14"/>
      <c r="H119" s="15"/>
      <c r="I119" s="13"/>
      <c r="J119" s="13"/>
      <c r="K119" s="13"/>
      <c r="L119" s="13"/>
      <c r="M119" s="13"/>
      <c r="N119" s="13"/>
      <c r="O119" s="13"/>
      <c r="P119" s="13"/>
      <c r="Q119" s="13"/>
      <c r="R119" s="13">
        <v>30</v>
      </c>
      <c r="S119" s="13"/>
      <c r="T119" s="15"/>
      <c r="U119" s="13"/>
      <c r="V119" s="13"/>
      <c r="W119" s="13"/>
      <c r="X119" s="13"/>
      <c r="Y119" s="13"/>
      <c r="Z119" s="13"/>
    </row>
    <row r="120" spans="1:26" ht="15.75" customHeight="1" thickBot="1">
      <c r="A120" s="16" t="s">
        <v>206</v>
      </c>
      <c r="B120" s="9"/>
      <c r="C120" s="9"/>
      <c r="D120" s="17" t="s">
        <v>150</v>
      </c>
      <c r="E120" s="17"/>
      <c r="F120" s="117"/>
      <c r="G120" s="117"/>
      <c r="H120" s="119"/>
      <c r="I120" s="9"/>
      <c r="J120" s="9"/>
      <c r="K120" s="105"/>
      <c r="L120" s="105"/>
      <c r="M120" s="105"/>
      <c r="N120" s="105"/>
      <c r="O120" s="105"/>
      <c r="P120" s="105"/>
      <c r="Q120" s="9"/>
      <c r="R120" s="9"/>
      <c r="S120" s="9"/>
      <c r="T120" s="10">
        <v>30</v>
      </c>
      <c r="U120" s="9"/>
      <c r="V120" s="9"/>
      <c r="W120" s="9"/>
      <c r="X120" s="9"/>
      <c r="Y120" s="9"/>
      <c r="Z120" s="9" t="s">
        <v>207</v>
      </c>
    </row>
    <row r="121" spans="1:26" ht="15.75" customHeight="1" thickBot="1">
      <c r="A121" s="12" t="s">
        <v>208</v>
      </c>
      <c r="B121" s="13"/>
      <c r="C121" s="13"/>
      <c r="D121" s="14" t="s">
        <v>143</v>
      </c>
      <c r="E121" s="14"/>
      <c r="F121" s="14"/>
      <c r="G121" s="14"/>
      <c r="H121" s="15"/>
      <c r="I121" s="13"/>
      <c r="J121" s="13"/>
      <c r="K121" s="13"/>
      <c r="L121" s="13"/>
      <c r="M121" s="13"/>
      <c r="N121" s="13">
        <v>80</v>
      </c>
      <c r="O121" s="13"/>
      <c r="P121" s="13"/>
      <c r="Q121" s="13"/>
      <c r="R121" s="13"/>
      <c r="S121" s="13"/>
      <c r="T121" s="15"/>
      <c r="U121" s="13"/>
      <c r="V121" s="13"/>
      <c r="W121" s="13"/>
      <c r="X121" s="13"/>
      <c r="Y121" s="13"/>
      <c r="Z121" s="13"/>
    </row>
    <row r="122" spans="1:26" ht="15.75" customHeight="1" thickBot="1">
      <c r="A122" s="16" t="s">
        <v>209</v>
      </c>
      <c r="B122" s="9"/>
      <c r="C122" s="9"/>
      <c r="D122" s="17" t="s">
        <v>210</v>
      </c>
      <c r="E122" s="17"/>
      <c r="F122" s="117"/>
      <c r="G122" s="117"/>
      <c r="H122" s="119"/>
      <c r="I122" s="9"/>
      <c r="J122" s="9">
        <v>200</v>
      </c>
      <c r="K122" s="105"/>
      <c r="L122" s="105"/>
      <c r="M122" s="105"/>
      <c r="N122" s="105"/>
      <c r="O122" s="105"/>
      <c r="P122" s="105"/>
      <c r="Q122" s="9"/>
      <c r="R122" s="9"/>
      <c r="S122" s="9"/>
      <c r="T122" s="10"/>
      <c r="U122" s="9"/>
      <c r="V122" s="9"/>
      <c r="W122" s="9"/>
      <c r="X122" s="9"/>
      <c r="Y122" s="9"/>
      <c r="Z122" s="9" t="s">
        <v>211</v>
      </c>
    </row>
    <row r="123" spans="1:26" ht="15.75" customHeight="1" thickBot="1">
      <c r="A123" s="12" t="s">
        <v>212</v>
      </c>
      <c r="B123" s="13">
        <v>4</v>
      </c>
      <c r="C123" s="13"/>
      <c r="D123" s="14" t="s">
        <v>213</v>
      </c>
      <c r="E123" s="14"/>
      <c r="F123" s="14"/>
      <c r="G123" s="14"/>
      <c r="H123" s="15"/>
      <c r="I123" s="13">
        <v>30</v>
      </c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5"/>
      <c r="U123" s="13"/>
      <c r="V123" s="13"/>
      <c r="W123" s="13"/>
      <c r="X123" s="13"/>
      <c r="Y123" s="13"/>
      <c r="Z123" s="13"/>
    </row>
    <row r="124" spans="1:26" ht="15.75" customHeight="1" thickBot="1">
      <c r="A124" s="16" t="s">
        <v>214</v>
      </c>
      <c r="B124" s="9"/>
      <c r="C124" s="9"/>
      <c r="D124" s="17"/>
      <c r="E124" s="17"/>
      <c r="F124" s="117"/>
      <c r="G124" s="117"/>
      <c r="H124" s="119"/>
      <c r="I124" s="9">
        <v>40</v>
      </c>
      <c r="J124" s="9"/>
      <c r="K124" s="105"/>
      <c r="L124" s="105"/>
      <c r="M124" s="105"/>
      <c r="N124" s="105"/>
      <c r="O124" s="105"/>
      <c r="P124" s="105"/>
      <c r="Q124" s="9"/>
      <c r="R124" s="9"/>
      <c r="S124" s="9"/>
      <c r="T124" s="10"/>
      <c r="U124" s="9"/>
      <c r="V124" s="9"/>
      <c r="W124" s="9"/>
      <c r="X124" s="9"/>
      <c r="Y124" s="9"/>
      <c r="Z124" s="9"/>
    </row>
    <row r="125" spans="1:26" ht="15.75" customHeight="1" thickBot="1">
      <c r="A125" s="12" t="s">
        <v>215</v>
      </c>
      <c r="B125" s="13">
        <v>6</v>
      </c>
      <c r="C125" s="13"/>
      <c r="D125" s="14"/>
      <c r="E125" s="14"/>
      <c r="F125" s="14"/>
      <c r="G125" s="14"/>
      <c r="H125" s="15"/>
      <c r="I125" s="13">
        <v>30</v>
      </c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5"/>
      <c r="U125" s="13"/>
      <c r="V125" s="13"/>
      <c r="W125" s="13"/>
      <c r="X125" s="13"/>
      <c r="Y125" s="13"/>
      <c r="Z125" s="13" t="s">
        <v>216</v>
      </c>
    </row>
    <row r="126" spans="1:26" ht="15.75" customHeight="1" thickBot="1">
      <c r="A126" s="16" t="s">
        <v>217</v>
      </c>
      <c r="B126" s="9"/>
      <c r="C126" s="9"/>
      <c r="D126" s="17"/>
      <c r="E126" s="17"/>
      <c r="F126" s="117"/>
      <c r="G126" s="117"/>
      <c r="H126" s="119"/>
      <c r="I126" s="9">
        <v>30</v>
      </c>
      <c r="J126" s="9"/>
      <c r="K126" s="105"/>
      <c r="L126" s="105"/>
      <c r="M126" s="105"/>
      <c r="N126" s="105"/>
      <c r="O126" s="105"/>
      <c r="P126" s="105"/>
      <c r="Q126" s="9"/>
      <c r="R126" s="9"/>
      <c r="S126" s="9"/>
      <c r="T126" s="10"/>
      <c r="U126" s="9"/>
      <c r="V126" s="9"/>
      <c r="W126" s="9"/>
      <c r="X126" s="9"/>
      <c r="Y126" s="9"/>
      <c r="Z126" s="9"/>
    </row>
    <row r="127" spans="1:26" ht="15.75" customHeight="1" thickBot="1">
      <c r="A127" s="12" t="s">
        <v>218</v>
      </c>
      <c r="B127" s="13"/>
      <c r="C127" s="13"/>
      <c r="D127" s="14" t="s">
        <v>119</v>
      </c>
      <c r="E127" s="14"/>
      <c r="F127" s="14"/>
      <c r="G127" s="14"/>
      <c r="H127" s="15"/>
      <c r="I127" s="13"/>
      <c r="J127" s="13">
        <v>100</v>
      </c>
      <c r="K127" s="13"/>
      <c r="L127" s="13"/>
      <c r="M127" s="13"/>
      <c r="N127" s="13"/>
      <c r="O127" s="13"/>
      <c r="P127" s="13"/>
      <c r="Q127" s="13"/>
      <c r="R127" s="13"/>
      <c r="S127" s="13"/>
      <c r="T127" s="15"/>
      <c r="U127" s="13"/>
      <c r="V127" s="13"/>
      <c r="W127" s="13"/>
      <c r="X127" s="13"/>
      <c r="Y127" s="13"/>
      <c r="Z127" s="13" t="s">
        <v>219</v>
      </c>
    </row>
    <row r="128" spans="1:26" ht="15.75" customHeight="1" thickBot="1">
      <c r="A128" s="16" t="s">
        <v>220</v>
      </c>
      <c r="B128" s="9"/>
      <c r="C128" s="9"/>
      <c r="D128" s="17"/>
      <c r="E128" s="17"/>
      <c r="F128" s="117"/>
      <c r="G128" s="117"/>
      <c r="H128" s="119"/>
      <c r="I128" s="9">
        <v>20</v>
      </c>
      <c r="J128" s="9"/>
      <c r="K128" s="105"/>
      <c r="L128" s="105"/>
      <c r="M128" s="105"/>
      <c r="N128" s="105"/>
      <c r="O128" s="105"/>
      <c r="P128" s="105"/>
      <c r="Q128" s="9"/>
      <c r="R128" s="9"/>
      <c r="S128" s="9"/>
      <c r="T128" s="10"/>
      <c r="U128" s="9"/>
      <c r="V128" s="9"/>
      <c r="W128" s="9"/>
      <c r="X128" s="9"/>
      <c r="Y128" s="9"/>
      <c r="Z128" s="9" t="s">
        <v>221</v>
      </c>
    </row>
    <row r="129" spans="1:26" ht="15.75" customHeight="1" thickBot="1">
      <c r="A129" s="12" t="s">
        <v>222</v>
      </c>
      <c r="B129" s="13">
        <v>4</v>
      </c>
      <c r="C129" s="13"/>
      <c r="D129" s="14" t="s">
        <v>223</v>
      </c>
      <c r="E129" s="14"/>
      <c r="F129" s="14"/>
      <c r="G129" s="14"/>
      <c r="H129" s="15"/>
      <c r="I129" s="13">
        <v>30</v>
      </c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5"/>
      <c r="U129" s="13"/>
      <c r="V129" s="13"/>
      <c r="W129" s="13"/>
      <c r="X129" s="13"/>
      <c r="Y129" s="13"/>
      <c r="Z129" s="13"/>
    </row>
    <row r="130" spans="1:26" ht="15.75" customHeight="1" thickBot="1">
      <c r="A130" s="16" t="s">
        <v>224</v>
      </c>
      <c r="B130" s="9"/>
      <c r="C130" s="9"/>
      <c r="D130" s="17" t="s">
        <v>78</v>
      </c>
      <c r="E130" s="17"/>
      <c r="F130" s="117"/>
      <c r="G130" s="117"/>
      <c r="H130" s="119"/>
      <c r="I130" s="9"/>
      <c r="J130" s="9"/>
      <c r="K130" s="105"/>
      <c r="L130" s="105"/>
      <c r="M130" s="105"/>
      <c r="N130" s="105"/>
      <c r="O130" s="105"/>
      <c r="P130" s="105"/>
      <c r="Q130" s="9"/>
      <c r="R130" s="9">
        <v>30</v>
      </c>
      <c r="S130" s="9"/>
      <c r="T130" s="10"/>
      <c r="U130" s="9"/>
      <c r="V130" s="9"/>
      <c r="W130" s="9"/>
      <c r="X130" s="9"/>
      <c r="Y130" s="9"/>
      <c r="Z130" s="9"/>
    </row>
    <row r="131" spans="1:26" ht="15.75" customHeight="1" thickBot="1">
      <c r="A131" s="12" t="s">
        <v>20</v>
      </c>
      <c r="B131" s="13">
        <v>1</v>
      </c>
      <c r="C131" s="13"/>
      <c r="D131" s="14"/>
      <c r="E131" s="14"/>
      <c r="F131" s="14"/>
      <c r="G131" s="14"/>
      <c r="H131" s="15"/>
      <c r="I131" s="13">
        <v>15</v>
      </c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5"/>
      <c r="U131" s="13"/>
      <c r="V131" s="13"/>
      <c r="W131" s="13"/>
      <c r="X131" s="13"/>
      <c r="Y131" s="13"/>
      <c r="Z131" s="13"/>
    </row>
    <row r="132" spans="1:26" ht="15.75" customHeight="1" thickBot="1">
      <c r="A132" s="16" t="s">
        <v>225</v>
      </c>
      <c r="B132" s="9">
        <v>4</v>
      </c>
      <c r="C132" s="9"/>
      <c r="D132" s="17" t="s">
        <v>226</v>
      </c>
      <c r="E132" s="17"/>
      <c r="F132" s="117"/>
      <c r="G132" s="117"/>
      <c r="H132" s="119"/>
      <c r="I132" s="9">
        <v>30</v>
      </c>
      <c r="J132" s="9"/>
      <c r="K132" s="105"/>
      <c r="L132" s="105"/>
      <c r="M132" s="105"/>
      <c r="N132" s="105"/>
      <c r="O132" s="105"/>
      <c r="P132" s="105"/>
      <c r="Q132" s="9"/>
      <c r="R132" s="9"/>
      <c r="S132" s="9"/>
      <c r="T132" s="10"/>
      <c r="U132" s="9"/>
      <c r="V132" s="9"/>
      <c r="W132" s="9"/>
      <c r="X132" s="9"/>
      <c r="Y132" s="9"/>
      <c r="Z132" s="9"/>
    </row>
    <row r="133" spans="1:26" ht="15.75" customHeight="1" thickBot="1">
      <c r="A133" s="12" t="s">
        <v>227</v>
      </c>
      <c r="B133" s="13"/>
      <c r="C133" s="13"/>
      <c r="D133" s="14" t="s">
        <v>226</v>
      </c>
      <c r="E133" s="14"/>
      <c r="F133" s="14"/>
      <c r="G133" s="14"/>
      <c r="H133" s="15"/>
      <c r="I133" s="13">
        <v>30</v>
      </c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5"/>
      <c r="U133" s="13"/>
      <c r="V133" s="13"/>
      <c r="W133" s="13"/>
      <c r="X133" s="13"/>
      <c r="Y133" s="13"/>
      <c r="Z133" s="13"/>
    </row>
    <row r="134" spans="1:26" ht="15.75" customHeight="1" thickBot="1">
      <c r="A134" s="16" t="s">
        <v>19</v>
      </c>
      <c r="B134" s="9">
        <v>3</v>
      </c>
      <c r="C134" s="9"/>
      <c r="D134" s="17"/>
      <c r="E134" s="17"/>
      <c r="F134" s="117"/>
      <c r="G134" s="117"/>
      <c r="H134" s="119"/>
      <c r="I134" s="9">
        <v>20</v>
      </c>
      <c r="J134" s="9"/>
      <c r="K134" s="105"/>
      <c r="L134" s="105"/>
      <c r="M134" s="105"/>
      <c r="N134" s="105"/>
      <c r="O134" s="105"/>
      <c r="P134" s="105"/>
      <c r="Q134" s="9"/>
      <c r="R134" s="9">
        <v>20</v>
      </c>
      <c r="S134" s="9"/>
      <c r="T134" s="10"/>
      <c r="U134" s="9"/>
      <c r="V134" s="9"/>
      <c r="W134" s="9"/>
      <c r="X134" s="9"/>
      <c r="Y134" s="9"/>
      <c r="Z134" s="9"/>
    </row>
    <row r="135" spans="1:26" ht="15.75" customHeight="1" thickBot="1">
      <c r="A135" s="12" t="s">
        <v>228</v>
      </c>
      <c r="B135" s="13">
        <v>4</v>
      </c>
      <c r="C135" s="13"/>
      <c r="D135" s="14" t="s">
        <v>229</v>
      </c>
      <c r="E135" s="14"/>
      <c r="F135" s="14"/>
      <c r="G135" s="14"/>
      <c r="H135" s="15"/>
      <c r="I135" s="13">
        <v>30</v>
      </c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5"/>
      <c r="U135" s="13"/>
      <c r="V135" s="13"/>
      <c r="W135" s="13"/>
      <c r="X135" s="13"/>
      <c r="Y135" s="13"/>
      <c r="Z135" s="13"/>
    </row>
    <row r="136" spans="1:26" ht="15.75" customHeight="1" thickBot="1">
      <c r="A136" s="16" t="s">
        <v>230</v>
      </c>
      <c r="B136" s="9"/>
      <c r="C136" s="9">
        <v>2</v>
      </c>
      <c r="D136" s="17" t="s">
        <v>229</v>
      </c>
      <c r="E136" s="17"/>
      <c r="F136" s="117"/>
      <c r="G136" s="117"/>
      <c r="H136" s="119"/>
      <c r="I136" s="9">
        <v>30</v>
      </c>
      <c r="J136" s="9"/>
      <c r="K136" s="105"/>
      <c r="L136" s="105"/>
      <c r="M136" s="105"/>
      <c r="N136" s="105"/>
      <c r="O136" s="105"/>
      <c r="P136" s="105"/>
      <c r="Q136" s="9"/>
      <c r="R136" s="9"/>
      <c r="S136" s="9">
        <v>30</v>
      </c>
      <c r="T136" s="10"/>
      <c r="U136" s="9"/>
      <c r="V136" s="9"/>
      <c r="W136" s="9"/>
      <c r="X136" s="9"/>
      <c r="Y136" s="9"/>
      <c r="Z136" s="9" t="s">
        <v>231</v>
      </c>
    </row>
    <row r="137" spans="1:26" ht="15.75" customHeight="1" thickBot="1">
      <c r="A137" s="12" t="s">
        <v>232</v>
      </c>
      <c r="B137" s="13">
        <v>5</v>
      </c>
      <c r="C137" s="13"/>
      <c r="D137" s="14"/>
      <c r="E137" s="14"/>
      <c r="F137" s="14"/>
      <c r="G137" s="14"/>
      <c r="H137" s="15"/>
      <c r="I137" s="13"/>
      <c r="J137" s="13"/>
      <c r="K137" s="13"/>
      <c r="L137" s="13"/>
      <c r="M137" s="13">
        <v>15</v>
      </c>
      <c r="N137" s="13"/>
      <c r="O137" s="13"/>
      <c r="P137" s="13"/>
      <c r="Q137" s="13"/>
      <c r="R137" s="13"/>
      <c r="S137" s="13"/>
      <c r="T137" s="15"/>
      <c r="U137" s="13"/>
      <c r="V137" s="13"/>
      <c r="W137" s="13"/>
      <c r="X137" s="13"/>
      <c r="Y137" s="13"/>
      <c r="Z137" s="13"/>
    </row>
    <row r="138" spans="1:26" ht="15.75" customHeight="1" thickBot="1">
      <c r="A138" s="16" t="s">
        <v>233</v>
      </c>
      <c r="B138" s="9"/>
      <c r="C138" s="9">
        <v>2</v>
      </c>
      <c r="D138" s="17"/>
      <c r="E138" s="17"/>
      <c r="F138" s="117"/>
      <c r="G138" s="117"/>
      <c r="H138" s="119"/>
      <c r="I138" s="9"/>
      <c r="J138" s="9"/>
      <c r="K138" s="105"/>
      <c r="L138" s="105"/>
      <c r="M138" s="105"/>
      <c r="N138" s="105"/>
      <c r="O138" s="105"/>
      <c r="P138" s="105"/>
      <c r="Q138" s="9"/>
      <c r="R138" s="9">
        <v>30</v>
      </c>
      <c r="S138" s="9">
        <v>30</v>
      </c>
      <c r="T138" s="10"/>
      <c r="U138" s="9"/>
      <c r="V138" s="9"/>
      <c r="W138" s="9"/>
      <c r="X138" s="9"/>
      <c r="Y138" s="9"/>
      <c r="Z138" s="9" t="s">
        <v>234</v>
      </c>
    </row>
    <row r="139" spans="1:26" ht="15.75" customHeight="1" thickBot="1">
      <c r="A139" s="12" t="s">
        <v>235</v>
      </c>
      <c r="B139" s="13">
        <v>4</v>
      </c>
      <c r="C139" s="13"/>
      <c r="D139" s="14" t="s">
        <v>236</v>
      </c>
      <c r="E139" s="14"/>
      <c r="F139" s="14"/>
      <c r="G139" s="14"/>
      <c r="H139" s="15"/>
      <c r="I139" s="13">
        <v>30</v>
      </c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5"/>
      <c r="U139" s="13"/>
      <c r="V139" s="13"/>
      <c r="W139" s="13"/>
      <c r="X139" s="13"/>
      <c r="Y139" s="13"/>
      <c r="Z139" s="13"/>
    </row>
    <row r="140" spans="1:26" ht="15.75" customHeight="1" thickBot="1">
      <c r="A140" s="16" t="s">
        <v>237</v>
      </c>
      <c r="B140" s="9"/>
      <c r="C140" s="9">
        <v>2</v>
      </c>
      <c r="D140" s="17"/>
      <c r="E140" s="17"/>
      <c r="F140" s="117"/>
      <c r="G140" s="117"/>
      <c r="H140" s="119"/>
      <c r="I140" s="9"/>
      <c r="J140" s="9"/>
      <c r="K140" s="105"/>
      <c r="L140" s="105"/>
      <c r="M140" s="105"/>
      <c r="N140" s="105"/>
      <c r="O140" s="105"/>
      <c r="P140" s="105"/>
      <c r="Q140" s="9"/>
      <c r="R140" s="9">
        <v>20</v>
      </c>
      <c r="S140" s="9">
        <v>30</v>
      </c>
      <c r="T140" s="10"/>
      <c r="U140" s="9"/>
      <c r="V140" s="9"/>
      <c r="W140" s="9"/>
      <c r="X140" s="9"/>
      <c r="Y140" s="9"/>
      <c r="Z140" s="9"/>
    </row>
    <row r="141" spans="1:26" ht="15.75" customHeight="1" thickBot="1">
      <c r="A141" s="12" t="s">
        <v>238</v>
      </c>
      <c r="B141" s="13">
        <v>1</v>
      </c>
      <c r="C141" s="13"/>
      <c r="D141" s="14"/>
      <c r="E141" s="14"/>
      <c r="F141" s="14"/>
      <c r="G141" s="14"/>
      <c r="H141" s="15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5"/>
      <c r="U141" s="13"/>
      <c r="V141" s="13"/>
      <c r="W141" s="13">
        <v>40</v>
      </c>
      <c r="X141" s="13"/>
      <c r="Y141" s="13"/>
      <c r="Z141" s="13"/>
    </row>
    <row r="142" spans="1:26" ht="15.75" customHeight="1" thickBot="1">
      <c r="A142" s="16" t="s">
        <v>239</v>
      </c>
      <c r="B142" s="9">
        <v>9</v>
      </c>
      <c r="C142" s="9"/>
      <c r="D142" s="17"/>
      <c r="E142" s="17"/>
      <c r="F142" s="117"/>
      <c r="G142" s="117"/>
      <c r="H142" s="119"/>
      <c r="I142" s="9"/>
      <c r="J142" s="9">
        <v>30</v>
      </c>
      <c r="K142" s="105"/>
      <c r="L142" s="105"/>
      <c r="M142" s="105"/>
      <c r="N142" s="105"/>
      <c r="O142" s="105"/>
      <c r="P142" s="105"/>
      <c r="Q142" s="9"/>
      <c r="R142" s="9"/>
      <c r="S142" s="9"/>
      <c r="T142" s="10"/>
      <c r="U142" s="9"/>
      <c r="V142" s="9"/>
      <c r="W142" s="9"/>
      <c r="X142" s="9"/>
      <c r="Y142" s="9"/>
      <c r="Z142" s="9" t="s">
        <v>240</v>
      </c>
    </row>
    <row r="143" spans="1:26" ht="15.75" customHeight="1" thickBot="1">
      <c r="A143" s="12" t="s">
        <v>241</v>
      </c>
      <c r="B143" s="13">
        <v>5</v>
      </c>
      <c r="C143" s="13"/>
      <c r="D143" s="14"/>
      <c r="E143" s="14"/>
      <c r="F143" s="14"/>
      <c r="G143" s="14"/>
      <c r="H143" s="15"/>
      <c r="I143" s="13"/>
      <c r="J143" s="13"/>
      <c r="K143" s="13"/>
      <c r="L143" s="13"/>
      <c r="M143" s="13">
        <v>15</v>
      </c>
      <c r="N143" s="13"/>
      <c r="O143" s="13"/>
      <c r="P143" s="13"/>
      <c r="Q143" s="13"/>
      <c r="R143" s="13"/>
      <c r="S143" s="13"/>
      <c r="T143" s="15">
        <v>100</v>
      </c>
      <c r="U143" s="13"/>
      <c r="V143" s="13"/>
      <c r="W143" s="13"/>
      <c r="X143" s="13"/>
      <c r="Y143" s="13"/>
      <c r="Z143" s="13"/>
    </row>
    <row r="144" spans="1:26" ht="15.75" customHeight="1" thickBot="1">
      <c r="A144" s="16" t="s">
        <v>242</v>
      </c>
      <c r="B144" s="9">
        <v>1</v>
      </c>
      <c r="C144" s="9"/>
      <c r="D144" s="17"/>
      <c r="E144" s="17"/>
      <c r="F144" s="117"/>
      <c r="G144" s="117"/>
      <c r="H144" s="119"/>
      <c r="I144" s="9">
        <v>40</v>
      </c>
      <c r="J144" s="9"/>
      <c r="K144" s="105"/>
      <c r="L144" s="105"/>
      <c r="M144" s="105"/>
      <c r="N144" s="105"/>
      <c r="O144" s="105"/>
      <c r="P144" s="105"/>
      <c r="Q144" s="9"/>
      <c r="R144" s="9">
        <v>10</v>
      </c>
      <c r="S144" s="9"/>
      <c r="T144" s="10"/>
      <c r="U144" s="9"/>
      <c r="V144" s="9"/>
      <c r="W144" s="9"/>
      <c r="X144" s="9"/>
      <c r="Y144" s="9"/>
      <c r="Z144" s="9"/>
    </row>
    <row r="145" spans="1:26" ht="15.75" customHeight="1" thickBot="1">
      <c r="A145" s="12" t="s">
        <v>243</v>
      </c>
      <c r="B145" s="13">
        <v>1</v>
      </c>
      <c r="C145" s="13"/>
      <c r="D145" s="14"/>
      <c r="E145" s="14"/>
      <c r="F145" s="14"/>
      <c r="G145" s="14"/>
      <c r="H145" s="15"/>
      <c r="I145" s="13">
        <v>10</v>
      </c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5"/>
      <c r="U145" s="13"/>
      <c r="V145" s="13"/>
      <c r="W145" s="13"/>
      <c r="X145" s="13"/>
      <c r="Y145" s="13"/>
      <c r="Z145" s="13"/>
    </row>
    <row r="146" spans="1:26" ht="15.75" customHeight="1" thickBot="1">
      <c r="A146" s="16" t="s">
        <v>244</v>
      </c>
      <c r="B146" s="9">
        <v>3</v>
      </c>
      <c r="C146" s="9"/>
      <c r="D146" s="17"/>
      <c r="E146" s="17"/>
      <c r="F146" s="117"/>
      <c r="G146" s="117"/>
      <c r="H146" s="119"/>
      <c r="I146" s="9">
        <v>10</v>
      </c>
      <c r="J146" s="9"/>
      <c r="K146" s="105"/>
      <c r="L146" s="105"/>
      <c r="M146" s="105"/>
      <c r="N146" s="105"/>
      <c r="O146" s="105"/>
      <c r="P146" s="105"/>
      <c r="Q146" s="9"/>
      <c r="R146" s="9">
        <v>20</v>
      </c>
      <c r="S146" s="9"/>
      <c r="T146" s="10"/>
      <c r="U146" s="9"/>
      <c r="V146" s="9"/>
      <c r="W146" s="9"/>
      <c r="X146" s="9"/>
      <c r="Y146" s="9"/>
      <c r="Z146" s="9"/>
    </row>
    <row r="147" spans="1:26" ht="15.75" customHeight="1" thickBot="1">
      <c r="A147" s="12" t="s">
        <v>245</v>
      </c>
      <c r="B147" s="13">
        <v>14</v>
      </c>
      <c r="C147" s="13"/>
      <c r="D147" s="14"/>
      <c r="E147" s="14"/>
      <c r="F147" s="14"/>
      <c r="G147" s="14"/>
      <c r="H147" s="15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5"/>
      <c r="U147" s="13">
        <v>30</v>
      </c>
      <c r="V147" s="13"/>
      <c r="W147" s="13"/>
      <c r="X147" s="13"/>
      <c r="Y147" s="13"/>
      <c r="Z147" s="13"/>
    </row>
    <row r="148" spans="1:26" ht="15.75" customHeight="1" thickBot="1">
      <c r="A148" s="16" t="s">
        <v>246</v>
      </c>
      <c r="B148" s="9"/>
      <c r="C148" s="9"/>
      <c r="D148" s="17"/>
      <c r="E148" s="17"/>
      <c r="F148" s="117"/>
      <c r="G148" s="117"/>
      <c r="H148" s="119"/>
      <c r="I148" s="9"/>
      <c r="J148" s="9"/>
      <c r="K148" s="105"/>
      <c r="L148" s="105"/>
      <c r="M148" s="105"/>
      <c r="N148" s="105"/>
      <c r="O148" s="105"/>
      <c r="P148" s="105"/>
      <c r="Q148" s="9"/>
      <c r="R148" s="9">
        <v>15</v>
      </c>
      <c r="S148" s="9"/>
      <c r="T148" s="10"/>
      <c r="U148" s="9"/>
      <c r="V148" s="9"/>
      <c r="W148" s="9"/>
      <c r="X148" s="9"/>
      <c r="Y148" s="9"/>
      <c r="Z148" s="9"/>
    </row>
    <row r="149" spans="1:26" ht="15.75" customHeight="1" thickBot="1">
      <c r="A149" s="12" t="s">
        <v>247</v>
      </c>
      <c r="B149" s="13">
        <v>5</v>
      </c>
      <c r="C149" s="13"/>
      <c r="D149" s="14"/>
      <c r="E149" s="14"/>
      <c r="F149" s="14"/>
      <c r="G149" s="14"/>
      <c r="H149" s="15"/>
      <c r="I149" s="13"/>
      <c r="J149" s="13"/>
      <c r="K149" s="13">
        <v>40</v>
      </c>
      <c r="L149" s="13">
        <v>40</v>
      </c>
      <c r="M149" s="13"/>
      <c r="N149" s="13"/>
      <c r="O149" s="13"/>
      <c r="P149" s="13"/>
      <c r="Q149" s="13"/>
      <c r="R149" s="13"/>
      <c r="S149" s="13"/>
      <c r="T149" s="15"/>
      <c r="U149" s="13"/>
      <c r="V149" s="13"/>
      <c r="W149" s="13"/>
      <c r="X149" s="13"/>
      <c r="Y149" s="13"/>
      <c r="Z149" s="13"/>
    </row>
    <row r="150" spans="1:26" ht="15.75" customHeight="1" thickBot="1">
      <c r="A150" s="16" t="s">
        <v>248</v>
      </c>
      <c r="B150" s="9"/>
      <c r="C150" s="9"/>
      <c r="D150" s="17"/>
      <c r="E150" s="17"/>
      <c r="F150" s="117"/>
      <c r="G150" s="117"/>
      <c r="H150" s="119"/>
      <c r="I150" s="9">
        <v>30</v>
      </c>
      <c r="J150" s="9"/>
      <c r="K150" s="105"/>
      <c r="L150" s="105"/>
      <c r="M150" s="105"/>
      <c r="N150" s="105"/>
      <c r="O150" s="105"/>
      <c r="P150" s="105"/>
      <c r="Q150" s="9"/>
      <c r="R150" s="9"/>
      <c r="S150" s="9"/>
      <c r="T150" s="10"/>
      <c r="U150" s="9"/>
      <c r="V150" s="9"/>
      <c r="W150" s="9"/>
      <c r="X150" s="9"/>
      <c r="Y150" s="9"/>
      <c r="Z150" s="9" t="s">
        <v>221</v>
      </c>
    </row>
    <row r="151" spans="1:26" ht="15.75" customHeight="1" thickBot="1">
      <c r="A151" s="12" t="s">
        <v>249</v>
      </c>
      <c r="B151" s="13">
        <v>5</v>
      </c>
      <c r="C151" s="13"/>
      <c r="D151" s="14"/>
      <c r="E151" s="14"/>
      <c r="F151" s="14"/>
      <c r="G151" s="14"/>
      <c r="H151" s="15"/>
      <c r="I151" s="13"/>
      <c r="J151" s="13"/>
      <c r="K151" s="13"/>
      <c r="L151" s="13"/>
      <c r="M151" s="13"/>
      <c r="N151" s="13"/>
      <c r="O151" s="13"/>
      <c r="P151" s="13">
        <v>30</v>
      </c>
      <c r="Q151" s="13"/>
      <c r="R151" s="13"/>
      <c r="S151" s="13"/>
      <c r="T151" s="15"/>
      <c r="U151" s="13"/>
      <c r="V151" s="13"/>
      <c r="W151" s="13"/>
      <c r="X151" s="13"/>
      <c r="Y151" s="13"/>
      <c r="Z151" s="13"/>
    </row>
    <row r="152" spans="1:26" ht="15.75" customHeight="1" thickBot="1">
      <c r="A152" s="16" t="s">
        <v>250</v>
      </c>
      <c r="B152" s="9">
        <v>1</v>
      </c>
      <c r="C152" s="9"/>
      <c r="D152" s="17"/>
      <c r="E152" s="17"/>
      <c r="F152" s="117"/>
      <c r="G152" s="117"/>
      <c r="H152" s="119"/>
      <c r="I152" s="9">
        <v>40</v>
      </c>
      <c r="J152" s="9"/>
      <c r="K152" s="105"/>
      <c r="L152" s="105"/>
      <c r="M152" s="105"/>
      <c r="N152" s="105"/>
      <c r="O152" s="105"/>
      <c r="P152" s="105"/>
      <c r="Q152" s="9"/>
      <c r="R152" s="9"/>
      <c r="S152" s="9"/>
      <c r="T152" s="10"/>
      <c r="U152" s="9"/>
      <c r="V152" s="9"/>
      <c r="W152" s="9"/>
      <c r="X152" s="9"/>
      <c r="Y152" s="9"/>
      <c r="Z152" s="9"/>
    </row>
    <row r="153" spans="1:26" ht="15.75" customHeight="1" thickBot="1">
      <c r="A153" s="12" t="s">
        <v>251</v>
      </c>
      <c r="B153" s="13">
        <v>1</v>
      </c>
      <c r="C153" s="13">
        <v>2</v>
      </c>
      <c r="D153" s="14"/>
      <c r="E153" s="14"/>
      <c r="F153" s="14"/>
      <c r="G153" s="14"/>
      <c r="H153" s="15"/>
      <c r="I153" s="13">
        <v>15</v>
      </c>
      <c r="J153" s="13"/>
      <c r="K153" s="13"/>
      <c r="L153" s="13"/>
      <c r="M153" s="13"/>
      <c r="N153" s="13"/>
      <c r="O153" s="13"/>
      <c r="P153" s="13"/>
      <c r="Q153" s="13"/>
      <c r="R153" s="13"/>
      <c r="S153" s="13">
        <v>15</v>
      </c>
      <c r="T153" s="15"/>
      <c r="U153" s="13"/>
      <c r="V153" s="13"/>
      <c r="W153" s="13"/>
      <c r="X153" s="13"/>
      <c r="Y153" s="13"/>
      <c r="Z153" s="13"/>
    </row>
    <row r="154" spans="1:26" ht="15.75" customHeight="1" thickBot="1">
      <c r="A154" s="16" t="s">
        <v>252</v>
      </c>
      <c r="B154" s="9">
        <v>5</v>
      </c>
      <c r="C154" s="9"/>
      <c r="D154" s="17"/>
      <c r="E154" s="17"/>
      <c r="F154" s="117"/>
      <c r="G154" s="117"/>
      <c r="H154" s="119"/>
      <c r="I154" s="9"/>
      <c r="J154" s="9"/>
      <c r="K154" s="105"/>
      <c r="L154" s="105"/>
      <c r="M154" s="105"/>
      <c r="N154" s="105">
        <v>30</v>
      </c>
      <c r="O154" s="105"/>
      <c r="P154" s="105"/>
      <c r="Q154" s="9"/>
      <c r="R154" s="9"/>
      <c r="S154" s="9"/>
      <c r="T154" s="10"/>
      <c r="U154" s="9"/>
      <c r="V154" s="9"/>
      <c r="W154" s="9"/>
      <c r="X154" s="9"/>
      <c r="Y154" s="9"/>
      <c r="Z154" s="9"/>
    </row>
    <row r="155" spans="1:26" ht="15.75" customHeight="1" thickBot="1">
      <c r="A155" s="12" t="s">
        <v>253</v>
      </c>
      <c r="B155" s="13">
        <v>3</v>
      </c>
      <c r="C155" s="13"/>
      <c r="D155" s="14"/>
      <c r="E155" s="14" t="s">
        <v>44</v>
      </c>
      <c r="F155" s="14"/>
      <c r="G155" s="14"/>
      <c r="H155" s="15"/>
      <c r="I155" s="13">
        <v>24</v>
      </c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5"/>
      <c r="U155" s="13"/>
      <c r="V155" s="13"/>
      <c r="W155" s="13"/>
      <c r="X155" s="13"/>
      <c r="Y155" s="13"/>
      <c r="Z155" s="13" t="s">
        <v>178</v>
      </c>
    </row>
    <row r="156" spans="1:26" ht="15.75" customHeight="1" thickBot="1">
      <c r="A156" s="16" t="s">
        <v>254</v>
      </c>
      <c r="B156" s="9">
        <v>3</v>
      </c>
      <c r="C156" s="9"/>
      <c r="D156" s="17"/>
      <c r="E156" s="17" t="s">
        <v>46</v>
      </c>
      <c r="F156" s="117"/>
      <c r="G156" s="117"/>
      <c r="H156" s="119"/>
      <c r="I156" s="9">
        <v>24</v>
      </c>
      <c r="J156" s="9"/>
      <c r="K156" s="105"/>
      <c r="L156" s="105"/>
      <c r="M156" s="105"/>
      <c r="N156" s="105"/>
      <c r="O156" s="105"/>
      <c r="P156" s="105"/>
      <c r="Q156" s="9"/>
      <c r="R156" s="9"/>
      <c r="S156" s="9"/>
      <c r="T156" s="10"/>
      <c r="U156" s="9"/>
      <c r="V156" s="9"/>
      <c r="W156" s="9"/>
      <c r="X156" s="9"/>
      <c r="Y156" s="9"/>
      <c r="Z156" s="9" t="s">
        <v>182</v>
      </c>
    </row>
    <row r="157" spans="1:26" ht="15.75" customHeight="1" thickBot="1">
      <c r="A157" s="12" t="s">
        <v>255</v>
      </c>
      <c r="B157" s="13">
        <v>5</v>
      </c>
      <c r="C157" s="13"/>
      <c r="D157" s="14"/>
      <c r="E157" s="14"/>
      <c r="F157" s="14"/>
      <c r="G157" s="14"/>
      <c r="H157" s="15"/>
      <c r="I157" s="13"/>
      <c r="J157" s="13"/>
      <c r="K157" s="13"/>
      <c r="L157" s="13"/>
      <c r="M157" s="13"/>
      <c r="N157" s="13"/>
      <c r="O157" s="13">
        <v>30</v>
      </c>
      <c r="P157" s="13"/>
      <c r="Q157" s="13"/>
      <c r="R157" s="13"/>
      <c r="S157" s="13"/>
      <c r="T157" s="15"/>
      <c r="U157" s="13"/>
      <c r="V157" s="13"/>
      <c r="W157" s="13"/>
      <c r="X157" s="13"/>
      <c r="Y157" s="13"/>
      <c r="Z157" s="13"/>
    </row>
    <row r="158" spans="1:26" ht="15.75" customHeight="1" thickBot="1">
      <c r="A158" s="16" t="s">
        <v>256</v>
      </c>
      <c r="B158" s="9">
        <v>3</v>
      </c>
      <c r="C158" s="9"/>
      <c r="D158" s="17"/>
      <c r="E158" s="17" t="s">
        <v>48</v>
      </c>
      <c r="F158" s="117"/>
      <c r="G158" s="117"/>
      <c r="H158" s="119"/>
      <c r="I158" s="9">
        <v>24</v>
      </c>
      <c r="J158" s="9"/>
      <c r="K158" s="105"/>
      <c r="L158" s="105"/>
      <c r="M158" s="105"/>
      <c r="N158" s="105"/>
      <c r="O158" s="105"/>
      <c r="P158" s="105"/>
      <c r="Q158" s="9"/>
      <c r="R158" s="9"/>
      <c r="S158" s="9"/>
      <c r="T158" s="10"/>
      <c r="U158" s="9"/>
      <c r="V158" s="9"/>
      <c r="W158" s="9"/>
      <c r="X158" s="9"/>
      <c r="Y158" s="9"/>
      <c r="Z158" s="9" t="s">
        <v>180</v>
      </c>
    </row>
    <row r="159" spans="1:26" ht="15.75" customHeight="1" thickBot="1">
      <c r="A159" s="12" t="s">
        <v>257</v>
      </c>
      <c r="B159" s="13">
        <v>3</v>
      </c>
      <c r="C159" s="13"/>
      <c r="D159" s="14"/>
      <c r="E159" s="14"/>
      <c r="F159" s="14"/>
      <c r="G159" s="14"/>
      <c r="H159" s="15"/>
      <c r="I159" s="13">
        <v>30</v>
      </c>
      <c r="J159" s="13"/>
      <c r="K159" s="13"/>
      <c r="L159" s="13"/>
      <c r="M159" s="13"/>
      <c r="N159" s="13"/>
      <c r="O159" s="13"/>
      <c r="P159" s="13"/>
      <c r="Q159" s="13"/>
      <c r="R159" s="13">
        <v>20</v>
      </c>
      <c r="S159" s="13"/>
      <c r="T159" s="15"/>
      <c r="U159" s="13"/>
      <c r="V159" s="13"/>
      <c r="W159" s="13"/>
      <c r="X159" s="13"/>
      <c r="Y159" s="13"/>
      <c r="Z159" s="13" t="s">
        <v>174</v>
      </c>
    </row>
    <row r="160" spans="1:26" ht="15.75" customHeight="1" thickBot="1">
      <c r="A160" s="16" t="s">
        <v>258</v>
      </c>
      <c r="B160" s="9">
        <v>3</v>
      </c>
      <c r="C160" s="9"/>
      <c r="D160" s="17"/>
      <c r="E160" s="17" t="s">
        <v>50</v>
      </c>
      <c r="F160" s="117"/>
      <c r="G160" s="117"/>
      <c r="H160" s="119"/>
      <c r="I160" s="9">
        <v>24</v>
      </c>
      <c r="J160" s="9"/>
      <c r="K160" s="105"/>
      <c r="L160" s="105"/>
      <c r="M160" s="105"/>
      <c r="N160" s="105"/>
      <c r="O160" s="105"/>
      <c r="P160" s="105"/>
      <c r="Q160" s="9"/>
      <c r="R160" s="9"/>
      <c r="S160" s="9"/>
      <c r="T160" s="10"/>
      <c r="U160" s="9"/>
      <c r="V160" s="9"/>
      <c r="W160" s="9"/>
      <c r="X160" s="9"/>
      <c r="Y160" s="9"/>
      <c r="Z160" s="9" t="s">
        <v>184</v>
      </c>
    </row>
    <row r="161" spans="1:26" ht="15.75" customHeight="1" thickBot="1">
      <c r="A161" s="12" t="s">
        <v>259</v>
      </c>
      <c r="B161" s="13">
        <v>5</v>
      </c>
      <c r="C161" s="13">
        <v>2</v>
      </c>
      <c r="D161" s="14"/>
      <c r="E161" s="14"/>
      <c r="F161" s="14" t="s">
        <v>385</v>
      </c>
      <c r="G161" s="14" t="s">
        <v>384</v>
      </c>
      <c r="H161" s="15"/>
      <c r="I161" s="13"/>
      <c r="J161" s="13"/>
      <c r="K161" s="13">
        <v>50</v>
      </c>
      <c r="L161" s="13">
        <v>50</v>
      </c>
      <c r="M161" s="13"/>
      <c r="N161" s="13">
        <v>50</v>
      </c>
      <c r="O161" s="13">
        <v>50</v>
      </c>
      <c r="P161" s="13">
        <v>50</v>
      </c>
      <c r="Q161" s="13"/>
      <c r="R161" s="13"/>
      <c r="S161" s="13">
        <v>10</v>
      </c>
      <c r="T161" s="15"/>
      <c r="U161" s="13"/>
      <c r="V161" s="13"/>
      <c r="W161" s="13"/>
      <c r="X161" s="13"/>
      <c r="Y161" s="13"/>
      <c r="Z161" s="13" t="s">
        <v>260</v>
      </c>
    </row>
    <row r="162" spans="1:26" ht="15.75" customHeight="1" thickBot="1">
      <c r="A162" s="16"/>
      <c r="B162" s="9"/>
      <c r="C162" s="9"/>
      <c r="D162" s="17"/>
      <c r="E162" s="17"/>
      <c r="F162" s="117"/>
      <c r="G162" s="117"/>
      <c r="H162" s="119"/>
      <c r="I162" s="9"/>
      <c r="J162" s="9"/>
      <c r="K162" s="105"/>
      <c r="L162" s="105"/>
      <c r="M162" s="105"/>
      <c r="N162" s="105"/>
      <c r="O162" s="105"/>
      <c r="P162" s="105"/>
      <c r="Q162" s="9"/>
      <c r="R162" s="9"/>
      <c r="S162" s="9"/>
      <c r="T162" s="10"/>
      <c r="U162" s="9"/>
      <c r="V162" s="9"/>
      <c r="W162" s="9"/>
      <c r="X162" s="9"/>
      <c r="Y162" s="9"/>
      <c r="Z162" s="9"/>
    </row>
    <row r="163" spans="1:26" ht="15.75" customHeight="1" thickBot="1">
      <c r="A163" s="12"/>
      <c r="B163" s="13"/>
      <c r="C163" s="13"/>
      <c r="D163" s="14"/>
      <c r="E163" s="14"/>
      <c r="F163" s="14"/>
      <c r="G163" s="14"/>
      <c r="H163" s="15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5"/>
      <c r="U163" s="13"/>
      <c r="V163" s="13"/>
      <c r="W163" s="13"/>
      <c r="X163" s="13"/>
      <c r="Y163" s="13"/>
      <c r="Z163" s="13"/>
    </row>
    <row r="164" spans="1:26" ht="15.75" customHeight="1" thickBot="1">
      <c r="A164" s="16"/>
      <c r="B164" s="9"/>
      <c r="C164" s="9"/>
      <c r="D164" s="17"/>
      <c r="E164" s="17"/>
      <c r="F164" s="117"/>
      <c r="G164" s="117"/>
      <c r="H164" s="119"/>
      <c r="I164" s="9"/>
      <c r="J164" s="9"/>
      <c r="K164" s="105"/>
      <c r="L164" s="105"/>
      <c r="M164" s="105"/>
      <c r="N164" s="105"/>
      <c r="O164" s="105"/>
      <c r="P164" s="105"/>
      <c r="Q164" s="9"/>
      <c r="R164" s="9"/>
      <c r="S164" s="9"/>
      <c r="T164" s="10"/>
      <c r="U164" s="9"/>
      <c r="V164" s="9"/>
      <c r="W164" s="9"/>
      <c r="X164" s="9"/>
      <c r="Y164" s="9"/>
      <c r="Z164" s="9"/>
    </row>
    <row r="165" spans="1:26" ht="15.75" customHeight="1" thickBot="1">
      <c r="A165" s="12"/>
      <c r="B165" s="13"/>
      <c r="C165" s="13"/>
      <c r="D165" s="14"/>
      <c r="E165" s="14"/>
      <c r="F165" s="14"/>
      <c r="G165" s="14"/>
      <c r="H165" s="15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5"/>
      <c r="U165" s="13"/>
      <c r="V165" s="13"/>
      <c r="W165" s="13"/>
      <c r="X165" s="13"/>
      <c r="Y165" s="13"/>
      <c r="Z165" s="13"/>
    </row>
    <row r="166" spans="1:26" ht="15.75" customHeight="1" thickBot="1">
      <c r="A166" s="16"/>
      <c r="B166" s="9"/>
      <c r="C166" s="9"/>
      <c r="D166" s="17"/>
      <c r="E166" s="17"/>
      <c r="F166" s="117"/>
      <c r="G166" s="117"/>
      <c r="H166" s="119"/>
      <c r="I166" s="9"/>
      <c r="J166" s="9"/>
      <c r="K166" s="105"/>
      <c r="L166" s="105"/>
      <c r="M166" s="105"/>
      <c r="N166" s="105"/>
      <c r="O166" s="105"/>
      <c r="P166" s="105"/>
      <c r="Q166" s="9"/>
      <c r="R166" s="9"/>
      <c r="S166" s="9"/>
      <c r="T166" s="10"/>
      <c r="U166" s="9"/>
      <c r="V166" s="9"/>
      <c r="W166" s="9"/>
      <c r="X166" s="9"/>
      <c r="Y166" s="9"/>
      <c r="Z166" s="9"/>
    </row>
    <row r="167" spans="1:26" ht="15.75" customHeight="1" thickBot="1">
      <c r="A167" s="12"/>
      <c r="B167" s="13"/>
      <c r="C167" s="13"/>
      <c r="D167" s="14"/>
      <c r="E167" s="14"/>
      <c r="F167" s="14"/>
      <c r="G167" s="14"/>
      <c r="H167" s="15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5"/>
      <c r="U167" s="13"/>
      <c r="V167" s="13"/>
      <c r="W167" s="13"/>
      <c r="X167" s="13"/>
      <c r="Y167" s="13"/>
      <c r="Z167" s="13"/>
    </row>
    <row r="168" spans="1:26" ht="15.75" customHeight="1" thickBot="1">
      <c r="A168" s="16"/>
      <c r="B168" s="9"/>
      <c r="C168" s="9"/>
      <c r="D168" s="17"/>
      <c r="E168" s="17"/>
      <c r="F168" s="117"/>
      <c r="G168" s="117"/>
      <c r="H168" s="119"/>
      <c r="I168" s="9"/>
      <c r="J168" s="9"/>
      <c r="K168" s="105"/>
      <c r="L168" s="105"/>
      <c r="M168" s="105"/>
      <c r="N168" s="105"/>
      <c r="O168" s="105"/>
      <c r="P168" s="105"/>
      <c r="Q168" s="9"/>
      <c r="R168" s="9"/>
      <c r="S168" s="9"/>
      <c r="T168" s="10"/>
      <c r="U168" s="9"/>
      <c r="V168" s="9"/>
      <c r="W168" s="9"/>
      <c r="X168" s="9"/>
      <c r="Y168" s="9"/>
      <c r="Z168" s="9"/>
    </row>
    <row r="169" spans="1:26" ht="15.75" customHeight="1" thickBot="1">
      <c r="A169" s="12"/>
      <c r="B169" s="13"/>
      <c r="C169" s="13"/>
      <c r="D169" s="14"/>
      <c r="E169" s="14"/>
      <c r="F169" s="14"/>
      <c r="G169" s="14"/>
      <c r="H169" s="15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5"/>
      <c r="U169" s="13"/>
      <c r="V169" s="13"/>
      <c r="W169" s="13"/>
      <c r="X169" s="13"/>
      <c r="Y169" s="13"/>
      <c r="Z169" s="13"/>
    </row>
    <row r="170" spans="1:26" ht="15.75" customHeight="1" thickBot="1">
      <c r="A170" s="16"/>
      <c r="B170" s="9"/>
      <c r="C170" s="9"/>
      <c r="D170" s="17"/>
      <c r="E170" s="17"/>
      <c r="F170" s="117"/>
      <c r="G170" s="117"/>
      <c r="H170" s="119"/>
      <c r="I170" s="9"/>
      <c r="J170" s="9"/>
      <c r="K170" s="105"/>
      <c r="L170" s="105"/>
      <c r="M170" s="105"/>
      <c r="N170" s="105"/>
      <c r="O170" s="105"/>
      <c r="P170" s="105"/>
      <c r="Q170" s="9"/>
      <c r="R170" s="9"/>
      <c r="S170" s="9"/>
      <c r="T170" s="10"/>
      <c r="U170" s="9"/>
      <c r="V170" s="9"/>
      <c r="W170" s="9"/>
      <c r="X170" s="9"/>
      <c r="Y170" s="9"/>
      <c r="Z170" s="9"/>
    </row>
    <row r="171" spans="1:26" ht="15.75" customHeight="1" thickBot="1">
      <c r="A171" s="12"/>
      <c r="B171" s="13"/>
      <c r="C171" s="13"/>
      <c r="D171" s="14"/>
      <c r="E171" s="14"/>
      <c r="F171" s="14"/>
      <c r="G171" s="14"/>
      <c r="H171" s="15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5"/>
      <c r="U171" s="13"/>
      <c r="V171" s="13"/>
      <c r="W171" s="13"/>
      <c r="X171" s="13"/>
      <c r="Y171" s="13"/>
      <c r="Z171" s="13"/>
    </row>
    <row r="172" spans="1:26" ht="15.75" customHeight="1" thickBot="1">
      <c r="A172" s="16"/>
      <c r="B172" s="9"/>
      <c r="C172" s="9"/>
      <c r="D172" s="17"/>
      <c r="E172" s="17"/>
      <c r="F172" s="117"/>
      <c r="G172" s="117"/>
      <c r="H172" s="119"/>
      <c r="I172" s="9"/>
      <c r="J172" s="9"/>
      <c r="K172" s="105"/>
      <c r="L172" s="105"/>
      <c r="M172" s="105"/>
      <c r="N172" s="105"/>
      <c r="O172" s="105"/>
      <c r="P172" s="105"/>
      <c r="Q172" s="9"/>
      <c r="R172" s="9"/>
      <c r="S172" s="9"/>
      <c r="T172" s="10"/>
      <c r="U172" s="9"/>
      <c r="V172" s="9"/>
      <c r="W172" s="9"/>
      <c r="X172" s="9"/>
      <c r="Y172" s="9"/>
      <c r="Z172" s="9"/>
    </row>
    <row r="173" spans="1:26" ht="15.75" customHeight="1" thickBot="1">
      <c r="A173" s="12"/>
      <c r="B173" s="13"/>
      <c r="C173" s="13"/>
      <c r="D173" s="14"/>
      <c r="E173" s="14"/>
      <c r="F173" s="14"/>
      <c r="G173" s="14"/>
      <c r="H173" s="15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5"/>
      <c r="U173" s="13"/>
      <c r="V173" s="13"/>
      <c r="W173" s="13"/>
      <c r="X173" s="13"/>
      <c r="Y173" s="13"/>
      <c r="Z173" s="13"/>
    </row>
    <row r="174" spans="1:26" ht="15.75" customHeight="1" thickBot="1">
      <c r="A174" s="16"/>
      <c r="B174" s="9"/>
      <c r="C174" s="9"/>
      <c r="D174" s="17"/>
      <c r="E174" s="17"/>
      <c r="F174" s="117"/>
      <c r="G174" s="117"/>
      <c r="H174" s="119"/>
      <c r="I174" s="9"/>
      <c r="J174" s="9"/>
      <c r="K174" s="105"/>
      <c r="L174" s="105"/>
      <c r="M174" s="105"/>
      <c r="N174" s="105"/>
      <c r="O174" s="105"/>
      <c r="P174" s="105"/>
      <c r="Q174" s="9"/>
      <c r="R174" s="9"/>
      <c r="S174" s="9"/>
      <c r="T174" s="10"/>
      <c r="U174" s="9"/>
      <c r="V174" s="9"/>
      <c r="W174" s="9"/>
      <c r="X174" s="9"/>
      <c r="Y174" s="9"/>
      <c r="Z174" s="9"/>
    </row>
    <row r="175" spans="1:26" ht="15.75" customHeight="1" thickBot="1">
      <c r="A175" s="12"/>
      <c r="B175" s="13"/>
      <c r="C175" s="13"/>
      <c r="D175" s="14"/>
      <c r="E175" s="14"/>
      <c r="F175" s="14"/>
      <c r="G175" s="14"/>
      <c r="H175" s="15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5"/>
      <c r="U175" s="13"/>
      <c r="V175" s="13"/>
      <c r="W175" s="13"/>
      <c r="X175" s="13"/>
      <c r="Y175" s="13"/>
      <c r="Z175" s="13"/>
    </row>
    <row r="176" spans="1:26" ht="15.75" customHeight="1" thickBot="1">
      <c r="A176" s="16"/>
      <c r="B176" s="9"/>
      <c r="C176" s="9"/>
      <c r="D176" s="17"/>
      <c r="E176" s="17"/>
      <c r="F176" s="117"/>
      <c r="G176" s="117"/>
      <c r="H176" s="119"/>
      <c r="I176" s="9"/>
      <c r="J176" s="9"/>
      <c r="K176" s="105"/>
      <c r="L176" s="105"/>
      <c r="M176" s="105"/>
      <c r="N176" s="105"/>
      <c r="O176" s="105"/>
      <c r="P176" s="105"/>
      <c r="Q176" s="9"/>
      <c r="R176" s="9"/>
      <c r="S176" s="9"/>
      <c r="T176" s="10"/>
      <c r="U176" s="9"/>
      <c r="V176" s="9"/>
      <c r="W176" s="9"/>
      <c r="X176" s="9"/>
      <c r="Y176" s="9"/>
      <c r="Z176" s="9"/>
    </row>
    <row r="177" spans="1:26" ht="15.75" customHeight="1" thickBot="1">
      <c r="A177" s="12"/>
      <c r="B177" s="13"/>
      <c r="C177" s="13"/>
      <c r="D177" s="14"/>
      <c r="E177" s="14"/>
      <c r="F177" s="14"/>
      <c r="G177" s="14"/>
      <c r="H177" s="15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5"/>
      <c r="U177" s="13"/>
      <c r="V177" s="13"/>
      <c r="W177" s="13"/>
      <c r="X177" s="13"/>
      <c r="Y177" s="13"/>
      <c r="Z177" s="13"/>
    </row>
    <row r="178" spans="1:26" ht="15.75" customHeight="1">
      <c r="A178" s="16"/>
      <c r="B178" s="9"/>
      <c r="C178" s="9"/>
      <c r="D178" s="17"/>
      <c r="E178" s="17"/>
      <c r="F178" s="117"/>
      <c r="G178" s="117"/>
      <c r="H178" s="119"/>
      <c r="I178" s="9"/>
      <c r="J178" s="9"/>
      <c r="K178" s="105"/>
      <c r="L178" s="105"/>
      <c r="M178" s="105"/>
      <c r="N178" s="105"/>
      <c r="O178" s="105"/>
      <c r="P178" s="105"/>
      <c r="Q178" s="9"/>
      <c r="R178" s="9"/>
      <c r="S178" s="9"/>
      <c r="T178" s="10"/>
      <c r="U178" s="9"/>
      <c r="V178" s="9"/>
      <c r="W178" s="9"/>
      <c r="X178" s="9"/>
      <c r="Y178" s="9"/>
      <c r="Z178" s="9"/>
    </row>
    <row r="179" spans="1:26" ht="15.75" customHeight="1">
      <c r="D179" s="18"/>
    </row>
    <row r="180" spans="1:26" ht="15.75" customHeight="1">
      <c r="D180" s="18"/>
    </row>
    <row r="181" spans="1:26" ht="15.75" customHeight="1">
      <c r="D181" s="18"/>
    </row>
    <row r="182" spans="1:26" ht="15.75" customHeight="1">
      <c r="D182" s="18"/>
    </row>
    <row r="183" spans="1:26" ht="15.75" customHeight="1">
      <c r="D183" s="18"/>
    </row>
    <row r="184" spans="1:26" ht="15.75" customHeight="1">
      <c r="D184" s="18"/>
    </row>
    <row r="185" spans="1:26" ht="15.75" customHeight="1">
      <c r="D185" s="18"/>
    </row>
    <row r="186" spans="1:26" ht="15.75" customHeight="1">
      <c r="D186" s="18"/>
    </row>
    <row r="187" spans="1:26" ht="15.75" customHeight="1">
      <c r="D187" s="18"/>
    </row>
    <row r="188" spans="1:26" ht="15.75" customHeight="1">
      <c r="D188" s="18"/>
    </row>
    <row r="189" spans="1:26" ht="15.75" customHeight="1">
      <c r="D189" s="18"/>
    </row>
    <row r="190" spans="1:26" ht="15.75" customHeight="1">
      <c r="D190" s="18"/>
    </row>
    <row r="191" spans="1:26" ht="15.75" customHeight="1">
      <c r="D191" s="18"/>
    </row>
    <row r="192" spans="1:26" ht="15.75" customHeight="1">
      <c r="D192" s="18"/>
    </row>
    <row r="193" spans="4:4" ht="15.75" customHeight="1">
      <c r="D193" s="18"/>
    </row>
    <row r="194" spans="4:4" ht="15.75" customHeight="1">
      <c r="D194" s="18"/>
    </row>
    <row r="195" spans="4:4" ht="15.75" customHeight="1">
      <c r="D195" s="18"/>
    </row>
    <row r="196" spans="4:4" ht="15.75" customHeight="1">
      <c r="D196" s="18"/>
    </row>
    <row r="197" spans="4:4" ht="15.75" customHeight="1">
      <c r="D197" s="18"/>
    </row>
    <row r="198" spans="4:4" ht="15.75" customHeight="1">
      <c r="D198" s="18"/>
    </row>
    <row r="199" spans="4:4" ht="15.75" customHeight="1">
      <c r="D199" s="18"/>
    </row>
    <row r="200" spans="4:4" ht="15.75" customHeight="1">
      <c r="D200" s="18"/>
    </row>
    <row r="201" spans="4:4" ht="15.75" customHeight="1">
      <c r="D201" s="18"/>
    </row>
    <row r="202" spans="4:4" ht="15.75" customHeight="1">
      <c r="D202" s="18"/>
    </row>
    <row r="203" spans="4:4" ht="15.75" customHeight="1">
      <c r="D203" s="18"/>
    </row>
    <row r="204" spans="4:4" ht="15.75" customHeight="1">
      <c r="D204" s="18"/>
    </row>
    <row r="205" spans="4:4" ht="15.75" customHeight="1">
      <c r="D205" s="18"/>
    </row>
    <row r="206" spans="4:4" ht="15.75" customHeight="1">
      <c r="D206" s="18"/>
    </row>
    <row r="207" spans="4:4" ht="15.75" customHeight="1">
      <c r="D207" s="18"/>
    </row>
    <row r="208" spans="4:4" ht="15.75" customHeight="1">
      <c r="D208" s="18"/>
    </row>
    <row r="209" spans="4:4" ht="15.75" customHeight="1">
      <c r="D209" s="18"/>
    </row>
    <row r="210" spans="4:4" ht="15.75" customHeight="1">
      <c r="D210" s="18"/>
    </row>
    <row r="211" spans="4:4" ht="15.75" customHeight="1">
      <c r="D211" s="18"/>
    </row>
    <row r="212" spans="4:4" ht="15.75" customHeight="1">
      <c r="D212" s="18"/>
    </row>
    <row r="213" spans="4:4" ht="15.75" customHeight="1">
      <c r="D213" s="18"/>
    </row>
    <row r="214" spans="4:4" ht="15.75" customHeight="1">
      <c r="D214" s="18"/>
    </row>
    <row r="215" spans="4:4" ht="15.75" customHeight="1">
      <c r="D215" s="18"/>
    </row>
    <row r="216" spans="4:4" ht="15.75" customHeight="1">
      <c r="D216" s="18"/>
    </row>
    <row r="217" spans="4:4" ht="15.75" customHeight="1">
      <c r="D217" s="18"/>
    </row>
    <row r="218" spans="4:4" ht="15.75" customHeight="1">
      <c r="D218" s="18"/>
    </row>
    <row r="219" spans="4:4" ht="15.75" customHeight="1">
      <c r="D219" s="18"/>
    </row>
    <row r="220" spans="4:4" ht="15.75" customHeight="1">
      <c r="D220" s="18"/>
    </row>
    <row r="221" spans="4:4" ht="15.75" customHeight="1">
      <c r="D221" s="18"/>
    </row>
    <row r="222" spans="4:4" ht="15.75" customHeight="1">
      <c r="D222" s="18"/>
    </row>
    <row r="223" spans="4:4" ht="15.75" customHeight="1">
      <c r="D223" s="18"/>
    </row>
    <row r="224" spans="4:4" ht="15.75" customHeight="1">
      <c r="D224" s="18"/>
    </row>
    <row r="225" spans="4:4" ht="15.75" customHeight="1">
      <c r="D225" s="18"/>
    </row>
    <row r="226" spans="4:4" ht="15.75" customHeight="1">
      <c r="D226" s="18"/>
    </row>
    <row r="227" spans="4:4" ht="15.75" customHeight="1">
      <c r="D227" s="18"/>
    </row>
    <row r="228" spans="4:4" ht="15.75" customHeight="1">
      <c r="D228" s="18"/>
    </row>
    <row r="229" spans="4:4" ht="15.75" customHeight="1">
      <c r="D229" s="18"/>
    </row>
    <row r="230" spans="4:4" ht="15.75" customHeight="1">
      <c r="D230" s="18"/>
    </row>
    <row r="231" spans="4:4" ht="15.75" customHeight="1">
      <c r="D231" s="18"/>
    </row>
    <row r="232" spans="4:4" ht="15.75" customHeight="1">
      <c r="D232" s="18"/>
    </row>
    <row r="233" spans="4:4" ht="15.75" customHeight="1">
      <c r="D233" s="18"/>
    </row>
    <row r="234" spans="4:4" ht="15.75" customHeight="1">
      <c r="D234" s="18"/>
    </row>
    <row r="235" spans="4:4" ht="15.75" customHeight="1">
      <c r="D235" s="18"/>
    </row>
    <row r="236" spans="4:4" ht="15.75" customHeight="1">
      <c r="D236" s="18"/>
    </row>
    <row r="237" spans="4:4" ht="15.75" customHeight="1">
      <c r="D237" s="18"/>
    </row>
    <row r="238" spans="4:4" ht="15.75" customHeight="1">
      <c r="D238" s="18"/>
    </row>
    <row r="239" spans="4:4" ht="15.75" customHeight="1">
      <c r="D239" s="18"/>
    </row>
    <row r="240" spans="4:4" ht="15.75" customHeight="1">
      <c r="D240" s="18"/>
    </row>
    <row r="241" spans="4:4" ht="15.75" customHeight="1">
      <c r="D241" s="18"/>
    </row>
    <row r="242" spans="4:4" ht="15.75" customHeight="1">
      <c r="D242" s="18"/>
    </row>
    <row r="243" spans="4:4" ht="15.75" customHeight="1">
      <c r="D243" s="18"/>
    </row>
    <row r="244" spans="4:4" ht="15.75" customHeight="1">
      <c r="D244" s="18"/>
    </row>
    <row r="245" spans="4:4" ht="15.75" customHeight="1">
      <c r="D245" s="18"/>
    </row>
    <row r="246" spans="4:4" ht="15.75" customHeight="1">
      <c r="D246" s="18"/>
    </row>
    <row r="247" spans="4:4" ht="15.75" customHeight="1">
      <c r="D247" s="18"/>
    </row>
    <row r="248" spans="4:4" ht="15.75" customHeight="1">
      <c r="D248" s="18"/>
    </row>
    <row r="249" spans="4:4" ht="15.75" customHeight="1">
      <c r="D249" s="18"/>
    </row>
    <row r="250" spans="4:4" ht="15.75" customHeight="1">
      <c r="D250" s="18"/>
    </row>
    <row r="251" spans="4:4" ht="15.75" customHeight="1">
      <c r="D251" s="18"/>
    </row>
    <row r="252" spans="4:4" ht="15.75" customHeight="1">
      <c r="D252" s="18"/>
    </row>
    <row r="253" spans="4:4" ht="15.75" customHeight="1">
      <c r="D253" s="18"/>
    </row>
    <row r="254" spans="4:4" ht="15.75" customHeight="1">
      <c r="D254" s="18"/>
    </row>
    <row r="255" spans="4:4" ht="15.75" customHeight="1">
      <c r="D255" s="18"/>
    </row>
    <row r="256" spans="4:4" ht="15.75" customHeight="1">
      <c r="D256" s="18"/>
    </row>
    <row r="257" spans="4:4" ht="15.75" customHeight="1">
      <c r="D257" s="18"/>
    </row>
    <row r="258" spans="4:4" ht="15.75" customHeight="1">
      <c r="D258" s="18"/>
    </row>
    <row r="259" spans="4:4" ht="15.75" customHeight="1">
      <c r="D259" s="18"/>
    </row>
    <row r="260" spans="4:4" ht="15.75" customHeight="1">
      <c r="D260" s="18"/>
    </row>
    <row r="261" spans="4:4" ht="15.75" customHeight="1">
      <c r="D261" s="18"/>
    </row>
    <row r="262" spans="4:4" ht="15.75" customHeight="1">
      <c r="D262" s="18"/>
    </row>
    <row r="263" spans="4:4" ht="15.75" customHeight="1">
      <c r="D263" s="18"/>
    </row>
    <row r="264" spans="4:4" ht="15.75" customHeight="1">
      <c r="D264" s="18"/>
    </row>
    <row r="265" spans="4:4" ht="15.75" customHeight="1">
      <c r="D265" s="18"/>
    </row>
    <row r="266" spans="4:4" ht="15.75" customHeight="1">
      <c r="D266" s="18"/>
    </row>
    <row r="267" spans="4:4" ht="15.75" customHeight="1">
      <c r="D267" s="18"/>
    </row>
    <row r="268" spans="4:4" ht="15.75" customHeight="1">
      <c r="D268" s="18"/>
    </row>
    <row r="269" spans="4:4" ht="15.75" customHeight="1">
      <c r="D269" s="18"/>
    </row>
    <row r="270" spans="4:4" ht="15.75" customHeight="1">
      <c r="D270" s="18"/>
    </row>
    <row r="271" spans="4:4" ht="15.75" customHeight="1">
      <c r="D271" s="18"/>
    </row>
    <row r="272" spans="4:4" ht="15.75" customHeight="1">
      <c r="D272" s="18"/>
    </row>
    <row r="273" spans="4:4" ht="15.75" customHeight="1">
      <c r="D273" s="18"/>
    </row>
    <row r="274" spans="4:4" ht="15.75" customHeight="1">
      <c r="D274" s="18"/>
    </row>
    <row r="275" spans="4:4" ht="15.75" customHeight="1">
      <c r="D275" s="18"/>
    </row>
    <row r="276" spans="4:4" ht="15.75" customHeight="1">
      <c r="D276" s="18"/>
    </row>
    <row r="277" spans="4:4" ht="15.75" customHeight="1">
      <c r="D277" s="18"/>
    </row>
    <row r="278" spans="4:4" ht="15.75" customHeight="1">
      <c r="D278" s="18"/>
    </row>
    <row r="279" spans="4:4" ht="15.75" customHeight="1">
      <c r="D279" s="18"/>
    </row>
    <row r="280" spans="4:4" ht="15.75" customHeight="1">
      <c r="D280" s="18"/>
    </row>
    <row r="281" spans="4:4" ht="15.75" customHeight="1">
      <c r="D281" s="18"/>
    </row>
    <row r="282" spans="4:4" ht="15.75" customHeight="1">
      <c r="D282" s="18"/>
    </row>
    <row r="283" spans="4:4" ht="15.75" customHeight="1">
      <c r="D283" s="18"/>
    </row>
    <row r="284" spans="4:4" ht="15.75" customHeight="1">
      <c r="D284" s="18"/>
    </row>
    <row r="285" spans="4:4" ht="15.75" customHeight="1">
      <c r="D285" s="18"/>
    </row>
    <row r="286" spans="4:4" ht="15.75" customHeight="1">
      <c r="D286" s="18"/>
    </row>
    <row r="287" spans="4:4" ht="15.75" customHeight="1">
      <c r="D287" s="18"/>
    </row>
    <row r="288" spans="4:4" ht="15.75" customHeight="1">
      <c r="D288" s="18"/>
    </row>
    <row r="289" spans="4:4" ht="15.75" customHeight="1">
      <c r="D289" s="18"/>
    </row>
    <row r="290" spans="4:4" ht="15.75" customHeight="1">
      <c r="D290" s="18"/>
    </row>
    <row r="291" spans="4:4" ht="15.75" customHeight="1">
      <c r="D291" s="18"/>
    </row>
    <row r="292" spans="4:4" ht="15.75" customHeight="1">
      <c r="D292" s="18"/>
    </row>
    <row r="293" spans="4:4" ht="15.75" customHeight="1">
      <c r="D293" s="18"/>
    </row>
    <row r="294" spans="4:4" ht="15.75" customHeight="1">
      <c r="D294" s="18"/>
    </row>
    <row r="295" spans="4:4" ht="15.75" customHeight="1">
      <c r="D295" s="18"/>
    </row>
    <row r="296" spans="4:4" ht="15.75" customHeight="1">
      <c r="D296" s="18"/>
    </row>
    <row r="297" spans="4:4" ht="15.75" customHeight="1">
      <c r="D297" s="18"/>
    </row>
    <row r="298" spans="4:4" ht="15.75" customHeight="1">
      <c r="D298" s="18"/>
    </row>
    <row r="299" spans="4:4" ht="15.75" customHeight="1">
      <c r="D299" s="18"/>
    </row>
    <row r="300" spans="4:4" ht="15.75" customHeight="1">
      <c r="D300" s="18"/>
    </row>
    <row r="301" spans="4:4" ht="15.75" customHeight="1">
      <c r="D301" s="18"/>
    </row>
    <row r="302" spans="4:4" ht="15.75" customHeight="1">
      <c r="D302" s="18"/>
    </row>
    <row r="303" spans="4:4" ht="15.75" customHeight="1">
      <c r="D303" s="18"/>
    </row>
    <row r="304" spans="4:4" ht="15.75" customHeight="1">
      <c r="D304" s="18"/>
    </row>
    <row r="305" spans="4:4" ht="15.75" customHeight="1">
      <c r="D305" s="18"/>
    </row>
    <row r="306" spans="4:4" ht="15.75" customHeight="1">
      <c r="D306" s="18"/>
    </row>
    <row r="307" spans="4:4" ht="15.75" customHeight="1">
      <c r="D307" s="18"/>
    </row>
    <row r="308" spans="4:4" ht="15.75" customHeight="1">
      <c r="D308" s="18"/>
    </row>
    <row r="309" spans="4:4" ht="15.75" customHeight="1">
      <c r="D309" s="18"/>
    </row>
    <row r="310" spans="4:4" ht="15.75" customHeight="1">
      <c r="D310" s="18"/>
    </row>
    <row r="311" spans="4:4" ht="15.75" customHeight="1">
      <c r="D311" s="18"/>
    </row>
    <row r="312" spans="4:4" ht="15.75" customHeight="1">
      <c r="D312" s="18"/>
    </row>
    <row r="313" spans="4:4" ht="15.75" customHeight="1">
      <c r="D313" s="18"/>
    </row>
    <row r="314" spans="4:4" ht="15.75" customHeight="1">
      <c r="D314" s="18"/>
    </row>
    <row r="315" spans="4:4" ht="15.75" customHeight="1">
      <c r="D315" s="18"/>
    </row>
    <row r="316" spans="4:4" ht="15.75" customHeight="1">
      <c r="D316" s="18"/>
    </row>
    <row r="317" spans="4:4" ht="15.75" customHeight="1">
      <c r="D317" s="18"/>
    </row>
    <row r="318" spans="4:4" ht="15.75" customHeight="1">
      <c r="D318" s="18"/>
    </row>
    <row r="319" spans="4:4" ht="15.75" customHeight="1">
      <c r="D319" s="18"/>
    </row>
    <row r="320" spans="4:4" ht="15.75" customHeight="1">
      <c r="D320" s="18"/>
    </row>
    <row r="321" spans="4:4" ht="15.75" customHeight="1">
      <c r="D321" s="18"/>
    </row>
    <row r="322" spans="4:4" ht="15.75" customHeight="1">
      <c r="D322" s="18"/>
    </row>
    <row r="323" spans="4:4" ht="15.75" customHeight="1">
      <c r="D323" s="18"/>
    </row>
    <row r="324" spans="4:4" ht="15.75" customHeight="1">
      <c r="D324" s="18"/>
    </row>
    <row r="325" spans="4:4" ht="15.75" customHeight="1">
      <c r="D325" s="18"/>
    </row>
    <row r="326" spans="4:4" ht="15.75" customHeight="1">
      <c r="D326" s="18"/>
    </row>
    <row r="327" spans="4:4" ht="15.75" customHeight="1">
      <c r="D327" s="18"/>
    </row>
    <row r="328" spans="4:4" ht="15.75" customHeight="1">
      <c r="D328" s="18"/>
    </row>
    <row r="329" spans="4:4" ht="15.75" customHeight="1">
      <c r="D329" s="18"/>
    </row>
    <row r="330" spans="4:4" ht="15.75" customHeight="1">
      <c r="D330" s="18"/>
    </row>
    <row r="331" spans="4:4" ht="15.75" customHeight="1">
      <c r="D331" s="18"/>
    </row>
    <row r="332" spans="4:4" ht="15.75" customHeight="1">
      <c r="D332" s="18"/>
    </row>
    <row r="333" spans="4:4" ht="15.75" customHeight="1">
      <c r="D333" s="18"/>
    </row>
    <row r="334" spans="4:4" ht="15.75" customHeight="1">
      <c r="D334" s="18"/>
    </row>
    <row r="335" spans="4:4" ht="15.75" customHeight="1">
      <c r="D335" s="18"/>
    </row>
    <row r="336" spans="4:4" ht="15.75" customHeight="1">
      <c r="D336" s="18"/>
    </row>
    <row r="337" spans="4:4" ht="15.75" customHeight="1">
      <c r="D337" s="18"/>
    </row>
    <row r="338" spans="4:4" ht="15.75" customHeight="1">
      <c r="D338" s="18"/>
    </row>
    <row r="339" spans="4:4" ht="15.75" customHeight="1">
      <c r="D339" s="18"/>
    </row>
    <row r="340" spans="4:4" ht="15.75" customHeight="1">
      <c r="D340" s="18"/>
    </row>
    <row r="341" spans="4:4" ht="15.75" customHeight="1">
      <c r="D341" s="18"/>
    </row>
    <row r="342" spans="4:4" ht="15.75" customHeight="1">
      <c r="D342" s="18"/>
    </row>
    <row r="343" spans="4:4" ht="15.75" customHeight="1">
      <c r="D343" s="18"/>
    </row>
    <row r="344" spans="4:4" ht="15.75" customHeight="1">
      <c r="D344" s="18"/>
    </row>
    <row r="345" spans="4:4" ht="15.75" customHeight="1">
      <c r="D345" s="18"/>
    </row>
    <row r="346" spans="4:4" ht="15.75" customHeight="1">
      <c r="D346" s="18"/>
    </row>
    <row r="347" spans="4:4" ht="15.75" customHeight="1">
      <c r="D347" s="18"/>
    </row>
    <row r="348" spans="4:4" ht="15.75" customHeight="1">
      <c r="D348" s="18"/>
    </row>
    <row r="349" spans="4:4" ht="15.75" customHeight="1">
      <c r="D349" s="18"/>
    </row>
    <row r="350" spans="4:4" ht="15.75" customHeight="1">
      <c r="D350" s="18"/>
    </row>
    <row r="351" spans="4:4" ht="15.75" customHeight="1">
      <c r="D351" s="18"/>
    </row>
    <row r="352" spans="4:4" ht="15.75" customHeight="1">
      <c r="D352" s="18"/>
    </row>
    <row r="353" spans="4:4" ht="15.75" customHeight="1">
      <c r="D353" s="18"/>
    </row>
    <row r="354" spans="4:4" ht="15.75" customHeight="1">
      <c r="D354" s="18"/>
    </row>
    <row r="355" spans="4:4" ht="15.75" customHeight="1">
      <c r="D355" s="18"/>
    </row>
    <row r="356" spans="4:4" ht="15.75" customHeight="1">
      <c r="D356" s="18"/>
    </row>
    <row r="357" spans="4:4" ht="15.75" customHeight="1">
      <c r="D357" s="18"/>
    </row>
    <row r="358" spans="4:4" ht="15.75" customHeight="1">
      <c r="D358" s="18"/>
    </row>
    <row r="359" spans="4:4" ht="15.75" customHeight="1">
      <c r="D359" s="18"/>
    </row>
    <row r="360" spans="4:4" ht="15.75" customHeight="1">
      <c r="D360" s="18"/>
    </row>
    <row r="361" spans="4:4" ht="15.75" customHeight="1">
      <c r="D361" s="18"/>
    </row>
    <row r="362" spans="4:4" ht="15.75" customHeight="1">
      <c r="D362" s="18"/>
    </row>
    <row r="363" spans="4:4" ht="15.75" customHeight="1">
      <c r="D363" s="18"/>
    </row>
    <row r="364" spans="4:4" ht="15.75" customHeight="1">
      <c r="D364" s="18"/>
    </row>
    <row r="365" spans="4:4" ht="15.75" customHeight="1">
      <c r="D365" s="18"/>
    </row>
    <row r="366" spans="4:4" ht="15.75" customHeight="1">
      <c r="D366" s="18"/>
    </row>
    <row r="367" spans="4:4" ht="15.75" customHeight="1">
      <c r="D367" s="18"/>
    </row>
    <row r="368" spans="4:4" ht="15.75" customHeight="1">
      <c r="D368" s="18"/>
    </row>
    <row r="369" spans="4:4" ht="15.75" customHeight="1">
      <c r="D369" s="18"/>
    </row>
    <row r="370" spans="4:4" ht="15.75" customHeight="1">
      <c r="D370" s="18"/>
    </row>
    <row r="371" spans="4:4" ht="15.75" customHeight="1">
      <c r="D371" s="18"/>
    </row>
    <row r="372" spans="4:4" ht="15.75" customHeight="1">
      <c r="D372" s="18"/>
    </row>
    <row r="373" spans="4:4" ht="15.75" customHeight="1">
      <c r="D373" s="18"/>
    </row>
    <row r="374" spans="4:4" ht="15.75" customHeight="1">
      <c r="D374" s="18"/>
    </row>
    <row r="375" spans="4:4" ht="15.75" customHeight="1">
      <c r="D375" s="18"/>
    </row>
    <row r="376" spans="4:4" ht="15.75" customHeight="1">
      <c r="D376" s="18"/>
    </row>
    <row r="377" spans="4:4" ht="15.75" customHeight="1">
      <c r="D377" s="18"/>
    </row>
    <row r="378" spans="4:4" ht="15.75" customHeight="1">
      <c r="D378" s="18"/>
    </row>
    <row r="379" spans="4:4" ht="15.75" customHeight="1">
      <c r="D379" s="18"/>
    </row>
    <row r="380" spans="4:4" ht="15.75" customHeight="1">
      <c r="D380" s="18"/>
    </row>
    <row r="381" spans="4:4" ht="15.75" customHeight="1">
      <c r="D381" s="18"/>
    </row>
    <row r="382" spans="4:4" ht="15.75" customHeight="1">
      <c r="D382" s="18"/>
    </row>
    <row r="383" spans="4:4" ht="15.75" customHeight="1">
      <c r="D383" s="18"/>
    </row>
    <row r="384" spans="4:4" ht="15.75" customHeight="1">
      <c r="D384" s="18"/>
    </row>
    <row r="385" spans="4:4" ht="15.75" customHeight="1">
      <c r="D385" s="18"/>
    </row>
    <row r="386" spans="4:4" ht="15.75" customHeight="1">
      <c r="D386" s="18"/>
    </row>
    <row r="387" spans="4:4" ht="15.75" customHeight="1">
      <c r="D387" s="18"/>
    </row>
    <row r="388" spans="4:4" ht="15.75" customHeight="1">
      <c r="D388" s="18"/>
    </row>
    <row r="389" spans="4:4" ht="15.75" customHeight="1">
      <c r="D389" s="18"/>
    </row>
    <row r="390" spans="4:4" ht="15.75" customHeight="1">
      <c r="D390" s="18"/>
    </row>
    <row r="391" spans="4:4" ht="15.75" customHeight="1">
      <c r="D391" s="18"/>
    </row>
    <row r="392" spans="4:4" ht="15.75" customHeight="1">
      <c r="D392" s="18"/>
    </row>
    <row r="393" spans="4:4" ht="15.75" customHeight="1">
      <c r="D393" s="18"/>
    </row>
    <row r="394" spans="4:4" ht="15.75" customHeight="1">
      <c r="D394" s="18"/>
    </row>
    <row r="395" spans="4:4" ht="15.75" customHeight="1">
      <c r="D395" s="18"/>
    </row>
    <row r="396" spans="4:4" ht="15.75" customHeight="1">
      <c r="D396" s="18"/>
    </row>
    <row r="397" spans="4:4" ht="15.75" customHeight="1">
      <c r="D397" s="18"/>
    </row>
    <row r="398" spans="4:4" ht="15.75" customHeight="1">
      <c r="D398" s="18"/>
    </row>
    <row r="399" spans="4:4" ht="15.75" customHeight="1">
      <c r="D399" s="18"/>
    </row>
    <row r="400" spans="4:4" ht="15.75" customHeight="1">
      <c r="D400" s="18"/>
    </row>
    <row r="401" spans="4:4" ht="15.75" customHeight="1">
      <c r="D401" s="18"/>
    </row>
    <row r="402" spans="4:4" ht="15.75" customHeight="1">
      <c r="D402" s="18"/>
    </row>
    <row r="403" spans="4:4" ht="15.75" customHeight="1">
      <c r="D403" s="18"/>
    </row>
    <row r="404" spans="4:4" ht="15.75" customHeight="1">
      <c r="D404" s="18"/>
    </row>
    <row r="405" spans="4:4" ht="15.75" customHeight="1">
      <c r="D405" s="18"/>
    </row>
    <row r="406" spans="4:4" ht="15.75" customHeight="1">
      <c r="D406" s="18"/>
    </row>
    <row r="407" spans="4:4" ht="15.75" customHeight="1">
      <c r="D407" s="18"/>
    </row>
    <row r="408" spans="4:4" ht="15.75" customHeight="1">
      <c r="D408" s="18"/>
    </row>
    <row r="409" spans="4:4" ht="15.75" customHeight="1">
      <c r="D409" s="18"/>
    </row>
    <row r="410" spans="4:4" ht="15.75" customHeight="1">
      <c r="D410" s="18"/>
    </row>
    <row r="411" spans="4:4" ht="15.75" customHeight="1">
      <c r="D411" s="18"/>
    </row>
    <row r="412" spans="4:4" ht="15.75" customHeight="1">
      <c r="D412" s="18"/>
    </row>
    <row r="413" spans="4:4" ht="15.75" customHeight="1">
      <c r="D413" s="18"/>
    </row>
    <row r="414" spans="4:4" ht="15.75" customHeight="1">
      <c r="D414" s="18"/>
    </row>
    <row r="415" spans="4:4" ht="15.75" customHeight="1">
      <c r="D415" s="18"/>
    </row>
    <row r="416" spans="4:4" ht="15.75" customHeight="1">
      <c r="D416" s="18"/>
    </row>
    <row r="417" spans="4:4" ht="15.75" customHeight="1">
      <c r="D417" s="18"/>
    </row>
    <row r="418" spans="4:4" ht="15.75" customHeight="1">
      <c r="D418" s="18"/>
    </row>
    <row r="419" spans="4:4" ht="15.75" customHeight="1">
      <c r="D419" s="18"/>
    </row>
    <row r="420" spans="4:4" ht="15.75" customHeight="1">
      <c r="D420" s="18"/>
    </row>
    <row r="421" spans="4:4" ht="15.75" customHeight="1">
      <c r="D421" s="18"/>
    </row>
    <row r="422" spans="4:4" ht="15.75" customHeight="1">
      <c r="D422" s="18"/>
    </row>
    <row r="423" spans="4:4" ht="15.75" customHeight="1">
      <c r="D423" s="18"/>
    </row>
    <row r="424" spans="4:4" ht="15.75" customHeight="1">
      <c r="D424" s="18"/>
    </row>
    <row r="425" spans="4:4" ht="15.75" customHeight="1">
      <c r="D425" s="18"/>
    </row>
    <row r="426" spans="4:4" ht="15.75" customHeight="1">
      <c r="D426" s="18"/>
    </row>
    <row r="427" spans="4:4" ht="15.75" customHeight="1">
      <c r="D427" s="18"/>
    </row>
    <row r="428" spans="4:4" ht="15.75" customHeight="1">
      <c r="D428" s="18"/>
    </row>
    <row r="429" spans="4:4" ht="15.75" customHeight="1">
      <c r="D429" s="18"/>
    </row>
    <row r="430" spans="4:4" ht="15.75" customHeight="1">
      <c r="D430" s="18"/>
    </row>
    <row r="431" spans="4:4" ht="15.75" customHeight="1">
      <c r="D431" s="18"/>
    </row>
    <row r="432" spans="4:4" ht="15.75" customHeight="1">
      <c r="D432" s="18"/>
    </row>
    <row r="433" spans="4:4" ht="15.75" customHeight="1">
      <c r="D433" s="18"/>
    </row>
    <row r="434" spans="4:4" ht="15.75" customHeight="1">
      <c r="D434" s="18"/>
    </row>
    <row r="435" spans="4:4" ht="15.75" customHeight="1">
      <c r="D435" s="18"/>
    </row>
    <row r="436" spans="4:4" ht="15.75" customHeight="1">
      <c r="D436" s="18"/>
    </row>
    <row r="437" spans="4:4" ht="15.75" customHeight="1">
      <c r="D437" s="18"/>
    </row>
    <row r="438" spans="4:4" ht="15.75" customHeight="1">
      <c r="D438" s="18"/>
    </row>
    <row r="439" spans="4:4" ht="15.75" customHeight="1">
      <c r="D439" s="18"/>
    </row>
    <row r="440" spans="4:4" ht="15.75" customHeight="1">
      <c r="D440" s="18"/>
    </row>
    <row r="441" spans="4:4" ht="15.75" customHeight="1">
      <c r="D441" s="18"/>
    </row>
    <row r="442" spans="4:4" ht="15.75" customHeight="1">
      <c r="D442" s="18"/>
    </row>
    <row r="443" spans="4:4" ht="15.75" customHeight="1">
      <c r="D443" s="18"/>
    </row>
    <row r="444" spans="4:4" ht="15.75" customHeight="1">
      <c r="D444" s="18"/>
    </row>
    <row r="445" spans="4:4" ht="15.75" customHeight="1">
      <c r="D445" s="18"/>
    </row>
    <row r="446" spans="4:4" ht="15.75" customHeight="1">
      <c r="D446" s="18"/>
    </row>
    <row r="447" spans="4:4" ht="15.75" customHeight="1">
      <c r="D447" s="18"/>
    </row>
    <row r="448" spans="4:4" ht="15.75" customHeight="1">
      <c r="D448" s="18"/>
    </row>
    <row r="449" spans="4:4" ht="15.75" customHeight="1">
      <c r="D449" s="18"/>
    </row>
    <row r="450" spans="4:4" ht="15.75" customHeight="1">
      <c r="D450" s="18"/>
    </row>
    <row r="451" spans="4:4" ht="15.75" customHeight="1">
      <c r="D451" s="18"/>
    </row>
    <row r="452" spans="4:4" ht="15.75" customHeight="1">
      <c r="D452" s="18"/>
    </row>
    <row r="453" spans="4:4" ht="15.75" customHeight="1">
      <c r="D453" s="18"/>
    </row>
    <row r="454" spans="4:4" ht="15.75" customHeight="1">
      <c r="D454" s="18"/>
    </row>
    <row r="455" spans="4:4" ht="15.75" customHeight="1">
      <c r="D455" s="18"/>
    </row>
    <row r="456" spans="4:4" ht="15.75" customHeight="1">
      <c r="D456" s="18"/>
    </row>
    <row r="457" spans="4:4" ht="15.75" customHeight="1">
      <c r="D457" s="18"/>
    </row>
    <row r="458" spans="4:4" ht="15.75" customHeight="1">
      <c r="D458" s="18"/>
    </row>
    <row r="459" spans="4:4" ht="15.75" customHeight="1">
      <c r="D459" s="18"/>
    </row>
    <row r="460" spans="4:4" ht="15.75" customHeight="1">
      <c r="D460" s="18"/>
    </row>
    <row r="461" spans="4:4" ht="15.75" customHeight="1">
      <c r="D461" s="18"/>
    </row>
    <row r="462" spans="4:4" ht="15.75" customHeight="1">
      <c r="D462" s="18"/>
    </row>
    <row r="463" spans="4:4" ht="15.75" customHeight="1">
      <c r="D463" s="18"/>
    </row>
    <row r="464" spans="4:4" ht="15.75" customHeight="1">
      <c r="D464" s="18"/>
    </row>
    <row r="465" spans="4:4" ht="15.75" customHeight="1">
      <c r="D465" s="18"/>
    </row>
    <row r="466" spans="4:4" ht="15.75" customHeight="1">
      <c r="D466" s="18"/>
    </row>
    <row r="467" spans="4:4" ht="15.75" customHeight="1">
      <c r="D467" s="18"/>
    </row>
    <row r="468" spans="4:4" ht="15.75" customHeight="1">
      <c r="D468" s="18"/>
    </row>
    <row r="469" spans="4:4" ht="15.75" customHeight="1">
      <c r="D469" s="18"/>
    </row>
    <row r="470" spans="4:4" ht="15.75" customHeight="1">
      <c r="D470" s="18"/>
    </row>
    <row r="471" spans="4:4" ht="15.75" customHeight="1">
      <c r="D471" s="18"/>
    </row>
    <row r="472" spans="4:4" ht="15.75" customHeight="1">
      <c r="D472" s="18"/>
    </row>
    <row r="473" spans="4:4" ht="15.75" customHeight="1">
      <c r="D473" s="18"/>
    </row>
    <row r="474" spans="4:4" ht="15.75" customHeight="1">
      <c r="D474" s="18"/>
    </row>
    <row r="475" spans="4:4" ht="15.75" customHeight="1">
      <c r="D475" s="18"/>
    </row>
    <row r="476" spans="4:4" ht="15.75" customHeight="1">
      <c r="D476" s="18"/>
    </row>
    <row r="477" spans="4:4" ht="15.75" customHeight="1">
      <c r="D477" s="18"/>
    </row>
    <row r="478" spans="4:4" ht="15.75" customHeight="1">
      <c r="D478" s="18"/>
    </row>
    <row r="479" spans="4:4" ht="15.75" customHeight="1">
      <c r="D479" s="18"/>
    </row>
    <row r="480" spans="4:4" ht="15.75" customHeight="1">
      <c r="D480" s="18"/>
    </row>
    <row r="481" spans="4:4" ht="15.75" customHeight="1">
      <c r="D481" s="18"/>
    </row>
    <row r="482" spans="4:4" ht="15.75" customHeight="1">
      <c r="D482" s="18"/>
    </row>
    <row r="483" spans="4:4" ht="15.75" customHeight="1">
      <c r="D483" s="18"/>
    </row>
    <row r="484" spans="4:4" ht="15.75" customHeight="1">
      <c r="D484" s="18"/>
    </row>
    <row r="485" spans="4:4" ht="15.75" customHeight="1">
      <c r="D485" s="18"/>
    </row>
    <row r="486" spans="4:4" ht="15.75" customHeight="1">
      <c r="D486" s="18"/>
    </row>
    <row r="487" spans="4:4" ht="15.75" customHeight="1">
      <c r="D487" s="18"/>
    </row>
    <row r="488" spans="4:4" ht="15.75" customHeight="1">
      <c r="D488" s="18"/>
    </row>
    <row r="489" spans="4:4" ht="15.75" customHeight="1">
      <c r="D489" s="18"/>
    </row>
    <row r="490" spans="4:4" ht="15.75" customHeight="1">
      <c r="D490" s="18"/>
    </row>
    <row r="491" spans="4:4" ht="15.75" customHeight="1">
      <c r="D491" s="18"/>
    </row>
    <row r="492" spans="4:4" ht="15.75" customHeight="1">
      <c r="D492" s="18"/>
    </row>
    <row r="493" spans="4:4" ht="15.75" customHeight="1">
      <c r="D493" s="18"/>
    </row>
    <row r="494" spans="4:4" ht="15.75" customHeight="1">
      <c r="D494" s="18"/>
    </row>
    <row r="495" spans="4:4" ht="15.75" customHeight="1">
      <c r="D495" s="18"/>
    </row>
    <row r="496" spans="4:4" ht="15.75" customHeight="1">
      <c r="D496" s="18"/>
    </row>
    <row r="497" spans="4:4" ht="15.75" customHeight="1">
      <c r="D497" s="18"/>
    </row>
    <row r="498" spans="4:4" ht="15.75" customHeight="1">
      <c r="D498" s="18"/>
    </row>
    <row r="499" spans="4:4" ht="15.75" customHeight="1">
      <c r="D499" s="18"/>
    </row>
    <row r="500" spans="4:4" ht="15.75" customHeight="1">
      <c r="D500" s="18"/>
    </row>
    <row r="501" spans="4:4" ht="15.75" customHeight="1">
      <c r="D501" s="18"/>
    </row>
    <row r="502" spans="4:4" ht="15.75" customHeight="1">
      <c r="D502" s="18"/>
    </row>
    <row r="503" spans="4:4" ht="15.75" customHeight="1">
      <c r="D503" s="18"/>
    </row>
    <row r="504" spans="4:4" ht="15.75" customHeight="1">
      <c r="D504" s="18"/>
    </row>
    <row r="505" spans="4:4" ht="15.75" customHeight="1">
      <c r="D505" s="18"/>
    </row>
    <row r="506" spans="4:4" ht="15.75" customHeight="1">
      <c r="D506" s="18"/>
    </row>
    <row r="507" spans="4:4" ht="15.75" customHeight="1">
      <c r="D507" s="18"/>
    </row>
    <row r="508" spans="4:4" ht="15.75" customHeight="1">
      <c r="D508" s="18"/>
    </row>
    <row r="509" spans="4:4" ht="15.75" customHeight="1">
      <c r="D509" s="18"/>
    </row>
    <row r="510" spans="4:4" ht="15.75" customHeight="1">
      <c r="D510" s="18"/>
    </row>
    <row r="511" spans="4:4" ht="15.75" customHeight="1">
      <c r="D511" s="18"/>
    </row>
    <row r="512" spans="4:4" ht="15.75" customHeight="1">
      <c r="D512" s="18"/>
    </row>
    <row r="513" spans="4:4" ht="15.75" customHeight="1">
      <c r="D513" s="18"/>
    </row>
    <row r="514" spans="4:4" ht="15.75" customHeight="1">
      <c r="D514" s="18"/>
    </row>
    <row r="515" spans="4:4" ht="15.75" customHeight="1">
      <c r="D515" s="18"/>
    </row>
    <row r="516" spans="4:4" ht="15.75" customHeight="1">
      <c r="D516" s="18"/>
    </row>
    <row r="517" spans="4:4" ht="15.75" customHeight="1">
      <c r="D517" s="18"/>
    </row>
    <row r="518" spans="4:4" ht="15.75" customHeight="1">
      <c r="D518" s="18"/>
    </row>
    <row r="519" spans="4:4" ht="15.75" customHeight="1">
      <c r="D519" s="18"/>
    </row>
    <row r="520" spans="4:4" ht="15.75" customHeight="1">
      <c r="D520" s="18"/>
    </row>
    <row r="521" spans="4:4" ht="15.75" customHeight="1">
      <c r="D521" s="18"/>
    </row>
    <row r="522" spans="4:4" ht="15.75" customHeight="1">
      <c r="D522" s="18"/>
    </row>
    <row r="523" spans="4:4" ht="15.75" customHeight="1">
      <c r="D523" s="18"/>
    </row>
    <row r="524" spans="4:4" ht="15.75" customHeight="1">
      <c r="D524" s="18"/>
    </row>
    <row r="525" spans="4:4" ht="15.75" customHeight="1">
      <c r="D525" s="18"/>
    </row>
    <row r="526" spans="4:4" ht="15.75" customHeight="1">
      <c r="D526" s="18"/>
    </row>
    <row r="527" spans="4:4" ht="15.75" customHeight="1">
      <c r="D527" s="18"/>
    </row>
    <row r="528" spans="4:4" ht="15.75" customHeight="1">
      <c r="D528" s="18"/>
    </row>
    <row r="529" spans="4:4" ht="15.75" customHeight="1">
      <c r="D529" s="18"/>
    </row>
    <row r="530" spans="4:4" ht="15.75" customHeight="1">
      <c r="D530" s="18"/>
    </row>
    <row r="531" spans="4:4" ht="15.75" customHeight="1">
      <c r="D531" s="18"/>
    </row>
    <row r="532" spans="4:4" ht="15.75" customHeight="1">
      <c r="D532" s="18"/>
    </row>
    <row r="533" spans="4:4" ht="15.75" customHeight="1">
      <c r="D533" s="18"/>
    </row>
    <row r="534" spans="4:4" ht="15.75" customHeight="1">
      <c r="D534" s="18"/>
    </row>
    <row r="535" spans="4:4" ht="15.75" customHeight="1">
      <c r="D535" s="18"/>
    </row>
    <row r="536" spans="4:4" ht="15.75" customHeight="1">
      <c r="D536" s="18"/>
    </row>
    <row r="537" spans="4:4" ht="15.75" customHeight="1">
      <c r="D537" s="18"/>
    </row>
    <row r="538" spans="4:4" ht="15.75" customHeight="1">
      <c r="D538" s="18"/>
    </row>
    <row r="539" spans="4:4" ht="15.75" customHeight="1">
      <c r="D539" s="18"/>
    </row>
    <row r="540" spans="4:4" ht="15.75" customHeight="1">
      <c r="D540" s="18"/>
    </row>
    <row r="541" spans="4:4" ht="15.75" customHeight="1">
      <c r="D541" s="18"/>
    </row>
    <row r="542" spans="4:4" ht="15.75" customHeight="1">
      <c r="D542" s="18"/>
    </row>
    <row r="543" spans="4:4" ht="15.75" customHeight="1">
      <c r="D543" s="18"/>
    </row>
    <row r="544" spans="4:4" ht="15.75" customHeight="1">
      <c r="D544" s="18"/>
    </row>
    <row r="545" spans="4:4" ht="15.75" customHeight="1">
      <c r="D545" s="18"/>
    </row>
    <row r="546" spans="4:4" ht="15.75" customHeight="1">
      <c r="D546" s="18"/>
    </row>
    <row r="547" spans="4:4" ht="15.75" customHeight="1">
      <c r="D547" s="18"/>
    </row>
    <row r="548" spans="4:4" ht="15.75" customHeight="1">
      <c r="D548" s="18"/>
    </row>
    <row r="549" spans="4:4" ht="15.75" customHeight="1">
      <c r="D549" s="18"/>
    </row>
    <row r="550" spans="4:4" ht="15.75" customHeight="1">
      <c r="D550" s="18"/>
    </row>
    <row r="551" spans="4:4" ht="15.75" customHeight="1">
      <c r="D551" s="18"/>
    </row>
    <row r="552" spans="4:4" ht="15.75" customHeight="1">
      <c r="D552" s="18"/>
    </row>
    <row r="553" spans="4:4" ht="15.75" customHeight="1">
      <c r="D553" s="18"/>
    </row>
    <row r="554" spans="4:4" ht="15.75" customHeight="1">
      <c r="D554" s="18"/>
    </row>
    <row r="555" spans="4:4" ht="15.75" customHeight="1">
      <c r="D555" s="18"/>
    </row>
    <row r="556" spans="4:4" ht="15.75" customHeight="1">
      <c r="D556" s="18"/>
    </row>
    <row r="557" spans="4:4" ht="15.75" customHeight="1">
      <c r="D557" s="18"/>
    </row>
    <row r="558" spans="4:4" ht="15.75" customHeight="1">
      <c r="D558" s="18"/>
    </row>
    <row r="559" spans="4:4" ht="15.75" customHeight="1">
      <c r="D559" s="18"/>
    </row>
    <row r="560" spans="4:4" ht="15.75" customHeight="1">
      <c r="D560" s="18"/>
    </row>
    <row r="561" spans="4:4" ht="15.75" customHeight="1">
      <c r="D561" s="18"/>
    </row>
    <row r="562" spans="4:4" ht="15.75" customHeight="1">
      <c r="D562" s="18"/>
    </row>
    <row r="563" spans="4:4" ht="15.75" customHeight="1">
      <c r="D563" s="18"/>
    </row>
    <row r="564" spans="4:4" ht="15.75" customHeight="1">
      <c r="D564" s="18"/>
    </row>
    <row r="565" spans="4:4" ht="15.75" customHeight="1">
      <c r="D565" s="18"/>
    </row>
    <row r="566" spans="4:4" ht="15.75" customHeight="1">
      <c r="D566" s="18"/>
    </row>
    <row r="567" spans="4:4" ht="15.75" customHeight="1">
      <c r="D567" s="18"/>
    </row>
    <row r="568" spans="4:4" ht="15.75" customHeight="1">
      <c r="D568" s="18"/>
    </row>
    <row r="569" spans="4:4" ht="15.75" customHeight="1">
      <c r="D569" s="18"/>
    </row>
    <row r="570" spans="4:4" ht="15.75" customHeight="1">
      <c r="D570" s="18"/>
    </row>
    <row r="571" spans="4:4" ht="15.75" customHeight="1">
      <c r="D571" s="18"/>
    </row>
    <row r="572" spans="4:4" ht="15.75" customHeight="1">
      <c r="D572" s="18"/>
    </row>
    <row r="573" spans="4:4" ht="15.75" customHeight="1">
      <c r="D573" s="18"/>
    </row>
    <row r="574" spans="4:4" ht="15.75" customHeight="1">
      <c r="D574" s="18"/>
    </row>
    <row r="575" spans="4:4" ht="15.75" customHeight="1">
      <c r="D575" s="18"/>
    </row>
    <row r="576" spans="4:4" ht="15.75" customHeight="1">
      <c r="D576" s="18"/>
    </row>
    <row r="577" spans="4:4" ht="15.75" customHeight="1">
      <c r="D577" s="18"/>
    </row>
    <row r="578" spans="4:4" ht="15.75" customHeight="1">
      <c r="D578" s="18"/>
    </row>
    <row r="579" spans="4:4" ht="15.75" customHeight="1">
      <c r="D579" s="18"/>
    </row>
    <row r="580" spans="4:4" ht="15.75" customHeight="1">
      <c r="D580" s="18"/>
    </row>
    <row r="581" spans="4:4" ht="15.75" customHeight="1">
      <c r="D581" s="18"/>
    </row>
    <row r="582" spans="4:4" ht="15.75" customHeight="1">
      <c r="D582" s="18"/>
    </row>
    <row r="583" spans="4:4" ht="15.75" customHeight="1">
      <c r="D583" s="18"/>
    </row>
    <row r="584" spans="4:4" ht="15.75" customHeight="1">
      <c r="D584" s="18"/>
    </row>
    <row r="585" spans="4:4" ht="15.75" customHeight="1">
      <c r="D585" s="18"/>
    </row>
    <row r="586" spans="4:4" ht="15.75" customHeight="1">
      <c r="D586" s="18"/>
    </row>
    <row r="587" spans="4:4" ht="15.75" customHeight="1">
      <c r="D587" s="18"/>
    </row>
    <row r="588" spans="4:4" ht="15.75" customHeight="1">
      <c r="D588" s="18"/>
    </row>
    <row r="589" spans="4:4" ht="15.75" customHeight="1">
      <c r="D589" s="18"/>
    </row>
    <row r="590" spans="4:4" ht="15.75" customHeight="1">
      <c r="D590" s="18"/>
    </row>
    <row r="591" spans="4:4" ht="15.75" customHeight="1">
      <c r="D591" s="18"/>
    </row>
    <row r="592" spans="4:4" ht="15.75" customHeight="1">
      <c r="D592" s="18"/>
    </row>
    <row r="593" spans="4:4" ht="15.75" customHeight="1">
      <c r="D593" s="18"/>
    </row>
    <row r="594" spans="4:4" ht="15.75" customHeight="1">
      <c r="D594" s="18"/>
    </row>
    <row r="595" spans="4:4" ht="15.75" customHeight="1">
      <c r="D595" s="18"/>
    </row>
    <row r="596" spans="4:4" ht="15.75" customHeight="1">
      <c r="D596" s="18"/>
    </row>
    <row r="597" spans="4:4" ht="15.75" customHeight="1">
      <c r="D597" s="18"/>
    </row>
    <row r="598" spans="4:4" ht="15.75" customHeight="1">
      <c r="D598" s="18"/>
    </row>
    <row r="599" spans="4:4" ht="15.75" customHeight="1">
      <c r="D599" s="18"/>
    </row>
    <row r="600" spans="4:4" ht="15.75" customHeight="1">
      <c r="D600" s="18"/>
    </row>
    <row r="601" spans="4:4" ht="15.75" customHeight="1">
      <c r="D601" s="18"/>
    </row>
    <row r="602" spans="4:4" ht="15.75" customHeight="1">
      <c r="D602" s="18"/>
    </row>
    <row r="603" spans="4:4" ht="15.75" customHeight="1">
      <c r="D603" s="18"/>
    </row>
    <row r="604" spans="4:4" ht="15.75" customHeight="1">
      <c r="D604" s="18"/>
    </row>
    <row r="605" spans="4:4" ht="15.75" customHeight="1">
      <c r="D605" s="18"/>
    </row>
    <row r="606" spans="4:4" ht="15.75" customHeight="1">
      <c r="D606" s="18"/>
    </row>
    <row r="607" spans="4:4" ht="15.75" customHeight="1">
      <c r="D607" s="18"/>
    </row>
    <row r="608" spans="4:4" ht="15.75" customHeight="1">
      <c r="D608" s="18"/>
    </row>
    <row r="609" spans="4:4" ht="15.75" customHeight="1">
      <c r="D609" s="18"/>
    </row>
    <row r="610" spans="4:4" ht="15.75" customHeight="1">
      <c r="D610" s="18"/>
    </row>
    <row r="611" spans="4:4" ht="15.75" customHeight="1">
      <c r="D611" s="18"/>
    </row>
    <row r="612" spans="4:4" ht="15.75" customHeight="1">
      <c r="D612" s="18"/>
    </row>
    <row r="613" spans="4:4" ht="15.75" customHeight="1">
      <c r="D613" s="18"/>
    </row>
    <row r="614" spans="4:4" ht="15.75" customHeight="1">
      <c r="D614" s="18"/>
    </row>
    <row r="615" spans="4:4" ht="15.75" customHeight="1">
      <c r="D615" s="18"/>
    </row>
    <row r="616" spans="4:4" ht="15.75" customHeight="1">
      <c r="D616" s="18"/>
    </row>
    <row r="617" spans="4:4" ht="15.75" customHeight="1">
      <c r="D617" s="18"/>
    </row>
    <row r="618" spans="4:4" ht="15.75" customHeight="1">
      <c r="D618" s="18"/>
    </row>
    <row r="619" spans="4:4" ht="15.75" customHeight="1">
      <c r="D619" s="18"/>
    </row>
    <row r="620" spans="4:4" ht="15.75" customHeight="1">
      <c r="D620" s="18"/>
    </row>
    <row r="621" spans="4:4" ht="15.75" customHeight="1">
      <c r="D621" s="18"/>
    </row>
    <row r="622" spans="4:4" ht="15.75" customHeight="1">
      <c r="D622" s="18"/>
    </row>
    <row r="623" spans="4:4" ht="15.75" customHeight="1">
      <c r="D623" s="18"/>
    </row>
    <row r="624" spans="4:4" ht="15.75" customHeight="1">
      <c r="D624" s="18"/>
    </row>
    <row r="625" spans="4:4" ht="15.75" customHeight="1">
      <c r="D625" s="18"/>
    </row>
    <row r="626" spans="4:4" ht="15.75" customHeight="1">
      <c r="D626" s="18"/>
    </row>
    <row r="627" spans="4:4" ht="15.75" customHeight="1">
      <c r="D627" s="18"/>
    </row>
    <row r="628" spans="4:4" ht="15.75" customHeight="1">
      <c r="D628" s="18"/>
    </row>
    <row r="629" spans="4:4" ht="15.75" customHeight="1">
      <c r="D629" s="18"/>
    </row>
    <row r="630" spans="4:4" ht="15.75" customHeight="1">
      <c r="D630" s="18"/>
    </row>
    <row r="631" spans="4:4" ht="15.75" customHeight="1">
      <c r="D631" s="18"/>
    </row>
    <row r="632" spans="4:4" ht="15.75" customHeight="1">
      <c r="D632" s="18"/>
    </row>
    <row r="633" spans="4:4" ht="15.75" customHeight="1">
      <c r="D633" s="18"/>
    </row>
    <row r="634" spans="4:4" ht="15.75" customHeight="1">
      <c r="D634" s="18"/>
    </row>
    <row r="635" spans="4:4" ht="15.75" customHeight="1">
      <c r="D635" s="18"/>
    </row>
    <row r="636" spans="4:4" ht="15.75" customHeight="1">
      <c r="D636" s="18"/>
    </row>
    <row r="637" spans="4:4" ht="15.75" customHeight="1">
      <c r="D637" s="18"/>
    </row>
    <row r="638" spans="4:4" ht="15.75" customHeight="1">
      <c r="D638" s="18"/>
    </row>
    <row r="639" spans="4:4" ht="15.75" customHeight="1">
      <c r="D639" s="18"/>
    </row>
    <row r="640" spans="4:4" ht="15.75" customHeight="1">
      <c r="D640" s="18"/>
    </row>
    <row r="641" spans="4:4" ht="15.75" customHeight="1">
      <c r="D641" s="18"/>
    </row>
    <row r="642" spans="4:4" ht="15.75" customHeight="1">
      <c r="D642" s="18"/>
    </row>
    <row r="643" spans="4:4" ht="15.75" customHeight="1">
      <c r="D643" s="18"/>
    </row>
    <row r="644" spans="4:4" ht="15.75" customHeight="1">
      <c r="D644" s="18"/>
    </row>
    <row r="645" spans="4:4" ht="15.75" customHeight="1">
      <c r="D645" s="18"/>
    </row>
    <row r="646" spans="4:4" ht="15.75" customHeight="1">
      <c r="D646" s="18"/>
    </row>
    <row r="647" spans="4:4" ht="15.75" customHeight="1">
      <c r="D647" s="18"/>
    </row>
    <row r="648" spans="4:4" ht="15.75" customHeight="1">
      <c r="D648" s="18"/>
    </row>
    <row r="649" spans="4:4" ht="15.75" customHeight="1">
      <c r="D649" s="18"/>
    </row>
    <row r="650" spans="4:4" ht="15.75" customHeight="1">
      <c r="D650" s="18"/>
    </row>
    <row r="651" spans="4:4" ht="15.75" customHeight="1">
      <c r="D651" s="18"/>
    </row>
    <row r="652" spans="4:4" ht="15.75" customHeight="1">
      <c r="D652" s="18"/>
    </row>
    <row r="653" spans="4:4" ht="15.75" customHeight="1">
      <c r="D653" s="18"/>
    </row>
    <row r="654" spans="4:4" ht="15.75" customHeight="1">
      <c r="D654" s="18"/>
    </row>
    <row r="655" spans="4:4" ht="15.75" customHeight="1">
      <c r="D655" s="18"/>
    </row>
    <row r="656" spans="4:4" ht="15.75" customHeight="1">
      <c r="D656" s="18"/>
    </row>
    <row r="657" spans="4:4" ht="15.75" customHeight="1">
      <c r="D657" s="18"/>
    </row>
    <row r="658" spans="4:4" ht="15.75" customHeight="1">
      <c r="D658" s="18"/>
    </row>
    <row r="659" spans="4:4" ht="15.75" customHeight="1">
      <c r="D659" s="18"/>
    </row>
    <row r="660" spans="4:4" ht="15.75" customHeight="1">
      <c r="D660" s="18"/>
    </row>
    <row r="661" spans="4:4" ht="15.75" customHeight="1">
      <c r="D661" s="18"/>
    </row>
    <row r="662" spans="4:4" ht="15.75" customHeight="1">
      <c r="D662" s="18"/>
    </row>
    <row r="663" spans="4:4" ht="15.75" customHeight="1">
      <c r="D663" s="18"/>
    </row>
    <row r="664" spans="4:4" ht="15.75" customHeight="1">
      <c r="D664" s="18"/>
    </row>
    <row r="665" spans="4:4" ht="15.75" customHeight="1">
      <c r="D665" s="18"/>
    </row>
    <row r="666" spans="4:4" ht="15.75" customHeight="1">
      <c r="D666" s="18"/>
    </row>
    <row r="667" spans="4:4" ht="15.75" customHeight="1">
      <c r="D667" s="18"/>
    </row>
    <row r="668" spans="4:4" ht="15.75" customHeight="1">
      <c r="D668" s="18"/>
    </row>
    <row r="669" spans="4:4" ht="15.75" customHeight="1">
      <c r="D669" s="18"/>
    </row>
    <row r="670" spans="4:4" ht="15.75" customHeight="1">
      <c r="D670" s="18"/>
    </row>
    <row r="671" spans="4:4" ht="15.75" customHeight="1">
      <c r="D671" s="18"/>
    </row>
    <row r="672" spans="4:4" ht="15.75" customHeight="1">
      <c r="D672" s="18"/>
    </row>
    <row r="673" spans="4:4" ht="15.75" customHeight="1">
      <c r="D673" s="18"/>
    </row>
    <row r="674" spans="4:4" ht="15.75" customHeight="1">
      <c r="D674" s="18"/>
    </row>
    <row r="675" spans="4:4" ht="15.75" customHeight="1">
      <c r="D675" s="18"/>
    </row>
    <row r="676" spans="4:4" ht="15.75" customHeight="1">
      <c r="D676" s="18"/>
    </row>
    <row r="677" spans="4:4" ht="15.75" customHeight="1">
      <c r="D677" s="18"/>
    </row>
    <row r="678" spans="4:4" ht="15.75" customHeight="1">
      <c r="D678" s="18"/>
    </row>
    <row r="679" spans="4:4" ht="15.75" customHeight="1">
      <c r="D679" s="18"/>
    </row>
    <row r="680" spans="4:4" ht="15.75" customHeight="1">
      <c r="D680" s="18"/>
    </row>
    <row r="681" spans="4:4" ht="15.75" customHeight="1">
      <c r="D681" s="18"/>
    </row>
    <row r="682" spans="4:4" ht="15.75" customHeight="1">
      <c r="D682" s="18"/>
    </row>
    <row r="683" spans="4:4" ht="15.75" customHeight="1">
      <c r="D683" s="18"/>
    </row>
    <row r="684" spans="4:4" ht="15.75" customHeight="1">
      <c r="D684" s="18"/>
    </row>
    <row r="685" spans="4:4" ht="15.75" customHeight="1">
      <c r="D685" s="18"/>
    </row>
    <row r="686" spans="4:4" ht="15.75" customHeight="1">
      <c r="D686" s="18"/>
    </row>
    <row r="687" spans="4:4" ht="15.75" customHeight="1">
      <c r="D687" s="18"/>
    </row>
    <row r="688" spans="4:4" ht="15.75" customHeight="1">
      <c r="D688" s="18"/>
    </row>
    <row r="689" spans="4:4" ht="15.75" customHeight="1">
      <c r="D689" s="18"/>
    </row>
    <row r="690" spans="4:4" ht="15.75" customHeight="1">
      <c r="D690" s="18"/>
    </row>
    <row r="691" spans="4:4" ht="15.75" customHeight="1">
      <c r="D691" s="18"/>
    </row>
    <row r="692" spans="4:4" ht="15.75" customHeight="1">
      <c r="D692" s="18"/>
    </row>
    <row r="693" spans="4:4" ht="15.75" customHeight="1">
      <c r="D693" s="18"/>
    </row>
    <row r="694" spans="4:4" ht="15.75" customHeight="1">
      <c r="D694" s="18"/>
    </row>
    <row r="695" spans="4:4" ht="15.75" customHeight="1">
      <c r="D695" s="18"/>
    </row>
    <row r="696" spans="4:4" ht="15.75" customHeight="1">
      <c r="D696" s="18"/>
    </row>
    <row r="697" spans="4:4" ht="15.75" customHeight="1">
      <c r="D697" s="18"/>
    </row>
    <row r="698" spans="4:4" ht="15.75" customHeight="1">
      <c r="D698" s="18"/>
    </row>
    <row r="699" spans="4:4" ht="15.75" customHeight="1">
      <c r="D699" s="18"/>
    </row>
    <row r="700" spans="4:4" ht="15.75" customHeight="1">
      <c r="D700" s="18"/>
    </row>
    <row r="701" spans="4:4" ht="15.75" customHeight="1">
      <c r="D701" s="18"/>
    </row>
    <row r="702" spans="4:4" ht="15.75" customHeight="1">
      <c r="D702" s="18"/>
    </row>
    <row r="703" spans="4:4" ht="15.75" customHeight="1">
      <c r="D703" s="18"/>
    </row>
    <row r="704" spans="4:4" ht="15.75" customHeight="1">
      <c r="D704" s="18"/>
    </row>
    <row r="705" spans="4:4" ht="15.75" customHeight="1">
      <c r="D705" s="18"/>
    </row>
    <row r="706" spans="4:4" ht="15.75" customHeight="1">
      <c r="D706" s="18"/>
    </row>
    <row r="707" spans="4:4" ht="15.75" customHeight="1">
      <c r="D707" s="18"/>
    </row>
    <row r="708" spans="4:4" ht="15.75" customHeight="1">
      <c r="D708" s="18"/>
    </row>
    <row r="709" spans="4:4" ht="15.75" customHeight="1">
      <c r="D709" s="18"/>
    </row>
    <row r="710" spans="4:4" ht="15.75" customHeight="1">
      <c r="D710" s="18"/>
    </row>
    <row r="711" spans="4:4" ht="15.75" customHeight="1">
      <c r="D711" s="18"/>
    </row>
    <row r="712" spans="4:4" ht="15.75" customHeight="1">
      <c r="D712" s="18"/>
    </row>
    <row r="713" spans="4:4" ht="15.75" customHeight="1">
      <c r="D713" s="18"/>
    </row>
    <row r="714" spans="4:4" ht="15.75" customHeight="1">
      <c r="D714" s="18"/>
    </row>
    <row r="715" spans="4:4" ht="15.75" customHeight="1">
      <c r="D715" s="18"/>
    </row>
    <row r="716" spans="4:4" ht="15.75" customHeight="1">
      <c r="D716" s="18"/>
    </row>
    <row r="717" spans="4:4" ht="15.75" customHeight="1">
      <c r="D717" s="18"/>
    </row>
    <row r="718" spans="4:4" ht="15.75" customHeight="1">
      <c r="D718" s="18"/>
    </row>
    <row r="719" spans="4:4" ht="15.75" customHeight="1">
      <c r="D719" s="18"/>
    </row>
    <row r="720" spans="4:4" ht="15.75" customHeight="1">
      <c r="D720" s="18"/>
    </row>
    <row r="721" spans="4:4" ht="15.75" customHeight="1">
      <c r="D721" s="18"/>
    </row>
    <row r="722" spans="4:4" ht="15.75" customHeight="1">
      <c r="D722" s="18"/>
    </row>
    <row r="723" spans="4:4" ht="15.75" customHeight="1">
      <c r="D723" s="18"/>
    </row>
    <row r="724" spans="4:4" ht="15.75" customHeight="1">
      <c r="D724" s="18"/>
    </row>
    <row r="725" spans="4:4" ht="15.75" customHeight="1">
      <c r="D725" s="18"/>
    </row>
    <row r="726" spans="4:4" ht="15.75" customHeight="1">
      <c r="D726" s="18"/>
    </row>
    <row r="727" spans="4:4" ht="15.75" customHeight="1">
      <c r="D727" s="18"/>
    </row>
    <row r="728" spans="4:4" ht="15.75" customHeight="1">
      <c r="D728" s="18"/>
    </row>
    <row r="729" spans="4:4" ht="15.75" customHeight="1">
      <c r="D729" s="18"/>
    </row>
    <row r="730" spans="4:4" ht="15.75" customHeight="1">
      <c r="D730" s="18"/>
    </row>
    <row r="731" spans="4:4" ht="15.75" customHeight="1">
      <c r="D731" s="18"/>
    </row>
    <row r="732" spans="4:4" ht="15.75" customHeight="1">
      <c r="D732" s="18"/>
    </row>
    <row r="733" spans="4:4" ht="15.75" customHeight="1">
      <c r="D733" s="18"/>
    </row>
    <row r="734" spans="4:4" ht="15.75" customHeight="1">
      <c r="D734" s="18"/>
    </row>
    <row r="735" spans="4:4" ht="15.75" customHeight="1">
      <c r="D735" s="18"/>
    </row>
    <row r="736" spans="4:4" ht="15.75" customHeight="1">
      <c r="D736" s="18"/>
    </row>
    <row r="737" spans="4:4" ht="15.75" customHeight="1">
      <c r="D737" s="18"/>
    </row>
    <row r="738" spans="4:4" ht="15.75" customHeight="1">
      <c r="D738" s="18"/>
    </row>
    <row r="739" spans="4:4" ht="15.75" customHeight="1">
      <c r="D739" s="18"/>
    </row>
    <row r="740" spans="4:4" ht="15.75" customHeight="1">
      <c r="D740" s="18"/>
    </row>
    <row r="741" spans="4:4" ht="15.75" customHeight="1">
      <c r="D741" s="18"/>
    </row>
    <row r="742" spans="4:4" ht="15.75" customHeight="1">
      <c r="D742" s="18"/>
    </row>
    <row r="743" spans="4:4" ht="15.75" customHeight="1">
      <c r="D743" s="18"/>
    </row>
    <row r="744" spans="4:4" ht="15.75" customHeight="1">
      <c r="D744" s="18"/>
    </row>
    <row r="745" spans="4:4" ht="15.75" customHeight="1">
      <c r="D745" s="18"/>
    </row>
    <row r="746" spans="4:4" ht="15.75" customHeight="1">
      <c r="D746" s="18"/>
    </row>
    <row r="747" spans="4:4" ht="15.75" customHeight="1">
      <c r="D747" s="18"/>
    </row>
    <row r="748" spans="4:4" ht="15.75" customHeight="1">
      <c r="D748" s="18"/>
    </row>
    <row r="749" spans="4:4" ht="15.75" customHeight="1">
      <c r="D749" s="18"/>
    </row>
    <row r="750" spans="4:4" ht="15.75" customHeight="1">
      <c r="D750" s="18"/>
    </row>
    <row r="751" spans="4:4" ht="15.75" customHeight="1">
      <c r="D751" s="18"/>
    </row>
    <row r="752" spans="4:4" ht="15.75" customHeight="1">
      <c r="D752" s="18"/>
    </row>
    <row r="753" spans="4:4" ht="15.75" customHeight="1">
      <c r="D753" s="18"/>
    </row>
    <row r="754" spans="4:4" ht="15.75" customHeight="1">
      <c r="D754" s="18"/>
    </row>
    <row r="755" spans="4:4" ht="15.75" customHeight="1">
      <c r="D755" s="18"/>
    </row>
    <row r="756" spans="4:4" ht="15.75" customHeight="1">
      <c r="D756" s="18"/>
    </row>
    <row r="757" spans="4:4" ht="15.75" customHeight="1">
      <c r="D757" s="18"/>
    </row>
    <row r="758" spans="4:4" ht="15.75" customHeight="1">
      <c r="D758" s="18"/>
    </row>
    <row r="759" spans="4:4" ht="15.75" customHeight="1">
      <c r="D759" s="18"/>
    </row>
    <row r="760" spans="4:4" ht="15.75" customHeight="1">
      <c r="D760" s="18"/>
    </row>
    <row r="761" spans="4:4" ht="15.75" customHeight="1">
      <c r="D761" s="18"/>
    </row>
    <row r="762" spans="4:4" ht="15.75" customHeight="1">
      <c r="D762" s="18"/>
    </row>
    <row r="763" spans="4:4" ht="15.75" customHeight="1">
      <c r="D763" s="18"/>
    </row>
    <row r="764" spans="4:4" ht="15.75" customHeight="1">
      <c r="D764" s="18"/>
    </row>
    <row r="765" spans="4:4" ht="15.75" customHeight="1">
      <c r="D765" s="18"/>
    </row>
    <row r="766" spans="4:4" ht="15.75" customHeight="1">
      <c r="D766" s="18"/>
    </row>
    <row r="767" spans="4:4" ht="15.75" customHeight="1">
      <c r="D767" s="18"/>
    </row>
    <row r="768" spans="4:4" ht="15.75" customHeight="1">
      <c r="D768" s="18"/>
    </row>
    <row r="769" spans="4:4" ht="15.75" customHeight="1">
      <c r="D769" s="18"/>
    </row>
    <row r="770" spans="4:4" ht="15.75" customHeight="1">
      <c r="D770" s="18"/>
    </row>
    <row r="771" spans="4:4" ht="15.75" customHeight="1">
      <c r="D771" s="18"/>
    </row>
    <row r="772" spans="4:4" ht="15.75" customHeight="1">
      <c r="D772" s="18"/>
    </row>
    <row r="773" spans="4:4" ht="15.75" customHeight="1">
      <c r="D773" s="18"/>
    </row>
    <row r="774" spans="4:4" ht="15.75" customHeight="1">
      <c r="D774" s="18"/>
    </row>
    <row r="775" spans="4:4" ht="15.75" customHeight="1">
      <c r="D775" s="18"/>
    </row>
    <row r="776" spans="4:4" ht="15.75" customHeight="1">
      <c r="D776" s="18"/>
    </row>
    <row r="777" spans="4:4" ht="15.75" customHeight="1">
      <c r="D777" s="18"/>
    </row>
    <row r="778" spans="4:4" ht="15.75" customHeight="1">
      <c r="D778" s="18"/>
    </row>
    <row r="779" spans="4:4" ht="15.75" customHeight="1">
      <c r="D779" s="18"/>
    </row>
    <row r="780" spans="4:4" ht="15.75" customHeight="1">
      <c r="D780" s="18"/>
    </row>
    <row r="781" spans="4:4" ht="15.75" customHeight="1">
      <c r="D781" s="18"/>
    </row>
    <row r="782" spans="4:4" ht="15.75" customHeight="1">
      <c r="D782" s="18"/>
    </row>
    <row r="783" spans="4:4" ht="15.75" customHeight="1">
      <c r="D783" s="18"/>
    </row>
    <row r="784" spans="4:4" ht="15.75" customHeight="1">
      <c r="D784" s="18"/>
    </row>
    <row r="785" spans="4:4" ht="15.75" customHeight="1">
      <c r="D785" s="18"/>
    </row>
    <row r="786" spans="4:4" ht="15.75" customHeight="1">
      <c r="D786" s="18"/>
    </row>
    <row r="787" spans="4:4" ht="15.75" customHeight="1">
      <c r="D787" s="18"/>
    </row>
    <row r="788" spans="4:4" ht="15.75" customHeight="1">
      <c r="D788" s="18"/>
    </row>
    <row r="789" spans="4:4" ht="15.75" customHeight="1">
      <c r="D789" s="18"/>
    </row>
    <row r="790" spans="4:4" ht="15.75" customHeight="1">
      <c r="D790" s="18"/>
    </row>
    <row r="791" spans="4:4" ht="15.75" customHeight="1">
      <c r="D791" s="18"/>
    </row>
    <row r="792" spans="4:4" ht="15.75" customHeight="1">
      <c r="D792" s="18"/>
    </row>
    <row r="793" spans="4:4" ht="15.75" customHeight="1">
      <c r="D793" s="18"/>
    </row>
    <row r="794" spans="4:4" ht="15.75" customHeight="1">
      <c r="D794" s="18"/>
    </row>
    <row r="795" spans="4:4" ht="15.75" customHeight="1">
      <c r="D795" s="18"/>
    </row>
    <row r="796" spans="4:4" ht="15.75" customHeight="1">
      <c r="D796" s="18"/>
    </row>
    <row r="797" spans="4:4" ht="15.75" customHeight="1">
      <c r="D797" s="18"/>
    </row>
    <row r="798" spans="4:4" ht="15.75" customHeight="1">
      <c r="D798" s="18"/>
    </row>
    <row r="799" spans="4:4" ht="15.75" customHeight="1">
      <c r="D799" s="18"/>
    </row>
    <row r="800" spans="4:4" ht="15.75" customHeight="1">
      <c r="D800" s="18"/>
    </row>
    <row r="801" spans="4:4" ht="15.75" customHeight="1">
      <c r="D801" s="18"/>
    </row>
    <row r="802" spans="4:4" ht="15.75" customHeight="1">
      <c r="D802" s="18"/>
    </row>
    <row r="803" spans="4:4" ht="15.75" customHeight="1">
      <c r="D803" s="18"/>
    </row>
    <row r="804" spans="4:4" ht="15.75" customHeight="1">
      <c r="D804" s="18"/>
    </row>
    <row r="805" spans="4:4" ht="15.75" customHeight="1">
      <c r="D805" s="18"/>
    </row>
    <row r="806" spans="4:4" ht="15.75" customHeight="1">
      <c r="D806" s="18"/>
    </row>
    <row r="807" spans="4:4" ht="15.75" customHeight="1">
      <c r="D807" s="18"/>
    </row>
    <row r="808" spans="4:4" ht="15.75" customHeight="1">
      <c r="D808" s="18"/>
    </row>
    <row r="809" spans="4:4" ht="15.75" customHeight="1">
      <c r="D809" s="18"/>
    </row>
    <row r="810" spans="4:4" ht="15.75" customHeight="1">
      <c r="D810" s="18"/>
    </row>
    <row r="811" spans="4:4" ht="15.75" customHeight="1">
      <c r="D811" s="18"/>
    </row>
    <row r="812" spans="4:4" ht="15.75" customHeight="1">
      <c r="D812" s="18"/>
    </row>
    <row r="813" spans="4:4" ht="15.75" customHeight="1">
      <c r="D813" s="18"/>
    </row>
    <row r="814" spans="4:4" ht="15.75" customHeight="1">
      <c r="D814" s="18"/>
    </row>
    <row r="815" spans="4:4" ht="15.75" customHeight="1">
      <c r="D815" s="18"/>
    </row>
    <row r="816" spans="4:4" ht="15.75" customHeight="1">
      <c r="D816" s="18"/>
    </row>
    <row r="817" spans="4:4" ht="15.75" customHeight="1">
      <c r="D817" s="18"/>
    </row>
    <row r="818" spans="4:4" ht="15.75" customHeight="1">
      <c r="D818" s="18"/>
    </row>
    <row r="819" spans="4:4" ht="15.75" customHeight="1">
      <c r="D819" s="18"/>
    </row>
    <row r="820" spans="4:4" ht="15.75" customHeight="1">
      <c r="D820" s="18"/>
    </row>
    <row r="821" spans="4:4" ht="15.75" customHeight="1">
      <c r="D821" s="18"/>
    </row>
    <row r="822" spans="4:4" ht="15.75" customHeight="1">
      <c r="D822" s="18"/>
    </row>
    <row r="823" spans="4:4" ht="15.75" customHeight="1">
      <c r="D823" s="18"/>
    </row>
    <row r="824" spans="4:4" ht="15.75" customHeight="1">
      <c r="D824" s="18"/>
    </row>
    <row r="825" spans="4:4" ht="15.75" customHeight="1">
      <c r="D825" s="18"/>
    </row>
    <row r="826" spans="4:4" ht="15.75" customHeight="1">
      <c r="D826" s="18"/>
    </row>
    <row r="827" spans="4:4" ht="15.75" customHeight="1">
      <c r="D827" s="18"/>
    </row>
    <row r="828" spans="4:4" ht="15.75" customHeight="1">
      <c r="D828" s="18"/>
    </row>
    <row r="829" spans="4:4" ht="15.75" customHeight="1">
      <c r="D829" s="18"/>
    </row>
    <row r="830" spans="4:4" ht="15.75" customHeight="1">
      <c r="D830" s="18"/>
    </row>
    <row r="831" spans="4:4" ht="15.75" customHeight="1">
      <c r="D831" s="18"/>
    </row>
    <row r="832" spans="4:4" ht="15.75" customHeight="1">
      <c r="D832" s="18"/>
    </row>
    <row r="833" spans="4:4" ht="15.75" customHeight="1">
      <c r="D833" s="18"/>
    </row>
    <row r="834" spans="4:4" ht="15.75" customHeight="1">
      <c r="D834" s="18"/>
    </row>
    <row r="835" spans="4:4" ht="15.75" customHeight="1">
      <c r="D835" s="18"/>
    </row>
    <row r="836" spans="4:4" ht="15.75" customHeight="1">
      <c r="D836" s="18"/>
    </row>
    <row r="837" spans="4:4" ht="15.75" customHeight="1">
      <c r="D837" s="18"/>
    </row>
    <row r="838" spans="4:4" ht="15.75" customHeight="1">
      <c r="D838" s="18"/>
    </row>
    <row r="839" spans="4:4" ht="15.75" customHeight="1">
      <c r="D839" s="18"/>
    </row>
    <row r="840" spans="4:4" ht="15.75" customHeight="1">
      <c r="D840" s="18"/>
    </row>
    <row r="841" spans="4:4" ht="15.75" customHeight="1">
      <c r="D841" s="18"/>
    </row>
    <row r="842" spans="4:4" ht="15.75" customHeight="1">
      <c r="D842" s="18"/>
    </row>
    <row r="843" spans="4:4" ht="15.75" customHeight="1">
      <c r="D843" s="18"/>
    </row>
    <row r="844" spans="4:4" ht="15.75" customHeight="1">
      <c r="D844" s="18"/>
    </row>
    <row r="845" spans="4:4" ht="15.75" customHeight="1">
      <c r="D845" s="18"/>
    </row>
    <row r="846" spans="4:4" ht="15.75" customHeight="1">
      <c r="D846" s="18"/>
    </row>
    <row r="847" spans="4:4" ht="15.75" customHeight="1">
      <c r="D847" s="18"/>
    </row>
    <row r="848" spans="4:4" ht="15.75" customHeight="1">
      <c r="D848" s="18"/>
    </row>
    <row r="849" spans="4:4" ht="15.75" customHeight="1">
      <c r="D849" s="18"/>
    </row>
    <row r="850" spans="4:4" ht="15.75" customHeight="1">
      <c r="D850" s="18"/>
    </row>
    <row r="851" spans="4:4" ht="15.75" customHeight="1">
      <c r="D851" s="18"/>
    </row>
    <row r="852" spans="4:4" ht="15.75" customHeight="1">
      <c r="D852" s="18"/>
    </row>
    <row r="853" spans="4:4" ht="15.75" customHeight="1">
      <c r="D853" s="18"/>
    </row>
    <row r="854" spans="4:4" ht="15.75" customHeight="1">
      <c r="D854" s="18"/>
    </row>
    <row r="855" spans="4:4" ht="15.75" customHeight="1">
      <c r="D855" s="18"/>
    </row>
    <row r="856" spans="4:4" ht="15.75" customHeight="1">
      <c r="D856" s="18"/>
    </row>
    <row r="857" spans="4:4" ht="15.75" customHeight="1">
      <c r="D857" s="18"/>
    </row>
    <row r="858" spans="4:4" ht="15.75" customHeight="1">
      <c r="D858" s="18"/>
    </row>
    <row r="859" spans="4:4" ht="15.75" customHeight="1">
      <c r="D859" s="18"/>
    </row>
    <row r="860" spans="4:4" ht="15.75" customHeight="1">
      <c r="D860" s="18"/>
    </row>
    <row r="861" spans="4:4" ht="15.75" customHeight="1">
      <c r="D861" s="18"/>
    </row>
    <row r="862" spans="4:4" ht="15.75" customHeight="1">
      <c r="D862" s="18"/>
    </row>
    <row r="863" spans="4:4" ht="15.75" customHeight="1">
      <c r="D863" s="18"/>
    </row>
    <row r="864" spans="4:4" ht="15.75" customHeight="1">
      <c r="D864" s="18"/>
    </row>
    <row r="865" spans="4:4" ht="15.75" customHeight="1">
      <c r="D865" s="18"/>
    </row>
    <row r="866" spans="4:4" ht="15.75" customHeight="1">
      <c r="D866" s="18"/>
    </row>
    <row r="867" spans="4:4" ht="15.75" customHeight="1">
      <c r="D867" s="18"/>
    </row>
    <row r="868" spans="4:4" ht="15.75" customHeight="1">
      <c r="D868" s="18"/>
    </row>
    <row r="869" spans="4:4" ht="15.75" customHeight="1">
      <c r="D869" s="18"/>
    </row>
    <row r="870" spans="4:4" ht="15.75" customHeight="1">
      <c r="D870" s="18"/>
    </row>
    <row r="871" spans="4:4" ht="15.75" customHeight="1">
      <c r="D871" s="18"/>
    </row>
    <row r="872" spans="4:4" ht="15.75" customHeight="1">
      <c r="D872" s="18"/>
    </row>
    <row r="873" spans="4:4" ht="15.75" customHeight="1">
      <c r="D873" s="18"/>
    </row>
    <row r="874" spans="4:4" ht="15.75" customHeight="1">
      <c r="D874" s="18"/>
    </row>
    <row r="875" spans="4:4" ht="15.75" customHeight="1">
      <c r="D875" s="18"/>
    </row>
    <row r="876" spans="4:4" ht="15.75" customHeight="1">
      <c r="D876" s="18"/>
    </row>
    <row r="877" spans="4:4" ht="15.75" customHeight="1">
      <c r="D877" s="18"/>
    </row>
    <row r="878" spans="4:4" ht="15.75" customHeight="1">
      <c r="D878" s="18"/>
    </row>
    <row r="879" spans="4:4" ht="15.75" customHeight="1">
      <c r="D879" s="18"/>
    </row>
    <row r="880" spans="4:4" ht="15.75" customHeight="1">
      <c r="D880" s="18"/>
    </row>
    <row r="881" spans="4:4" ht="15.75" customHeight="1">
      <c r="D881" s="18"/>
    </row>
    <row r="882" spans="4:4" ht="15.75" customHeight="1">
      <c r="D882" s="18"/>
    </row>
    <row r="883" spans="4:4" ht="15.75" customHeight="1">
      <c r="D883" s="18"/>
    </row>
    <row r="884" spans="4:4" ht="15.75" customHeight="1">
      <c r="D884" s="18"/>
    </row>
    <row r="885" spans="4:4" ht="15.75" customHeight="1">
      <c r="D885" s="18"/>
    </row>
    <row r="886" spans="4:4" ht="15.75" customHeight="1">
      <c r="D886" s="18"/>
    </row>
    <row r="887" spans="4:4" ht="15.75" customHeight="1">
      <c r="D887" s="18"/>
    </row>
    <row r="888" spans="4:4" ht="15.75" customHeight="1">
      <c r="D888" s="18"/>
    </row>
    <row r="889" spans="4:4" ht="15.75" customHeight="1">
      <c r="D889" s="18"/>
    </row>
    <row r="890" spans="4:4" ht="15.75" customHeight="1">
      <c r="D890" s="18"/>
    </row>
    <row r="891" spans="4:4" ht="15.75" customHeight="1">
      <c r="D891" s="18"/>
    </row>
    <row r="892" spans="4:4" ht="15.75" customHeight="1">
      <c r="D892" s="18"/>
    </row>
    <row r="893" spans="4:4" ht="15.75" customHeight="1">
      <c r="D893" s="18"/>
    </row>
    <row r="894" spans="4:4" ht="15.75" customHeight="1">
      <c r="D894" s="18"/>
    </row>
    <row r="895" spans="4:4" ht="15.75" customHeight="1">
      <c r="D895" s="18"/>
    </row>
    <row r="896" spans="4:4" ht="15.75" customHeight="1">
      <c r="D896" s="18"/>
    </row>
    <row r="897" spans="4:4" ht="15.75" customHeight="1">
      <c r="D897" s="18"/>
    </row>
    <row r="898" spans="4:4" ht="15.75" customHeight="1">
      <c r="D898" s="18"/>
    </row>
    <row r="899" spans="4:4" ht="15.75" customHeight="1">
      <c r="D899" s="18"/>
    </row>
    <row r="900" spans="4:4" ht="15.75" customHeight="1">
      <c r="D900" s="18"/>
    </row>
    <row r="901" spans="4:4" ht="15.75" customHeight="1">
      <c r="D901" s="18"/>
    </row>
    <row r="902" spans="4:4" ht="15.75" customHeight="1">
      <c r="D902" s="18"/>
    </row>
    <row r="903" spans="4:4" ht="15.75" customHeight="1">
      <c r="D903" s="18"/>
    </row>
    <row r="904" spans="4:4" ht="15.75" customHeight="1">
      <c r="D904" s="18"/>
    </row>
    <row r="905" spans="4:4" ht="15.75" customHeight="1">
      <c r="D905" s="18"/>
    </row>
    <row r="906" spans="4:4" ht="15.75" customHeight="1">
      <c r="D906" s="18"/>
    </row>
    <row r="907" spans="4:4" ht="15.75" customHeight="1">
      <c r="D907" s="18"/>
    </row>
    <row r="908" spans="4:4" ht="15.75" customHeight="1">
      <c r="D908" s="18"/>
    </row>
    <row r="909" spans="4:4" ht="15.75" customHeight="1">
      <c r="D909" s="18"/>
    </row>
    <row r="910" spans="4:4" ht="15.75" customHeight="1">
      <c r="D910" s="18"/>
    </row>
    <row r="911" spans="4:4" ht="15.75" customHeight="1">
      <c r="D911" s="18"/>
    </row>
    <row r="912" spans="4:4" ht="15.75" customHeight="1">
      <c r="D912" s="18"/>
    </row>
    <row r="913" spans="4:4" ht="15.75" customHeight="1">
      <c r="D913" s="18"/>
    </row>
    <row r="914" spans="4:4" ht="15.75" customHeight="1">
      <c r="D914" s="18"/>
    </row>
    <row r="915" spans="4:4" ht="15.75" customHeight="1">
      <c r="D915" s="18"/>
    </row>
    <row r="916" spans="4:4" ht="15.75" customHeight="1">
      <c r="D916" s="18"/>
    </row>
    <row r="917" spans="4:4" ht="15.75" customHeight="1">
      <c r="D917" s="18"/>
    </row>
    <row r="918" spans="4:4" ht="15.75" customHeight="1">
      <c r="D918" s="18"/>
    </row>
    <row r="919" spans="4:4" ht="15.75" customHeight="1">
      <c r="D919" s="18"/>
    </row>
    <row r="920" spans="4:4" ht="15.75" customHeight="1">
      <c r="D920" s="18"/>
    </row>
    <row r="921" spans="4:4" ht="15.75" customHeight="1">
      <c r="D921" s="18"/>
    </row>
    <row r="922" spans="4:4" ht="15.75" customHeight="1">
      <c r="D922" s="18"/>
    </row>
    <row r="923" spans="4:4" ht="15.75" customHeight="1">
      <c r="D923" s="18"/>
    </row>
    <row r="924" spans="4:4" ht="15.75" customHeight="1">
      <c r="D924" s="18"/>
    </row>
    <row r="925" spans="4:4" ht="15.75" customHeight="1">
      <c r="D925" s="18"/>
    </row>
    <row r="926" spans="4:4" ht="15.75" customHeight="1">
      <c r="D926" s="18"/>
    </row>
    <row r="927" spans="4:4" ht="15.75" customHeight="1">
      <c r="D927" s="18"/>
    </row>
    <row r="928" spans="4:4" ht="15.75" customHeight="1">
      <c r="D928" s="18"/>
    </row>
    <row r="929" spans="4:4" ht="15.75" customHeight="1">
      <c r="D929" s="18"/>
    </row>
    <row r="930" spans="4:4" ht="15.75" customHeight="1">
      <c r="D930" s="18"/>
    </row>
    <row r="931" spans="4:4" ht="15.75" customHeight="1">
      <c r="D931" s="18"/>
    </row>
    <row r="932" spans="4:4" ht="15.75" customHeight="1">
      <c r="D932" s="18"/>
    </row>
    <row r="933" spans="4:4" ht="15.75" customHeight="1">
      <c r="D933" s="18"/>
    </row>
    <row r="934" spans="4:4" ht="15.75" customHeight="1">
      <c r="D934" s="18"/>
    </row>
    <row r="935" spans="4:4" ht="15.75" customHeight="1">
      <c r="D935" s="18"/>
    </row>
    <row r="936" spans="4:4" ht="15.75" customHeight="1">
      <c r="D936" s="18"/>
    </row>
    <row r="937" spans="4:4" ht="15.75" customHeight="1">
      <c r="D937" s="18"/>
    </row>
    <row r="938" spans="4:4" ht="15.75" customHeight="1">
      <c r="D938" s="18"/>
    </row>
    <row r="939" spans="4:4" ht="15.75" customHeight="1">
      <c r="D939" s="18"/>
    </row>
    <row r="940" spans="4:4" ht="15.75" customHeight="1">
      <c r="D940" s="18"/>
    </row>
    <row r="941" spans="4:4" ht="15.75" customHeight="1">
      <c r="D941" s="18"/>
    </row>
    <row r="942" spans="4:4" ht="15.75" customHeight="1">
      <c r="D942" s="18"/>
    </row>
    <row r="943" spans="4:4" ht="15.75" customHeight="1">
      <c r="D943" s="18"/>
    </row>
    <row r="944" spans="4:4" ht="15.75" customHeight="1">
      <c r="D944" s="18"/>
    </row>
    <row r="945" spans="4:4" ht="15.75" customHeight="1">
      <c r="D945" s="18"/>
    </row>
    <row r="946" spans="4:4" ht="15.75" customHeight="1">
      <c r="D946" s="18"/>
    </row>
    <row r="947" spans="4:4" ht="15.75" customHeight="1">
      <c r="D947" s="18"/>
    </row>
    <row r="948" spans="4:4" ht="15.75" customHeight="1">
      <c r="D948" s="18"/>
    </row>
    <row r="949" spans="4:4" ht="15.75" customHeight="1">
      <c r="D949" s="18"/>
    </row>
    <row r="950" spans="4:4" ht="15.75" customHeight="1">
      <c r="D950" s="18"/>
    </row>
    <row r="951" spans="4:4" ht="15.75" customHeight="1">
      <c r="D951" s="18"/>
    </row>
    <row r="952" spans="4:4" ht="15.75" customHeight="1">
      <c r="D952" s="18"/>
    </row>
    <row r="953" spans="4:4" ht="15.75" customHeight="1">
      <c r="D953" s="18"/>
    </row>
    <row r="954" spans="4:4" ht="15.75" customHeight="1">
      <c r="D954" s="18"/>
    </row>
    <row r="955" spans="4:4" ht="15.75" customHeight="1">
      <c r="D955" s="18"/>
    </row>
    <row r="956" spans="4:4" ht="15.75" customHeight="1">
      <c r="D956" s="18"/>
    </row>
    <row r="957" spans="4:4" ht="15.75" customHeight="1">
      <c r="D957" s="18"/>
    </row>
    <row r="958" spans="4:4" ht="15.75" customHeight="1">
      <c r="D958" s="18"/>
    </row>
    <row r="959" spans="4:4" ht="15.75" customHeight="1">
      <c r="D959" s="18"/>
    </row>
    <row r="960" spans="4:4" ht="15.75" customHeight="1">
      <c r="D960" s="18"/>
    </row>
    <row r="961" spans="4:4" ht="15.75" customHeight="1">
      <c r="D961" s="18"/>
    </row>
    <row r="962" spans="4:4" ht="15.75" customHeight="1">
      <c r="D962" s="18"/>
    </row>
    <row r="963" spans="4:4" ht="15.75" customHeight="1">
      <c r="D963" s="18"/>
    </row>
    <row r="964" spans="4:4" ht="15.75" customHeight="1">
      <c r="D964" s="18"/>
    </row>
    <row r="965" spans="4:4" ht="15.75" customHeight="1">
      <c r="D965" s="18"/>
    </row>
    <row r="966" spans="4:4" ht="15.75" customHeight="1">
      <c r="D966" s="18"/>
    </row>
    <row r="967" spans="4:4" ht="15.75" customHeight="1">
      <c r="D967" s="18"/>
    </row>
    <row r="968" spans="4:4" ht="15.75" customHeight="1">
      <c r="D968" s="18"/>
    </row>
    <row r="969" spans="4:4" ht="15.75" customHeight="1">
      <c r="D969" s="18"/>
    </row>
    <row r="970" spans="4:4" ht="15.75" customHeight="1">
      <c r="D970" s="18"/>
    </row>
    <row r="971" spans="4:4" ht="15.75" customHeight="1">
      <c r="D971" s="18"/>
    </row>
    <row r="972" spans="4:4" ht="15.75" customHeight="1">
      <c r="D972" s="18"/>
    </row>
    <row r="973" spans="4:4" ht="15.75" customHeight="1">
      <c r="D973" s="18"/>
    </row>
    <row r="974" spans="4:4" ht="15.75" customHeight="1">
      <c r="D974" s="18"/>
    </row>
    <row r="975" spans="4:4" ht="15.75" customHeight="1">
      <c r="D975" s="18"/>
    </row>
    <row r="976" spans="4:4" ht="15.75" customHeight="1">
      <c r="D976" s="18"/>
    </row>
    <row r="977" spans="4:4" ht="15.75" customHeight="1">
      <c r="D977" s="18"/>
    </row>
    <row r="978" spans="4:4" ht="15.75" customHeight="1">
      <c r="D978" s="18"/>
    </row>
    <row r="979" spans="4:4" ht="15.75" customHeight="1">
      <c r="D979" s="18"/>
    </row>
    <row r="980" spans="4:4" ht="15.75" customHeight="1">
      <c r="D980" s="18"/>
    </row>
    <row r="981" spans="4:4" ht="15.75" customHeight="1">
      <c r="D981" s="18"/>
    </row>
    <row r="982" spans="4:4" ht="15.75" customHeight="1">
      <c r="D982" s="18"/>
    </row>
    <row r="983" spans="4:4" ht="15.75" customHeight="1">
      <c r="D983" s="18"/>
    </row>
    <row r="984" spans="4:4" ht="15.75" customHeight="1">
      <c r="D984" s="18"/>
    </row>
    <row r="985" spans="4:4" ht="15.75" customHeight="1">
      <c r="D985" s="18"/>
    </row>
    <row r="986" spans="4:4" ht="15.75" customHeight="1">
      <c r="D986" s="18"/>
    </row>
    <row r="987" spans="4:4" ht="15.75" customHeight="1">
      <c r="D987" s="18"/>
    </row>
    <row r="988" spans="4:4" ht="15.75" customHeight="1">
      <c r="D988" s="18"/>
    </row>
    <row r="989" spans="4:4" ht="15.75" customHeight="1">
      <c r="D989" s="18"/>
    </row>
    <row r="990" spans="4:4" ht="15.75" customHeight="1">
      <c r="D990" s="18"/>
    </row>
    <row r="991" spans="4:4" ht="15.75" customHeight="1">
      <c r="D991" s="18"/>
    </row>
    <row r="992" spans="4:4" ht="15.75" customHeight="1">
      <c r="D992" s="18"/>
    </row>
    <row r="993" spans="4:4" ht="15.75" customHeight="1">
      <c r="D993" s="18"/>
    </row>
    <row r="994" spans="4:4" ht="15.75" customHeight="1">
      <c r="D994" s="18"/>
    </row>
    <row r="995" spans="4:4" ht="15.75" customHeight="1">
      <c r="D995" s="18"/>
    </row>
    <row r="996" spans="4:4" ht="15.75" customHeight="1">
      <c r="D996" s="18"/>
    </row>
    <row r="997" spans="4:4" ht="15.75" customHeight="1">
      <c r="D997" s="18"/>
    </row>
    <row r="998" spans="4:4" ht="15.75" customHeight="1">
      <c r="D998" s="18"/>
    </row>
    <row r="999" spans="4:4" ht="15.75" customHeight="1">
      <c r="D999" s="18"/>
    </row>
    <row r="1000" spans="4:4" ht="15.75" customHeight="1">
      <c r="D1000" s="18"/>
    </row>
  </sheetData>
  <phoneticPr fontId="20" type="noConversion"/>
  <pageMargins left="0.7" right="0.7" top="0.75" bottom="0.75" header="0" footer="0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11EE-F472-4E8A-9A44-B6CC513C2240}">
  <dimension ref="A1:AW10"/>
  <sheetViews>
    <sheetView workbookViewId="0">
      <selection activeCell="A11" sqref="A11"/>
    </sheetView>
  </sheetViews>
  <sheetFormatPr defaultRowHeight="15"/>
  <cols>
    <col min="2" max="49" width="5.7109375" customWidth="1"/>
  </cols>
  <sheetData>
    <row r="1" spans="1:49" ht="15.75" thickBot="1">
      <c r="A1" s="57"/>
      <c r="B1" s="101" t="s">
        <v>271</v>
      </c>
      <c r="C1" s="102"/>
      <c r="D1" s="102"/>
      <c r="E1" s="102"/>
      <c r="F1" s="102"/>
      <c r="G1" s="102"/>
      <c r="H1" s="101" t="s">
        <v>277</v>
      </c>
      <c r="I1" s="102"/>
      <c r="J1" s="102"/>
      <c r="K1" s="102"/>
      <c r="L1" s="102"/>
      <c r="M1" s="102"/>
      <c r="N1" s="101" t="s">
        <v>278</v>
      </c>
      <c r="O1" s="102"/>
      <c r="P1" s="102"/>
      <c r="Q1" s="102"/>
      <c r="R1" s="102"/>
      <c r="S1" s="102"/>
      <c r="T1" s="101" t="s">
        <v>279</v>
      </c>
      <c r="U1" s="102"/>
      <c r="V1" s="102"/>
      <c r="W1" s="102"/>
      <c r="X1" s="102"/>
      <c r="Y1" s="102"/>
      <c r="Z1" s="101" t="s">
        <v>280</v>
      </c>
      <c r="AA1" s="102"/>
      <c r="AB1" s="102"/>
      <c r="AC1" s="102"/>
      <c r="AD1" s="102"/>
      <c r="AE1" s="102"/>
      <c r="AF1" s="101" t="s">
        <v>281</v>
      </c>
      <c r="AG1" s="102"/>
      <c r="AH1" s="102"/>
      <c r="AI1" s="102"/>
      <c r="AJ1" s="102"/>
      <c r="AK1" s="102"/>
      <c r="AL1" s="101" t="s">
        <v>282</v>
      </c>
      <c r="AM1" s="102"/>
      <c r="AN1" s="102"/>
      <c r="AO1" s="102"/>
      <c r="AP1" s="102"/>
      <c r="AQ1" s="102"/>
      <c r="AR1" s="101" t="s">
        <v>283</v>
      </c>
      <c r="AS1" s="102"/>
      <c r="AT1" s="102"/>
      <c r="AU1" s="102"/>
      <c r="AV1" s="102"/>
      <c r="AW1" s="102"/>
    </row>
    <row r="2" spans="1:49" ht="15.75" thickBot="1">
      <c r="A2" s="56" t="s">
        <v>270</v>
      </c>
      <c r="B2" s="37" t="s">
        <v>272</v>
      </c>
      <c r="C2" s="38" t="s">
        <v>273</v>
      </c>
      <c r="D2" s="39" t="s">
        <v>274</v>
      </c>
      <c r="E2" s="42" t="s">
        <v>275</v>
      </c>
      <c r="F2" s="41" t="s">
        <v>276</v>
      </c>
      <c r="G2" s="40" t="s">
        <v>262</v>
      </c>
      <c r="H2" s="37" t="s">
        <v>272</v>
      </c>
      <c r="I2" s="38" t="s">
        <v>273</v>
      </c>
      <c r="J2" s="39" t="s">
        <v>274</v>
      </c>
      <c r="K2" s="42" t="s">
        <v>275</v>
      </c>
      <c r="L2" s="41" t="s">
        <v>276</v>
      </c>
      <c r="M2" s="40" t="s">
        <v>262</v>
      </c>
      <c r="N2" s="37" t="s">
        <v>272</v>
      </c>
      <c r="O2" s="38" t="s">
        <v>273</v>
      </c>
      <c r="P2" s="39" t="s">
        <v>274</v>
      </c>
      <c r="Q2" s="42" t="s">
        <v>275</v>
      </c>
      <c r="R2" s="41" t="s">
        <v>276</v>
      </c>
      <c r="S2" s="40" t="s">
        <v>262</v>
      </c>
      <c r="T2" s="37" t="s">
        <v>272</v>
      </c>
      <c r="U2" s="38" t="s">
        <v>273</v>
      </c>
      <c r="V2" s="39" t="s">
        <v>274</v>
      </c>
      <c r="W2" s="42" t="s">
        <v>275</v>
      </c>
      <c r="X2" s="41" t="s">
        <v>276</v>
      </c>
      <c r="Y2" s="40" t="s">
        <v>262</v>
      </c>
      <c r="Z2" s="37" t="s">
        <v>272</v>
      </c>
      <c r="AA2" s="38" t="s">
        <v>273</v>
      </c>
      <c r="AB2" s="39" t="s">
        <v>274</v>
      </c>
      <c r="AC2" s="42" t="s">
        <v>275</v>
      </c>
      <c r="AD2" s="41" t="s">
        <v>276</v>
      </c>
      <c r="AE2" s="40" t="s">
        <v>262</v>
      </c>
      <c r="AF2" s="37" t="s">
        <v>272</v>
      </c>
      <c r="AG2" s="38" t="s">
        <v>273</v>
      </c>
      <c r="AH2" s="39" t="s">
        <v>274</v>
      </c>
      <c r="AI2" s="42" t="s">
        <v>275</v>
      </c>
      <c r="AJ2" s="41" t="s">
        <v>276</v>
      </c>
      <c r="AK2" s="40" t="s">
        <v>262</v>
      </c>
      <c r="AL2" s="37" t="s">
        <v>272</v>
      </c>
      <c r="AM2" s="38" t="s">
        <v>273</v>
      </c>
      <c r="AN2" s="39" t="s">
        <v>274</v>
      </c>
      <c r="AO2" s="42" t="s">
        <v>275</v>
      </c>
      <c r="AP2" s="41" t="s">
        <v>276</v>
      </c>
      <c r="AQ2" s="40" t="s">
        <v>262</v>
      </c>
      <c r="AR2" s="37" t="s">
        <v>272</v>
      </c>
      <c r="AS2" s="38" t="s">
        <v>273</v>
      </c>
      <c r="AT2" s="39" t="s">
        <v>274</v>
      </c>
      <c r="AU2" s="42" t="s">
        <v>275</v>
      </c>
      <c r="AV2" s="41" t="s">
        <v>276</v>
      </c>
      <c r="AW2" s="40" t="s">
        <v>262</v>
      </c>
    </row>
    <row r="3" spans="1:49" ht="15.75" thickBot="1">
      <c r="A3" s="55">
        <v>1</v>
      </c>
      <c r="B3" s="43">
        <v>350</v>
      </c>
      <c r="C3" s="45">
        <v>226</v>
      </c>
      <c r="D3" s="47">
        <v>30</v>
      </c>
      <c r="E3" s="49">
        <v>30</v>
      </c>
      <c r="F3" s="51">
        <v>25</v>
      </c>
      <c r="G3" s="53">
        <v>15</v>
      </c>
      <c r="H3" s="43">
        <v>440</v>
      </c>
      <c r="I3" s="45">
        <v>203</v>
      </c>
      <c r="J3" s="47">
        <v>45</v>
      </c>
      <c r="K3" s="49">
        <v>20</v>
      </c>
      <c r="L3" s="51">
        <v>25</v>
      </c>
      <c r="M3" s="53">
        <v>15</v>
      </c>
      <c r="N3" s="43">
        <v>510</v>
      </c>
      <c r="O3" s="45">
        <v>249</v>
      </c>
      <c r="P3" s="47">
        <v>20</v>
      </c>
      <c r="Q3" s="49">
        <v>20</v>
      </c>
      <c r="R3" s="51">
        <v>40</v>
      </c>
      <c r="S3" s="53">
        <v>15</v>
      </c>
      <c r="T3" s="43">
        <v>220</v>
      </c>
      <c r="U3" s="45">
        <v>203</v>
      </c>
      <c r="V3" s="47">
        <v>45</v>
      </c>
      <c r="W3" s="49">
        <v>45</v>
      </c>
      <c r="X3" s="51">
        <v>20</v>
      </c>
      <c r="Y3" s="53">
        <v>15</v>
      </c>
      <c r="Z3" s="43">
        <v>310</v>
      </c>
      <c r="AA3" s="45">
        <v>190</v>
      </c>
      <c r="AB3" s="47">
        <v>30</v>
      </c>
      <c r="AC3" s="49">
        <v>45</v>
      </c>
      <c r="AD3" s="51">
        <v>25</v>
      </c>
      <c r="AE3" s="53">
        <v>15</v>
      </c>
      <c r="AF3" s="43">
        <v>490</v>
      </c>
      <c r="AG3" s="45">
        <v>231</v>
      </c>
      <c r="AH3" s="47">
        <v>25</v>
      </c>
      <c r="AI3" s="49">
        <v>25</v>
      </c>
      <c r="AJ3" s="51">
        <v>25</v>
      </c>
      <c r="AK3" s="53">
        <v>20</v>
      </c>
      <c r="AL3" s="43">
        <v>330</v>
      </c>
      <c r="AM3" s="45">
        <v>221</v>
      </c>
      <c r="AN3" s="47">
        <v>25</v>
      </c>
      <c r="AO3" s="49">
        <v>25</v>
      </c>
      <c r="AP3" s="51">
        <v>20</v>
      </c>
      <c r="AQ3" s="53">
        <v>15</v>
      </c>
      <c r="AR3" s="43">
        <v>330</v>
      </c>
      <c r="AS3" s="45">
        <v>226</v>
      </c>
      <c r="AT3" s="47">
        <v>25</v>
      </c>
      <c r="AU3" s="49">
        <v>25</v>
      </c>
      <c r="AV3" s="51">
        <v>25</v>
      </c>
      <c r="AW3" s="53">
        <v>30</v>
      </c>
    </row>
    <row r="4" spans="1:49" ht="15.75" thickBot="1">
      <c r="A4" s="55">
        <v>2</v>
      </c>
      <c r="B4" s="43">
        <v>475</v>
      </c>
      <c r="C4" s="45">
        <v>243</v>
      </c>
      <c r="D4" s="47">
        <v>56</v>
      </c>
      <c r="E4" s="49">
        <v>56</v>
      </c>
      <c r="F4" s="51">
        <v>40</v>
      </c>
      <c r="G4" s="53">
        <v>20</v>
      </c>
      <c r="H4" s="43">
        <v>599</v>
      </c>
      <c r="I4" s="45">
        <v>216</v>
      </c>
      <c r="J4" s="47">
        <v>80</v>
      </c>
      <c r="K4" s="49">
        <v>31</v>
      </c>
      <c r="L4" s="51">
        <v>40</v>
      </c>
      <c r="M4" s="53">
        <v>20</v>
      </c>
      <c r="N4" s="43">
        <v>695</v>
      </c>
      <c r="O4" s="45">
        <v>279</v>
      </c>
      <c r="P4" s="47">
        <v>38</v>
      </c>
      <c r="Q4" s="49">
        <v>38</v>
      </c>
      <c r="R4" s="51">
        <v>65</v>
      </c>
      <c r="S4" s="53">
        <v>20</v>
      </c>
      <c r="T4" s="43">
        <v>289</v>
      </c>
      <c r="U4" s="45">
        <v>213</v>
      </c>
      <c r="V4" s="47">
        <v>80</v>
      </c>
      <c r="W4" s="49">
        <v>80</v>
      </c>
      <c r="X4" s="51">
        <v>30</v>
      </c>
      <c r="Y4" s="53">
        <v>20</v>
      </c>
      <c r="Z4" s="43">
        <v>454</v>
      </c>
      <c r="AA4" s="45">
        <v>207</v>
      </c>
      <c r="AB4" s="47">
        <v>56</v>
      </c>
      <c r="AC4" s="49">
        <v>74</v>
      </c>
      <c r="AD4" s="51">
        <v>40</v>
      </c>
      <c r="AE4" s="53">
        <v>20</v>
      </c>
      <c r="AF4" s="43">
        <v>850</v>
      </c>
      <c r="AG4" s="45">
        <v>254</v>
      </c>
      <c r="AH4" s="47">
        <v>45</v>
      </c>
      <c r="AI4" s="49">
        <v>45</v>
      </c>
      <c r="AJ4" s="51">
        <v>39</v>
      </c>
      <c r="AK4" s="53">
        <v>30</v>
      </c>
      <c r="AL4" s="43">
        <v>418</v>
      </c>
      <c r="AM4" s="45">
        <v>231</v>
      </c>
      <c r="AN4" s="47">
        <v>45</v>
      </c>
      <c r="AO4" s="49">
        <v>45</v>
      </c>
      <c r="AP4" s="51">
        <v>30</v>
      </c>
      <c r="AQ4" s="53">
        <v>20</v>
      </c>
      <c r="AR4" s="43">
        <v>418</v>
      </c>
      <c r="AS4" s="45">
        <v>240</v>
      </c>
      <c r="AT4" s="47">
        <v>45</v>
      </c>
      <c r="AU4" s="49">
        <v>45</v>
      </c>
      <c r="AV4" s="51">
        <v>39</v>
      </c>
      <c r="AW4" s="53">
        <v>47</v>
      </c>
    </row>
    <row r="5" spans="1:49" ht="15.75" thickBot="1">
      <c r="A5" s="55">
        <v>3</v>
      </c>
      <c r="B5" s="43">
        <v>918</v>
      </c>
      <c r="C5" s="45">
        <v>262</v>
      </c>
      <c r="D5" s="47">
        <v>86</v>
      </c>
      <c r="E5" s="49">
        <v>86</v>
      </c>
      <c r="F5" s="51">
        <v>58</v>
      </c>
      <c r="G5" s="53">
        <v>26</v>
      </c>
      <c r="H5" s="43">
        <v>1158</v>
      </c>
      <c r="I5" s="45">
        <v>230</v>
      </c>
      <c r="J5" s="47">
        <v>120</v>
      </c>
      <c r="K5" s="49">
        <v>44</v>
      </c>
      <c r="L5" s="51">
        <v>58</v>
      </c>
      <c r="M5" s="53">
        <v>26</v>
      </c>
      <c r="N5" s="43">
        <v>1314</v>
      </c>
      <c r="O5" s="45">
        <v>312</v>
      </c>
      <c r="P5" s="47">
        <v>58</v>
      </c>
      <c r="Q5" s="49">
        <v>58</v>
      </c>
      <c r="R5" s="51">
        <v>95</v>
      </c>
      <c r="S5" s="53">
        <v>26</v>
      </c>
      <c r="T5" s="43">
        <v>538</v>
      </c>
      <c r="U5" s="45">
        <v>223</v>
      </c>
      <c r="V5" s="47">
        <v>120</v>
      </c>
      <c r="W5" s="49">
        <v>120</v>
      </c>
      <c r="X5" s="51">
        <v>42</v>
      </c>
      <c r="Y5" s="53">
        <v>26</v>
      </c>
      <c r="Z5" s="43">
        <v>902</v>
      </c>
      <c r="AA5" s="45">
        <v>226</v>
      </c>
      <c r="AB5" s="47">
        <v>86</v>
      </c>
      <c r="AC5" s="49">
        <v>129</v>
      </c>
      <c r="AD5" s="51">
        <v>58</v>
      </c>
      <c r="AE5" s="53">
        <v>26</v>
      </c>
      <c r="AF5" s="43">
        <v>1320</v>
      </c>
      <c r="AG5" s="45">
        <v>280</v>
      </c>
      <c r="AH5" s="47">
        <v>68</v>
      </c>
      <c r="AI5" s="49">
        <v>68</v>
      </c>
      <c r="AJ5" s="51">
        <v>56</v>
      </c>
      <c r="AK5" s="53">
        <v>42</v>
      </c>
      <c r="AL5" s="43">
        <v>788</v>
      </c>
      <c r="AM5" s="45">
        <v>241</v>
      </c>
      <c r="AN5" s="47">
        <v>68</v>
      </c>
      <c r="AO5" s="49">
        <v>68</v>
      </c>
      <c r="AP5" s="51">
        <v>42</v>
      </c>
      <c r="AQ5" s="53">
        <v>26</v>
      </c>
      <c r="AR5" s="43">
        <v>788</v>
      </c>
      <c r="AS5" s="45">
        <v>255</v>
      </c>
      <c r="AT5" s="47">
        <v>68</v>
      </c>
      <c r="AU5" s="49">
        <v>68</v>
      </c>
      <c r="AV5" s="51">
        <v>56</v>
      </c>
      <c r="AW5" s="53">
        <v>68</v>
      </c>
    </row>
    <row r="6" spans="1:49" ht="15.75" thickBot="1">
      <c r="A6" s="55">
        <v>4</v>
      </c>
      <c r="B6" s="43">
        <v>2695</v>
      </c>
      <c r="C6" s="45">
        <v>281</v>
      </c>
      <c r="D6" s="47">
        <v>116</v>
      </c>
      <c r="E6" s="49">
        <v>116</v>
      </c>
      <c r="F6" s="51">
        <v>76</v>
      </c>
      <c r="G6" s="53">
        <v>32</v>
      </c>
      <c r="H6" s="43">
        <v>2780</v>
      </c>
      <c r="I6" s="45">
        <v>244</v>
      </c>
      <c r="J6" s="47">
        <v>160</v>
      </c>
      <c r="K6" s="49">
        <v>57</v>
      </c>
      <c r="L6" s="51">
        <v>76</v>
      </c>
      <c r="M6" s="53">
        <v>32</v>
      </c>
      <c r="N6" s="43">
        <v>3140</v>
      </c>
      <c r="O6" s="45">
        <v>345</v>
      </c>
      <c r="P6" s="47">
        <v>78</v>
      </c>
      <c r="Q6" s="49">
        <v>78</v>
      </c>
      <c r="R6" s="51">
        <v>125</v>
      </c>
      <c r="S6" s="53">
        <v>32</v>
      </c>
      <c r="T6" s="43">
        <v>1157</v>
      </c>
      <c r="U6" s="45">
        <v>234</v>
      </c>
      <c r="V6" s="47">
        <v>160</v>
      </c>
      <c r="W6" s="49">
        <v>160</v>
      </c>
      <c r="X6" s="51">
        <v>54</v>
      </c>
      <c r="Y6" s="53">
        <v>32</v>
      </c>
      <c r="Z6" s="43">
        <v>2180</v>
      </c>
      <c r="AA6" s="45">
        <v>245</v>
      </c>
      <c r="AB6" s="47">
        <v>116</v>
      </c>
      <c r="AC6" s="49">
        <v>174</v>
      </c>
      <c r="AD6" s="51">
        <v>76</v>
      </c>
      <c r="AE6" s="53">
        <v>32</v>
      </c>
      <c r="AF6" s="43">
        <v>3040</v>
      </c>
      <c r="AG6" s="45">
        <v>306</v>
      </c>
      <c r="AH6" s="47">
        <v>91</v>
      </c>
      <c r="AI6" s="49">
        <v>91</v>
      </c>
      <c r="AJ6" s="51">
        <v>73</v>
      </c>
      <c r="AK6" s="53">
        <v>54</v>
      </c>
      <c r="AL6" s="43">
        <v>1900</v>
      </c>
      <c r="AM6" s="45">
        <v>252</v>
      </c>
      <c r="AN6" s="47">
        <v>91</v>
      </c>
      <c r="AO6" s="49">
        <v>91</v>
      </c>
      <c r="AP6" s="51">
        <v>54</v>
      </c>
      <c r="AQ6" s="53">
        <v>32</v>
      </c>
      <c r="AR6" s="43">
        <v>1900</v>
      </c>
      <c r="AS6" s="45">
        <v>271</v>
      </c>
      <c r="AT6" s="47">
        <v>91</v>
      </c>
      <c r="AU6" s="49">
        <v>91</v>
      </c>
      <c r="AV6" s="51">
        <v>73</v>
      </c>
      <c r="AW6" s="53">
        <v>89</v>
      </c>
    </row>
    <row r="7" spans="1:49" ht="15.75" thickBot="1">
      <c r="A7" s="55">
        <v>5</v>
      </c>
      <c r="B7" s="43">
        <v>9240</v>
      </c>
      <c r="C7" s="45">
        <v>300</v>
      </c>
      <c r="D7" s="47">
        <v>146</v>
      </c>
      <c r="E7" s="49">
        <v>146</v>
      </c>
      <c r="F7" s="51">
        <v>94</v>
      </c>
      <c r="G7" s="53">
        <v>38</v>
      </c>
      <c r="H7" s="43">
        <v>11850</v>
      </c>
      <c r="I7" s="45">
        <v>258</v>
      </c>
      <c r="J7" s="47">
        <v>200</v>
      </c>
      <c r="K7" s="49">
        <v>70</v>
      </c>
      <c r="L7" s="51">
        <v>94</v>
      </c>
      <c r="M7" s="53">
        <v>38</v>
      </c>
      <c r="N7" s="43">
        <v>13260</v>
      </c>
      <c r="O7" s="45">
        <v>378</v>
      </c>
      <c r="P7" s="47">
        <v>98</v>
      </c>
      <c r="Q7" s="49">
        <v>98</v>
      </c>
      <c r="R7" s="51">
        <v>155</v>
      </c>
      <c r="S7" s="53">
        <v>38</v>
      </c>
      <c r="T7" s="43">
        <v>5550</v>
      </c>
      <c r="U7" s="45">
        <v>244</v>
      </c>
      <c r="V7" s="47">
        <v>200</v>
      </c>
      <c r="W7" s="49">
        <v>200</v>
      </c>
      <c r="X7" s="51">
        <v>66</v>
      </c>
      <c r="Y7" s="53">
        <v>38</v>
      </c>
      <c r="Z7" s="43">
        <v>9030</v>
      </c>
      <c r="AA7" s="45">
        <v>264</v>
      </c>
      <c r="AB7" s="47">
        <v>146</v>
      </c>
      <c r="AC7" s="49">
        <v>219</v>
      </c>
      <c r="AD7" s="51">
        <v>94</v>
      </c>
      <c r="AE7" s="53">
        <v>38</v>
      </c>
      <c r="AF7" s="43">
        <v>11280</v>
      </c>
      <c r="AG7" s="45">
        <v>332</v>
      </c>
      <c r="AH7" s="47">
        <v>114</v>
      </c>
      <c r="AI7" s="49">
        <v>114</v>
      </c>
      <c r="AJ7" s="51">
        <v>90</v>
      </c>
      <c r="AK7" s="53">
        <v>66</v>
      </c>
      <c r="AL7" s="43">
        <v>7800</v>
      </c>
      <c r="AM7" s="45">
        <v>262</v>
      </c>
      <c r="AN7" s="47">
        <v>114</v>
      </c>
      <c r="AO7" s="49">
        <v>114</v>
      </c>
      <c r="AP7" s="51">
        <v>66</v>
      </c>
      <c r="AQ7" s="53">
        <v>38</v>
      </c>
      <c r="AR7" s="43">
        <v>7800</v>
      </c>
      <c r="AS7" s="45">
        <v>286</v>
      </c>
      <c r="AT7" s="47">
        <v>114</v>
      </c>
      <c r="AU7" s="49">
        <v>114</v>
      </c>
      <c r="AV7" s="51">
        <v>90</v>
      </c>
      <c r="AW7" s="53">
        <v>110</v>
      </c>
    </row>
    <row r="8" spans="1:49" ht="15.75" thickBot="1">
      <c r="A8" s="55">
        <v>6</v>
      </c>
      <c r="B8" s="43">
        <v>11790</v>
      </c>
      <c r="C8" s="45">
        <v>310</v>
      </c>
      <c r="D8" s="47">
        <v>204</v>
      </c>
      <c r="E8" s="49">
        <v>204</v>
      </c>
      <c r="F8" s="51">
        <v>119</v>
      </c>
      <c r="G8" s="53">
        <v>43</v>
      </c>
      <c r="H8" s="43">
        <v>13775</v>
      </c>
      <c r="I8" s="45">
        <v>274</v>
      </c>
      <c r="J8" s="47">
        <v>280</v>
      </c>
      <c r="K8" s="49">
        <v>98</v>
      </c>
      <c r="L8" s="51">
        <v>89</v>
      </c>
      <c r="M8" s="53">
        <v>43</v>
      </c>
      <c r="N8" s="43">
        <v>16310</v>
      </c>
      <c r="O8" s="45">
        <v>388</v>
      </c>
      <c r="P8" s="47">
        <v>137</v>
      </c>
      <c r="Q8" s="49">
        <v>137</v>
      </c>
      <c r="R8" s="51">
        <v>154</v>
      </c>
      <c r="S8" s="53">
        <v>43</v>
      </c>
      <c r="T8" s="43">
        <v>7075</v>
      </c>
      <c r="U8" s="45">
        <v>239</v>
      </c>
      <c r="V8" s="47">
        <v>280</v>
      </c>
      <c r="W8" s="49">
        <v>280</v>
      </c>
      <c r="X8" s="51">
        <v>74</v>
      </c>
      <c r="Y8" s="53">
        <v>43</v>
      </c>
      <c r="Z8" s="43">
        <v>11145</v>
      </c>
      <c r="AA8" s="45">
        <v>267</v>
      </c>
      <c r="AB8" s="47">
        <v>146</v>
      </c>
      <c r="AC8" s="49">
        <v>300</v>
      </c>
      <c r="AD8" s="51">
        <v>94</v>
      </c>
      <c r="AE8" s="53">
        <v>43</v>
      </c>
      <c r="AF8" s="43">
        <v>13400</v>
      </c>
      <c r="AG8" s="45">
        <v>275</v>
      </c>
      <c r="AH8" s="47">
        <v>160</v>
      </c>
      <c r="AI8" s="49">
        <v>160</v>
      </c>
      <c r="AJ8" s="51">
        <v>89</v>
      </c>
      <c r="AK8" s="53">
        <v>68</v>
      </c>
      <c r="AL8" s="43">
        <v>9750</v>
      </c>
      <c r="AM8" s="45">
        <v>283</v>
      </c>
      <c r="AN8" s="47">
        <v>160</v>
      </c>
      <c r="AO8" s="49">
        <v>160</v>
      </c>
      <c r="AP8" s="51">
        <v>84</v>
      </c>
      <c r="AQ8" s="53">
        <v>43</v>
      </c>
      <c r="AR8" s="43">
        <v>9740</v>
      </c>
      <c r="AS8" s="45">
        <v>303</v>
      </c>
      <c r="AT8" s="47">
        <v>160</v>
      </c>
      <c r="AU8" s="49">
        <v>160</v>
      </c>
      <c r="AV8" s="51">
        <v>117</v>
      </c>
      <c r="AW8" s="53">
        <v>110</v>
      </c>
    </row>
    <row r="9" spans="1:49" ht="15.75" thickBot="1">
      <c r="A9" s="55">
        <v>7</v>
      </c>
      <c r="B9" s="43">
        <v>16440</v>
      </c>
      <c r="C9" s="45">
        <v>320</v>
      </c>
      <c r="D9" s="47">
        <v>294</v>
      </c>
      <c r="E9" s="49">
        <v>294</v>
      </c>
      <c r="F9" s="51">
        <v>159</v>
      </c>
      <c r="G9" s="53">
        <v>48</v>
      </c>
      <c r="H9" s="43">
        <v>19400</v>
      </c>
      <c r="I9" s="45">
        <v>279</v>
      </c>
      <c r="J9" s="47">
        <v>400</v>
      </c>
      <c r="K9" s="49">
        <v>128</v>
      </c>
      <c r="L9" s="51">
        <v>129</v>
      </c>
      <c r="M9" s="53">
        <v>48</v>
      </c>
      <c r="N9" s="43">
        <v>22910</v>
      </c>
      <c r="O9" s="45">
        <v>398</v>
      </c>
      <c r="P9" s="47">
        <v>167</v>
      </c>
      <c r="Q9" s="49">
        <v>167</v>
      </c>
      <c r="R9" s="51">
        <v>194</v>
      </c>
      <c r="S9" s="53">
        <v>48</v>
      </c>
      <c r="T9" s="43">
        <v>9700</v>
      </c>
      <c r="U9" s="45">
        <v>244</v>
      </c>
      <c r="V9" s="47">
        <v>400</v>
      </c>
      <c r="W9" s="49">
        <v>400</v>
      </c>
      <c r="X9" s="51">
        <v>114</v>
      </c>
      <c r="Y9" s="53">
        <v>48</v>
      </c>
      <c r="Z9" s="43">
        <v>15720</v>
      </c>
      <c r="AA9" s="45">
        <v>272</v>
      </c>
      <c r="AB9" s="47">
        <v>176</v>
      </c>
      <c r="AC9" s="49">
        <v>420</v>
      </c>
      <c r="AD9" s="51">
        <v>134</v>
      </c>
      <c r="AE9" s="53">
        <v>48</v>
      </c>
      <c r="AF9" s="43">
        <v>19400</v>
      </c>
      <c r="AG9" s="45">
        <v>285</v>
      </c>
      <c r="AH9" s="47">
        <v>220</v>
      </c>
      <c r="AI9" s="49">
        <v>220</v>
      </c>
      <c r="AJ9" s="51">
        <v>129</v>
      </c>
      <c r="AK9" s="53">
        <v>78</v>
      </c>
      <c r="AL9" s="43">
        <v>13500</v>
      </c>
      <c r="AM9" s="45">
        <v>288</v>
      </c>
      <c r="AN9" s="47">
        <v>220</v>
      </c>
      <c r="AO9" s="49">
        <v>220</v>
      </c>
      <c r="AP9" s="51">
        <v>124</v>
      </c>
      <c r="AQ9" s="53">
        <v>48</v>
      </c>
      <c r="AR9" s="43">
        <v>13640</v>
      </c>
      <c r="AS9" s="45">
        <v>308</v>
      </c>
      <c r="AT9" s="47">
        <v>220</v>
      </c>
      <c r="AU9" s="49">
        <v>220</v>
      </c>
      <c r="AV9" s="51">
        <v>197</v>
      </c>
      <c r="AW9" s="53">
        <v>120</v>
      </c>
    </row>
    <row r="10" spans="1:49" ht="15.75" thickBot="1">
      <c r="A10" s="55">
        <v>8</v>
      </c>
      <c r="B10" s="44">
        <v>21090</v>
      </c>
      <c r="C10" s="46">
        <v>330</v>
      </c>
      <c r="D10" s="48">
        <v>384</v>
      </c>
      <c r="E10" s="50">
        <v>384</v>
      </c>
      <c r="F10" s="52">
        <v>199</v>
      </c>
      <c r="G10" s="54">
        <v>53</v>
      </c>
      <c r="H10" s="44">
        <v>25025</v>
      </c>
      <c r="I10" s="46">
        <v>284</v>
      </c>
      <c r="J10" s="48">
        <v>520</v>
      </c>
      <c r="K10" s="50">
        <v>158</v>
      </c>
      <c r="L10" s="52">
        <v>169</v>
      </c>
      <c r="M10" s="54">
        <v>53</v>
      </c>
      <c r="N10" s="44">
        <v>29510</v>
      </c>
      <c r="O10" s="46">
        <v>408</v>
      </c>
      <c r="P10" s="48">
        <v>197</v>
      </c>
      <c r="Q10" s="50">
        <v>197</v>
      </c>
      <c r="R10" s="52">
        <v>234</v>
      </c>
      <c r="S10" s="54">
        <v>53</v>
      </c>
      <c r="T10" s="44">
        <v>12325</v>
      </c>
      <c r="U10" s="46">
        <v>249</v>
      </c>
      <c r="V10" s="48">
        <v>520</v>
      </c>
      <c r="W10" s="50">
        <v>520</v>
      </c>
      <c r="X10" s="52">
        <v>154</v>
      </c>
      <c r="Y10" s="54">
        <v>53</v>
      </c>
      <c r="Z10" s="44">
        <v>20295</v>
      </c>
      <c r="AA10" s="46">
        <v>282</v>
      </c>
      <c r="AB10" s="48">
        <v>206</v>
      </c>
      <c r="AC10" s="50">
        <v>540</v>
      </c>
      <c r="AD10" s="52">
        <v>174</v>
      </c>
      <c r="AE10" s="54">
        <v>53</v>
      </c>
      <c r="AF10" s="44">
        <v>25400</v>
      </c>
      <c r="AG10" s="46">
        <v>295</v>
      </c>
      <c r="AH10" s="48">
        <v>280</v>
      </c>
      <c r="AI10" s="50">
        <v>280</v>
      </c>
      <c r="AJ10" s="52">
        <v>169</v>
      </c>
      <c r="AK10" s="54">
        <v>88</v>
      </c>
      <c r="AL10" s="44">
        <v>17250</v>
      </c>
      <c r="AM10" s="46">
        <v>293</v>
      </c>
      <c r="AN10" s="48">
        <v>280</v>
      </c>
      <c r="AO10" s="50">
        <v>280</v>
      </c>
      <c r="AP10" s="52">
        <v>164</v>
      </c>
      <c r="AQ10" s="54">
        <v>53</v>
      </c>
      <c r="AR10" s="44">
        <v>17540</v>
      </c>
      <c r="AS10" s="46">
        <v>313</v>
      </c>
      <c r="AT10" s="48">
        <v>280</v>
      </c>
      <c r="AU10" s="50">
        <v>280</v>
      </c>
      <c r="AV10" s="52">
        <v>277</v>
      </c>
      <c r="AW10" s="54">
        <v>130</v>
      </c>
    </row>
  </sheetData>
  <mergeCells count="8">
    <mergeCell ref="AL1:AQ1"/>
    <mergeCell ref="AR1:AW1"/>
    <mergeCell ref="B1:G1"/>
    <mergeCell ref="H1:M1"/>
    <mergeCell ref="N1:S1"/>
    <mergeCell ref="T1:Y1"/>
    <mergeCell ref="Z1:AE1"/>
    <mergeCell ref="AF1:AK1"/>
  </mergeCells>
  <phoneticPr fontId="2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B6D8-997B-4FCB-A6B5-1FEF853D3B30}">
  <dimension ref="A1:V74"/>
  <sheetViews>
    <sheetView workbookViewId="0">
      <selection activeCell="F71" sqref="F71"/>
    </sheetView>
  </sheetViews>
  <sheetFormatPr defaultRowHeight="15"/>
  <cols>
    <col min="1" max="1" width="19.85546875" style="68" bestFit="1" customWidth="1"/>
    <col min="2" max="2" width="19.42578125" style="68" bestFit="1" customWidth="1"/>
    <col min="3" max="3" width="9.85546875" style="68" bestFit="1" customWidth="1"/>
    <col min="4" max="4" width="9" style="68" bestFit="1" customWidth="1"/>
    <col min="5" max="5" width="8.28515625" style="68" bestFit="1" customWidth="1"/>
    <col min="6" max="6" width="17.28515625" style="68" bestFit="1" customWidth="1"/>
    <col min="7" max="7" width="11.28515625" style="68" bestFit="1" customWidth="1"/>
    <col min="8" max="8" width="7.140625" style="68" bestFit="1" customWidth="1"/>
    <col min="9" max="9" width="12.42578125" style="68" bestFit="1" customWidth="1"/>
    <col min="10" max="10" width="9.5703125" style="68" bestFit="1" customWidth="1"/>
    <col min="11" max="11" width="9.28515625" style="68" bestFit="1" customWidth="1"/>
    <col min="12" max="12" width="6.42578125" style="68" bestFit="1" customWidth="1"/>
    <col min="13" max="13" width="8.7109375" style="68" bestFit="1" customWidth="1"/>
    <col min="14" max="14" width="9" style="68" bestFit="1" customWidth="1"/>
    <col min="15" max="18" width="5.28515625" style="68" bestFit="1" customWidth="1"/>
    <col min="19" max="19" width="5" style="68" bestFit="1" customWidth="1"/>
    <col min="20" max="21" width="5.28515625" style="68" bestFit="1" customWidth="1"/>
    <col min="22" max="22" width="13.42578125" style="68" bestFit="1" customWidth="1"/>
    <col min="23" max="16384" width="9.140625" style="68"/>
  </cols>
  <sheetData>
    <row r="1" spans="1:22">
      <c r="A1" s="68" t="s">
        <v>7</v>
      </c>
      <c r="B1" s="68" t="s">
        <v>364</v>
      </c>
      <c r="C1" s="68" t="s">
        <v>295</v>
      </c>
      <c r="D1" s="68" t="s">
        <v>296</v>
      </c>
      <c r="E1" s="68" t="s">
        <v>334</v>
      </c>
      <c r="F1" s="68" t="s">
        <v>335</v>
      </c>
      <c r="G1" s="68" t="s">
        <v>336</v>
      </c>
      <c r="H1" s="68" t="s">
        <v>297</v>
      </c>
      <c r="I1" s="68" t="s">
        <v>2</v>
      </c>
      <c r="J1" s="68" t="s">
        <v>337</v>
      </c>
      <c r="K1" s="68" t="s">
        <v>338</v>
      </c>
      <c r="L1" s="68" t="s">
        <v>339</v>
      </c>
      <c r="M1" s="68" t="s">
        <v>341</v>
      </c>
      <c r="N1" s="68" t="s">
        <v>340</v>
      </c>
      <c r="O1" s="68" t="s">
        <v>298</v>
      </c>
      <c r="P1" s="68" t="s">
        <v>299</v>
      </c>
      <c r="Q1" s="68" t="s">
        <v>300</v>
      </c>
      <c r="R1" s="68" t="s">
        <v>301</v>
      </c>
      <c r="S1" s="68" t="s">
        <v>342</v>
      </c>
      <c r="T1" s="68" t="s">
        <v>343</v>
      </c>
      <c r="U1" s="68" t="s">
        <v>344</v>
      </c>
      <c r="V1" s="68" t="s">
        <v>356</v>
      </c>
    </row>
    <row r="2" spans="1:22">
      <c r="A2" s="68" t="s">
        <v>345</v>
      </c>
      <c r="B2" s="68" t="s">
        <v>80</v>
      </c>
      <c r="C2" s="68" t="s">
        <v>44</v>
      </c>
      <c r="D2" s="68">
        <v>1</v>
      </c>
      <c r="E2" s="68">
        <v>1</v>
      </c>
      <c r="F2" s="68" t="s">
        <v>302</v>
      </c>
      <c r="G2" s="68" t="s">
        <v>302</v>
      </c>
      <c r="H2" s="69" t="s">
        <v>274</v>
      </c>
      <c r="I2" s="69" t="s">
        <v>52</v>
      </c>
      <c r="J2" s="189">
        <v>50</v>
      </c>
      <c r="K2" s="69" t="s">
        <v>58</v>
      </c>
      <c r="L2" s="189">
        <v>50</v>
      </c>
      <c r="M2" s="188">
        <v>90</v>
      </c>
      <c r="N2" s="188">
        <v>10</v>
      </c>
      <c r="O2" s="68">
        <v>42</v>
      </c>
      <c r="P2" s="68">
        <v>108</v>
      </c>
      <c r="Q2" s="68">
        <v>640</v>
      </c>
      <c r="R2" s="68">
        <v>3501</v>
      </c>
      <c r="S2" s="68">
        <v>4052</v>
      </c>
      <c r="T2" s="68">
        <v>4698</v>
      </c>
      <c r="U2" s="68">
        <v>5446</v>
      </c>
    </row>
    <row r="3" spans="1:22">
      <c r="A3" s="68" t="s">
        <v>98</v>
      </c>
      <c r="B3" s="68" t="s">
        <v>98</v>
      </c>
      <c r="C3" s="68" t="s">
        <v>44</v>
      </c>
      <c r="D3" s="68">
        <v>1</v>
      </c>
      <c r="E3" s="68">
        <v>1</v>
      </c>
      <c r="F3" s="68" t="s">
        <v>303</v>
      </c>
      <c r="G3" s="68" t="s">
        <v>304</v>
      </c>
      <c r="H3" s="69" t="s">
        <v>262</v>
      </c>
      <c r="I3" s="69" t="s">
        <v>52</v>
      </c>
      <c r="J3" s="189">
        <v>100</v>
      </c>
      <c r="K3" s="69"/>
      <c r="L3" s="189"/>
      <c r="M3" s="188">
        <v>80</v>
      </c>
      <c r="N3" s="188">
        <v>20</v>
      </c>
      <c r="O3" s="68">
        <v>38</v>
      </c>
      <c r="P3" s="68">
        <v>97</v>
      </c>
      <c r="Q3" s="68">
        <v>576</v>
      </c>
      <c r="R3" s="68">
        <v>1975</v>
      </c>
      <c r="S3" s="68">
        <v>2287</v>
      </c>
      <c r="T3" s="68">
        <v>2651</v>
      </c>
      <c r="U3" s="68">
        <v>3073</v>
      </c>
    </row>
    <row r="4" spans="1:22">
      <c r="A4" s="68" t="s">
        <v>67</v>
      </c>
      <c r="B4" s="68" t="s">
        <v>67</v>
      </c>
      <c r="C4" s="68" t="s">
        <v>44</v>
      </c>
      <c r="D4" s="68">
        <v>1</v>
      </c>
      <c r="E4" s="68">
        <v>2</v>
      </c>
      <c r="F4" s="68" t="s">
        <v>303</v>
      </c>
      <c r="G4" s="68" t="s">
        <v>302</v>
      </c>
      <c r="H4" s="69" t="s">
        <v>273</v>
      </c>
      <c r="I4" s="69" t="s">
        <v>54</v>
      </c>
      <c r="J4" s="189">
        <v>100</v>
      </c>
      <c r="K4" s="69"/>
      <c r="L4" s="189"/>
      <c r="M4" s="188">
        <v>100</v>
      </c>
      <c r="N4" s="188">
        <v>0</v>
      </c>
      <c r="O4" s="68">
        <v>31</v>
      </c>
      <c r="P4" s="68">
        <v>79</v>
      </c>
      <c r="Q4" s="68">
        <v>467</v>
      </c>
      <c r="R4" s="68">
        <v>1854</v>
      </c>
      <c r="S4" s="68">
        <v>2147</v>
      </c>
      <c r="T4" s="68">
        <v>2489</v>
      </c>
      <c r="U4" s="68">
        <v>2886</v>
      </c>
    </row>
    <row r="5" spans="1:22">
      <c r="A5" s="68" t="s">
        <v>131</v>
      </c>
      <c r="B5" s="68" t="s">
        <v>131</v>
      </c>
      <c r="C5" s="68" t="s">
        <v>44</v>
      </c>
      <c r="D5" s="68">
        <v>2</v>
      </c>
      <c r="E5" s="68">
        <v>1</v>
      </c>
      <c r="F5" s="68" t="s">
        <v>302</v>
      </c>
      <c r="G5" s="68" t="s">
        <v>303</v>
      </c>
      <c r="H5" s="69" t="s">
        <v>273</v>
      </c>
      <c r="I5" s="69" t="s">
        <v>52</v>
      </c>
      <c r="J5" s="189">
        <v>100</v>
      </c>
      <c r="K5" s="69"/>
      <c r="L5" s="189"/>
      <c r="M5" s="188">
        <v>100</v>
      </c>
      <c r="N5" s="188">
        <v>0</v>
      </c>
      <c r="O5" s="68">
        <v>40</v>
      </c>
      <c r="P5" s="68">
        <v>104</v>
      </c>
      <c r="Q5" s="68">
        <v>617</v>
      </c>
      <c r="R5" s="68">
        <v>3219</v>
      </c>
      <c r="S5" s="68">
        <v>3727</v>
      </c>
      <c r="T5" s="68">
        <v>4321</v>
      </c>
      <c r="U5" s="68">
        <v>5009</v>
      </c>
    </row>
    <row r="6" spans="1:22">
      <c r="A6" s="68" t="s">
        <v>157</v>
      </c>
      <c r="B6" s="68" t="s">
        <v>157</v>
      </c>
      <c r="C6" s="68" t="s">
        <v>44</v>
      </c>
      <c r="D6" s="68">
        <v>1</v>
      </c>
      <c r="E6" s="68">
        <v>2</v>
      </c>
      <c r="F6" s="68" t="s">
        <v>303</v>
      </c>
      <c r="G6" s="68" t="s">
        <v>305</v>
      </c>
      <c r="H6" s="69" t="s">
        <v>276</v>
      </c>
      <c r="I6" s="69" t="s">
        <v>3</v>
      </c>
      <c r="J6" s="189">
        <v>100</v>
      </c>
      <c r="K6" s="69"/>
      <c r="L6" s="189"/>
      <c r="M6" s="188">
        <v>0</v>
      </c>
      <c r="N6" s="188">
        <v>100</v>
      </c>
      <c r="O6" s="68">
        <v>53</v>
      </c>
      <c r="P6" s="68">
        <v>136</v>
      </c>
      <c r="Q6" s="68">
        <v>373</v>
      </c>
      <c r="R6" s="68">
        <v>1736</v>
      </c>
      <c r="S6" s="68">
        <v>2011</v>
      </c>
      <c r="T6" s="68">
        <v>2331</v>
      </c>
      <c r="U6" s="68">
        <v>2702</v>
      </c>
    </row>
    <row r="7" spans="1:22">
      <c r="A7" s="68" t="s">
        <v>153</v>
      </c>
      <c r="B7" s="68" t="s">
        <v>153</v>
      </c>
      <c r="C7" s="68" t="s">
        <v>44</v>
      </c>
      <c r="D7" s="68">
        <v>1</v>
      </c>
      <c r="E7" s="68">
        <v>1</v>
      </c>
      <c r="F7" s="68" t="s">
        <v>303</v>
      </c>
      <c r="G7" s="68" t="s">
        <v>305</v>
      </c>
      <c r="H7" s="69" t="s">
        <v>276</v>
      </c>
      <c r="I7" s="69" t="s">
        <v>3</v>
      </c>
      <c r="J7" s="189">
        <v>50</v>
      </c>
      <c r="K7" s="69" t="s">
        <v>56</v>
      </c>
      <c r="L7" s="189">
        <v>50</v>
      </c>
      <c r="M7" s="188">
        <v>10</v>
      </c>
      <c r="N7" s="188">
        <v>90</v>
      </c>
      <c r="O7" s="68">
        <v>146</v>
      </c>
      <c r="P7" s="68">
        <v>420</v>
      </c>
      <c r="Q7" s="68">
        <v>475</v>
      </c>
      <c r="R7" s="68">
        <v>2294</v>
      </c>
      <c r="S7" s="68">
        <v>2656</v>
      </c>
      <c r="T7" s="68">
        <v>3079</v>
      </c>
      <c r="U7" s="68">
        <v>3569</v>
      </c>
    </row>
    <row r="8" spans="1:22">
      <c r="A8" s="68" t="s">
        <v>145</v>
      </c>
      <c r="B8" s="68" t="s">
        <v>145</v>
      </c>
      <c r="C8" s="68" t="s">
        <v>44</v>
      </c>
      <c r="D8" s="68">
        <v>1</v>
      </c>
      <c r="E8" s="68">
        <v>1</v>
      </c>
      <c r="F8" s="68" t="s">
        <v>302</v>
      </c>
      <c r="G8" s="68" t="s">
        <v>306</v>
      </c>
      <c r="H8" s="69" t="s">
        <v>272</v>
      </c>
      <c r="I8" s="69" t="s">
        <v>52</v>
      </c>
      <c r="J8" s="189">
        <v>100</v>
      </c>
      <c r="K8" s="69"/>
      <c r="L8" s="189"/>
      <c r="M8" s="188">
        <v>100</v>
      </c>
      <c r="N8" s="188">
        <v>0</v>
      </c>
      <c r="O8" s="68">
        <v>470</v>
      </c>
      <c r="P8" s="68">
        <v>870</v>
      </c>
      <c r="Q8" s="68">
        <v>1098</v>
      </c>
      <c r="R8" s="68">
        <v>2248</v>
      </c>
      <c r="S8" s="68">
        <v>2603</v>
      </c>
      <c r="T8" s="68">
        <v>3017</v>
      </c>
      <c r="U8" s="68">
        <v>3498</v>
      </c>
    </row>
    <row r="9" spans="1:22">
      <c r="A9" s="68" t="s">
        <v>76</v>
      </c>
      <c r="B9" s="68" t="s">
        <v>76</v>
      </c>
      <c r="C9" s="68" t="s">
        <v>44</v>
      </c>
      <c r="D9" s="68">
        <v>1</v>
      </c>
      <c r="E9" s="68">
        <v>1</v>
      </c>
      <c r="F9" s="68" t="s">
        <v>303</v>
      </c>
      <c r="G9" s="68" t="s">
        <v>305</v>
      </c>
      <c r="H9" s="69" t="s">
        <v>262</v>
      </c>
      <c r="I9" s="69" t="s">
        <v>54</v>
      </c>
      <c r="J9" s="189">
        <v>50</v>
      </c>
      <c r="K9" s="69" t="s">
        <v>56</v>
      </c>
      <c r="L9" s="189">
        <v>50</v>
      </c>
      <c r="M9" s="188">
        <v>100</v>
      </c>
      <c r="N9" s="188">
        <v>0</v>
      </c>
      <c r="O9" s="68">
        <v>42</v>
      </c>
      <c r="P9" s="68">
        <v>107</v>
      </c>
      <c r="Q9" s="68">
        <v>711</v>
      </c>
      <c r="R9" s="68">
        <v>1521</v>
      </c>
      <c r="S9" s="68">
        <v>1761</v>
      </c>
      <c r="T9" s="68">
        <v>2041</v>
      </c>
      <c r="U9" s="68">
        <v>2367</v>
      </c>
    </row>
    <row r="10" spans="1:22">
      <c r="A10" s="68" t="s">
        <v>106</v>
      </c>
      <c r="B10" s="68" t="s">
        <v>106</v>
      </c>
      <c r="C10" s="68" t="s">
        <v>44</v>
      </c>
      <c r="D10" s="68">
        <v>1</v>
      </c>
      <c r="E10" s="68">
        <v>1</v>
      </c>
      <c r="F10" s="68" t="s">
        <v>303</v>
      </c>
      <c r="G10" s="68" t="s">
        <v>302</v>
      </c>
      <c r="H10" s="69" t="s">
        <v>274</v>
      </c>
      <c r="I10" s="69" t="s">
        <v>52</v>
      </c>
      <c r="J10" s="189">
        <v>100</v>
      </c>
      <c r="K10" s="69"/>
      <c r="L10" s="189"/>
      <c r="M10" s="188">
        <v>90</v>
      </c>
      <c r="N10" s="188">
        <v>10</v>
      </c>
      <c r="O10" s="68">
        <v>635</v>
      </c>
      <c r="P10" s="68">
        <v>1174</v>
      </c>
      <c r="Q10" s="68">
        <v>1482</v>
      </c>
      <c r="R10" s="68">
        <v>3752</v>
      </c>
      <c r="S10" s="68">
        <v>4343</v>
      </c>
      <c r="T10" s="68">
        <v>5035</v>
      </c>
      <c r="U10" s="68">
        <v>5837</v>
      </c>
    </row>
    <row r="11" spans="1:22">
      <c r="A11" s="68" t="s">
        <v>73</v>
      </c>
      <c r="B11" s="68" t="s">
        <v>73</v>
      </c>
      <c r="C11" s="68" t="s">
        <v>44</v>
      </c>
      <c r="D11" s="68">
        <v>1</v>
      </c>
      <c r="E11" s="68">
        <v>2</v>
      </c>
      <c r="F11" s="68" t="s">
        <v>303</v>
      </c>
      <c r="G11" s="68" t="s">
        <v>305</v>
      </c>
      <c r="H11" s="69" t="s">
        <v>272</v>
      </c>
      <c r="I11" s="69" t="s">
        <v>3</v>
      </c>
      <c r="J11" s="189">
        <v>10</v>
      </c>
      <c r="K11" s="69" t="s">
        <v>56</v>
      </c>
      <c r="L11" s="189">
        <v>90</v>
      </c>
      <c r="M11" s="188">
        <v>0</v>
      </c>
      <c r="N11" s="188">
        <v>100</v>
      </c>
      <c r="O11" s="68">
        <v>28</v>
      </c>
      <c r="P11" s="68">
        <v>71</v>
      </c>
      <c r="Q11" s="68">
        <v>425</v>
      </c>
      <c r="R11" s="68">
        <v>2877</v>
      </c>
      <c r="S11" s="68">
        <v>3330</v>
      </c>
      <c r="T11" s="68">
        <v>3860</v>
      </c>
      <c r="U11" s="68">
        <v>4475</v>
      </c>
    </row>
    <row r="12" spans="1:22">
      <c r="A12" s="68" t="s">
        <v>113</v>
      </c>
      <c r="B12" s="68" t="s">
        <v>113</v>
      </c>
      <c r="C12" s="68" t="s">
        <v>44</v>
      </c>
      <c r="D12" s="68">
        <v>2</v>
      </c>
      <c r="E12" s="68">
        <v>3</v>
      </c>
      <c r="F12" s="68" t="s">
        <v>302</v>
      </c>
      <c r="G12" s="68" t="s">
        <v>303</v>
      </c>
      <c r="H12" s="69" t="s">
        <v>272</v>
      </c>
      <c r="I12" s="69" t="s">
        <v>52</v>
      </c>
      <c r="J12" s="189">
        <v>100</v>
      </c>
      <c r="K12" s="69"/>
      <c r="L12" s="189"/>
      <c r="M12" s="188">
        <v>100</v>
      </c>
      <c r="N12" s="188">
        <v>0</v>
      </c>
      <c r="O12" s="68">
        <v>77</v>
      </c>
      <c r="P12" s="68">
        <v>244</v>
      </c>
      <c r="Q12" s="68">
        <v>804</v>
      </c>
      <c r="R12" s="68">
        <v>1072</v>
      </c>
      <c r="S12" s="68">
        <v>1241</v>
      </c>
      <c r="T12" s="68">
        <v>1439</v>
      </c>
      <c r="U12" s="68">
        <v>1668</v>
      </c>
    </row>
    <row r="13" spans="1:22">
      <c r="A13" s="68" t="s">
        <v>307</v>
      </c>
      <c r="B13" s="68" t="s">
        <v>307</v>
      </c>
      <c r="C13" s="68" t="s">
        <v>44</v>
      </c>
      <c r="D13" s="68">
        <v>1</v>
      </c>
      <c r="E13" s="68">
        <v>3</v>
      </c>
      <c r="F13" s="68" t="s">
        <v>302</v>
      </c>
      <c r="G13" s="68" t="s">
        <v>303</v>
      </c>
      <c r="H13" s="69" t="s">
        <v>274</v>
      </c>
      <c r="I13" s="69" t="s">
        <v>54</v>
      </c>
      <c r="J13" s="189">
        <v>100</v>
      </c>
      <c r="K13" s="69"/>
      <c r="L13" s="189"/>
      <c r="M13" s="188">
        <v>100</v>
      </c>
      <c r="N13" s="188">
        <v>0</v>
      </c>
      <c r="R13" s="68">
        <v>2377</v>
      </c>
      <c r="S13" s="68">
        <v>2572</v>
      </c>
      <c r="T13" s="68">
        <v>2703</v>
      </c>
      <c r="U13" s="68">
        <v>2841</v>
      </c>
    </row>
    <row r="14" spans="1:22">
      <c r="A14" s="68" t="s">
        <v>308</v>
      </c>
      <c r="B14" s="68" t="s">
        <v>307</v>
      </c>
      <c r="C14" s="68" t="s">
        <v>44</v>
      </c>
      <c r="D14" s="68">
        <v>1</v>
      </c>
      <c r="E14" s="68">
        <v>3</v>
      </c>
      <c r="F14" s="68" t="s">
        <v>302</v>
      </c>
      <c r="G14" s="68" t="s">
        <v>303</v>
      </c>
      <c r="H14" s="69" t="s">
        <v>274</v>
      </c>
      <c r="I14" s="69" t="s">
        <v>54</v>
      </c>
      <c r="J14" s="189">
        <v>40</v>
      </c>
      <c r="K14" s="69" t="s">
        <v>60</v>
      </c>
      <c r="L14" s="189">
        <v>60</v>
      </c>
      <c r="M14" s="188">
        <v>100</v>
      </c>
      <c r="N14" s="188">
        <v>0</v>
      </c>
      <c r="R14" s="68">
        <v>3556</v>
      </c>
    </row>
    <row r="15" spans="1:22">
      <c r="A15" s="68" t="s">
        <v>309</v>
      </c>
      <c r="B15" s="68" t="s">
        <v>309</v>
      </c>
      <c r="C15" s="68" t="s">
        <v>44</v>
      </c>
      <c r="D15" s="68">
        <v>1</v>
      </c>
      <c r="E15" s="68">
        <v>2</v>
      </c>
      <c r="F15" s="68" t="s">
        <v>303</v>
      </c>
      <c r="G15" s="68" t="s">
        <v>305</v>
      </c>
      <c r="H15" s="69" t="s">
        <v>275</v>
      </c>
      <c r="I15" s="69" t="s">
        <v>3</v>
      </c>
      <c r="J15" s="189">
        <v>10</v>
      </c>
      <c r="K15" s="69" t="s">
        <v>58</v>
      </c>
      <c r="L15" s="189">
        <v>90</v>
      </c>
      <c r="M15" s="188">
        <v>40</v>
      </c>
      <c r="N15" s="188">
        <v>60</v>
      </c>
      <c r="R15" s="68">
        <v>2824</v>
      </c>
      <c r="S15" s="68">
        <v>3056</v>
      </c>
      <c r="T15" s="68">
        <v>3212</v>
      </c>
      <c r="U15" s="68">
        <v>3376</v>
      </c>
    </row>
    <row r="16" spans="1:22">
      <c r="A16" s="68" t="s">
        <v>310</v>
      </c>
      <c r="B16" s="68" t="s">
        <v>309</v>
      </c>
      <c r="C16" s="68" t="s">
        <v>44</v>
      </c>
      <c r="D16" s="68">
        <v>1</v>
      </c>
      <c r="E16" s="68">
        <v>2</v>
      </c>
      <c r="F16" s="68" t="s">
        <v>303</v>
      </c>
      <c r="G16" s="68" t="s">
        <v>305</v>
      </c>
      <c r="H16" s="69" t="s">
        <v>275</v>
      </c>
      <c r="I16" s="69" t="s">
        <v>3</v>
      </c>
      <c r="J16" s="189">
        <v>10</v>
      </c>
      <c r="K16" s="69" t="s">
        <v>60</v>
      </c>
      <c r="L16" s="189">
        <v>90</v>
      </c>
      <c r="M16" s="188">
        <v>40</v>
      </c>
      <c r="N16" s="188">
        <v>60</v>
      </c>
      <c r="R16" s="68">
        <v>3760</v>
      </c>
    </row>
    <row r="17" spans="1:22">
      <c r="A17" s="68" t="s">
        <v>223</v>
      </c>
      <c r="B17" s="68" t="s">
        <v>223</v>
      </c>
      <c r="C17" s="68" t="s">
        <v>44</v>
      </c>
      <c r="D17" s="68">
        <v>2</v>
      </c>
      <c r="E17" s="68">
        <v>3</v>
      </c>
      <c r="F17" s="68" t="s">
        <v>302</v>
      </c>
      <c r="G17" s="68" t="s">
        <v>305</v>
      </c>
      <c r="H17" s="69" t="s">
        <v>272</v>
      </c>
      <c r="I17" s="69" t="s">
        <v>54</v>
      </c>
      <c r="J17" s="189">
        <v>100</v>
      </c>
      <c r="K17" s="69"/>
      <c r="L17" s="189"/>
      <c r="M17" s="188">
        <v>100</v>
      </c>
      <c r="N17" s="188">
        <v>0</v>
      </c>
      <c r="O17" s="68">
        <v>450</v>
      </c>
      <c r="P17" s="68">
        <v>1242</v>
      </c>
      <c r="Q17" s="68">
        <v>1628</v>
      </c>
      <c r="R17" s="68">
        <v>3080</v>
      </c>
      <c r="S17" s="68">
        <v>3564</v>
      </c>
      <c r="T17" s="68">
        <v>4132</v>
      </c>
      <c r="U17" s="68">
        <v>4790</v>
      </c>
    </row>
    <row r="18" spans="1:22">
      <c r="A18" s="68" t="s">
        <v>69</v>
      </c>
      <c r="B18" s="68" t="s">
        <v>69</v>
      </c>
      <c r="C18" s="68" t="s">
        <v>332</v>
      </c>
      <c r="D18" s="68">
        <v>1</v>
      </c>
      <c r="E18" s="68">
        <v>1</v>
      </c>
      <c r="F18" s="68" t="s">
        <v>302</v>
      </c>
      <c r="G18" s="68" t="s">
        <v>302</v>
      </c>
      <c r="H18" s="69" t="s">
        <v>274</v>
      </c>
      <c r="I18" s="69" t="s">
        <v>52</v>
      </c>
      <c r="J18" s="189">
        <v>50</v>
      </c>
      <c r="K18" s="69" t="s">
        <v>56</v>
      </c>
      <c r="L18" s="189">
        <v>50</v>
      </c>
      <c r="M18" s="188">
        <v>90</v>
      </c>
      <c r="N18" s="188">
        <v>10</v>
      </c>
      <c r="O18" s="68">
        <v>32</v>
      </c>
      <c r="P18" s="68">
        <v>83</v>
      </c>
      <c r="Q18" s="68">
        <v>492</v>
      </c>
      <c r="R18" s="68">
        <v>2693</v>
      </c>
      <c r="S18" s="68">
        <v>3117</v>
      </c>
      <c r="T18" s="68">
        <v>3614</v>
      </c>
      <c r="U18" s="68">
        <v>4189</v>
      </c>
    </row>
    <row r="19" spans="1:22">
      <c r="A19" s="68" t="s">
        <v>110</v>
      </c>
      <c r="B19" s="68" t="s">
        <v>110</v>
      </c>
      <c r="C19" s="68" t="s">
        <v>332</v>
      </c>
      <c r="D19" s="68">
        <v>1</v>
      </c>
      <c r="E19" s="68">
        <v>1</v>
      </c>
      <c r="F19" s="68" t="s">
        <v>303</v>
      </c>
      <c r="G19" s="68" t="s">
        <v>304</v>
      </c>
      <c r="H19" s="69" t="s">
        <v>275</v>
      </c>
      <c r="I19" s="69" t="s">
        <v>52</v>
      </c>
      <c r="J19" s="189">
        <v>100</v>
      </c>
      <c r="K19" s="69"/>
      <c r="L19" s="189"/>
      <c r="M19" s="188">
        <v>90</v>
      </c>
      <c r="N19" s="188">
        <v>10</v>
      </c>
      <c r="O19" s="68">
        <v>71</v>
      </c>
      <c r="P19" s="68">
        <v>184</v>
      </c>
      <c r="Q19" s="68">
        <v>453</v>
      </c>
      <c r="R19" s="68">
        <v>2790</v>
      </c>
      <c r="S19" s="68">
        <v>3230</v>
      </c>
      <c r="T19" s="68">
        <v>3744</v>
      </c>
      <c r="U19" s="68">
        <v>4341</v>
      </c>
    </row>
    <row r="20" spans="1:22">
      <c r="A20" s="68" t="s">
        <v>160</v>
      </c>
      <c r="B20" s="68" t="s">
        <v>160</v>
      </c>
      <c r="C20" s="68" t="s">
        <v>332</v>
      </c>
      <c r="D20" s="68">
        <v>1</v>
      </c>
      <c r="E20" s="68">
        <v>2</v>
      </c>
      <c r="F20" s="68" t="s">
        <v>303</v>
      </c>
      <c r="G20" s="68" t="s">
        <v>305</v>
      </c>
      <c r="H20" s="69" t="s">
        <v>273</v>
      </c>
      <c r="I20" s="69" t="s">
        <v>3</v>
      </c>
      <c r="J20" s="189">
        <v>20</v>
      </c>
      <c r="K20" s="69" t="s">
        <v>56</v>
      </c>
      <c r="L20" s="189">
        <v>80</v>
      </c>
      <c r="M20" s="188">
        <v>0</v>
      </c>
      <c r="N20" s="188">
        <v>100</v>
      </c>
      <c r="O20" s="68">
        <v>266</v>
      </c>
      <c r="P20" s="68">
        <v>763</v>
      </c>
      <c r="Q20" s="68">
        <v>863</v>
      </c>
      <c r="R20" s="68">
        <v>3561</v>
      </c>
      <c r="S20" s="68">
        <v>4122</v>
      </c>
      <c r="T20" s="68">
        <v>4779</v>
      </c>
      <c r="U20" s="68">
        <v>5540</v>
      </c>
    </row>
    <row r="21" spans="1:22">
      <c r="A21" s="68" t="s">
        <v>100</v>
      </c>
      <c r="B21" s="68" t="s">
        <v>100</v>
      </c>
      <c r="C21" s="68" t="s">
        <v>332</v>
      </c>
      <c r="D21" s="68">
        <v>2</v>
      </c>
      <c r="E21" s="68">
        <v>2</v>
      </c>
      <c r="F21" s="68" t="s">
        <v>303</v>
      </c>
      <c r="G21" s="68" t="s">
        <v>305</v>
      </c>
      <c r="H21" s="69" t="s">
        <v>275</v>
      </c>
      <c r="I21" s="69" t="s">
        <v>3</v>
      </c>
      <c r="J21" s="189">
        <v>100</v>
      </c>
      <c r="K21" s="69"/>
      <c r="L21" s="189"/>
      <c r="M21" s="188">
        <v>30</v>
      </c>
      <c r="N21" s="188">
        <v>70</v>
      </c>
      <c r="O21" s="68">
        <v>42</v>
      </c>
      <c r="P21" s="68">
        <v>107</v>
      </c>
      <c r="Q21" s="68">
        <v>634</v>
      </c>
      <c r="R21" s="68">
        <v>3066</v>
      </c>
      <c r="S21" s="68">
        <v>3549</v>
      </c>
      <c r="T21" s="68">
        <v>4115</v>
      </c>
      <c r="U21" s="68">
        <v>4770</v>
      </c>
      <c r="V21" s="68">
        <v>2.38</v>
      </c>
    </row>
    <row r="22" spans="1:22">
      <c r="A22" s="68" t="s">
        <v>346</v>
      </c>
      <c r="B22" s="68" t="s">
        <v>100</v>
      </c>
      <c r="C22" s="68" t="s">
        <v>332</v>
      </c>
      <c r="D22" s="68">
        <v>2</v>
      </c>
      <c r="E22" s="68">
        <v>2</v>
      </c>
      <c r="F22" s="68" t="s">
        <v>303</v>
      </c>
      <c r="G22" s="68" t="s">
        <v>305</v>
      </c>
      <c r="H22" s="69" t="s">
        <v>275</v>
      </c>
      <c r="I22" s="69" t="s">
        <v>3</v>
      </c>
      <c r="J22" s="189">
        <v>100</v>
      </c>
      <c r="K22" s="69"/>
      <c r="L22" s="189"/>
      <c r="M22" s="188">
        <v>30</v>
      </c>
      <c r="N22" s="188">
        <v>70</v>
      </c>
      <c r="O22" s="68">
        <v>42</v>
      </c>
      <c r="P22" s="68">
        <v>107</v>
      </c>
      <c r="Q22" s="68">
        <v>634</v>
      </c>
      <c r="R22" s="68">
        <v>3066</v>
      </c>
      <c r="S22" s="68">
        <v>3549</v>
      </c>
      <c r="T22" s="68">
        <v>4115</v>
      </c>
      <c r="U22" s="68">
        <v>4770</v>
      </c>
    </row>
    <row r="23" spans="1:22">
      <c r="A23" s="68" t="s">
        <v>166</v>
      </c>
      <c r="B23" s="68" t="s">
        <v>166</v>
      </c>
      <c r="C23" s="68" t="s">
        <v>332</v>
      </c>
      <c r="D23" s="68">
        <v>1</v>
      </c>
      <c r="E23" s="68">
        <v>3</v>
      </c>
      <c r="F23" s="68" t="s">
        <v>303</v>
      </c>
      <c r="G23" s="68" t="s">
        <v>302</v>
      </c>
      <c r="H23" s="69" t="s">
        <v>276</v>
      </c>
      <c r="I23" s="69" t="s">
        <v>54</v>
      </c>
      <c r="J23" s="189">
        <v>50</v>
      </c>
      <c r="K23" s="69" t="s">
        <v>58</v>
      </c>
      <c r="L23" s="189">
        <v>50</v>
      </c>
      <c r="M23" s="188">
        <v>20</v>
      </c>
      <c r="N23" s="188">
        <v>80</v>
      </c>
      <c r="O23" s="68">
        <v>108</v>
      </c>
      <c r="P23" s="68">
        <v>278</v>
      </c>
      <c r="Q23" s="68">
        <v>764</v>
      </c>
      <c r="R23" s="68">
        <v>1966</v>
      </c>
      <c r="S23" s="68">
        <v>2276</v>
      </c>
      <c r="T23" s="68">
        <v>2639</v>
      </c>
      <c r="U23" s="68">
        <v>3059</v>
      </c>
    </row>
    <row r="24" spans="1:22">
      <c r="A24" s="68" t="s">
        <v>135</v>
      </c>
      <c r="B24" s="68" t="s">
        <v>135</v>
      </c>
      <c r="C24" s="68" t="s">
        <v>332</v>
      </c>
      <c r="D24" s="68">
        <v>1</v>
      </c>
      <c r="E24" s="68">
        <v>1</v>
      </c>
      <c r="F24" s="68" t="s">
        <v>303</v>
      </c>
      <c r="G24" s="68" t="s">
        <v>305</v>
      </c>
      <c r="H24" s="69" t="s">
        <v>273</v>
      </c>
      <c r="I24" s="69" t="s">
        <v>3</v>
      </c>
      <c r="J24" s="189">
        <v>100</v>
      </c>
      <c r="K24" s="69"/>
      <c r="L24" s="189"/>
      <c r="M24" s="188">
        <v>20</v>
      </c>
      <c r="N24" s="188">
        <v>80</v>
      </c>
      <c r="O24" s="68">
        <v>59</v>
      </c>
      <c r="P24" s="68">
        <v>153</v>
      </c>
      <c r="Q24" s="68">
        <v>422</v>
      </c>
      <c r="R24" s="68">
        <v>2235</v>
      </c>
      <c r="S24" s="68">
        <v>2587</v>
      </c>
      <c r="T24" s="68">
        <v>2999</v>
      </c>
      <c r="U24" s="68">
        <v>3477</v>
      </c>
    </row>
    <row r="25" spans="1:22">
      <c r="A25" s="68" t="s">
        <v>95</v>
      </c>
      <c r="B25" s="68" t="s">
        <v>95</v>
      </c>
      <c r="C25" s="68" t="s">
        <v>332</v>
      </c>
      <c r="D25" s="68">
        <v>2</v>
      </c>
      <c r="E25" s="68">
        <v>3</v>
      </c>
      <c r="F25" s="68" t="s">
        <v>303</v>
      </c>
      <c r="G25" s="68" t="s">
        <v>305</v>
      </c>
      <c r="H25" s="69" t="s">
        <v>262</v>
      </c>
      <c r="I25" s="69" t="s">
        <v>3</v>
      </c>
      <c r="J25" s="189">
        <v>100</v>
      </c>
      <c r="K25" s="69"/>
      <c r="L25" s="189"/>
      <c r="M25" s="188">
        <v>20</v>
      </c>
      <c r="N25" s="188">
        <v>80</v>
      </c>
      <c r="O25" s="68">
        <v>131</v>
      </c>
      <c r="P25" s="68">
        <v>338</v>
      </c>
      <c r="Q25" s="68">
        <v>928</v>
      </c>
      <c r="R25" s="68">
        <v>1999</v>
      </c>
      <c r="S25" s="68">
        <v>2315</v>
      </c>
      <c r="T25" s="68">
        <v>2683</v>
      </c>
      <c r="U25" s="68">
        <v>3111</v>
      </c>
      <c r="V25" s="68">
        <v>2.5</v>
      </c>
    </row>
    <row r="26" spans="1:22">
      <c r="A26" s="68" t="s">
        <v>347</v>
      </c>
      <c r="B26" s="68" t="s">
        <v>347</v>
      </c>
      <c r="C26" s="68" t="s">
        <v>332</v>
      </c>
      <c r="D26" s="68">
        <v>2</v>
      </c>
      <c r="E26" s="68">
        <v>3</v>
      </c>
      <c r="F26" s="68" t="s">
        <v>303</v>
      </c>
      <c r="G26" s="68" t="s">
        <v>305</v>
      </c>
      <c r="H26" s="69" t="s">
        <v>262</v>
      </c>
      <c r="I26" s="69" t="s">
        <v>3</v>
      </c>
      <c r="J26" s="189">
        <v>100</v>
      </c>
      <c r="K26" s="69"/>
      <c r="L26" s="189"/>
      <c r="M26" s="188">
        <v>20</v>
      </c>
      <c r="N26" s="188">
        <v>80</v>
      </c>
      <c r="O26" s="68">
        <v>136</v>
      </c>
      <c r="P26" s="68">
        <v>349</v>
      </c>
      <c r="Q26" s="68">
        <v>956</v>
      </c>
      <c r="R26" s="68">
        <v>2060</v>
      </c>
      <c r="S26" s="68">
        <v>2384</v>
      </c>
      <c r="T26" s="68">
        <v>2764</v>
      </c>
      <c r="U26" s="68">
        <v>3205</v>
      </c>
    </row>
    <row r="27" spans="1:22">
      <c r="A27" s="68" t="s">
        <v>1</v>
      </c>
      <c r="B27" s="68" t="s">
        <v>1</v>
      </c>
      <c r="C27" s="68" t="s">
        <v>332</v>
      </c>
      <c r="D27" s="68">
        <v>2</v>
      </c>
      <c r="E27" s="68">
        <v>1</v>
      </c>
      <c r="F27" s="68" t="s">
        <v>303</v>
      </c>
      <c r="G27" s="68" t="s">
        <v>305</v>
      </c>
      <c r="H27" s="69" t="s">
        <v>275</v>
      </c>
      <c r="I27" s="69" t="s">
        <v>3</v>
      </c>
      <c r="J27" s="189">
        <v>100</v>
      </c>
      <c r="K27" s="69"/>
      <c r="L27" s="189"/>
      <c r="M27" s="188">
        <v>0</v>
      </c>
      <c r="N27" s="188">
        <v>100</v>
      </c>
      <c r="O27" s="68">
        <v>62</v>
      </c>
      <c r="P27" s="68">
        <v>159</v>
      </c>
      <c r="Q27" s="68">
        <v>391</v>
      </c>
      <c r="R27" s="68">
        <v>2394</v>
      </c>
      <c r="S27" s="68">
        <v>2772</v>
      </c>
      <c r="T27" s="68">
        <v>3213</v>
      </c>
      <c r="U27" s="68">
        <v>3725</v>
      </c>
      <c r="V27" s="68">
        <v>1.5</v>
      </c>
    </row>
    <row r="28" spans="1:22">
      <c r="A28" s="68" t="s">
        <v>348</v>
      </c>
      <c r="B28" s="68" t="s">
        <v>1</v>
      </c>
      <c r="C28" s="68" t="s">
        <v>332</v>
      </c>
      <c r="D28" s="68">
        <v>2</v>
      </c>
      <c r="E28" s="68">
        <v>1</v>
      </c>
      <c r="F28" s="68" t="s">
        <v>303</v>
      </c>
      <c r="G28" s="68" t="s">
        <v>305</v>
      </c>
      <c r="H28" s="69" t="s">
        <v>275</v>
      </c>
      <c r="I28" s="69" t="s">
        <v>3</v>
      </c>
      <c r="J28" s="189">
        <v>100</v>
      </c>
      <c r="K28" s="69"/>
      <c r="L28" s="189"/>
      <c r="M28" s="188">
        <v>0</v>
      </c>
      <c r="N28" s="188">
        <v>100</v>
      </c>
      <c r="O28" s="68">
        <v>64</v>
      </c>
      <c r="P28" s="68">
        <v>159</v>
      </c>
      <c r="Q28" s="68">
        <v>391</v>
      </c>
      <c r="R28" s="68">
        <v>2394</v>
      </c>
      <c r="S28" s="68">
        <v>2772</v>
      </c>
      <c r="T28" s="68">
        <v>3213</v>
      </c>
      <c r="U28" s="68">
        <v>3725</v>
      </c>
      <c r="V28" s="68">
        <v>1.5</v>
      </c>
    </row>
    <row r="29" spans="1:22">
      <c r="A29" s="68" t="s">
        <v>311</v>
      </c>
      <c r="B29" s="68" t="s">
        <v>1</v>
      </c>
      <c r="C29" s="68" t="s">
        <v>332</v>
      </c>
      <c r="D29" s="68">
        <v>2</v>
      </c>
      <c r="E29" s="68">
        <v>1</v>
      </c>
      <c r="F29" s="68" t="s">
        <v>303</v>
      </c>
      <c r="G29" s="68" t="s">
        <v>305</v>
      </c>
      <c r="H29" s="69" t="s">
        <v>275</v>
      </c>
      <c r="I29" s="69" t="s">
        <v>3</v>
      </c>
      <c r="J29" s="189">
        <v>100</v>
      </c>
      <c r="K29" s="69"/>
      <c r="L29" s="189"/>
      <c r="M29" s="188">
        <v>0</v>
      </c>
      <c r="N29" s="188">
        <v>100</v>
      </c>
      <c r="O29" s="68">
        <v>71</v>
      </c>
      <c r="P29" s="68">
        <v>183</v>
      </c>
      <c r="Q29" s="68">
        <v>449</v>
      </c>
      <c r="R29" s="68">
        <v>2754</v>
      </c>
      <c r="S29" s="68">
        <v>3187</v>
      </c>
      <c r="T29" s="68">
        <v>3695</v>
      </c>
      <c r="U29" s="68">
        <v>4283</v>
      </c>
      <c r="V29" s="68">
        <v>1.5</v>
      </c>
    </row>
    <row r="30" spans="1:22">
      <c r="A30" s="68" t="s">
        <v>138</v>
      </c>
      <c r="B30" s="68" t="s">
        <v>138</v>
      </c>
      <c r="C30" s="68" t="s">
        <v>332</v>
      </c>
      <c r="D30" s="68">
        <v>1</v>
      </c>
      <c r="E30" s="68">
        <v>3</v>
      </c>
      <c r="F30" s="68" t="s">
        <v>302</v>
      </c>
      <c r="G30" s="68" t="s">
        <v>306</v>
      </c>
      <c r="H30" s="69" t="s">
        <v>273</v>
      </c>
      <c r="I30" s="69" t="s">
        <v>52</v>
      </c>
      <c r="J30" s="189">
        <v>100</v>
      </c>
      <c r="K30" s="69"/>
      <c r="L30" s="189"/>
      <c r="M30" s="188">
        <v>100</v>
      </c>
      <c r="N30" s="188">
        <v>0</v>
      </c>
      <c r="O30" s="68">
        <v>734</v>
      </c>
      <c r="P30" s="68">
        <v>2100</v>
      </c>
      <c r="Q30" s="68">
        <v>2654</v>
      </c>
      <c r="R30" s="68">
        <v>5934</v>
      </c>
      <c r="S30" s="68">
        <v>7214</v>
      </c>
      <c r="T30" s="68">
        <v>8363</v>
      </c>
      <c r="U30" s="68">
        <v>9695</v>
      </c>
    </row>
    <row r="31" spans="1:22">
      <c r="A31" s="68" t="s">
        <v>122</v>
      </c>
      <c r="B31" s="68" t="s">
        <v>122</v>
      </c>
      <c r="C31" s="68" t="s">
        <v>332</v>
      </c>
      <c r="D31" s="68">
        <v>2</v>
      </c>
      <c r="E31" s="68">
        <v>1</v>
      </c>
      <c r="F31" s="68" t="s">
        <v>303</v>
      </c>
      <c r="G31" s="68" t="s">
        <v>305</v>
      </c>
      <c r="H31" s="69" t="s">
        <v>272</v>
      </c>
      <c r="I31" s="69" t="s">
        <v>3</v>
      </c>
      <c r="J31" s="189">
        <v>80</v>
      </c>
      <c r="K31" s="69" t="s">
        <v>56</v>
      </c>
      <c r="L31" s="189">
        <v>20</v>
      </c>
      <c r="M31" s="188">
        <v>0</v>
      </c>
      <c r="N31" s="188">
        <v>100</v>
      </c>
      <c r="O31" s="68">
        <v>1118</v>
      </c>
      <c r="P31" s="68">
        <v>2625</v>
      </c>
      <c r="Q31" s="68">
        <v>3311</v>
      </c>
      <c r="R31" s="68">
        <v>6009</v>
      </c>
      <c r="S31" s="68">
        <v>6955</v>
      </c>
      <c r="T31" s="68">
        <v>8063</v>
      </c>
      <c r="U31" s="68">
        <v>9347</v>
      </c>
    </row>
    <row r="32" spans="1:22">
      <c r="A32" s="68" t="s">
        <v>312</v>
      </c>
      <c r="B32" s="68" t="s">
        <v>312</v>
      </c>
      <c r="C32" s="68" t="s">
        <v>332</v>
      </c>
      <c r="D32" s="68">
        <v>2</v>
      </c>
      <c r="E32" s="68">
        <v>3</v>
      </c>
      <c r="F32" s="68" t="s">
        <v>303</v>
      </c>
      <c r="G32" s="68" t="s">
        <v>305</v>
      </c>
      <c r="H32" s="69" t="s">
        <v>275</v>
      </c>
      <c r="I32" s="69" t="s">
        <v>3</v>
      </c>
      <c r="J32" s="189">
        <v>100</v>
      </c>
      <c r="K32" s="69"/>
      <c r="L32" s="189"/>
      <c r="M32" s="188">
        <v>70</v>
      </c>
      <c r="N32" s="188">
        <v>30</v>
      </c>
      <c r="R32" s="68">
        <v>3303</v>
      </c>
      <c r="S32" s="68">
        <v>3574</v>
      </c>
      <c r="T32" s="68">
        <v>3756</v>
      </c>
      <c r="U32" s="68">
        <v>3948</v>
      </c>
      <c r="V32" s="68">
        <v>2.5499999999999998</v>
      </c>
    </row>
    <row r="33" spans="1:22">
      <c r="A33" s="68" t="s">
        <v>313</v>
      </c>
      <c r="B33" s="68" t="s">
        <v>312</v>
      </c>
      <c r="C33" s="68" t="s">
        <v>332</v>
      </c>
      <c r="D33" s="68">
        <v>2</v>
      </c>
      <c r="E33" s="68">
        <v>3</v>
      </c>
      <c r="F33" s="68" t="s">
        <v>303</v>
      </c>
      <c r="G33" s="68" t="s">
        <v>305</v>
      </c>
      <c r="H33" s="69" t="s">
        <v>275</v>
      </c>
      <c r="I33" s="69" t="s">
        <v>3</v>
      </c>
      <c r="J33" s="189">
        <v>70</v>
      </c>
      <c r="K33" s="69" t="s">
        <v>56</v>
      </c>
      <c r="L33" s="189">
        <v>30</v>
      </c>
      <c r="M33" s="188">
        <v>70</v>
      </c>
      <c r="N33" s="188">
        <v>30</v>
      </c>
      <c r="R33" s="68">
        <v>4208</v>
      </c>
      <c r="V33" s="68">
        <v>2.5499999999999998</v>
      </c>
    </row>
    <row r="34" spans="1:22">
      <c r="A34" s="68" t="s">
        <v>226</v>
      </c>
      <c r="B34" s="68" t="s">
        <v>226</v>
      </c>
      <c r="C34" s="68" t="s">
        <v>332</v>
      </c>
      <c r="D34" s="68">
        <v>1</v>
      </c>
      <c r="E34" s="68">
        <v>2</v>
      </c>
      <c r="F34" s="68" t="s">
        <v>303</v>
      </c>
      <c r="G34" s="68" t="s">
        <v>305</v>
      </c>
      <c r="H34" s="69" t="s">
        <v>262</v>
      </c>
      <c r="I34" s="69" t="s">
        <v>3</v>
      </c>
      <c r="J34" s="189">
        <v>1</v>
      </c>
      <c r="K34" s="69" t="s">
        <v>58</v>
      </c>
      <c r="L34" s="189">
        <v>99</v>
      </c>
      <c r="M34" s="188">
        <v>0</v>
      </c>
      <c r="N34" s="188">
        <v>100</v>
      </c>
      <c r="O34" s="68">
        <v>141</v>
      </c>
      <c r="P34" s="68">
        <v>405</v>
      </c>
      <c r="Q34" s="68">
        <v>512</v>
      </c>
      <c r="R34" s="68">
        <v>1914</v>
      </c>
      <c r="S34" s="68">
        <v>2216</v>
      </c>
      <c r="T34" s="68">
        <v>2569</v>
      </c>
      <c r="U34" s="68">
        <v>2978</v>
      </c>
    </row>
    <row r="35" spans="1:22">
      <c r="A35" s="68" t="s">
        <v>133</v>
      </c>
      <c r="B35" s="68" t="s">
        <v>133</v>
      </c>
      <c r="C35" s="68" t="s">
        <v>48</v>
      </c>
      <c r="D35" s="68">
        <v>2</v>
      </c>
      <c r="E35" s="68">
        <v>2</v>
      </c>
      <c r="F35" s="68" t="s">
        <v>304</v>
      </c>
      <c r="G35" s="68" t="s">
        <v>306</v>
      </c>
      <c r="H35" s="69" t="s">
        <v>274</v>
      </c>
      <c r="I35" s="69" t="s">
        <v>52</v>
      </c>
      <c r="J35" s="189">
        <v>100</v>
      </c>
      <c r="K35" s="69"/>
      <c r="L35" s="189"/>
      <c r="M35" s="188">
        <v>100</v>
      </c>
      <c r="N35" s="188">
        <v>0</v>
      </c>
      <c r="O35" s="68">
        <v>131</v>
      </c>
      <c r="P35" s="68">
        <v>338</v>
      </c>
      <c r="Q35" s="68">
        <v>928</v>
      </c>
      <c r="R35" s="68">
        <v>3693</v>
      </c>
      <c r="S35" s="68">
        <v>4275</v>
      </c>
      <c r="T35" s="68">
        <v>4956</v>
      </c>
      <c r="U35" s="68">
        <v>5746</v>
      </c>
    </row>
    <row r="36" spans="1:22">
      <c r="A36" s="68" t="s">
        <v>78</v>
      </c>
      <c r="B36" s="68" t="s">
        <v>78</v>
      </c>
      <c r="C36" s="68" t="s">
        <v>48</v>
      </c>
      <c r="D36" s="68">
        <v>1</v>
      </c>
      <c r="E36" s="68">
        <v>2</v>
      </c>
      <c r="F36" s="68" t="s">
        <v>303</v>
      </c>
      <c r="G36" s="68" t="s">
        <v>305</v>
      </c>
      <c r="H36" s="69" t="s">
        <v>275</v>
      </c>
      <c r="I36" s="69" t="s">
        <v>3</v>
      </c>
      <c r="J36" s="189">
        <v>100</v>
      </c>
      <c r="K36" s="69"/>
      <c r="L36" s="189"/>
      <c r="M36" s="188">
        <v>0</v>
      </c>
      <c r="N36" s="188">
        <v>100</v>
      </c>
      <c r="O36" s="68">
        <v>21</v>
      </c>
      <c r="P36" s="68">
        <v>53</v>
      </c>
      <c r="Q36" s="68">
        <v>317</v>
      </c>
      <c r="R36" s="68">
        <v>1469</v>
      </c>
      <c r="S36" s="68">
        <v>1701</v>
      </c>
      <c r="T36" s="68">
        <v>1972</v>
      </c>
      <c r="U36" s="68">
        <v>2287</v>
      </c>
    </row>
    <row r="37" spans="1:22">
      <c r="A37" s="68" t="s">
        <v>192</v>
      </c>
      <c r="B37" s="68" t="s">
        <v>192</v>
      </c>
      <c r="C37" s="68" t="s">
        <v>48</v>
      </c>
      <c r="D37" s="68">
        <v>2</v>
      </c>
      <c r="E37" s="68">
        <v>2</v>
      </c>
      <c r="F37" s="68" t="s">
        <v>302</v>
      </c>
      <c r="G37" s="68" t="s">
        <v>303</v>
      </c>
      <c r="H37" s="69" t="s">
        <v>273</v>
      </c>
      <c r="I37" s="69" t="s">
        <v>52</v>
      </c>
      <c r="J37" s="189">
        <v>100</v>
      </c>
      <c r="K37" s="69"/>
      <c r="L37" s="189"/>
      <c r="M37" s="188">
        <v>100</v>
      </c>
      <c r="N37" s="188">
        <v>0</v>
      </c>
      <c r="O37" s="68">
        <v>310</v>
      </c>
      <c r="P37" s="68">
        <v>887</v>
      </c>
      <c r="Q37" s="68">
        <v>1120</v>
      </c>
      <c r="R37" s="68">
        <v>4272</v>
      </c>
      <c r="S37" s="68">
        <v>4945</v>
      </c>
      <c r="T37" s="68">
        <v>5733</v>
      </c>
      <c r="U37" s="68">
        <v>6646</v>
      </c>
    </row>
    <row r="38" spans="1:22">
      <c r="A38" s="68" t="s">
        <v>80</v>
      </c>
      <c r="B38" s="68" t="s">
        <v>80</v>
      </c>
      <c r="C38" s="68" t="s">
        <v>48</v>
      </c>
      <c r="D38" s="68">
        <v>2</v>
      </c>
      <c r="E38" s="68">
        <v>3</v>
      </c>
      <c r="F38" s="68" t="s">
        <v>302</v>
      </c>
      <c r="G38" s="68" t="s">
        <v>303</v>
      </c>
      <c r="H38" s="69" t="s">
        <v>275</v>
      </c>
      <c r="I38" s="69" t="s">
        <v>52</v>
      </c>
      <c r="J38" s="189">
        <v>100</v>
      </c>
      <c r="K38" s="69"/>
      <c r="L38" s="189"/>
      <c r="M38" s="188">
        <v>60</v>
      </c>
      <c r="N38" s="188">
        <v>40</v>
      </c>
      <c r="O38" s="68">
        <v>659</v>
      </c>
      <c r="P38" s="68">
        <v>1217</v>
      </c>
      <c r="Q38" s="68">
        <v>1536</v>
      </c>
      <c r="R38" s="68">
        <v>2940</v>
      </c>
      <c r="S38" s="68">
        <v>3403</v>
      </c>
      <c r="T38" s="68">
        <v>3945</v>
      </c>
      <c r="U38" s="68">
        <v>4574</v>
      </c>
    </row>
    <row r="39" spans="1:22">
      <c r="A39" s="68" t="s">
        <v>102</v>
      </c>
      <c r="B39" s="68" t="s">
        <v>102</v>
      </c>
      <c r="C39" s="68" t="s">
        <v>48</v>
      </c>
      <c r="D39" s="68">
        <v>1</v>
      </c>
      <c r="E39" s="68">
        <v>2</v>
      </c>
      <c r="F39" s="68" t="s">
        <v>302</v>
      </c>
      <c r="G39" s="68" t="s">
        <v>302</v>
      </c>
      <c r="H39" s="69" t="s">
        <v>274</v>
      </c>
      <c r="I39" s="69" t="s">
        <v>52</v>
      </c>
      <c r="J39" s="189">
        <v>50</v>
      </c>
      <c r="K39" s="69" t="s">
        <v>56</v>
      </c>
      <c r="L39" s="189">
        <v>50</v>
      </c>
      <c r="M39" s="188">
        <v>90</v>
      </c>
      <c r="N39" s="188">
        <v>10</v>
      </c>
      <c r="O39" s="68">
        <v>97</v>
      </c>
      <c r="P39" s="68">
        <v>175</v>
      </c>
      <c r="Q39" s="68">
        <v>800</v>
      </c>
      <c r="R39" s="68">
        <v>2489</v>
      </c>
      <c r="S39" s="68">
        <v>2881</v>
      </c>
      <c r="T39" s="68">
        <v>3340</v>
      </c>
      <c r="U39" s="68">
        <v>3872</v>
      </c>
    </row>
    <row r="40" spans="1:22">
      <c r="A40" s="68" t="s">
        <v>314</v>
      </c>
      <c r="B40" s="68" t="s">
        <v>102</v>
      </c>
      <c r="C40" s="68" t="s">
        <v>48</v>
      </c>
      <c r="D40" s="68">
        <v>1</v>
      </c>
      <c r="E40" s="68">
        <v>2</v>
      </c>
      <c r="F40" s="68" t="s">
        <v>302</v>
      </c>
      <c r="G40" s="68" t="s">
        <v>302</v>
      </c>
      <c r="H40" s="69" t="s">
        <v>274</v>
      </c>
      <c r="I40" s="69" t="s">
        <v>52</v>
      </c>
      <c r="J40" s="189">
        <v>50</v>
      </c>
      <c r="K40" s="69" t="s">
        <v>56</v>
      </c>
      <c r="L40" s="189">
        <v>50</v>
      </c>
      <c r="M40" s="188">
        <v>90</v>
      </c>
      <c r="N40" s="188">
        <v>10</v>
      </c>
      <c r="O40" s="68">
        <v>112</v>
      </c>
      <c r="P40" s="68">
        <v>202</v>
      </c>
      <c r="Q40" s="68">
        <v>921</v>
      </c>
      <c r="R40" s="68">
        <v>2863</v>
      </c>
      <c r="S40" s="68">
        <v>3313</v>
      </c>
      <c r="T40" s="68">
        <v>3841</v>
      </c>
      <c r="U40" s="68">
        <v>4453</v>
      </c>
    </row>
    <row r="41" spans="1:22">
      <c r="A41" s="68" t="s">
        <v>315</v>
      </c>
      <c r="B41" s="68" t="s">
        <v>315</v>
      </c>
      <c r="C41" s="68" t="s">
        <v>48</v>
      </c>
      <c r="D41" s="68">
        <v>1</v>
      </c>
      <c r="E41" s="68">
        <v>1</v>
      </c>
      <c r="F41" s="68" t="s">
        <v>303</v>
      </c>
      <c r="G41" s="68" t="s">
        <v>304</v>
      </c>
      <c r="H41" s="69" t="s">
        <v>262</v>
      </c>
      <c r="I41" s="69" t="s">
        <v>52</v>
      </c>
      <c r="J41" s="189">
        <v>50</v>
      </c>
      <c r="K41" s="69" t="s">
        <v>60</v>
      </c>
      <c r="L41" s="189">
        <v>50</v>
      </c>
      <c r="M41" s="188">
        <v>100</v>
      </c>
      <c r="N41" s="188">
        <v>0</v>
      </c>
      <c r="O41" s="68">
        <v>62</v>
      </c>
      <c r="P41" s="68">
        <v>160</v>
      </c>
      <c r="Q41" s="68">
        <v>440</v>
      </c>
      <c r="R41" s="68">
        <v>1743</v>
      </c>
      <c r="S41" s="68">
        <v>2018</v>
      </c>
      <c r="T41" s="68">
        <v>2339</v>
      </c>
      <c r="U41" s="68">
        <v>2712</v>
      </c>
    </row>
    <row r="42" spans="1:22">
      <c r="A42" s="68" t="s">
        <v>204</v>
      </c>
      <c r="B42" s="68" t="s">
        <v>204</v>
      </c>
      <c r="C42" s="68" t="s">
        <v>48</v>
      </c>
      <c r="D42" s="68">
        <v>1</v>
      </c>
      <c r="E42" s="68">
        <v>1</v>
      </c>
      <c r="F42" s="68" t="s">
        <v>302</v>
      </c>
      <c r="G42" s="68" t="s">
        <v>306</v>
      </c>
      <c r="H42" s="69" t="s">
        <v>274</v>
      </c>
      <c r="I42" s="69" t="s">
        <v>54</v>
      </c>
      <c r="J42" s="189">
        <v>100</v>
      </c>
      <c r="K42" s="69"/>
      <c r="L42" s="189"/>
      <c r="M42" s="188">
        <v>80</v>
      </c>
      <c r="N42" s="188">
        <v>20</v>
      </c>
      <c r="O42" s="68">
        <v>564</v>
      </c>
      <c r="P42" s="68">
        <v>1044</v>
      </c>
      <c r="Q42" s="68">
        <v>1317</v>
      </c>
      <c r="R42" s="68">
        <v>5752</v>
      </c>
      <c r="S42" s="68">
        <v>6659</v>
      </c>
      <c r="T42" s="68">
        <v>7720</v>
      </c>
      <c r="U42" s="68">
        <v>8949</v>
      </c>
    </row>
    <row r="43" spans="1:22">
      <c r="A43" s="68" t="s">
        <v>150</v>
      </c>
      <c r="B43" s="68" t="s">
        <v>150</v>
      </c>
      <c r="C43" s="68" t="s">
        <v>48</v>
      </c>
      <c r="D43" s="68">
        <v>1</v>
      </c>
      <c r="E43" s="68">
        <v>2</v>
      </c>
      <c r="F43" s="68" t="s">
        <v>302</v>
      </c>
      <c r="G43" s="68" t="s">
        <v>305</v>
      </c>
      <c r="H43" s="69" t="s">
        <v>272</v>
      </c>
      <c r="I43" s="69" t="s">
        <v>3</v>
      </c>
      <c r="J43" s="189">
        <v>30</v>
      </c>
      <c r="K43" s="69" t="s">
        <v>56</v>
      </c>
      <c r="L43" s="189">
        <v>70</v>
      </c>
      <c r="M43" s="188">
        <v>10</v>
      </c>
      <c r="N43" s="188">
        <v>90</v>
      </c>
      <c r="O43" s="68">
        <v>133</v>
      </c>
      <c r="P43" s="68">
        <v>382</v>
      </c>
      <c r="Q43" s="68">
        <v>242</v>
      </c>
      <c r="R43" s="68">
        <v>2316</v>
      </c>
      <c r="S43" s="68">
        <v>2682</v>
      </c>
      <c r="T43" s="68">
        <v>3109</v>
      </c>
      <c r="U43" s="68">
        <v>3604</v>
      </c>
    </row>
    <row r="44" spans="1:22">
      <c r="A44" s="68" t="s">
        <v>168</v>
      </c>
      <c r="B44" s="68" t="s">
        <v>168</v>
      </c>
      <c r="C44" s="68" t="s">
        <v>48</v>
      </c>
      <c r="D44" s="68">
        <v>1</v>
      </c>
      <c r="E44" s="68">
        <v>1</v>
      </c>
      <c r="F44" s="68" t="s">
        <v>303</v>
      </c>
      <c r="G44" s="68" t="s">
        <v>304</v>
      </c>
      <c r="H44" s="69" t="s">
        <v>274</v>
      </c>
      <c r="I44" s="69" t="s">
        <v>3</v>
      </c>
      <c r="J44" s="189">
        <v>20</v>
      </c>
      <c r="K44" s="69" t="s">
        <v>60</v>
      </c>
      <c r="L44" s="189">
        <v>80</v>
      </c>
      <c r="M44" s="188">
        <v>10</v>
      </c>
      <c r="N44" s="188">
        <v>90</v>
      </c>
      <c r="O44" s="68">
        <v>168</v>
      </c>
      <c r="P44" s="68">
        <v>482</v>
      </c>
      <c r="Q44" s="68">
        <v>610</v>
      </c>
      <c r="R44" s="68">
        <v>1862</v>
      </c>
      <c r="S44" s="68">
        <v>2155</v>
      </c>
      <c r="T44" s="68">
        <v>2498</v>
      </c>
      <c r="U44" s="68">
        <v>2896</v>
      </c>
    </row>
    <row r="45" spans="1:22">
      <c r="A45" s="68" t="s">
        <v>316</v>
      </c>
      <c r="B45" s="68" t="s">
        <v>365</v>
      </c>
      <c r="C45" s="68" t="s">
        <v>48</v>
      </c>
      <c r="D45" s="68">
        <v>2</v>
      </c>
      <c r="E45" s="68">
        <v>3</v>
      </c>
      <c r="F45" s="68" t="s">
        <v>302</v>
      </c>
      <c r="G45" s="68" t="s">
        <v>303</v>
      </c>
      <c r="H45" s="69" t="s">
        <v>272</v>
      </c>
      <c r="I45" s="69" t="s">
        <v>52</v>
      </c>
      <c r="J45" s="189">
        <v>100</v>
      </c>
      <c r="K45" s="69"/>
      <c r="L45" s="189"/>
      <c r="M45" s="188">
        <v>80</v>
      </c>
      <c r="N45" s="188">
        <v>20</v>
      </c>
      <c r="Q45" s="68">
        <v>486</v>
      </c>
      <c r="S45" s="68">
        <v>2750</v>
      </c>
      <c r="T45" s="68">
        <v>3188</v>
      </c>
      <c r="U45" s="68">
        <v>3696</v>
      </c>
    </row>
    <row r="46" spans="1:22">
      <c r="A46" s="68" t="s">
        <v>331</v>
      </c>
      <c r="B46" s="68" t="s">
        <v>365</v>
      </c>
      <c r="C46" s="68" t="s">
        <v>48</v>
      </c>
      <c r="D46" s="68">
        <v>2</v>
      </c>
      <c r="E46" s="68">
        <v>3</v>
      </c>
      <c r="F46" s="68" t="s">
        <v>302</v>
      </c>
      <c r="G46" s="68" t="s">
        <v>303</v>
      </c>
      <c r="H46" s="69" t="s">
        <v>272</v>
      </c>
      <c r="I46" s="69" t="s">
        <v>52</v>
      </c>
      <c r="J46" s="189">
        <v>100</v>
      </c>
      <c r="K46" s="69"/>
      <c r="L46" s="189"/>
      <c r="M46" s="188">
        <v>80</v>
      </c>
      <c r="N46" s="188">
        <v>20</v>
      </c>
      <c r="O46" s="68">
        <v>51</v>
      </c>
      <c r="P46" s="68">
        <v>131</v>
      </c>
      <c r="Q46" s="68">
        <v>388</v>
      </c>
      <c r="S46" s="68">
        <v>2200</v>
      </c>
      <c r="T46" s="68">
        <v>2550</v>
      </c>
      <c r="U46" s="68">
        <v>2957</v>
      </c>
    </row>
    <row r="47" spans="1:22">
      <c r="A47" s="68" t="s">
        <v>170</v>
      </c>
      <c r="B47" s="68" t="s">
        <v>170</v>
      </c>
      <c r="C47" s="68" t="s">
        <v>48</v>
      </c>
      <c r="D47" s="68">
        <v>1</v>
      </c>
      <c r="E47" s="68">
        <v>1</v>
      </c>
      <c r="F47" s="68" t="s">
        <v>303</v>
      </c>
      <c r="G47" s="68" t="s">
        <v>305</v>
      </c>
      <c r="H47" s="69" t="s">
        <v>272</v>
      </c>
      <c r="I47" s="69" t="s">
        <v>3</v>
      </c>
      <c r="J47" s="189">
        <v>10</v>
      </c>
      <c r="K47" s="69" t="s">
        <v>58</v>
      </c>
      <c r="L47" s="189">
        <v>90</v>
      </c>
      <c r="M47" s="188">
        <v>10</v>
      </c>
      <c r="N47" s="188">
        <v>90</v>
      </c>
      <c r="O47" s="68">
        <v>588</v>
      </c>
      <c r="P47" s="68">
        <v>1087</v>
      </c>
      <c r="Q47" s="68">
        <v>1373</v>
      </c>
      <c r="R47" s="68">
        <v>2066</v>
      </c>
      <c r="S47" s="68">
        <v>2391</v>
      </c>
      <c r="T47" s="68">
        <v>2772</v>
      </c>
      <c r="U47" s="68">
        <v>3214</v>
      </c>
    </row>
    <row r="48" spans="1:22">
      <c r="A48" s="68" t="s">
        <v>317</v>
      </c>
      <c r="B48" s="68" t="s">
        <v>317</v>
      </c>
      <c r="C48" s="68" t="s">
        <v>48</v>
      </c>
      <c r="D48" s="68">
        <v>1</v>
      </c>
      <c r="E48" s="68">
        <v>3</v>
      </c>
      <c r="F48" s="68" t="s">
        <v>302</v>
      </c>
      <c r="G48" s="68" t="s">
        <v>302</v>
      </c>
      <c r="H48" s="69" t="s">
        <v>273</v>
      </c>
      <c r="I48" s="69" t="s">
        <v>52</v>
      </c>
      <c r="J48" s="189">
        <v>100</v>
      </c>
      <c r="K48" s="69"/>
      <c r="L48" s="189"/>
      <c r="M48" s="188">
        <v>50</v>
      </c>
      <c r="N48" s="188">
        <v>50</v>
      </c>
      <c r="R48" s="68">
        <v>2741</v>
      </c>
      <c r="S48" s="68">
        <v>2966</v>
      </c>
      <c r="T48" s="68">
        <v>3118</v>
      </c>
      <c r="U48" s="68">
        <v>3277</v>
      </c>
    </row>
    <row r="49" spans="1:22">
      <c r="A49" s="68" t="s">
        <v>318</v>
      </c>
      <c r="B49" s="68" t="s">
        <v>317</v>
      </c>
      <c r="C49" s="68" t="s">
        <v>48</v>
      </c>
      <c r="D49" s="68">
        <v>1</v>
      </c>
      <c r="E49" s="68">
        <v>3</v>
      </c>
      <c r="F49" s="68" t="s">
        <v>302</v>
      </c>
      <c r="G49" s="68" t="s">
        <v>302</v>
      </c>
      <c r="H49" s="69" t="s">
        <v>273</v>
      </c>
      <c r="I49" s="69" t="s">
        <v>52</v>
      </c>
      <c r="J49" s="189">
        <v>20</v>
      </c>
      <c r="K49" s="69" t="s">
        <v>58</v>
      </c>
      <c r="L49" s="189">
        <v>80</v>
      </c>
      <c r="M49" s="188">
        <v>50</v>
      </c>
      <c r="N49" s="188">
        <v>50</v>
      </c>
      <c r="R49" s="68">
        <v>4801</v>
      </c>
    </row>
    <row r="50" spans="1:22">
      <c r="A50" s="68" t="s">
        <v>319</v>
      </c>
      <c r="B50" s="68" t="s">
        <v>319</v>
      </c>
      <c r="C50" s="68" t="s">
        <v>48</v>
      </c>
      <c r="D50" s="68">
        <v>1</v>
      </c>
      <c r="E50" s="68">
        <v>3</v>
      </c>
      <c r="F50" s="68" t="s">
        <v>303</v>
      </c>
      <c r="G50" s="68" t="s">
        <v>304</v>
      </c>
      <c r="H50" s="69" t="s">
        <v>276</v>
      </c>
      <c r="I50" s="69" t="s">
        <v>3</v>
      </c>
      <c r="J50" s="189">
        <v>40</v>
      </c>
      <c r="K50" s="69" t="s">
        <v>60</v>
      </c>
      <c r="L50" s="189">
        <v>60</v>
      </c>
      <c r="M50" s="188">
        <v>100</v>
      </c>
      <c r="N50" s="188">
        <v>0</v>
      </c>
      <c r="R50" s="68">
        <v>2506</v>
      </c>
      <c r="S50" s="68">
        <v>2711</v>
      </c>
      <c r="T50" s="68">
        <v>2850</v>
      </c>
      <c r="U50" s="68">
        <v>2995</v>
      </c>
    </row>
    <row r="51" spans="1:22">
      <c r="A51" s="68" t="s">
        <v>320</v>
      </c>
      <c r="B51" s="68" t="s">
        <v>320</v>
      </c>
      <c r="C51" s="68" t="s">
        <v>48</v>
      </c>
      <c r="D51" s="68">
        <v>1</v>
      </c>
      <c r="E51" s="68">
        <v>3</v>
      </c>
      <c r="F51" s="68" t="s">
        <v>303</v>
      </c>
      <c r="G51" s="68" t="s">
        <v>304</v>
      </c>
      <c r="H51" s="69" t="s">
        <v>276</v>
      </c>
      <c r="I51" s="69" t="s">
        <v>3</v>
      </c>
      <c r="J51" s="189">
        <v>40</v>
      </c>
      <c r="K51" s="69" t="s">
        <v>58</v>
      </c>
      <c r="L51" s="189">
        <v>60</v>
      </c>
      <c r="M51" s="188">
        <v>100</v>
      </c>
      <c r="N51" s="188">
        <v>0</v>
      </c>
      <c r="R51" s="68">
        <v>3283</v>
      </c>
    </row>
    <row r="52" spans="1:22">
      <c r="A52" s="68" t="s">
        <v>349</v>
      </c>
      <c r="B52" s="68" t="s">
        <v>349</v>
      </c>
      <c r="C52" s="68" t="s">
        <v>48</v>
      </c>
      <c r="D52" s="68">
        <v>1</v>
      </c>
      <c r="E52" s="68">
        <v>1</v>
      </c>
      <c r="F52" s="68" t="s">
        <v>304</v>
      </c>
      <c r="G52" s="68" t="s">
        <v>305</v>
      </c>
      <c r="H52" s="69" t="s">
        <v>274</v>
      </c>
      <c r="I52" s="69" t="s">
        <v>52</v>
      </c>
      <c r="J52" s="189">
        <v>100</v>
      </c>
      <c r="K52" s="69"/>
      <c r="L52" s="189"/>
      <c r="M52" s="188">
        <v>20</v>
      </c>
      <c r="N52" s="188">
        <v>80</v>
      </c>
      <c r="O52" s="68">
        <v>200</v>
      </c>
      <c r="P52" s="68">
        <v>575</v>
      </c>
      <c r="Q52" s="68">
        <v>755</v>
      </c>
      <c r="R52" s="68">
        <v>3572</v>
      </c>
      <c r="S52" s="68">
        <v>4132</v>
      </c>
      <c r="T52" s="68">
        <v>4791</v>
      </c>
      <c r="U52" s="68">
        <v>5554</v>
      </c>
    </row>
    <row r="53" spans="1:22">
      <c r="A53" s="68" t="s">
        <v>117</v>
      </c>
      <c r="B53" s="68" t="s">
        <v>117</v>
      </c>
      <c r="C53" s="68" t="s">
        <v>50</v>
      </c>
      <c r="D53" s="68">
        <v>1</v>
      </c>
      <c r="E53" s="68">
        <v>1</v>
      </c>
      <c r="F53" s="68" t="s">
        <v>302</v>
      </c>
      <c r="G53" s="68" t="s">
        <v>304</v>
      </c>
      <c r="H53" s="69" t="s">
        <v>273</v>
      </c>
      <c r="I53" s="69" t="s">
        <v>54</v>
      </c>
      <c r="J53" s="189">
        <v>50</v>
      </c>
      <c r="K53" s="69" t="s">
        <v>60</v>
      </c>
      <c r="L53" s="189">
        <v>50</v>
      </c>
      <c r="M53" s="188">
        <v>100</v>
      </c>
      <c r="N53" s="188">
        <v>0</v>
      </c>
      <c r="O53" s="68">
        <v>28</v>
      </c>
      <c r="P53" s="68">
        <v>71</v>
      </c>
      <c r="Q53" s="68">
        <v>425</v>
      </c>
      <c r="R53" s="68">
        <v>2214</v>
      </c>
      <c r="S53" s="68">
        <v>2563</v>
      </c>
      <c r="T53" s="68">
        <v>2972</v>
      </c>
      <c r="U53" s="68">
        <v>3445</v>
      </c>
    </row>
    <row r="54" spans="1:22">
      <c r="A54" s="68" t="s">
        <v>71</v>
      </c>
      <c r="B54" s="68" t="s">
        <v>71</v>
      </c>
      <c r="C54" s="68" t="s">
        <v>50</v>
      </c>
      <c r="D54" s="68">
        <v>1</v>
      </c>
      <c r="E54" s="68">
        <v>1</v>
      </c>
      <c r="F54" s="68" t="s">
        <v>303</v>
      </c>
      <c r="G54" s="68" t="s">
        <v>302</v>
      </c>
      <c r="H54" s="69" t="s">
        <v>275</v>
      </c>
      <c r="I54" s="69" t="s">
        <v>52</v>
      </c>
      <c r="J54" s="189">
        <v>50</v>
      </c>
      <c r="K54" s="69" t="s">
        <v>58</v>
      </c>
      <c r="L54" s="189">
        <v>50</v>
      </c>
      <c r="M54" s="188">
        <v>70</v>
      </c>
      <c r="N54" s="188">
        <v>30</v>
      </c>
      <c r="O54" s="68">
        <v>257</v>
      </c>
      <c r="P54" s="68">
        <v>736</v>
      </c>
      <c r="Q54" s="68">
        <v>930</v>
      </c>
      <c r="R54" s="68">
        <v>3492</v>
      </c>
      <c r="S54" s="68">
        <v>4042</v>
      </c>
      <c r="T54" s="68">
        <v>4686</v>
      </c>
      <c r="U54" s="68">
        <v>5433</v>
      </c>
    </row>
    <row r="55" spans="1:22">
      <c r="A55" s="68" t="s">
        <v>210</v>
      </c>
      <c r="B55" s="68" t="s">
        <v>210</v>
      </c>
      <c r="C55" s="68" t="s">
        <v>50</v>
      </c>
      <c r="D55" s="68">
        <v>1</v>
      </c>
      <c r="E55" s="68">
        <v>2</v>
      </c>
      <c r="F55" s="68" t="s">
        <v>303</v>
      </c>
      <c r="G55" s="68" t="s">
        <v>305</v>
      </c>
      <c r="H55" s="69" t="s">
        <v>274</v>
      </c>
      <c r="I55" s="69" t="s">
        <v>54</v>
      </c>
      <c r="J55" s="189">
        <v>100</v>
      </c>
      <c r="K55" s="69"/>
      <c r="L55" s="189"/>
      <c r="M55" s="188">
        <v>20</v>
      </c>
      <c r="N55" s="188">
        <v>80</v>
      </c>
      <c r="O55" s="68">
        <v>141</v>
      </c>
      <c r="P55" s="68">
        <v>405</v>
      </c>
      <c r="Q55" s="68">
        <v>512</v>
      </c>
      <c r="R55" s="68">
        <v>1632</v>
      </c>
      <c r="S55" s="68">
        <v>1889</v>
      </c>
      <c r="T55" s="68">
        <v>2190</v>
      </c>
      <c r="U55" s="68">
        <v>2539</v>
      </c>
    </row>
    <row r="56" spans="1:22">
      <c r="A56" s="68" t="s">
        <v>140</v>
      </c>
      <c r="B56" s="68" t="s">
        <v>140</v>
      </c>
      <c r="C56" s="68" t="s">
        <v>50</v>
      </c>
      <c r="D56" s="68">
        <v>1</v>
      </c>
      <c r="E56" s="68">
        <v>1</v>
      </c>
      <c r="F56" s="68" t="s">
        <v>303</v>
      </c>
      <c r="G56" s="68" t="s">
        <v>304</v>
      </c>
      <c r="H56" s="69" t="s">
        <v>272</v>
      </c>
      <c r="I56" s="69" t="s">
        <v>54</v>
      </c>
      <c r="J56" s="189">
        <v>100</v>
      </c>
      <c r="K56" s="69"/>
      <c r="L56" s="189"/>
      <c r="M56" s="188">
        <v>80</v>
      </c>
      <c r="N56" s="188">
        <v>20</v>
      </c>
      <c r="O56" s="68">
        <v>46</v>
      </c>
      <c r="P56" s="68">
        <v>118</v>
      </c>
      <c r="Q56" s="68">
        <v>325</v>
      </c>
      <c r="R56" s="68">
        <v>887</v>
      </c>
      <c r="S56" s="68">
        <v>1027</v>
      </c>
      <c r="T56" s="68">
        <v>1191</v>
      </c>
      <c r="U56" s="68">
        <v>1380</v>
      </c>
    </row>
    <row r="57" spans="1:22">
      <c r="A57" s="68" t="s">
        <v>236</v>
      </c>
      <c r="B57" s="68" t="s">
        <v>236</v>
      </c>
      <c r="C57" s="68" t="s">
        <v>50</v>
      </c>
      <c r="D57" s="68">
        <v>1</v>
      </c>
      <c r="E57" s="68">
        <v>1</v>
      </c>
      <c r="F57" s="68" t="s">
        <v>303</v>
      </c>
      <c r="G57" s="68" t="s">
        <v>302</v>
      </c>
      <c r="H57" s="69" t="s">
        <v>262</v>
      </c>
      <c r="I57" s="69" t="s">
        <v>52</v>
      </c>
      <c r="J57" s="189">
        <v>100</v>
      </c>
      <c r="K57" s="69"/>
      <c r="L57" s="189"/>
      <c r="M57" s="188">
        <v>70</v>
      </c>
      <c r="N57" s="188">
        <v>30</v>
      </c>
      <c r="O57" s="68">
        <v>406</v>
      </c>
      <c r="P57" s="68">
        <v>1163</v>
      </c>
      <c r="Q57" s="68">
        <v>1469</v>
      </c>
      <c r="R57" s="68">
        <v>2939</v>
      </c>
      <c r="S57" s="68">
        <v>3402</v>
      </c>
      <c r="T57" s="68">
        <v>3944</v>
      </c>
      <c r="U57" s="68">
        <v>4572</v>
      </c>
    </row>
    <row r="58" spans="1:22">
      <c r="A58" s="68" t="s">
        <v>119</v>
      </c>
      <c r="B58" s="68" t="s">
        <v>119</v>
      </c>
      <c r="C58" s="68" t="s">
        <v>50</v>
      </c>
      <c r="D58" s="68">
        <v>1</v>
      </c>
      <c r="E58" s="68">
        <v>1</v>
      </c>
      <c r="F58" s="68" t="s">
        <v>302</v>
      </c>
      <c r="G58" s="68" t="s">
        <v>302</v>
      </c>
      <c r="H58" s="69" t="s">
        <v>274</v>
      </c>
      <c r="I58" s="69" t="s">
        <v>54</v>
      </c>
      <c r="J58" s="189">
        <v>100</v>
      </c>
      <c r="K58" s="69"/>
      <c r="L58" s="189"/>
      <c r="M58" s="188">
        <v>100</v>
      </c>
      <c r="N58" s="188">
        <v>0</v>
      </c>
      <c r="O58" s="68">
        <v>436</v>
      </c>
      <c r="P58" s="68">
        <v>807</v>
      </c>
      <c r="Q58" s="68">
        <v>1018</v>
      </c>
      <c r="R58" s="68">
        <v>4057</v>
      </c>
      <c r="S58" s="68">
        <v>4696</v>
      </c>
      <c r="T58" s="68">
        <v>5444</v>
      </c>
      <c r="U58" s="68">
        <v>6312</v>
      </c>
    </row>
    <row r="59" spans="1:22">
      <c r="A59" s="68" t="s">
        <v>143</v>
      </c>
      <c r="B59" s="68" t="s">
        <v>143</v>
      </c>
      <c r="C59" s="68" t="s">
        <v>50</v>
      </c>
      <c r="D59" s="68">
        <v>1</v>
      </c>
      <c r="E59" s="68">
        <v>3</v>
      </c>
      <c r="F59" s="68" t="s">
        <v>303</v>
      </c>
      <c r="G59" s="68" t="s">
        <v>302</v>
      </c>
      <c r="H59" s="69" t="s">
        <v>272</v>
      </c>
      <c r="I59" s="69" t="s">
        <v>54</v>
      </c>
      <c r="J59" s="189">
        <v>20</v>
      </c>
      <c r="K59" s="69" t="s">
        <v>56</v>
      </c>
      <c r="L59" s="189">
        <v>80</v>
      </c>
      <c r="M59" s="188">
        <v>60</v>
      </c>
      <c r="N59" s="188">
        <v>40</v>
      </c>
      <c r="O59" s="68">
        <v>365</v>
      </c>
      <c r="P59" s="68">
        <v>676</v>
      </c>
      <c r="Q59" s="68">
        <v>853</v>
      </c>
      <c r="R59" s="68">
        <v>3269</v>
      </c>
      <c r="S59" s="68">
        <v>3785</v>
      </c>
      <c r="T59" s="68">
        <v>4387</v>
      </c>
      <c r="U59" s="68">
        <v>5086</v>
      </c>
    </row>
    <row r="60" spans="1:22">
      <c r="A60" s="68" t="s">
        <v>147</v>
      </c>
      <c r="B60" s="68" t="s">
        <v>147</v>
      </c>
      <c r="C60" s="68" t="s">
        <v>50</v>
      </c>
      <c r="D60" s="68">
        <v>1</v>
      </c>
      <c r="E60" s="68">
        <v>1</v>
      </c>
      <c r="F60" s="68" t="s">
        <v>303</v>
      </c>
      <c r="G60" s="68" t="s">
        <v>306</v>
      </c>
      <c r="H60" s="69" t="s">
        <v>273</v>
      </c>
      <c r="I60" s="69" t="s">
        <v>52</v>
      </c>
      <c r="J60" s="189">
        <v>100</v>
      </c>
      <c r="K60" s="69"/>
      <c r="L60" s="189"/>
      <c r="M60" s="188">
        <v>100</v>
      </c>
      <c r="N60" s="188">
        <v>0</v>
      </c>
      <c r="O60" s="68">
        <v>575</v>
      </c>
      <c r="P60" s="68">
        <v>1646</v>
      </c>
      <c r="Q60" s="68">
        <v>2080</v>
      </c>
      <c r="R60" s="68">
        <v>4910</v>
      </c>
      <c r="S60" s="68">
        <v>5683</v>
      </c>
      <c r="T60" s="68">
        <v>6589</v>
      </c>
      <c r="U60" s="68">
        <v>7638</v>
      </c>
    </row>
    <row r="61" spans="1:22">
      <c r="A61" s="68" t="s">
        <v>350</v>
      </c>
      <c r="B61" s="68" t="s">
        <v>147</v>
      </c>
      <c r="C61" s="68" t="s">
        <v>50</v>
      </c>
      <c r="D61" s="68">
        <v>1</v>
      </c>
      <c r="E61" s="68">
        <v>1</v>
      </c>
      <c r="F61" s="68" t="s">
        <v>303</v>
      </c>
      <c r="G61" s="68" t="s">
        <v>306</v>
      </c>
      <c r="H61" s="69" t="s">
        <v>273</v>
      </c>
      <c r="I61" s="69" t="s">
        <v>52</v>
      </c>
      <c r="J61" s="189">
        <v>100</v>
      </c>
      <c r="K61" s="69"/>
      <c r="L61" s="189"/>
      <c r="M61" s="188">
        <v>100</v>
      </c>
      <c r="N61" s="188">
        <v>0</v>
      </c>
      <c r="Q61" s="68">
        <v>2310</v>
      </c>
      <c r="R61" s="68">
        <v>5156</v>
      </c>
      <c r="S61" s="68">
        <v>5968</v>
      </c>
      <c r="T61" s="68">
        <v>6919</v>
      </c>
      <c r="U61" s="68">
        <v>8021</v>
      </c>
    </row>
    <row r="62" spans="1:22">
      <c r="A62" s="68" t="s">
        <v>82</v>
      </c>
      <c r="B62" s="68" t="s">
        <v>82</v>
      </c>
      <c r="C62" s="68" t="s">
        <v>50</v>
      </c>
      <c r="D62" s="68">
        <v>2</v>
      </c>
      <c r="E62" s="68">
        <v>1</v>
      </c>
      <c r="F62" s="68" t="s">
        <v>302</v>
      </c>
      <c r="G62" s="68" t="s">
        <v>302</v>
      </c>
      <c r="H62" s="69" t="s">
        <v>274</v>
      </c>
      <c r="I62" s="69" t="s">
        <v>52</v>
      </c>
      <c r="J62" s="189">
        <v>100</v>
      </c>
      <c r="K62" s="69"/>
      <c r="L62" s="189"/>
      <c r="M62" s="188">
        <v>90</v>
      </c>
      <c r="N62" s="188">
        <v>10</v>
      </c>
      <c r="O62" s="68">
        <v>33</v>
      </c>
      <c r="P62" s="68">
        <v>86</v>
      </c>
      <c r="Q62" s="68">
        <v>509</v>
      </c>
      <c r="R62" s="68">
        <v>2321</v>
      </c>
      <c r="S62" s="68">
        <v>2687</v>
      </c>
      <c r="T62" s="68">
        <v>3115</v>
      </c>
      <c r="U62" s="68">
        <v>3612</v>
      </c>
    </row>
    <row r="63" spans="1:22">
      <c r="A63" s="68" t="s">
        <v>213</v>
      </c>
      <c r="B63" s="68" t="s">
        <v>213</v>
      </c>
      <c r="C63" s="68" t="s">
        <v>50</v>
      </c>
      <c r="D63" s="68">
        <v>2</v>
      </c>
      <c r="E63" s="68">
        <v>2</v>
      </c>
      <c r="F63" s="68" t="s">
        <v>303</v>
      </c>
      <c r="G63" s="68" t="s">
        <v>305</v>
      </c>
      <c r="H63" s="69" t="s">
        <v>275</v>
      </c>
      <c r="I63" s="69" t="s">
        <v>3</v>
      </c>
      <c r="J63" s="189">
        <v>50</v>
      </c>
      <c r="K63" s="69" t="s">
        <v>60</v>
      </c>
      <c r="L63" s="189">
        <v>50</v>
      </c>
      <c r="M63" s="188">
        <v>40</v>
      </c>
      <c r="N63" s="188">
        <v>60</v>
      </c>
      <c r="O63" s="68">
        <v>530</v>
      </c>
      <c r="P63" s="68">
        <v>980</v>
      </c>
      <c r="Q63" s="68">
        <v>1236</v>
      </c>
      <c r="R63" s="68">
        <v>4730</v>
      </c>
      <c r="S63" s="68">
        <v>5475</v>
      </c>
      <c r="T63" s="68">
        <v>6347</v>
      </c>
      <c r="U63" s="68">
        <v>7358</v>
      </c>
      <c r="V63" s="68">
        <v>28</v>
      </c>
    </row>
    <row r="64" spans="1:22">
      <c r="A64" s="68" t="s">
        <v>321</v>
      </c>
      <c r="B64" s="68" t="s">
        <v>366</v>
      </c>
      <c r="C64" s="68" t="s">
        <v>50</v>
      </c>
      <c r="D64" s="68">
        <v>2</v>
      </c>
      <c r="E64" s="68">
        <v>3</v>
      </c>
      <c r="F64" s="68" t="s">
        <v>302</v>
      </c>
      <c r="G64" s="68" t="s">
        <v>305</v>
      </c>
      <c r="H64" s="69" t="s">
        <v>274</v>
      </c>
      <c r="I64" s="69" t="s">
        <v>54</v>
      </c>
      <c r="J64" s="189">
        <v>100</v>
      </c>
      <c r="K64" s="69"/>
      <c r="L64" s="189"/>
      <c r="M64" s="188">
        <v>65</v>
      </c>
      <c r="N64" s="188">
        <v>35</v>
      </c>
      <c r="R64" s="68">
        <v>3091</v>
      </c>
      <c r="S64" s="68">
        <v>3345</v>
      </c>
      <c r="T64" s="68">
        <v>3516</v>
      </c>
      <c r="U64" s="68">
        <v>3695</v>
      </c>
    </row>
    <row r="65" spans="1:21">
      <c r="A65" s="68" t="s">
        <v>322</v>
      </c>
      <c r="B65" s="68" t="s">
        <v>366</v>
      </c>
      <c r="C65" s="68" t="s">
        <v>50</v>
      </c>
      <c r="D65" s="68">
        <v>2</v>
      </c>
      <c r="E65" s="68">
        <v>3</v>
      </c>
      <c r="F65" s="68" t="s">
        <v>302</v>
      </c>
      <c r="G65" s="68" t="s">
        <v>305</v>
      </c>
      <c r="H65" s="69" t="s">
        <v>274</v>
      </c>
      <c r="I65" s="69" t="s">
        <v>54</v>
      </c>
      <c r="J65" s="189">
        <v>100</v>
      </c>
      <c r="K65" s="69"/>
      <c r="L65" s="189"/>
      <c r="M65" s="188">
        <v>65</v>
      </c>
      <c r="N65" s="188">
        <v>35</v>
      </c>
      <c r="R65" s="68">
        <v>4490</v>
      </c>
    </row>
    <row r="66" spans="1:21">
      <c r="A66" s="68" t="s">
        <v>351</v>
      </c>
      <c r="B66" s="68" t="s">
        <v>110</v>
      </c>
      <c r="C66" s="68" t="s">
        <v>44</v>
      </c>
      <c r="D66" s="68">
        <v>1</v>
      </c>
      <c r="E66" s="68">
        <v>1</v>
      </c>
      <c r="F66" s="68" t="s">
        <v>303</v>
      </c>
      <c r="G66" s="68" t="s">
        <v>304</v>
      </c>
      <c r="H66" s="69" t="s">
        <v>275</v>
      </c>
      <c r="I66" s="69" t="s">
        <v>52</v>
      </c>
      <c r="J66" s="189">
        <v>100</v>
      </c>
      <c r="K66" s="69"/>
      <c r="L66" s="189"/>
      <c r="M66" s="188">
        <v>90</v>
      </c>
      <c r="N66" s="188">
        <v>10</v>
      </c>
      <c r="O66" s="68">
        <v>68</v>
      </c>
      <c r="P66" s="68">
        <v>175</v>
      </c>
      <c r="Q66" s="68">
        <v>498</v>
      </c>
      <c r="S66" s="68">
        <v>3553</v>
      </c>
      <c r="T66" s="68">
        <v>4119</v>
      </c>
      <c r="U66" s="68">
        <v>4775</v>
      </c>
    </row>
    <row r="67" spans="1:21">
      <c r="A67" s="68" t="s">
        <v>352</v>
      </c>
      <c r="B67" s="68" t="s">
        <v>110</v>
      </c>
      <c r="C67" s="68" t="s">
        <v>44</v>
      </c>
      <c r="D67" s="68">
        <v>1</v>
      </c>
      <c r="E67" s="68">
        <v>1</v>
      </c>
      <c r="F67" s="68" t="s">
        <v>303</v>
      </c>
      <c r="G67" s="68" t="s">
        <v>304</v>
      </c>
      <c r="H67" s="69" t="s">
        <v>275</v>
      </c>
      <c r="I67" s="69" t="s">
        <v>52</v>
      </c>
      <c r="J67" s="189">
        <v>100</v>
      </c>
      <c r="K67" s="69"/>
      <c r="L67" s="189"/>
      <c r="M67" s="188">
        <v>90</v>
      </c>
      <c r="N67" s="188">
        <v>10</v>
      </c>
      <c r="O67" s="68">
        <v>68</v>
      </c>
      <c r="P67" s="68">
        <v>175</v>
      </c>
      <c r="Q67" s="68">
        <v>498</v>
      </c>
      <c r="S67" s="68">
        <v>3553</v>
      </c>
      <c r="T67" s="68">
        <v>4119</v>
      </c>
      <c r="U67" s="68">
        <v>4775</v>
      </c>
    </row>
    <row r="68" spans="1:21">
      <c r="A68" s="68" t="s">
        <v>323</v>
      </c>
      <c r="B68" s="68" t="s">
        <v>323</v>
      </c>
      <c r="C68" s="68" t="s">
        <v>44</v>
      </c>
      <c r="D68" s="68">
        <v>1</v>
      </c>
      <c r="E68" s="68">
        <v>3</v>
      </c>
      <c r="F68" s="68" t="s">
        <v>303</v>
      </c>
      <c r="G68" s="68" t="s">
        <v>302</v>
      </c>
      <c r="H68" s="69" t="s">
        <v>274</v>
      </c>
      <c r="I68" s="69" t="s">
        <v>52</v>
      </c>
      <c r="J68" s="189">
        <v>100</v>
      </c>
      <c r="K68" s="69"/>
      <c r="L68" s="189"/>
      <c r="M68" s="188">
        <v>90</v>
      </c>
      <c r="N68" s="188">
        <v>10</v>
      </c>
      <c r="Q68" s="68">
        <v>524</v>
      </c>
      <c r="R68" s="68">
        <v>3148</v>
      </c>
      <c r="S68" s="68">
        <v>4502</v>
      </c>
      <c r="T68" s="68">
        <v>5219</v>
      </c>
      <c r="U68" s="68">
        <v>6050</v>
      </c>
    </row>
    <row r="69" spans="1:21">
      <c r="A69" s="68" t="s">
        <v>324</v>
      </c>
      <c r="B69" s="68" t="s">
        <v>323</v>
      </c>
      <c r="C69" s="68" t="s">
        <v>44</v>
      </c>
      <c r="D69" s="68">
        <v>1</v>
      </c>
      <c r="E69" s="68">
        <v>3</v>
      </c>
      <c r="F69" s="68" t="s">
        <v>303</v>
      </c>
      <c r="G69" s="68" t="s">
        <v>302</v>
      </c>
      <c r="H69" s="69" t="s">
        <v>274</v>
      </c>
      <c r="I69" s="69" t="s">
        <v>52</v>
      </c>
      <c r="J69" s="189">
        <v>100</v>
      </c>
      <c r="K69" s="69"/>
      <c r="L69" s="189"/>
      <c r="M69" s="188">
        <v>90</v>
      </c>
      <c r="N69" s="188">
        <v>10</v>
      </c>
      <c r="R69" s="68">
        <v>5348</v>
      </c>
      <c r="S69" s="68">
        <v>5619</v>
      </c>
      <c r="T69" s="68">
        <v>5905</v>
      </c>
      <c r="U69" s="68">
        <v>6207</v>
      </c>
    </row>
    <row r="70" spans="1:21">
      <c r="A70" s="68" t="s">
        <v>325</v>
      </c>
      <c r="B70" s="68" t="s">
        <v>325</v>
      </c>
      <c r="C70" s="68" t="s">
        <v>332</v>
      </c>
      <c r="D70" s="68">
        <v>1</v>
      </c>
      <c r="E70" s="68">
        <v>3</v>
      </c>
      <c r="F70" s="68" t="s">
        <v>303</v>
      </c>
      <c r="G70" s="68" t="s">
        <v>305</v>
      </c>
      <c r="H70" s="69" t="s">
        <v>275</v>
      </c>
      <c r="I70" s="69" t="s">
        <v>3</v>
      </c>
      <c r="J70" s="189">
        <v>100</v>
      </c>
      <c r="K70" s="69"/>
      <c r="L70" s="189"/>
      <c r="M70" s="188">
        <v>0</v>
      </c>
      <c r="N70" s="188">
        <v>100</v>
      </c>
      <c r="Q70" s="68">
        <v>437</v>
      </c>
      <c r="R70" s="68">
        <v>1399</v>
      </c>
      <c r="S70" s="68">
        <v>1625</v>
      </c>
      <c r="T70" s="68">
        <v>1884</v>
      </c>
      <c r="U70" s="68">
        <v>2184</v>
      </c>
    </row>
    <row r="71" spans="1:21">
      <c r="A71" s="68" t="s">
        <v>326</v>
      </c>
      <c r="B71" s="68" t="s">
        <v>325</v>
      </c>
      <c r="C71" s="68" t="s">
        <v>332</v>
      </c>
      <c r="D71" s="68">
        <v>1</v>
      </c>
      <c r="E71" s="68">
        <v>3</v>
      </c>
      <c r="F71" s="68" t="s">
        <v>303</v>
      </c>
      <c r="G71" s="68" t="s">
        <v>305</v>
      </c>
      <c r="H71" s="69" t="s">
        <v>275</v>
      </c>
      <c r="I71" s="69" t="s">
        <v>3</v>
      </c>
      <c r="J71" s="189">
        <v>100</v>
      </c>
      <c r="K71" s="69"/>
      <c r="L71" s="189"/>
      <c r="M71" s="188">
        <v>0</v>
      </c>
      <c r="N71" s="188">
        <v>100</v>
      </c>
      <c r="R71" s="68">
        <v>2187</v>
      </c>
      <c r="S71" s="68">
        <v>2289</v>
      </c>
      <c r="T71" s="68">
        <v>2406</v>
      </c>
      <c r="U71" s="68">
        <v>2528</v>
      </c>
    </row>
    <row r="72" spans="1:21">
      <c r="A72" s="68" t="s">
        <v>327</v>
      </c>
      <c r="B72" s="68" t="s">
        <v>236</v>
      </c>
      <c r="C72" s="68" t="s">
        <v>50</v>
      </c>
      <c r="D72" s="68">
        <v>1</v>
      </c>
      <c r="E72" s="68">
        <v>3</v>
      </c>
      <c r="F72" s="68" t="s">
        <v>303</v>
      </c>
      <c r="G72" s="68" t="s">
        <v>302</v>
      </c>
      <c r="H72" s="69" t="s">
        <v>262</v>
      </c>
      <c r="I72" s="69" t="s">
        <v>52</v>
      </c>
      <c r="J72" s="189">
        <v>100</v>
      </c>
      <c r="K72" s="69"/>
      <c r="L72" s="189"/>
      <c r="M72" s="188">
        <v>70</v>
      </c>
      <c r="N72" s="188">
        <v>30</v>
      </c>
      <c r="Q72" s="68">
        <v>874</v>
      </c>
      <c r="R72" s="68">
        <v>3847</v>
      </c>
      <c r="S72" s="68">
        <v>4727</v>
      </c>
      <c r="T72" s="68">
        <v>5480</v>
      </c>
      <c r="U72" s="68">
        <v>6352</v>
      </c>
    </row>
    <row r="73" spans="1:21">
      <c r="A73" s="68" t="s">
        <v>328</v>
      </c>
      <c r="B73" s="68" t="s">
        <v>236</v>
      </c>
      <c r="C73" s="68" t="s">
        <v>50</v>
      </c>
      <c r="D73" s="68">
        <v>1</v>
      </c>
      <c r="E73" s="68">
        <v>3</v>
      </c>
      <c r="F73" s="68" t="s">
        <v>303</v>
      </c>
      <c r="G73" s="68" t="s">
        <v>302</v>
      </c>
      <c r="H73" s="69" t="s">
        <v>262</v>
      </c>
      <c r="I73" s="69" t="s">
        <v>54</v>
      </c>
      <c r="J73" s="189">
        <v>100</v>
      </c>
      <c r="K73" s="69"/>
      <c r="L73" s="189"/>
      <c r="M73" s="188">
        <v>70</v>
      </c>
      <c r="N73" s="188">
        <v>30</v>
      </c>
      <c r="R73" s="68">
        <v>5591</v>
      </c>
      <c r="S73" s="68">
        <v>5827</v>
      </c>
      <c r="T73" s="68">
        <v>6124</v>
      </c>
      <c r="U73" s="68">
        <v>6437</v>
      </c>
    </row>
    <row r="74" spans="1:21">
      <c r="A74" s="68" t="s">
        <v>329</v>
      </c>
      <c r="B74" s="68" t="s">
        <v>329</v>
      </c>
      <c r="C74" s="68" t="s">
        <v>333</v>
      </c>
      <c r="D74" s="68" t="s">
        <v>330</v>
      </c>
      <c r="E74" s="68">
        <v>1</v>
      </c>
      <c r="F74" s="68" t="s">
        <v>303</v>
      </c>
      <c r="G74" s="68" t="s">
        <v>304</v>
      </c>
      <c r="I74" s="69" t="s">
        <v>54</v>
      </c>
      <c r="J74" s="189">
        <v>100</v>
      </c>
      <c r="K74" s="69"/>
      <c r="L74" s="189"/>
      <c r="M74" s="188">
        <v>90</v>
      </c>
      <c r="N74" s="188">
        <v>10</v>
      </c>
      <c r="O74" s="68">
        <v>10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A63B-7650-4308-8D11-261EE108B38C}">
  <dimension ref="A1:R74"/>
  <sheetViews>
    <sheetView workbookViewId="0">
      <selection activeCell="B24" sqref="B24"/>
    </sheetView>
  </sheetViews>
  <sheetFormatPr defaultRowHeight="15"/>
  <cols>
    <col min="1" max="1" width="20.28515625" style="191" bestFit="1" customWidth="1"/>
    <col min="2" max="2" width="16.140625" style="199" bestFit="1" customWidth="1"/>
    <col min="3" max="3" width="10.7109375" style="199" bestFit="1" customWidth="1"/>
    <col min="4" max="4" width="17.140625" style="199" bestFit="1" customWidth="1"/>
    <col min="5" max="5" width="11.7109375" style="199" bestFit="1" customWidth="1"/>
    <col min="6" max="6" width="17.140625" style="199" bestFit="1" customWidth="1"/>
    <col min="7" max="7" width="11.7109375" style="199" bestFit="1" customWidth="1"/>
    <col min="8" max="8" width="17.140625" style="199" bestFit="1" customWidth="1"/>
    <col min="9" max="9" width="11.7109375" style="199" bestFit="1" customWidth="1"/>
    <col min="10" max="10" width="17.140625" style="199" bestFit="1" customWidth="1"/>
    <col min="11" max="11" width="11.7109375" style="199" bestFit="1" customWidth="1"/>
    <col min="12" max="12" width="18.28515625" style="199" bestFit="1" customWidth="1"/>
    <col min="13" max="13" width="11.7109375" style="199" bestFit="1" customWidth="1"/>
    <col min="14" max="14" width="18.28515625" style="199" bestFit="1" customWidth="1"/>
    <col min="15" max="15" width="9.140625" style="191"/>
    <col min="16" max="16" width="11.28515625" style="191" customWidth="1"/>
    <col min="17" max="17" width="18.5703125" style="191" bestFit="1" customWidth="1"/>
    <col min="18" max="18" width="15.28515625" style="191" bestFit="1" customWidth="1"/>
    <col min="19" max="16384" width="9.140625" style="191"/>
  </cols>
  <sheetData>
    <row r="1" spans="1:18">
      <c r="A1" s="192" t="s">
        <v>7</v>
      </c>
      <c r="B1" s="192" t="s">
        <v>407</v>
      </c>
      <c r="C1" s="192" t="s">
        <v>408</v>
      </c>
      <c r="D1" s="192" t="s">
        <v>409</v>
      </c>
      <c r="E1" s="192" t="s">
        <v>419</v>
      </c>
      <c r="F1" s="192" t="s">
        <v>416</v>
      </c>
      <c r="G1" s="192" t="s">
        <v>410</v>
      </c>
      <c r="H1" s="192" t="s">
        <v>411</v>
      </c>
      <c r="I1" s="192" t="s">
        <v>420</v>
      </c>
      <c r="J1" s="192" t="s">
        <v>417</v>
      </c>
      <c r="K1" s="192" t="s">
        <v>412</v>
      </c>
      <c r="L1" s="192" t="s">
        <v>413</v>
      </c>
      <c r="M1" s="192" t="s">
        <v>421</v>
      </c>
      <c r="N1" s="192" t="s">
        <v>418</v>
      </c>
      <c r="O1" s="192" t="s">
        <v>414</v>
      </c>
      <c r="P1" s="202" t="s">
        <v>505</v>
      </c>
      <c r="Q1" s="200" t="s">
        <v>423</v>
      </c>
      <c r="R1" s="201">
        <v>0.61094223285862681</v>
      </c>
    </row>
    <row r="2" spans="1:18">
      <c r="A2" s="193" t="s">
        <v>213</v>
      </c>
      <c r="B2" s="197"/>
      <c r="C2" s="198"/>
      <c r="D2" s="197"/>
      <c r="E2" s="198"/>
      <c r="F2" s="197"/>
      <c r="G2" s="198"/>
      <c r="O2" s="199"/>
      <c r="P2" s="196" t="s">
        <v>506</v>
      </c>
      <c r="Q2" s="197" t="s">
        <v>471</v>
      </c>
      <c r="R2" s="198">
        <v>6.5386200449041761E-3</v>
      </c>
    </row>
    <row r="3" spans="1:18">
      <c r="A3" s="194" t="s">
        <v>1</v>
      </c>
      <c r="B3" s="197" t="s">
        <v>415</v>
      </c>
      <c r="C3" s="198">
        <v>3.9643010960087349E-2</v>
      </c>
      <c r="D3" s="197" t="s">
        <v>423</v>
      </c>
      <c r="E3" s="198">
        <v>0.5642641803488887</v>
      </c>
      <c r="F3" s="197" t="s">
        <v>456</v>
      </c>
      <c r="G3" s="198">
        <v>9.1917938082192022E-2</v>
      </c>
      <c r="O3" s="199"/>
      <c r="P3" s="196" t="s">
        <v>506</v>
      </c>
      <c r="Q3" s="197" t="s">
        <v>472</v>
      </c>
      <c r="R3" s="198">
        <v>2.7409756500209641E-2</v>
      </c>
    </row>
    <row r="4" spans="1:18">
      <c r="A4" s="194" t="s">
        <v>311</v>
      </c>
      <c r="B4" s="197" t="s">
        <v>415</v>
      </c>
      <c r="C4" s="198">
        <v>3.9643010960087349E-2</v>
      </c>
      <c r="D4" s="197" t="s">
        <v>423</v>
      </c>
      <c r="E4" s="198">
        <v>0.5642641803488887</v>
      </c>
      <c r="F4" s="197" t="s">
        <v>456</v>
      </c>
      <c r="G4" s="198">
        <v>9.1917938082192022E-2</v>
      </c>
      <c r="O4" s="199"/>
      <c r="P4" s="196" t="s">
        <v>506</v>
      </c>
      <c r="Q4" s="197" t="s">
        <v>473</v>
      </c>
      <c r="R4" s="198">
        <v>9.5317834327471096E-2</v>
      </c>
    </row>
    <row r="5" spans="1:18">
      <c r="A5" s="194" t="s">
        <v>348</v>
      </c>
      <c r="B5" s="197" t="s">
        <v>415</v>
      </c>
      <c r="C5" s="198">
        <v>3.9643010960087349E-2</v>
      </c>
      <c r="D5" s="197" t="s">
        <v>423</v>
      </c>
      <c r="E5" s="198">
        <v>0.5642641803488887</v>
      </c>
      <c r="F5" s="197" t="s">
        <v>456</v>
      </c>
      <c r="G5" s="198">
        <v>9.1917938082192022E-2</v>
      </c>
      <c r="O5" s="199"/>
      <c r="P5" s="196" t="s">
        <v>506</v>
      </c>
      <c r="Q5" s="197" t="s">
        <v>456</v>
      </c>
      <c r="R5" s="198">
        <v>5.0129302378254581E-2</v>
      </c>
    </row>
    <row r="6" spans="1:18">
      <c r="A6" s="194" t="s">
        <v>133</v>
      </c>
      <c r="B6" s="197" t="s">
        <v>415</v>
      </c>
      <c r="C6" s="198">
        <v>0.12469610455863089</v>
      </c>
      <c r="D6" s="197" t="s">
        <v>429</v>
      </c>
      <c r="E6" s="198">
        <v>0.19721226581784077</v>
      </c>
      <c r="F6" s="197" t="s">
        <v>480</v>
      </c>
      <c r="G6" s="198">
        <v>0.30128918092373591</v>
      </c>
      <c r="H6" s="197" t="s">
        <v>478</v>
      </c>
      <c r="I6" s="198">
        <v>0.2238115861548558</v>
      </c>
      <c r="J6" s="197" t="s">
        <v>423</v>
      </c>
      <c r="K6" s="198">
        <v>0.27421824143180923</v>
      </c>
      <c r="O6" s="199"/>
      <c r="P6" s="196" t="s">
        <v>507</v>
      </c>
      <c r="Q6" s="197" t="s">
        <v>415</v>
      </c>
      <c r="R6" s="198">
        <v>2.4917279664074612E-2</v>
      </c>
    </row>
    <row r="7" spans="1:18">
      <c r="A7" s="194" t="s">
        <v>117</v>
      </c>
      <c r="B7" s="197" t="s">
        <v>415</v>
      </c>
      <c r="C7" s="198">
        <v>0.11993427312910554</v>
      </c>
      <c r="D7" s="197" t="s">
        <v>424</v>
      </c>
      <c r="E7" s="198">
        <v>0.1257232641660016</v>
      </c>
      <c r="F7" s="197" t="s">
        <v>425</v>
      </c>
      <c r="G7" s="198">
        <v>0.34250395205353307</v>
      </c>
      <c r="H7" s="197" t="s">
        <v>426</v>
      </c>
      <c r="I7" s="198">
        <v>0.30913212137024987</v>
      </c>
      <c r="J7" s="197" t="s">
        <v>427</v>
      </c>
      <c r="K7" s="198">
        <v>0.37458177297562778</v>
      </c>
      <c r="O7" s="199"/>
      <c r="P7" s="196" t="s">
        <v>507</v>
      </c>
      <c r="Q7" s="197" t="s">
        <v>456</v>
      </c>
      <c r="R7" s="198">
        <v>3.7659831470781453E-2</v>
      </c>
    </row>
    <row r="8" spans="1:18">
      <c r="A8" s="194" t="s">
        <v>345</v>
      </c>
      <c r="O8" s="199"/>
      <c r="P8" s="196" t="s">
        <v>508</v>
      </c>
      <c r="Q8" s="197" t="s">
        <v>415</v>
      </c>
      <c r="R8" s="198">
        <v>0.12120555403473551</v>
      </c>
    </row>
    <row r="9" spans="1:18">
      <c r="A9" s="194" t="s">
        <v>119</v>
      </c>
      <c r="B9" s="197" t="s">
        <v>415</v>
      </c>
      <c r="C9" s="198">
        <v>0.12085581593548594</v>
      </c>
      <c r="D9" s="197" t="s">
        <v>425</v>
      </c>
      <c r="E9" s="198">
        <v>0.14980797876555757</v>
      </c>
      <c r="F9" s="197" t="s">
        <v>428</v>
      </c>
      <c r="G9" s="198">
        <v>0.20812318338395963</v>
      </c>
      <c r="H9" s="197" t="s">
        <v>433</v>
      </c>
      <c r="I9" s="198">
        <v>0.26391091042373915</v>
      </c>
      <c r="O9" s="199"/>
      <c r="P9" s="196" t="s">
        <v>508</v>
      </c>
      <c r="Q9" s="197" t="s">
        <v>456</v>
      </c>
      <c r="R9" s="198">
        <v>4.9785820759764378E-2</v>
      </c>
    </row>
    <row r="10" spans="1:18">
      <c r="A10" s="194" t="s">
        <v>140</v>
      </c>
      <c r="B10" s="197" t="s">
        <v>415</v>
      </c>
      <c r="C10" s="198">
        <v>9.9119634245332572E-2</v>
      </c>
      <c r="D10" s="197" t="s">
        <v>428</v>
      </c>
      <c r="E10" s="198">
        <v>0.30032528768562289</v>
      </c>
      <c r="F10" s="197" t="s">
        <v>423</v>
      </c>
      <c r="G10" s="198">
        <v>0.11246836651864586</v>
      </c>
      <c r="O10" s="199"/>
      <c r="P10" s="196" t="s">
        <v>508</v>
      </c>
      <c r="Q10" s="197" t="s">
        <v>423</v>
      </c>
      <c r="R10" s="198">
        <v>0.36782046941013269</v>
      </c>
    </row>
    <row r="11" spans="1:18">
      <c r="A11" s="194" t="s">
        <v>98</v>
      </c>
      <c r="B11" s="197" t="s">
        <v>482</v>
      </c>
      <c r="C11" s="198">
        <v>2.9437357957453777E-2</v>
      </c>
      <c r="D11" s="197" t="s">
        <v>425</v>
      </c>
      <c r="E11" s="198">
        <v>4.3538215843246443E-2</v>
      </c>
      <c r="F11" s="197" t="s">
        <v>428</v>
      </c>
      <c r="G11" s="198">
        <v>3.5615568886795922E-2</v>
      </c>
      <c r="H11" s="197" t="s">
        <v>423</v>
      </c>
      <c r="I11" s="198">
        <v>2.638459491001412E-2</v>
      </c>
      <c r="J11" s="197" t="s">
        <v>483</v>
      </c>
      <c r="K11" s="198">
        <v>2.3259147028111627E-3</v>
      </c>
      <c r="O11" s="199"/>
      <c r="P11" s="196" t="s">
        <v>509</v>
      </c>
      <c r="Q11" s="197" t="s">
        <v>415</v>
      </c>
      <c r="R11" s="198">
        <v>2.7874923872469808E-2</v>
      </c>
    </row>
    <row r="12" spans="1:18">
      <c r="A12" s="194" t="s">
        <v>113</v>
      </c>
      <c r="B12" s="197" t="s">
        <v>446</v>
      </c>
      <c r="C12" s="198">
        <v>3.0656023405762355E-2</v>
      </c>
      <c r="D12" s="197" t="s">
        <v>441</v>
      </c>
      <c r="E12" s="198">
        <v>0.12298873768069732</v>
      </c>
      <c r="F12" s="197" t="s">
        <v>450</v>
      </c>
      <c r="G12" s="198">
        <v>0.37223072785202965</v>
      </c>
      <c r="H12" s="197" t="s">
        <v>494</v>
      </c>
      <c r="I12" s="198">
        <v>0.12393750349893756</v>
      </c>
      <c r="J12" s="197" t="s">
        <v>443</v>
      </c>
      <c r="K12" s="198">
        <v>0.24501488417603978</v>
      </c>
      <c r="L12" s="197" t="s">
        <v>423</v>
      </c>
      <c r="M12" s="198">
        <v>0.2311324874220802</v>
      </c>
      <c r="O12" s="199"/>
      <c r="P12" s="196" t="s">
        <v>510</v>
      </c>
      <c r="Q12" s="197" t="s">
        <v>446</v>
      </c>
      <c r="R12" s="198">
        <v>6.276896446200099E-2</v>
      </c>
    </row>
    <row r="13" spans="1:18">
      <c r="A13" s="194" t="s">
        <v>106</v>
      </c>
      <c r="B13" s="197" t="s">
        <v>415</v>
      </c>
      <c r="C13" s="198">
        <v>0.12314908264093216</v>
      </c>
      <c r="D13" s="197" t="s">
        <v>481</v>
      </c>
      <c r="E13" s="198">
        <v>0.25607760394863521</v>
      </c>
      <c r="F13" s="197" t="s">
        <v>424</v>
      </c>
      <c r="G13" s="198">
        <v>0.1545473767344685</v>
      </c>
      <c r="H13" s="197" t="s">
        <v>428</v>
      </c>
      <c r="I13" s="198">
        <v>0.16291864669910447</v>
      </c>
      <c r="J13" s="197" t="s">
        <v>423</v>
      </c>
      <c r="K13" s="198">
        <v>0.42707301573043799</v>
      </c>
      <c r="O13" s="199"/>
      <c r="P13" s="196" t="s">
        <v>510</v>
      </c>
      <c r="Q13" s="197" t="s">
        <v>434</v>
      </c>
      <c r="R13" s="198">
        <v>4.1774491085846764E-2</v>
      </c>
    </row>
    <row r="14" spans="1:18">
      <c r="A14" s="194" t="s">
        <v>315</v>
      </c>
      <c r="B14" s="197" t="s">
        <v>415</v>
      </c>
      <c r="C14" s="198">
        <v>0.12648011987228108</v>
      </c>
      <c r="D14" s="197" t="s">
        <v>424</v>
      </c>
      <c r="E14" s="198">
        <v>0.1129076975387754</v>
      </c>
      <c r="F14" s="197" t="s">
        <v>425</v>
      </c>
      <c r="G14" s="198">
        <v>5.5978876484068331E-2</v>
      </c>
      <c r="H14" s="197" t="s">
        <v>496</v>
      </c>
      <c r="I14" s="198">
        <v>7.2977884590235173E-2</v>
      </c>
      <c r="J14" s="197" t="s">
        <v>497</v>
      </c>
      <c r="K14" s="198">
        <v>0.16159949922439132</v>
      </c>
      <c r="L14" s="197" t="s">
        <v>428</v>
      </c>
      <c r="M14" s="198">
        <v>0.22006037374076765</v>
      </c>
      <c r="N14" s="197" t="s">
        <v>423</v>
      </c>
      <c r="O14" s="198">
        <v>0.17888063372559748</v>
      </c>
      <c r="P14" s="196" t="s">
        <v>510</v>
      </c>
      <c r="Q14" s="197" t="s">
        <v>450</v>
      </c>
      <c r="R14" s="198">
        <v>9.9465049512120471E-2</v>
      </c>
    </row>
    <row r="15" spans="1:18">
      <c r="A15" s="194" t="s">
        <v>78</v>
      </c>
      <c r="B15" s="197" t="s">
        <v>415</v>
      </c>
      <c r="C15" s="198">
        <v>0.10817104011054188</v>
      </c>
      <c r="D15" s="197" t="s">
        <v>456</v>
      </c>
      <c r="E15" s="198">
        <v>6.0043604082749981E-2</v>
      </c>
      <c r="F15" s="200" t="s">
        <v>463</v>
      </c>
      <c r="G15" s="201">
        <v>0.20500436692607507</v>
      </c>
      <c r="H15" s="197" t="s">
        <v>464</v>
      </c>
      <c r="I15" s="198">
        <v>0.12629153772472737</v>
      </c>
      <c r="O15" s="199"/>
      <c r="P15" s="196" t="s">
        <v>510</v>
      </c>
      <c r="Q15" s="197" t="s">
        <v>423</v>
      </c>
      <c r="R15" s="198">
        <v>0.70922544308617363</v>
      </c>
    </row>
    <row r="16" spans="1:18">
      <c r="A16" s="194" t="s">
        <v>316</v>
      </c>
      <c r="B16" s="197" t="s">
        <v>450</v>
      </c>
      <c r="C16" s="198">
        <v>0.37734826365259821</v>
      </c>
      <c r="D16" s="197" t="s">
        <v>442</v>
      </c>
      <c r="E16" s="198">
        <v>0.29289813842549989</v>
      </c>
      <c r="F16" s="197" t="s">
        <v>440</v>
      </c>
      <c r="G16" s="198">
        <v>0.12119481496447</v>
      </c>
      <c r="H16" s="197" t="s">
        <v>441</v>
      </c>
      <c r="I16" s="198">
        <v>0.1262239372649254</v>
      </c>
      <c r="J16" s="197" t="s">
        <v>449</v>
      </c>
      <c r="K16" s="198">
        <v>8.8638956745190067E-2</v>
      </c>
      <c r="L16" s="197" t="s">
        <v>478</v>
      </c>
      <c r="M16" s="198">
        <v>0.15270121130534725</v>
      </c>
      <c r="N16" s="197" t="s">
        <v>423</v>
      </c>
      <c r="O16" s="198">
        <v>1.3180051081328978</v>
      </c>
    </row>
    <row r="17" spans="1:15">
      <c r="A17" s="194" t="s">
        <v>331</v>
      </c>
      <c r="B17" s="197" t="s">
        <v>450</v>
      </c>
      <c r="C17" s="198">
        <v>0.37734826365259821</v>
      </c>
      <c r="D17" s="197" t="s">
        <v>442</v>
      </c>
      <c r="E17" s="198">
        <v>0.29289813842549989</v>
      </c>
      <c r="F17" s="197" t="s">
        <v>440</v>
      </c>
      <c r="G17" s="198">
        <v>0.12119481496447</v>
      </c>
      <c r="H17" s="197" t="s">
        <v>441</v>
      </c>
      <c r="I17" s="198">
        <v>0.1262239372649254</v>
      </c>
      <c r="J17" s="197" t="s">
        <v>449</v>
      </c>
      <c r="K17" s="198">
        <v>8.8638956745190067E-2</v>
      </c>
      <c r="L17" s="197" t="s">
        <v>478</v>
      </c>
      <c r="M17" s="198">
        <v>0.15270121130534725</v>
      </c>
      <c r="N17" s="197" t="s">
        <v>423</v>
      </c>
      <c r="O17" s="198">
        <v>1.3180051081328978</v>
      </c>
    </row>
    <row r="18" spans="1:15">
      <c r="A18" s="194" t="s">
        <v>346</v>
      </c>
      <c r="O18" s="199"/>
    </row>
    <row r="19" spans="1:15">
      <c r="A19" s="194" t="s">
        <v>145</v>
      </c>
      <c r="B19" s="197" t="s">
        <v>415</v>
      </c>
      <c r="C19" s="198">
        <v>3.0597892481043932E-2</v>
      </c>
      <c r="D19" s="197" t="s">
        <v>428</v>
      </c>
      <c r="E19" s="198">
        <v>0.25373306579854354</v>
      </c>
      <c r="F19" s="197" t="s">
        <v>423</v>
      </c>
      <c r="G19" s="198">
        <v>8.8463500610825599E-2</v>
      </c>
      <c r="O19" s="199"/>
    </row>
    <row r="20" spans="1:15">
      <c r="A20" s="194" t="s">
        <v>143</v>
      </c>
      <c r="B20" s="197" t="s">
        <v>415</v>
      </c>
      <c r="C20" s="198">
        <v>0.12521279832948068</v>
      </c>
      <c r="D20" s="197" t="s">
        <v>428</v>
      </c>
      <c r="E20" s="198">
        <v>0.12195218681606775</v>
      </c>
      <c r="F20" s="197" t="s">
        <v>423</v>
      </c>
      <c r="G20" s="198">
        <v>0.72895618308810506</v>
      </c>
      <c r="O20" s="199"/>
    </row>
    <row r="21" spans="1:15">
      <c r="A21" s="194" t="s">
        <v>150</v>
      </c>
      <c r="B21" s="197" t="s">
        <v>415</v>
      </c>
      <c r="C21" s="198">
        <v>0.12173207904821895</v>
      </c>
      <c r="D21" s="197" t="s">
        <v>424</v>
      </c>
      <c r="E21" s="198">
        <v>0.13270363982080521</v>
      </c>
      <c r="F21" s="197" t="s">
        <v>425</v>
      </c>
      <c r="G21" s="198">
        <v>0.14628747696781677</v>
      </c>
      <c r="H21" s="197" t="s">
        <v>447</v>
      </c>
      <c r="I21" s="198">
        <v>4.2287529949196746E-2</v>
      </c>
      <c r="J21" s="197" t="s">
        <v>423</v>
      </c>
      <c r="K21" s="198">
        <v>0.15327007000798765</v>
      </c>
      <c r="L21" s="197" t="s">
        <v>448</v>
      </c>
      <c r="M21" s="198">
        <v>0.16823059851298927</v>
      </c>
      <c r="O21" s="199"/>
    </row>
    <row r="22" spans="1:15">
      <c r="A22" s="194" t="s">
        <v>73</v>
      </c>
      <c r="B22" s="197" t="s">
        <v>415</v>
      </c>
      <c r="C22" s="198">
        <v>9.8915763951351141E-2</v>
      </c>
      <c r="D22" s="197" t="s">
        <v>474</v>
      </c>
      <c r="E22" s="198">
        <v>1.7353642798482654E-2</v>
      </c>
      <c r="F22" s="197" t="s">
        <v>456</v>
      </c>
      <c r="G22" s="198">
        <v>2.4468636345860544E-2</v>
      </c>
      <c r="H22" s="197" t="s">
        <v>423</v>
      </c>
      <c r="I22" s="198">
        <v>1.084602674905166</v>
      </c>
      <c r="J22" s="197" t="s">
        <v>475</v>
      </c>
      <c r="K22" s="198">
        <v>0.10603728380909933</v>
      </c>
      <c r="O22" s="199"/>
    </row>
    <row r="23" spans="1:15">
      <c r="A23" s="193" t="s">
        <v>329</v>
      </c>
      <c r="B23" s="197" t="s">
        <v>415</v>
      </c>
      <c r="C23" s="198">
        <v>0.34115545767082073</v>
      </c>
      <c r="D23" s="197" t="s">
        <v>429</v>
      </c>
      <c r="E23" s="198">
        <v>0.36041577137945846</v>
      </c>
      <c r="F23" s="197" t="s">
        <v>430</v>
      </c>
      <c r="G23" s="198">
        <v>0.48303341211860756</v>
      </c>
      <c r="H23" s="197" t="s">
        <v>428</v>
      </c>
      <c r="I23" s="198">
        <v>1.4538676407391491</v>
      </c>
      <c r="J23" s="197" t="s">
        <v>423</v>
      </c>
      <c r="K23" s="198">
        <v>1.5310995917490331</v>
      </c>
      <c r="L23" s="197" t="s">
        <v>431</v>
      </c>
      <c r="M23" s="198">
        <v>1.9300359905457669</v>
      </c>
      <c r="N23" s="197" t="s">
        <v>432</v>
      </c>
      <c r="O23" s="203">
        <v>1.3630962612806188</v>
      </c>
    </row>
    <row r="24" spans="1:15">
      <c r="A24" s="194" t="s">
        <v>204</v>
      </c>
      <c r="B24" s="197" t="s">
        <v>436</v>
      </c>
      <c r="C24" s="198">
        <v>0.24946775945984051</v>
      </c>
      <c r="D24" s="197" t="s">
        <v>437</v>
      </c>
      <c r="E24" s="198">
        <v>0.40320595596313019</v>
      </c>
      <c r="F24" s="197" t="s">
        <v>438</v>
      </c>
      <c r="G24" s="198">
        <v>0.15527343914133487</v>
      </c>
      <c r="H24" s="197" t="s">
        <v>439</v>
      </c>
      <c r="I24" s="198">
        <v>0.25524093868501752</v>
      </c>
      <c r="J24" s="197" t="s">
        <v>423</v>
      </c>
      <c r="K24" s="198">
        <v>0.44904314536419743</v>
      </c>
      <c r="O24" s="199"/>
    </row>
    <row r="25" spans="1:15">
      <c r="A25" s="194" t="s">
        <v>160</v>
      </c>
      <c r="B25" s="197" t="s">
        <v>415</v>
      </c>
      <c r="C25" s="198">
        <v>2.8565321009323519E-2</v>
      </c>
      <c r="D25" s="197" t="s">
        <v>456</v>
      </c>
      <c r="E25" s="198">
        <v>0.1124834543727154</v>
      </c>
      <c r="F25" s="197" t="s">
        <v>423</v>
      </c>
      <c r="G25" s="198">
        <v>0.37634967633371441</v>
      </c>
      <c r="O25" s="199"/>
    </row>
    <row r="26" spans="1:15">
      <c r="A26" s="194" t="s">
        <v>347</v>
      </c>
      <c r="O26" s="199"/>
    </row>
    <row r="27" spans="1:15">
      <c r="A27" s="194" t="s">
        <v>67</v>
      </c>
      <c r="B27" s="197" t="s">
        <v>415</v>
      </c>
      <c r="C27" s="198">
        <v>0.11823162870648905</v>
      </c>
      <c r="D27" s="197" t="s">
        <v>424</v>
      </c>
      <c r="E27" s="198">
        <v>0.15255694026643746</v>
      </c>
      <c r="F27" s="197" t="s">
        <v>425</v>
      </c>
      <c r="G27" s="198">
        <v>0.29875734135510673</v>
      </c>
      <c r="H27" s="197" t="s">
        <v>423</v>
      </c>
      <c r="I27" s="198">
        <v>0.46997379985305743</v>
      </c>
      <c r="J27" s="197" t="s">
        <v>428</v>
      </c>
      <c r="K27" s="198">
        <v>0.30062329317825809</v>
      </c>
      <c r="O27" s="199"/>
    </row>
    <row r="28" spans="1:15">
      <c r="A28" s="194" t="s">
        <v>320</v>
      </c>
      <c r="O28" s="199"/>
    </row>
    <row r="29" spans="1:15">
      <c r="A29" s="194" t="s">
        <v>319</v>
      </c>
      <c r="O29" s="199"/>
    </row>
    <row r="30" spans="1:15">
      <c r="A30" s="194" t="s">
        <v>308</v>
      </c>
      <c r="O30" s="199"/>
    </row>
    <row r="31" spans="1:15">
      <c r="A31" s="194" t="s">
        <v>82</v>
      </c>
      <c r="B31" s="197" t="s">
        <v>415</v>
      </c>
      <c r="C31" s="198">
        <v>0.11944541130061491</v>
      </c>
      <c r="D31" s="197" t="s">
        <v>424</v>
      </c>
      <c r="E31" s="198">
        <v>0.13530281935259311</v>
      </c>
      <c r="F31" s="197" t="s">
        <v>425</v>
      </c>
      <c r="G31" s="198">
        <v>0.20285125884673394</v>
      </c>
      <c r="H31" s="197" t="s">
        <v>481</v>
      </c>
      <c r="I31" s="198">
        <v>0.28378582202111613</v>
      </c>
      <c r="J31" s="197" t="s">
        <v>491</v>
      </c>
      <c r="K31" s="198">
        <v>0.34917188768998719</v>
      </c>
      <c r="L31" s="197" t="s">
        <v>443</v>
      </c>
      <c r="M31" s="198">
        <v>0.25557199211045362</v>
      </c>
      <c r="N31" s="197" t="s">
        <v>423</v>
      </c>
      <c r="O31" s="198">
        <v>0.50980537185288322</v>
      </c>
    </row>
    <row r="32" spans="1:15">
      <c r="A32" s="194" t="s">
        <v>322</v>
      </c>
      <c r="O32" s="199"/>
    </row>
    <row r="33" spans="1:15">
      <c r="A33" s="194" t="s">
        <v>76</v>
      </c>
      <c r="B33" s="197" t="s">
        <v>415</v>
      </c>
      <c r="C33" s="198">
        <v>0.10878762764237625</v>
      </c>
      <c r="D33" s="197" t="s">
        <v>422</v>
      </c>
      <c r="E33" s="198">
        <v>2.4109445024249495E-2</v>
      </c>
      <c r="F33" s="197" t="s">
        <v>423</v>
      </c>
      <c r="G33" s="198">
        <v>6.0114699081179529E-2</v>
      </c>
      <c r="O33" s="199"/>
    </row>
    <row r="34" spans="1:15">
      <c r="A34" s="194" t="s">
        <v>325</v>
      </c>
      <c r="B34" s="197" t="s">
        <v>468</v>
      </c>
      <c r="C34" s="198">
        <v>0.12237004720141753</v>
      </c>
      <c r="D34" s="197" t="s">
        <v>469</v>
      </c>
      <c r="E34" s="198">
        <v>1.2533831882318309E-2</v>
      </c>
      <c r="F34" s="197" t="s">
        <v>470</v>
      </c>
      <c r="G34" s="198">
        <v>0.54038808018170426</v>
      </c>
      <c r="O34" s="199"/>
    </row>
    <row r="35" spans="1:15">
      <c r="A35" s="194" t="s">
        <v>326</v>
      </c>
      <c r="B35" s="197" t="s">
        <v>468</v>
      </c>
      <c r="C35" s="198">
        <v>1.12237004720142</v>
      </c>
      <c r="D35" s="197" t="s">
        <v>469</v>
      </c>
      <c r="E35" s="198">
        <v>1.01253383188232</v>
      </c>
      <c r="F35" s="197" t="s">
        <v>470</v>
      </c>
      <c r="G35" s="198">
        <v>1.5403880801817</v>
      </c>
      <c r="O35" s="199"/>
    </row>
    <row r="36" spans="1:15">
      <c r="A36" s="194" t="s">
        <v>323</v>
      </c>
      <c r="B36" s="197" t="s">
        <v>415</v>
      </c>
      <c r="C36" s="198">
        <v>0.12109293421510615</v>
      </c>
      <c r="D36" s="197" t="s">
        <v>425</v>
      </c>
      <c r="E36" s="198">
        <v>0.14143984220907296</v>
      </c>
      <c r="F36" s="197" t="s">
        <v>447</v>
      </c>
      <c r="G36" s="198">
        <v>0.20455644506323237</v>
      </c>
      <c r="H36" s="197" t="s">
        <v>428</v>
      </c>
      <c r="I36" s="198">
        <v>0.27792887806009975</v>
      </c>
      <c r="J36" s="197" t="s">
        <v>423</v>
      </c>
      <c r="K36" s="198">
        <v>0.50425733843833387</v>
      </c>
      <c r="O36" s="199"/>
    </row>
    <row r="37" spans="1:15">
      <c r="A37" s="194" t="s">
        <v>324</v>
      </c>
      <c r="B37" s="197" t="s">
        <v>415</v>
      </c>
      <c r="C37" s="198">
        <v>0.12109293421510615</v>
      </c>
      <c r="D37" s="197" t="s">
        <v>425</v>
      </c>
      <c r="E37" s="198">
        <v>0.14143984220907296</v>
      </c>
      <c r="F37" s="197" t="s">
        <v>447</v>
      </c>
      <c r="G37" s="198">
        <v>0.20455644506323237</v>
      </c>
      <c r="H37" s="197" t="s">
        <v>428</v>
      </c>
      <c r="I37" s="198">
        <v>0.27792887806009975</v>
      </c>
      <c r="J37" s="197" t="s">
        <v>423</v>
      </c>
      <c r="K37" s="198">
        <v>0.50425733843833387</v>
      </c>
      <c r="O37" s="199"/>
    </row>
    <row r="38" spans="1:15">
      <c r="A38" s="194" t="s">
        <v>327</v>
      </c>
      <c r="O38" s="199"/>
    </row>
    <row r="39" spans="1:15">
      <c r="A39" s="194" t="s">
        <v>328</v>
      </c>
      <c r="O39" s="199"/>
    </row>
    <row r="40" spans="1:15">
      <c r="A40" s="194" t="s">
        <v>80</v>
      </c>
      <c r="B40" s="197" t="s">
        <v>476</v>
      </c>
      <c r="C40" s="198">
        <v>0.24820016290272939</v>
      </c>
      <c r="D40" s="197" t="s">
        <v>440</v>
      </c>
      <c r="E40" s="198">
        <v>0.12494520312678015</v>
      </c>
      <c r="F40" s="197" t="s">
        <v>477</v>
      </c>
      <c r="G40" s="198">
        <v>0.23257841377947283</v>
      </c>
      <c r="H40" s="197" t="s">
        <v>478</v>
      </c>
      <c r="I40" s="198">
        <v>0.14660260694072363</v>
      </c>
      <c r="J40" s="197" t="s">
        <v>479</v>
      </c>
      <c r="K40" s="198">
        <v>0.2312030014703626</v>
      </c>
      <c r="L40" s="197" t="s">
        <v>480</v>
      </c>
      <c r="M40" s="198">
        <v>8.6447589048761347E-2</v>
      </c>
      <c r="N40" s="197" t="s">
        <v>423</v>
      </c>
      <c r="O40" s="198">
        <v>0.53603467497216828</v>
      </c>
    </row>
    <row r="41" spans="1:15">
      <c r="A41" s="194" t="s">
        <v>110</v>
      </c>
      <c r="B41" s="197" t="s">
        <v>415</v>
      </c>
      <c r="C41" s="198">
        <v>0.1242603550295858</v>
      </c>
      <c r="D41" s="197" t="s">
        <v>425</v>
      </c>
      <c r="E41" s="198">
        <v>0.25906717716672467</v>
      </c>
      <c r="F41" s="197" t="s">
        <v>480</v>
      </c>
      <c r="G41" s="198">
        <v>0.21615036547163241</v>
      </c>
      <c r="H41" s="197" t="s">
        <v>423</v>
      </c>
      <c r="I41" s="198">
        <v>7.8454577097111039E-2</v>
      </c>
      <c r="O41" s="199"/>
    </row>
    <row r="42" spans="1:15">
      <c r="A42" s="194" t="s">
        <v>349</v>
      </c>
      <c r="B42" s="197" t="s">
        <v>415</v>
      </c>
      <c r="C42" s="198">
        <v>8.7098712424224737E-3</v>
      </c>
      <c r="D42" s="197" t="s">
        <v>500</v>
      </c>
      <c r="E42" s="198">
        <v>1.5710578821859486E-2</v>
      </c>
      <c r="F42" s="197" t="s">
        <v>501</v>
      </c>
      <c r="G42" s="198">
        <v>0.11375768163484025</v>
      </c>
      <c r="H42" s="197" t="s">
        <v>428</v>
      </c>
      <c r="I42" s="198">
        <v>2.4429936117912634E-2</v>
      </c>
      <c r="J42" s="197" t="s">
        <v>502</v>
      </c>
      <c r="K42" s="198">
        <v>1.0546259624689905E-2</v>
      </c>
      <c r="L42" s="197" t="s">
        <v>423</v>
      </c>
      <c r="M42" s="198">
        <v>0.35596695250679528</v>
      </c>
      <c r="O42" s="199"/>
    </row>
    <row r="43" spans="1:15">
      <c r="A43" s="194" t="s">
        <v>312</v>
      </c>
      <c r="B43" s="197" t="s">
        <v>457</v>
      </c>
      <c r="C43" s="198">
        <v>0.25977140490469991</v>
      </c>
      <c r="D43" s="197" t="s">
        <v>458</v>
      </c>
      <c r="E43" s="198">
        <v>2.4961407095888021E-2</v>
      </c>
      <c r="F43" s="197" t="s">
        <v>459</v>
      </c>
      <c r="G43" s="198">
        <v>0.14456588934318984</v>
      </c>
      <c r="H43" s="197" t="s">
        <v>460</v>
      </c>
      <c r="I43" s="198">
        <v>0.50280209308263646</v>
      </c>
      <c r="J43" s="197" t="s">
        <v>461</v>
      </c>
      <c r="K43" s="198">
        <v>0.15495291511017359</v>
      </c>
      <c r="L43" s="197" t="s">
        <v>423</v>
      </c>
      <c r="M43" s="198">
        <v>2.9871990549520396E-2</v>
      </c>
      <c r="N43" s="197" t="s">
        <v>462</v>
      </c>
      <c r="O43" s="198">
        <v>4.2541202108128194E-2</v>
      </c>
    </row>
    <row r="44" spans="1:15">
      <c r="A44" s="194" t="s">
        <v>313</v>
      </c>
      <c r="B44" s="197" t="s">
        <v>457</v>
      </c>
      <c r="C44" s="198">
        <v>0.25977140490469991</v>
      </c>
      <c r="D44" s="197" t="s">
        <v>458</v>
      </c>
      <c r="E44" s="198">
        <v>2.4961407095888021E-2</v>
      </c>
      <c r="F44" s="197" t="s">
        <v>459</v>
      </c>
      <c r="G44" s="198">
        <v>0.14456588934318984</v>
      </c>
      <c r="H44" s="197" t="s">
        <v>460</v>
      </c>
      <c r="I44" s="198">
        <v>0.50280209308263646</v>
      </c>
      <c r="J44" s="197" t="s">
        <v>461</v>
      </c>
      <c r="K44" s="198">
        <v>0.15495291511017359</v>
      </c>
      <c r="L44" s="197" t="s">
        <v>423</v>
      </c>
      <c r="M44" s="198">
        <v>2.9871990549520396E-2</v>
      </c>
      <c r="N44" s="197" t="s">
        <v>462</v>
      </c>
      <c r="O44" s="198">
        <v>4.2541202108128194E-2</v>
      </c>
    </row>
    <row r="45" spans="1:15">
      <c r="A45" s="194" t="s">
        <v>69</v>
      </c>
      <c r="B45" s="197" t="s">
        <v>415</v>
      </c>
      <c r="C45" s="198">
        <v>0.12294639749390879</v>
      </c>
      <c r="D45" s="197" t="s">
        <v>425</v>
      </c>
      <c r="E45" s="198">
        <v>0.13978202227636616</v>
      </c>
      <c r="F45" s="197" t="s">
        <v>428</v>
      </c>
      <c r="G45" s="198">
        <v>0.32142142359902537</v>
      </c>
      <c r="H45" s="197" t="s">
        <v>423</v>
      </c>
      <c r="I45" s="198">
        <v>0.52375783153498079</v>
      </c>
      <c r="O45" s="199"/>
    </row>
    <row r="46" spans="1:15">
      <c r="A46" s="194" t="s">
        <v>100</v>
      </c>
      <c r="O46" s="199"/>
    </row>
    <row r="47" spans="1:15">
      <c r="A47" s="194" t="s">
        <v>321</v>
      </c>
      <c r="B47" s="197" t="s">
        <v>440</v>
      </c>
      <c r="C47" s="198">
        <v>6.1575102495714996E-2</v>
      </c>
      <c r="D47" s="197" t="s">
        <v>441</v>
      </c>
      <c r="E47" s="198">
        <v>0.10129530851105538</v>
      </c>
      <c r="F47" s="197" t="s">
        <v>449</v>
      </c>
      <c r="G47" s="198">
        <v>0.12531897283135587</v>
      </c>
      <c r="H47" s="197" t="s">
        <v>450</v>
      </c>
      <c r="I47" s="198">
        <v>0.13479128595153059</v>
      </c>
      <c r="J47" s="197" t="s">
        <v>442</v>
      </c>
      <c r="K47" s="198">
        <v>0.23889467587526261</v>
      </c>
      <c r="L47" s="197" t="s">
        <v>443</v>
      </c>
      <c r="M47" s="198">
        <v>0.33852371532550263</v>
      </c>
      <c r="N47" s="197" t="s">
        <v>423</v>
      </c>
      <c r="O47" s="198">
        <v>0.23462470305646771</v>
      </c>
    </row>
    <row r="48" spans="1:15">
      <c r="A48" s="194" t="s">
        <v>147</v>
      </c>
      <c r="B48" s="197" t="s">
        <v>442</v>
      </c>
      <c r="C48" s="198">
        <v>8.483189903279658E-3</v>
      </c>
      <c r="D48" s="197" t="s">
        <v>484</v>
      </c>
      <c r="E48" s="198">
        <v>6.6088058206207001E-2</v>
      </c>
      <c r="F48" s="197" t="s">
        <v>485</v>
      </c>
      <c r="G48" s="198">
        <v>0.33995960277469567</v>
      </c>
      <c r="H48" s="197" t="s">
        <v>429</v>
      </c>
      <c r="I48" s="198">
        <v>9.4566646617711886E-2</v>
      </c>
      <c r="J48" s="197" t="s">
        <v>423</v>
      </c>
      <c r="K48" s="198">
        <v>0.433672809764311</v>
      </c>
      <c r="O48" s="199"/>
    </row>
    <row r="49" spans="1:15">
      <c r="A49" s="194" t="s">
        <v>350</v>
      </c>
      <c r="B49" s="197" t="s">
        <v>442</v>
      </c>
      <c r="C49" s="198">
        <v>8.483189903279658E-3</v>
      </c>
      <c r="D49" s="197" t="s">
        <v>484</v>
      </c>
      <c r="E49" s="198">
        <v>6.6088058206207001E-2</v>
      </c>
      <c r="F49" s="197" t="s">
        <v>485</v>
      </c>
      <c r="G49" s="198">
        <v>0.33995960277469567</v>
      </c>
      <c r="H49" s="197" t="s">
        <v>429</v>
      </c>
      <c r="I49" s="198">
        <v>9.4566646617711886E-2</v>
      </c>
      <c r="J49" s="197" t="s">
        <v>423</v>
      </c>
      <c r="K49" s="198">
        <v>0.433672809764311</v>
      </c>
      <c r="O49" s="199"/>
    </row>
    <row r="50" spans="1:15">
      <c r="A50" s="194" t="s">
        <v>157</v>
      </c>
      <c r="B50" s="197" t="s">
        <v>415</v>
      </c>
      <c r="C50" s="198">
        <v>5.3311700385829164E-2</v>
      </c>
      <c r="D50" s="197" t="s">
        <v>456</v>
      </c>
      <c r="E50" s="198">
        <v>2.7733085755310957E-2</v>
      </c>
      <c r="F50" s="197" t="s">
        <v>423</v>
      </c>
      <c r="G50" s="198">
        <v>0.57382275617352485</v>
      </c>
      <c r="O50" s="199"/>
    </row>
    <row r="51" spans="1:15">
      <c r="A51" s="194" t="s">
        <v>352</v>
      </c>
      <c r="O51" s="199"/>
    </row>
    <row r="52" spans="1:15">
      <c r="A52" s="194" t="s">
        <v>131</v>
      </c>
      <c r="B52" s="197" t="s">
        <v>446</v>
      </c>
      <c r="C52" s="198">
        <v>0.12263748694744168</v>
      </c>
      <c r="D52" s="197" t="s">
        <v>450</v>
      </c>
      <c r="E52" s="198">
        <v>1.2356421858684302E-2</v>
      </c>
      <c r="F52" s="197" t="s">
        <v>492</v>
      </c>
      <c r="G52" s="198">
        <v>0.23563696484510965</v>
      </c>
      <c r="H52" s="197" t="s">
        <v>493</v>
      </c>
      <c r="I52" s="198">
        <v>0.92883223111729896</v>
      </c>
      <c r="J52" s="197" t="s">
        <v>423</v>
      </c>
      <c r="K52" s="198">
        <v>0.69449269056735119</v>
      </c>
      <c r="O52" s="199"/>
    </row>
    <row r="53" spans="1:15">
      <c r="A53" s="194" t="s">
        <v>210</v>
      </c>
      <c r="B53" s="197" t="s">
        <v>465</v>
      </c>
      <c r="C53" s="198">
        <v>0.14768319247951259</v>
      </c>
      <c r="D53" s="197" t="s">
        <v>466</v>
      </c>
      <c r="E53" s="198">
        <v>5.7756861648737168E-2</v>
      </c>
      <c r="F53" s="197" t="s">
        <v>467</v>
      </c>
      <c r="G53" s="198">
        <v>0.19939212499975728</v>
      </c>
      <c r="O53" s="199"/>
    </row>
    <row r="54" spans="1:15">
      <c r="A54" s="194" t="s">
        <v>122</v>
      </c>
      <c r="B54" s="197" t="s">
        <v>415</v>
      </c>
      <c r="C54" s="198">
        <v>0.12436234628379783</v>
      </c>
      <c r="D54" s="197" t="s">
        <v>455</v>
      </c>
      <c r="E54" s="198">
        <v>0.33330045422882404</v>
      </c>
      <c r="F54" s="197" t="s">
        <v>456</v>
      </c>
      <c r="G54" s="198">
        <v>2.5303580580036734E-3</v>
      </c>
      <c r="H54" s="197" t="s">
        <v>423</v>
      </c>
      <c r="I54" s="198">
        <v>0.1829425562928326</v>
      </c>
      <c r="O54" s="199"/>
    </row>
    <row r="55" spans="1:15">
      <c r="A55" s="194" t="s">
        <v>71</v>
      </c>
      <c r="B55" s="197" t="s">
        <v>415</v>
      </c>
      <c r="C55" s="198">
        <v>0.1231401418095993</v>
      </c>
      <c r="D55" s="197" t="s">
        <v>424</v>
      </c>
      <c r="E55" s="198">
        <v>7.4245702728963595E-2</v>
      </c>
      <c r="F55" s="197" t="s">
        <v>425</v>
      </c>
      <c r="G55" s="198">
        <v>0.18833157486790003</v>
      </c>
      <c r="H55" s="197" t="s">
        <v>428</v>
      </c>
      <c r="I55" s="198">
        <v>0.27489221368386102</v>
      </c>
      <c r="O55" s="199"/>
    </row>
    <row r="56" spans="1:15">
      <c r="A56" s="194" t="s">
        <v>135</v>
      </c>
      <c r="B56" s="197" t="s">
        <v>415</v>
      </c>
      <c r="C56" s="198">
        <v>2.3794906684272393E-2</v>
      </c>
      <c r="D56" s="197" t="s">
        <v>456</v>
      </c>
      <c r="E56" s="198">
        <v>3.0726155778489882E-2</v>
      </c>
      <c r="F56" s="197" t="s">
        <v>423</v>
      </c>
      <c r="G56" s="198">
        <v>2.329471345066907E-2</v>
      </c>
      <c r="H56" s="197" t="s">
        <v>423</v>
      </c>
      <c r="I56" s="198">
        <v>0.11651451835643956</v>
      </c>
      <c r="O56" s="199"/>
    </row>
    <row r="57" spans="1:15">
      <c r="A57" s="194" t="s">
        <v>138</v>
      </c>
      <c r="B57" s="197" t="s">
        <v>498</v>
      </c>
      <c r="C57" s="198">
        <v>0.1230125926110089</v>
      </c>
      <c r="D57" s="197" t="s">
        <v>485</v>
      </c>
      <c r="E57" s="198">
        <v>0.41162881942717916</v>
      </c>
      <c r="F57" s="197" t="s">
        <v>428</v>
      </c>
      <c r="G57" s="198">
        <v>0.14485146499428173</v>
      </c>
      <c r="H57" s="197" t="s">
        <v>499</v>
      </c>
      <c r="I57" s="198">
        <v>0.17885920640445527</v>
      </c>
      <c r="O57" s="199"/>
    </row>
    <row r="58" spans="1:15">
      <c r="A58" s="194" t="s">
        <v>168</v>
      </c>
      <c r="B58" s="197" t="s">
        <v>415</v>
      </c>
      <c r="C58" s="198">
        <v>6.9510716940976658E-2</v>
      </c>
      <c r="D58" s="197" t="s">
        <v>428</v>
      </c>
      <c r="E58" s="198">
        <v>0.24914782437113064</v>
      </c>
      <c r="F58" s="197" t="s">
        <v>423</v>
      </c>
      <c r="G58" s="198">
        <v>0.14181086880688362</v>
      </c>
      <c r="O58" s="199"/>
    </row>
    <row r="59" spans="1:15">
      <c r="A59" s="194" t="s">
        <v>95</v>
      </c>
      <c r="B59" s="197" t="s">
        <v>415</v>
      </c>
      <c r="C59" s="198">
        <v>0.12103039852218084</v>
      </c>
      <c r="D59" s="197" t="s">
        <v>456</v>
      </c>
      <c r="E59" s="198">
        <v>3.0600698369843454E-2</v>
      </c>
      <c r="F59" s="197" t="s">
        <v>423</v>
      </c>
      <c r="G59" s="198">
        <v>0.65837866189663186</v>
      </c>
      <c r="O59" s="199"/>
    </row>
    <row r="60" spans="1:15">
      <c r="A60" s="194" t="s">
        <v>192</v>
      </c>
      <c r="B60" s="197" t="s">
        <v>450</v>
      </c>
      <c r="C60" s="198">
        <v>0.31004572993867774</v>
      </c>
      <c r="D60" s="197" t="s">
        <v>440</v>
      </c>
      <c r="E60" s="198">
        <v>0.12196692502950088</v>
      </c>
      <c r="F60" s="197" t="s">
        <v>441</v>
      </c>
      <c r="G60" s="198">
        <v>0.13888417251732557</v>
      </c>
      <c r="H60" s="197" t="s">
        <v>443</v>
      </c>
      <c r="I60" s="198">
        <v>0.10449715461303585</v>
      </c>
      <c r="J60" s="197" t="s">
        <v>464</v>
      </c>
      <c r="K60" s="198">
        <v>0.53468145420696656</v>
      </c>
      <c r="L60" s="200" t="s">
        <v>495</v>
      </c>
      <c r="M60" s="201">
        <v>0.39164834356314321</v>
      </c>
      <c r="O60" s="199"/>
    </row>
    <row r="61" spans="1:15">
      <c r="A61" s="194" t="s">
        <v>307</v>
      </c>
      <c r="B61" s="197" t="s">
        <v>415</v>
      </c>
      <c r="C61" s="198">
        <v>0.12359611577471723</v>
      </c>
      <c r="D61" s="197" t="s">
        <v>451</v>
      </c>
      <c r="E61" s="198">
        <v>0.13489285845909074</v>
      </c>
      <c r="F61" s="197" t="s">
        <v>452</v>
      </c>
      <c r="G61" s="198">
        <v>0.26632742017862626</v>
      </c>
      <c r="H61" s="197" t="s">
        <v>453</v>
      </c>
      <c r="I61" s="198">
        <v>6.1726315394211473E-2</v>
      </c>
      <c r="J61" s="197" t="s">
        <v>428</v>
      </c>
      <c r="K61" s="198">
        <v>0.10032454813203104</v>
      </c>
      <c r="L61" s="197" t="s">
        <v>423</v>
      </c>
      <c r="M61" s="198">
        <v>0.13401652004817513</v>
      </c>
      <c r="N61" s="197" t="s">
        <v>454</v>
      </c>
      <c r="O61" s="198">
        <v>0.1957875780725214</v>
      </c>
    </row>
    <row r="62" spans="1:15">
      <c r="A62" s="194" t="s">
        <v>309</v>
      </c>
      <c r="B62" s="197" t="s">
        <v>415</v>
      </c>
      <c r="C62" s="198">
        <v>4.2193682547510637E-2</v>
      </c>
      <c r="D62" s="197" t="s">
        <v>428</v>
      </c>
      <c r="E62" s="198">
        <v>5.7640864118238502E-2</v>
      </c>
      <c r="F62" s="197" t="s">
        <v>423</v>
      </c>
      <c r="G62" s="198">
        <v>5.0266321447550014E-2</v>
      </c>
      <c r="O62" s="199"/>
    </row>
    <row r="63" spans="1:15">
      <c r="A63" s="194" t="s">
        <v>226</v>
      </c>
      <c r="B63" s="197" t="s">
        <v>415</v>
      </c>
      <c r="C63" s="198">
        <v>4.5011851785831752E-2</v>
      </c>
      <c r="O63" s="199"/>
    </row>
    <row r="64" spans="1:15">
      <c r="A64" s="194" t="s">
        <v>166</v>
      </c>
      <c r="B64" s="197" t="s">
        <v>446</v>
      </c>
      <c r="C64" s="198">
        <v>0.12332490630082739</v>
      </c>
      <c r="D64" s="197" t="s">
        <v>423</v>
      </c>
      <c r="E64" s="198">
        <v>0.87114357868282621</v>
      </c>
      <c r="F64" s="197" t="s">
        <v>456</v>
      </c>
      <c r="G64" s="198">
        <v>0.39907504895870616</v>
      </c>
      <c r="H64" s="197" t="s">
        <v>423</v>
      </c>
      <c r="I64" s="198">
        <v>0.1781765250900208</v>
      </c>
      <c r="O64" s="199"/>
    </row>
    <row r="65" spans="1:15">
      <c r="A65" s="194" t="s">
        <v>102</v>
      </c>
      <c r="B65" s="197" t="s">
        <v>486</v>
      </c>
      <c r="C65" s="198">
        <v>0.12430305618251691</v>
      </c>
      <c r="D65" s="197" t="s">
        <v>487</v>
      </c>
      <c r="E65" s="198">
        <v>0.13176786361467052</v>
      </c>
      <c r="F65" s="197" t="s">
        <v>488</v>
      </c>
      <c r="G65" s="198">
        <v>0.30898697794252206</v>
      </c>
      <c r="H65" s="197" t="s">
        <v>489</v>
      </c>
      <c r="I65" s="198">
        <v>0.20004664831832811</v>
      </c>
      <c r="J65" s="197" t="s">
        <v>490</v>
      </c>
      <c r="K65" s="198">
        <v>0.74948704791499954</v>
      </c>
      <c r="O65" s="199"/>
    </row>
    <row r="66" spans="1:15">
      <c r="A66" s="194" t="s">
        <v>314</v>
      </c>
      <c r="B66" s="197" t="s">
        <v>486</v>
      </c>
      <c r="C66" s="198">
        <v>0.12430305618251691</v>
      </c>
      <c r="D66" s="197" t="s">
        <v>487</v>
      </c>
      <c r="E66" s="198">
        <v>0.13176786361467052</v>
      </c>
      <c r="F66" s="197" t="s">
        <v>488</v>
      </c>
      <c r="G66" s="198">
        <v>0.30898697794252206</v>
      </c>
      <c r="H66" s="197" t="s">
        <v>489</v>
      </c>
      <c r="I66" s="198">
        <v>0.20004664831832811</v>
      </c>
      <c r="J66" s="197" t="s">
        <v>490</v>
      </c>
      <c r="K66" s="198">
        <v>0.74948704791499954</v>
      </c>
      <c r="O66" s="199"/>
    </row>
    <row r="67" spans="1:15">
      <c r="A67" s="194" t="s">
        <v>170</v>
      </c>
      <c r="B67" s="197" t="s">
        <v>415</v>
      </c>
      <c r="C67" s="198">
        <v>2.905806497137766E-2</v>
      </c>
      <c r="D67" s="197" t="s">
        <v>456</v>
      </c>
      <c r="E67" s="198">
        <v>0.12320357660914935</v>
      </c>
      <c r="F67" s="197" t="s">
        <v>423</v>
      </c>
      <c r="G67" s="198">
        <v>0.49285700539570504</v>
      </c>
      <c r="O67" s="199"/>
    </row>
    <row r="68" spans="1:15">
      <c r="A68" s="194" t="s">
        <v>223</v>
      </c>
      <c r="B68" s="197" t="s">
        <v>440</v>
      </c>
      <c r="C68" s="198">
        <v>9.6017643126581662E-2</v>
      </c>
      <c r="D68" s="197" t="s">
        <v>441</v>
      </c>
      <c r="E68" s="198">
        <v>0.16677439956071241</v>
      </c>
      <c r="F68" s="197" t="s">
        <v>442</v>
      </c>
      <c r="G68" s="198">
        <v>0.25905863534355156</v>
      </c>
      <c r="H68" s="197" t="s">
        <v>443</v>
      </c>
      <c r="I68" s="198">
        <v>0.22772513488993934</v>
      </c>
      <c r="J68" s="197" t="s">
        <v>423</v>
      </c>
      <c r="K68" s="198">
        <v>0.2793868476340543</v>
      </c>
      <c r="L68" s="197" t="s">
        <v>444</v>
      </c>
      <c r="M68" s="198">
        <v>0.13363987967339921</v>
      </c>
      <c r="N68" s="197" t="s">
        <v>445</v>
      </c>
      <c r="O68" s="198">
        <v>0.23476818029890656</v>
      </c>
    </row>
    <row r="69" spans="1:15">
      <c r="A69" s="194" t="s">
        <v>318</v>
      </c>
      <c r="B69" s="197" t="s">
        <v>503</v>
      </c>
      <c r="C69" s="198">
        <v>8.4689602510316375E-2</v>
      </c>
      <c r="D69" s="197" t="s">
        <v>424</v>
      </c>
      <c r="E69" s="198">
        <v>0.14091246495873452</v>
      </c>
      <c r="F69" s="197" t="s">
        <v>504</v>
      </c>
      <c r="G69" s="198">
        <v>0.16123561210453921</v>
      </c>
      <c r="O69" s="199"/>
    </row>
    <row r="70" spans="1:15">
      <c r="A70" s="194" t="s">
        <v>317</v>
      </c>
      <c r="B70" s="197" t="s">
        <v>503</v>
      </c>
      <c r="C70" s="198">
        <v>8.4689602510316375E-2</v>
      </c>
      <c r="D70" s="197" t="s">
        <v>424</v>
      </c>
      <c r="E70" s="198">
        <v>0.14091246495873452</v>
      </c>
      <c r="F70" s="197" t="s">
        <v>504</v>
      </c>
      <c r="G70" s="198">
        <v>0.16123561210453921</v>
      </c>
      <c r="O70" s="199"/>
    </row>
    <row r="71" spans="1:15">
      <c r="A71" s="194" t="s">
        <v>310</v>
      </c>
      <c r="B71" s="197" t="s">
        <v>415</v>
      </c>
      <c r="C71" s="198">
        <v>4.2193682547510637E-2</v>
      </c>
      <c r="D71" s="197" t="s">
        <v>428</v>
      </c>
      <c r="E71" s="198">
        <v>5.7640864118238502E-2</v>
      </c>
      <c r="F71" s="197" t="s">
        <v>423</v>
      </c>
      <c r="G71" s="198">
        <v>5.0266321447550014E-2</v>
      </c>
      <c r="O71" s="199"/>
    </row>
    <row r="72" spans="1:15">
      <c r="A72" s="194" t="s">
        <v>153</v>
      </c>
      <c r="B72" s="197" t="s">
        <v>415</v>
      </c>
      <c r="C72" s="198">
        <v>0.10185383208626089</v>
      </c>
      <c r="D72" s="197" t="s">
        <v>456</v>
      </c>
      <c r="E72" s="198">
        <v>7.3357704474252508E-2</v>
      </c>
      <c r="F72" s="197" t="s">
        <v>423</v>
      </c>
      <c r="G72" s="198">
        <v>0.14593931547890621</v>
      </c>
      <c r="O72" s="199"/>
    </row>
    <row r="73" spans="1:15">
      <c r="A73" s="194" t="s">
        <v>351</v>
      </c>
      <c r="O73" s="199"/>
    </row>
    <row r="74" spans="1:15" ht="15.75" thickBot="1">
      <c r="A74" s="195" t="s">
        <v>236</v>
      </c>
      <c r="B74" s="197" t="s">
        <v>415</v>
      </c>
      <c r="C74" s="198">
        <v>0.12411657202467252</v>
      </c>
      <c r="D74" s="197" t="s">
        <v>434</v>
      </c>
      <c r="E74" s="198">
        <v>7.4519108945353296E-2</v>
      </c>
      <c r="F74" s="197" t="s">
        <v>435</v>
      </c>
      <c r="G74" s="198">
        <v>0.24509421201287571</v>
      </c>
      <c r="H74" s="197" t="s">
        <v>423</v>
      </c>
      <c r="I74" s="198">
        <v>7.177625315164797E-3</v>
      </c>
      <c r="O74" s="199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66"/>
  <sheetViews>
    <sheetView workbookViewId="0">
      <selection activeCell="M14" sqref="M14"/>
    </sheetView>
  </sheetViews>
  <sheetFormatPr defaultColWidth="12.5703125" defaultRowHeight="15" customHeight="1"/>
  <cols>
    <col min="1" max="1" width="17.7109375" style="28" bestFit="1" customWidth="1"/>
    <col min="2" max="2" width="3.85546875" style="28" customWidth="1"/>
    <col min="3" max="3" width="18.42578125" style="28" bestFit="1" customWidth="1"/>
    <col min="4" max="4" width="4.85546875" style="28" customWidth="1"/>
    <col min="5" max="5" width="12" style="28" bestFit="1" customWidth="1"/>
    <col min="6" max="6" width="3.85546875" style="28" customWidth="1"/>
    <col min="7" max="7" width="18" style="28" bestFit="1" customWidth="1"/>
    <col min="8" max="8" width="4.42578125" style="28" customWidth="1"/>
    <col min="9" max="9" width="5.7109375" style="28" bestFit="1" customWidth="1"/>
    <col min="10" max="10" width="13.140625" style="28" bestFit="1" customWidth="1"/>
    <col min="11" max="16384" width="12.5703125" style="28"/>
  </cols>
  <sheetData>
    <row r="1" spans="1:10">
      <c r="A1" s="58" t="s">
        <v>285</v>
      </c>
      <c r="C1" s="25" t="s">
        <v>261</v>
      </c>
      <c r="D1" s="25"/>
      <c r="E1" s="26" t="s">
        <v>2</v>
      </c>
      <c r="F1" s="26"/>
      <c r="G1" s="26" t="s">
        <v>4</v>
      </c>
      <c r="H1" s="26"/>
      <c r="I1" s="27" t="s">
        <v>262</v>
      </c>
      <c r="J1" s="27" t="s">
        <v>263</v>
      </c>
    </row>
    <row r="2" spans="1:10">
      <c r="A2" s="59" t="s">
        <v>286</v>
      </c>
      <c r="C2" s="19" t="s">
        <v>213</v>
      </c>
      <c r="D2" s="19"/>
      <c r="E2" s="29" t="s">
        <v>52</v>
      </c>
      <c r="F2" s="29"/>
      <c r="G2" s="29" t="s">
        <v>5</v>
      </c>
      <c r="H2" s="29"/>
      <c r="I2" s="34">
        <v>10</v>
      </c>
      <c r="J2" s="34">
        <v>6.8</v>
      </c>
    </row>
    <row r="3" spans="1:10">
      <c r="A3" s="59" t="s">
        <v>287</v>
      </c>
      <c r="C3" s="19" t="s">
        <v>1</v>
      </c>
      <c r="D3" s="19"/>
      <c r="E3" s="29" t="s">
        <v>54</v>
      </c>
      <c r="F3" s="29"/>
      <c r="G3" s="29" t="s">
        <v>56</v>
      </c>
      <c r="H3" s="29"/>
      <c r="I3" s="34">
        <v>11</v>
      </c>
      <c r="J3" s="34">
        <v>8.4</v>
      </c>
    </row>
    <row r="4" spans="1:10">
      <c r="A4" s="59" t="s">
        <v>288</v>
      </c>
      <c r="C4" s="19" t="s">
        <v>133</v>
      </c>
      <c r="D4" s="19"/>
      <c r="E4" s="29" t="s">
        <v>3</v>
      </c>
      <c r="F4" s="29"/>
      <c r="G4" s="29" t="s">
        <v>58</v>
      </c>
      <c r="H4" s="29"/>
      <c r="I4" s="34">
        <v>12</v>
      </c>
      <c r="J4" s="34">
        <v>9.9</v>
      </c>
    </row>
    <row r="5" spans="1:10">
      <c r="A5" s="59" t="s">
        <v>289</v>
      </c>
      <c r="C5" s="19" t="s">
        <v>117</v>
      </c>
      <c r="D5" s="19"/>
      <c r="E5" s="30"/>
      <c r="F5" s="30"/>
      <c r="G5" s="29" t="s">
        <v>60</v>
      </c>
      <c r="H5" s="29"/>
      <c r="I5" s="34">
        <v>13</v>
      </c>
      <c r="J5" s="34">
        <v>11.3</v>
      </c>
    </row>
    <row r="6" spans="1:10">
      <c r="A6" s="59" t="s">
        <v>290</v>
      </c>
      <c r="C6" s="19" t="s">
        <v>119</v>
      </c>
      <c r="D6" s="19"/>
      <c r="E6" s="30"/>
      <c r="F6" s="30"/>
      <c r="G6" s="30"/>
      <c r="H6" s="30"/>
      <c r="I6" s="34">
        <v>14</v>
      </c>
      <c r="J6" s="34">
        <v>12.6</v>
      </c>
    </row>
    <row r="7" spans="1:10">
      <c r="A7" s="59" t="s">
        <v>291</v>
      </c>
      <c r="C7" s="19" t="s">
        <v>140</v>
      </c>
      <c r="D7" s="19"/>
      <c r="E7" s="30"/>
      <c r="F7" s="30"/>
      <c r="G7" s="30"/>
      <c r="H7" s="30"/>
      <c r="I7" s="34">
        <v>15</v>
      </c>
      <c r="J7" s="34">
        <v>13.8</v>
      </c>
    </row>
    <row r="8" spans="1:10">
      <c r="A8" s="59" t="s">
        <v>292</v>
      </c>
      <c r="C8" s="19" t="s">
        <v>98</v>
      </c>
      <c r="D8" s="19"/>
      <c r="E8" s="30"/>
      <c r="F8" s="30"/>
      <c r="G8" s="30"/>
      <c r="H8" s="30"/>
      <c r="I8" s="34">
        <v>16</v>
      </c>
      <c r="J8" s="34">
        <v>14.9</v>
      </c>
    </row>
    <row r="9" spans="1:10">
      <c r="A9" s="59" t="s">
        <v>293</v>
      </c>
      <c r="C9" s="19" t="s">
        <v>113</v>
      </c>
      <c r="D9" s="19"/>
      <c r="E9" s="30"/>
      <c r="F9" s="30"/>
      <c r="G9" s="30"/>
      <c r="H9" s="30"/>
      <c r="I9" s="34">
        <v>17</v>
      </c>
      <c r="J9" s="34">
        <v>15.9</v>
      </c>
    </row>
    <row r="10" spans="1:10">
      <c r="C10" s="19" t="s">
        <v>106</v>
      </c>
      <c r="D10" s="19"/>
      <c r="E10" s="30"/>
      <c r="F10" s="30"/>
      <c r="G10" s="30"/>
      <c r="H10" s="30"/>
      <c r="I10" s="34">
        <v>18</v>
      </c>
      <c r="J10" s="34">
        <v>16.899999999999999</v>
      </c>
    </row>
    <row r="11" spans="1:10">
      <c r="C11" s="19" t="s">
        <v>108</v>
      </c>
      <c r="D11" s="19"/>
      <c r="E11" s="30"/>
      <c r="F11" s="30"/>
      <c r="G11" s="30"/>
      <c r="H11" s="30"/>
      <c r="I11" s="34">
        <v>19</v>
      </c>
      <c r="J11" s="34">
        <v>17.8</v>
      </c>
    </row>
    <row r="12" spans="1:10">
      <c r="C12" s="19" t="s">
        <v>78</v>
      </c>
      <c r="D12" s="19"/>
      <c r="E12" s="30"/>
      <c r="F12" s="30"/>
      <c r="G12" s="30"/>
      <c r="H12" s="30"/>
      <c r="I12" s="34">
        <v>20</v>
      </c>
      <c r="J12" s="34">
        <v>18.7</v>
      </c>
    </row>
    <row r="13" spans="1:10">
      <c r="C13" s="19" t="s">
        <v>145</v>
      </c>
      <c r="D13" s="19"/>
      <c r="E13" s="30"/>
      <c r="F13" s="30"/>
      <c r="G13" s="30"/>
      <c r="H13" s="30"/>
      <c r="I13" s="34">
        <v>21</v>
      </c>
      <c r="J13" s="34">
        <v>19.600000000000001</v>
      </c>
    </row>
    <row r="14" spans="1:10">
      <c r="C14" s="19" t="s">
        <v>143</v>
      </c>
      <c r="D14" s="19"/>
      <c r="E14" s="30"/>
      <c r="F14" s="30"/>
      <c r="G14" s="30"/>
      <c r="H14" s="30"/>
      <c r="I14" s="34">
        <v>22</v>
      </c>
      <c r="J14" s="34">
        <v>20.399999999999999</v>
      </c>
    </row>
    <row r="15" spans="1:10">
      <c r="C15" s="19" t="s">
        <v>150</v>
      </c>
      <c r="D15" s="19"/>
      <c r="E15" s="30"/>
      <c r="F15" s="30"/>
      <c r="G15" s="30"/>
      <c r="H15" s="30"/>
      <c r="I15" s="34">
        <v>23</v>
      </c>
      <c r="J15" s="34">
        <v>21.1</v>
      </c>
    </row>
    <row r="16" spans="1:10">
      <c r="C16" s="19" t="s">
        <v>73</v>
      </c>
      <c r="D16" s="19"/>
      <c r="E16" s="30"/>
      <c r="F16" s="30"/>
      <c r="G16" s="30"/>
      <c r="H16" s="30"/>
      <c r="I16" s="34">
        <v>24</v>
      </c>
      <c r="J16" s="34">
        <v>21.9</v>
      </c>
    </row>
    <row r="17" spans="3:16">
      <c r="C17" s="19" t="s">
        <v>204</v>
      </c>
      <c r="D17" s="19"/>
      <c r="E17" s="30"/>
      <c r="F17" s="30"/>
      <c r="G17" s="30"/>
      <c r="H17" s="30"/>
      <c r="I17" s="34">
        <v>25</v>
      </c>
      <c r="J17" s="34">
        <v>22.6</v>
      </c>
    </row>
    <row r="18" spans="3:16">
      <c r="C18" s="19" t="s">
        <v>160</v>
      </c>
      <c r="D18" s="19"/>
      <c r="E18" s="30"/>
      <c r="F18" s="30"/>
      <c r="G18" s="30"/>
      <c r="H18" s="30"/>
      <c r="I18" s="34">
        <v>26</v>
      </c>
      <c r="J18" s="34">
        <v>23.2</v>
      </c>
    </row>
    <row r="19" spans="3:16">
      <c r="C19" s="19" t="s">
        <v>67</v>
      </c>
      <c r="D19" s="19"/>
      <c r="E19" s="30"/>
      <c r="F19" s="30"/>
      <c r="G19" s="30"/>
      <c r="H19" s="30"/>
      <c r="I19" s="34">
        <v>27</v>
      </c>
      <c r="J19" s="34">
        <v>23.9</v>
      </c>
    </row>
    <row r="20" spans="3:16">
      <c r="C20" s="19" t="s">
        <v>82</v>
      </c>
      <c r="D20" s="19"/>
      <c r="E20" s="30"/>
      <c r="F20" s="30"/>
      <c r="G20" s="30"/>
      <c r="H20" s="30"/>
      <c r="I20" s="34">
        <v>28</v>
      </c>
      <c r="J20" s="34">
        <v>24.5</v>
      </c>
    </row>
    <row r="21" spans="3:16">
      <c r="C21" s="19" t="s">
        <v>76</v>
      </c>
      <c r="D21" s="19"/>
      <c r="E21" s="30"/>
      <c r="F21" s="30"/>
      <c r="G21" s="30"/>
      <c r="H21" s="30"/>
      <c r="I21" s="34">
        <v>29</v>
      </c>
      <c r="J21" s="34">
        <v>25.1</v>
      </c>
    </row>
    <row r="22" spans="3:16">
      <c r="C22" s="19" t="s">
        <v>80</v>
      </c>
      <c r="D22" s="19"/>
      <c r="E22" s="30"/>
      <c r="F22" s="30"/>
      <c r="G22" s="30"/>
      <c r="H22" s="30"/>
      <c r="I22" s="34">
        <v>30</v>
      </c>
      <c r="J22" s="34">
        <v>25.7</v>
      </c>
    </row>
    <row r="23" spans="3:16">
      <c r="C23" s="19" t="s">
        <v>110</v>
      </c>
      <c r="D23" s="19"/>
      <c r="E23" s="30"/>
      <c r="F23" s="30"/>
      <c r="G23" s="30"/>
      <c r="H23" s="30"/>
      <c r="I23" s="34">
        <v>31</v>
      </c>
      <c r="J23" s="34">
        <v>26.3</v>
      </c>
    </row>
    <row r="24" spans="3:16">
      <c r="C24" s="19" t="s">
        <v>229</v>
      </c>
      <c r="D24" s="19"/>
      <c r="E24" s="30"/>
      <c r="F24" s="30"/>
      <c r="G24" s="30"/>
      <c r="H24" s="30"/>
      <c r="I24" s="34">
        <v>32</v>
      </c>
      <c r="J24" s="34">
        <v>26.8</v>
      </c>
    </row>
    <row r="25" spans="3:16">
      <c r="C25" s="19" t="s">
        <v>69</v>
      </c>
      <c r="D25" s="19"/>
      <c r="E25" s="30"/>
      <c r="F25" s="30"/>
      <c r="G25" s="30"/>
      <c r="H25" s="30"/>
      <c r="I25" s="34">
        <v>33</v>
      </c>
      <c r="J25" s="34">
        <v>27.3</v>
      </c>
    </row>
    <row r="26" spans="3:16">
      <c r="C26" s="19" t="s">
        <v>100</v>
      </c>
      <c r="D26" s="19"/>
      <c r="E26" s="30"/>
      <c r="F26" s="30"/>
      <c r="G26" s="30"/>
      <c r="H26" s="30"/>
      <c r="I26" s="34">
        <v>34</v>
      </c>
      <c r="J26" s="34">
        <v>27.9</v>
      </c>
    </row>
    <row r="27" spans="3:16">
      <c r="C27" s="19" t="s">
        <v>147</v>
      </c>
      <c r="D27" s="19"/>
      <c r="E27" s="30"/>
      <c r="F27" s="30"/>
      <c r="G27" s="30"/>
      <c r="H27" s="30"/>
      <c r="I27" s="34">
        <v>35</v>
      </c>
      <c r="J27" s="34">
        <v>28.4</v>
      </c>
    </row>
    <row r="28" spans="3:16">
      <c r="C28" s="19" t="s">
        <v>157</v>
      </c>
      <c r="D28" s="19"/>
      <c r="E28" s="30"/>
      <c r="F28" s="30"/>
      <c r="G28" s="30"/>
      <c r="H28" s="30"/>
      <c r="I28" s="34">
        <v>36</v>
      </c>
      <c r="J28" s="34">
        <v>28.8</v>
      </c>
    </row>
    <row r="29" spans="3:16">
      <c r="C29" s="19" t="s">
        <v>131</v>
      </c>
      <c r="D29" s="19"/>
      <c r="E29" s="30"/>
      <c r="F29" s="30"/>
      <c r="G29" s="30"/>
      <c r="H29" s="30"/>
      <c r="I29" s="34">
        <v>37</v>
      </c>
      <c r="J29" s="34">
        <v>29.3</v>
      </c>
      <c r="O29" s="31"/>
      <c r="P29" s="31"/>
    </row>
    <row r="30" spans="3:16">
      <c r="C30" s="19" t="s">
        <v>115</v>
      </c>
      <c r="D30" s="19"/>
      <c r="E30" s="30"/>
      <c r="F30" s="30"/>
      <c r="G30" s="30"/>
      <c r="H30" s="30"/>
      <c r="I30" s="34">
        <v>38</v>
      </c>
      <c r="J30" s="34">
        <v>29.8</v>
      </c>
      <c r="O30" s="31"/>
      <c r="P30" s="31"/>
    </row>
    <row r="31" spans="3:16">
      <c r="C31" s="19" t="s">
        <v>210</v>
      </c>
      <c r="D31" s="19"/>
      <c r="E31" s="30"/>
      <c r="F31" s="30"/>
      <c r="G31" s="30"/>
      <c r="H31" s="30"/>
      <c r="I31" s="34">
        <v>39</v>
      </c>
      <c r="J31" s="34">
        <v>30.2</v>
      </c>
    </row>
    <row r="32" spans="3:16">
      <c r="C32" s="19" t="s">
        <v>122</v>
      </c>
      <c r="D32" s="19"/>
      <c r="E32" s="30"/>
      <c r="F32" s="30"/>
      <c r="G32" s="30"/>
      <c r="H32" s="30"/>
      <c r="I32" s="34">
        <v>40</v>
      </c>
      <c r="J32" s="34">
        <v>30.6</v>
      </c>
      <c r="K32" s="32"/>
      <c r="L32" s="32"/>
      <c r="M32" s="32"/>
      <c r="N32" s="32"/>
      <c r="O32" s="32"/>
      <c r="P32" s="32"/>
    </row>
    <row r="33" spans="3:16">
      <c r="C33" s="19" t="s">
        <v>71</v>
      </c>
      <c r="D33" s="19"/>
      <c r="E33" s="30"/>
      <c r="F33" s="30"/>
      <c r="G33" s="30"/>
      <c r="H33" s="30"/>
      <c r="I33" s="34">
        <v>41</v>
      </c>
      <c r="J33" s="34">
        <v>31.1</v>
      </c>
      <c r="K33" s="32"/>
      <c r="L33" s="32"/>
      <c r="M33" s="32"/>
      <c r="N33" s="32"/>
      <c r="O33" s="32"/>
      <c r="P33" s="32"/>
    </row>
    <row r="34" spans="3:16">
      <c r="C34" s="19" t="s">
        <v>135</v>
      </c>
      <c r="D34" s="19"/>
      <c r="E34" s="30"/>
      <c r="F34" s="30"/>
      <c r="G34" s="30"/>
      <c r="H34" s="30"/>
      <c r="I34" s="34">
        <v>42</v>
      </c>
      <c r="J34" s="34">
        <v>31.5</v>
      </c>
      <c r="K34" s="32"/>
      <c r="L34" s="32"/>
      <c r="M34" s="32"/>
      <c r="N34" s="32"/>
      <c r="O34" s="32"/>
      <c r="P34" s="32"/>
    </row>
    <row r="35" spans="3:16">
      <c r="C35" s="19" t="s">
        <v>138</v>
      </c>
      <c r="D35" s="19"/>
      <c r="E35" s="30"/>
      <c r="F35" s="30"/>
      <c r="G35" s="30"/>
      <c r="H35" s="30"/>
      <c r="I35" s="34">
        <v>43</v>
      </c>
      <c r="J35" s="34">
        <v>31.9</v>
      </c>
      <c r="K35" s="32"/>
      <c r="L35" s="32"/>
      <c r="M35" s="32"/>
      <c r="N35" s="32"/>
      <c r="O35" s="32"/>
      <c r="P35" s="32"/>
    </row>
    <row r="36" spans="3:16">
      <c r="C36" s="19" t="s">
        <v>168</v>
      </c>
      <c r="D36" s="19"/>
      <c r="E36" s="30"/>
      <c r="F36" s="30"/>
      <c r="G36" s="30"/>
      <c r="H36" s="30"/>
      <c r="I36" s="34">
        <v>44</v>
      </c>
      <c r="J36" s="34">
        <v>32.299999999999997</v>
      </c>
      <c r="K36" s="32"/>
      <c r="L36" s="32"/>
      <c r="M36" s="32"/>
      <c r="N36" s="32"/>
      <c r="O36" s="32"/>
      <c r="P36" s="32"/>
    </row>
    <row r="37" spans="3:16">
      <c r="C37" s="19" t="s">
        <v>95</v>
      </c>
      <c r="D37" s="19"/>
      <c r="E37" s="30"/>
      <c r="F37" s="30"/>
      <c r="G37" s="30"/>
      <c r="H37" s="30"/>
      <c r="I37" s="34">
        <v>45</v>
      </c>
      <c r="J37" s="34">
        <v>32.700000000000003</v>
      </c>
      <c r="K37" s="32"/>
      <c r="L37" s="32"/>
      <c r="M37" s="32"/>
      <c r="N37" s="32"/>
      <c r="O37" s="32"/>
      <c r="P37" s="32"/>
    </row>
    <row r="38" spans="3:16">
      <c r="C38" s="19" t="s">
        <v>192</v>
      </c>
      <c r="D38" s="19"/>
      <c r="E38" s="30"/>
      <c r="F38" s="30"/>
      <c r="G38" s="30"/>
      <c r="H38" s="30"/>
      <c r="I38" s="34">
        <v>46</v>
      </c>
      <c r="J38" s="34">
        <v>33.1</v>
      </c>
      <c r="K38" s="32"/>
      <c r="L38" s="32"/>
      <c r="M38" s="32"/>
      <c r="N38" s="32"/>
      <c r="O38" s="32"/>
      <c r="P38" s="32"/>
    </row>
    <row r="39" spans="3:16">
      <c r="C39" s="19" t="s">
        <v>226</v>
      </c>
      <c r="D39" s="19"/>
      <c r="E39" s="30"/>
      <c r="F39" s="30"/>
      <c r="G39" s="30"/>
      <c r="H39" s="30"/>
      <c r="I39" s="34">
        <v>47</v>
      </c>
      <c r="J39" s="34">
        <v>33.4</v>
      </c>
      <c r="K39" s="32"/>
      <c r="L39" s="32"/>
      <c r="M39" s="32"/>
      <c r="N39" s="32"/>
      <c r="O39" s="32"/>
      <c r="P39" s="32"/>
    </row>
    <row r="40" spans="3:16">
      <c r="C40" s="19" t="s">
        <v>166</v>
      </c>
      <c r="D40" s="19"/>
      <c r="E40" s="30"/>
      <c r="F40" s="30"/>
      <c r="G40" s="30"/>
      <c r="H40" s="30"/>
      <c r="I40" s="34">
        <v>48</v>
      </c>
      <c r="J40" s="34">
        <v>33.799999999999997</v>
      </c>
      <c r="K40" s="32"/>
      <c r="L40" s="32"/>
      <c r="M40" s="32"/>
      <c r="N40" s="32"/>
      <c r="O40" s="32"/>
      <c r="P40" s="32"/>
    </row>
    <row r="41" spans="3:16">
      <c r="C41" s="19" t="s">
        <v>102</v>
      </c>
      <c r="D41" s="19"/>
      <c r="E41" s="30"/>
      <c r="F41" s="30"/>
      <c r="G41" s="30"/>
      <c r="H41" s="30"/>
      <c r="I41" s="34">
        <v>49</v>
      </c>
      <c r="J41" s="34">
        <v>34.1</v>
      </c>
      <c r="K41" s="32"/>
      <c r="L41" s="32"/>
      <c r="M41" s="32"/>
      <c r="N41" s="32"/>
      <c r="O41" s="32"/>
      <c r="P41" s="32"/>
    </row>
    <row r="42" spans="3:16">
      <c r="C42" s="19" t="s">
        <v>170</v>
      </c>
      <c r="D42" s="19"/>
      <c r="E42" s="30"/>
      <c r="F42" s="30"/>
      <c r="G42" s="30"/>
      <c r="H42" s="30"/>
      <c r="I42" s="34">
        <v>50</v>
      </c>
      <c r="J42" s="34">
        <v>34.5</v>
      </c>
      <c r="K42" s="32"/>
      <c r="L42" s="32"/>
      <c r="M42" s="32"/>
      <c r="N42" s="32"/>
      <c r="O42" s="32"/>
      <c r="P42" s="32"/>
    </row>
    <row r="43" spans="3:16">
      <c r="C43" s="19" t="s">
        <v>223</v>
      </c>
      <c r="D43" s="19"/>
      <c r="E43" s="30"/>
      <c r="F43" s="30"/>
      <c r="G43" s="30"/>
      <c r="H43" s="30"/>
      <c r="I43" s="34">
        <v>51</v>
      </c>
      <c r="J43" s="34">
        <v>34.799999999999997</v>
      </c>
      <c r="K43" s="32"/>
      <c r="L43" s="32"/>
      <c r="M43" s="32"/>
      <c r="N43" s="32"/>
      <c r="O43" s="32"/>
      <c r="P43" s="32"/>
    </row>
    <row r="44" spans="3:16">
      <c r="C44" s="19" t="s">
        <v>153</v>
      </c>
      <c r="D44" s="19"/>
      <c r="E44" s="30"/>
      <c r="F44" s="30"/>
      <c r="G44" s="30"/>
      <c r="H44" s="30"/>
      <c r="I44" s="34">
        <v>52</v>
      </c>
      <c r="J44" s="34">
        <v>35.200000000000003</v>
      </c>
      <c r="K44" s="30"/>
      <c r="L44" s="30"/>
      <c r="M44" s="30"/>
      <c r="N44" s="30"/>
      <c r="O44" s="30"/>
      <c r="P44" s="30"/>
    </row>
    <row r="45" spans="3:16">
      <c r="C45" s="19" t="s">
        <v>236</v>
      </c>
      <c r="D45" s="19"/>
      <c r="E45" s="30"/>
      <c r="F45" s="30"/>
      <c r="G45" s="30"/>
      <c r="H45" s="30"/>
      <c r="I45" s="34">
        <v>53</v>
      </c>
      <c r="J45" s="34">
        <v>35.5</v>
      </c>
      <c r="K45" s="30"/>
      <c r="L45" s="30"/>
      <c r="M45" s="30"/>
      <c r="N45" s="30"/>
      <c r="O45" s="30"/>
      <c r="P45" s="30"/>
    </row>
    <row r="46" spans="3:16">
      <c r="E46" s="35"/>
      <c r="F46" s="35"/>
      <c r="G46" s="35"/>
      <c r="H46" s="35"/>
      <c r="I46" s="34">
        <v>54</v>
      </c>
      <c r="J46" s="34">
        <v>35.799999999999997</v>
      </c>
    </row>
    <row r="47" spans="3:16">
      <c r="E47" s="35"/>
      <c r="F47" s="35"/>
      <c r="G47" s="35"/>
      <c r="H47" s="35"/>
      <c r="I47" s="34">
        <v>55</v>
      </c>
      <c r="J47" s="34">
        <v>36.1</v>
      </c>
    </row>
    <row r="48" spans="3:16">
      <c r="E48" s="35"/>
      <c r="F48" s="35"/>
      <c r="G48" s="35"/>
      <c r="H48" s="35"/>
      <c r="I48" s="34">
        <v>56</v>
      </c>
      <c r="J48" s="34">
        <v>36.4</v>
      </c>
    </row>
    <row r="49" spans="5:10">
      <c r="E49" s="35"/>
      <c r="F49" s="35"/>
      <c r="G49" s="35"/>
      <c r="H49" s="35"/>
      <c r="I49" s="34">
        <v>57</v>
      </c>
      <c r="J49" s="34">
        <v>36.700000000000003</v>
      </c>
    </row>
    <row r="50" spans="5:10">
      <c r="E50" s="35"/>
      <c r="F50" s="35"/>
      <c r="G50" s="35"/>
      <c r="H50" s="35"/>
      <c r="I50" s="34">
        <v>58</v>
      </c>
      <c r="J50" s="34">
        <v>37</v>
      </c>
    </row>
    <row r="51" spans="5:10">
      <c r="E51" s="35"/>
      <c r="F51" s="35"/>
      <c r="G51" s="35"/>
      <c r="H51" s="35"/>
      <c r="I51" s="34">
        <v>59</v>
      </c>
      <c r="J51" s="34">
        <v>37.299999999999997</v>
      </c>
    </row>
    <row r="52" spans="5:10">
      <c r="E52" s="35"/>
      <c r="F52" s="35"/>
      <c r="G52" s="35"/>
      <c r="H52" s="35"/>
      <c r="I52" s="34">
        <v>60</v>
      </c>
      <c r="J52" s="34">
        <v>37.6</v>
      </c>
    </row>
    <row r="53" spans="5:10">
      <c r="E53" s="35"/>
      <c r="F53" s="35"/>
      <c r="G53" s="35"/>
      <c r="H53" s="35"/>
      <c r="I53" s="34">
        <v>61</v>
      </c>
      <c r="J53" s="34">
        <v>37.9</v>
      </c>
    </row>
    <row r="54" spans="5:10">
      <c r="E54" s="35"/>
      <c r="F54" s="35"/>
      <c r="G54" s="35"/>
      <c r="H54" s="35"/>
      <c r="I54" s="34">
        <v>62</v>
      </c>
      <c r="J54" s="34">
        <v>38.200000000000003</v>
      </c>
    </row>
    <row r="55" spans="5:10">
      <c r="E55" s="35"/>
      <c r="F55" s="35"/>
      <c r="G55" s="35"/>
      <c r="H55" s="35"/>
      <c r="I55" s="34">
        <v>63</v>
      </c>
      <c r="J55" s="34">
        <v>38.5</v>
      </c>
    </row>
    <row r="56" spans="5:10">
      <c r="E56" s="35"/>
      <c r="F56" s="35"/>
      <c r="G56" s="35"/>
      <c r="H56" s="35"/>
      <c r="I56" s="34">
        <v>64</v>
      </c>
      <c r="J56" s="34">
        <v>38.700000000000003</v>
      </c>
    </row>
    <row r="57" spans="5:10">
      <c r="E57" s="35"/>
      <c r="F57" s="35"/>
      <c r="G57" s="35"/>
      <c r="H57" s="35"/>
      <c r="I57" s="34">
        <v>65</v>
      </c>
      <c r="J57" s="34">
        <v>39</v>
      </c>
    </row>
    <row r="58" spans="5:10">
      <c r="E58" s="35"/>
      <c r="F58" s="35"/>
      <c r="G58" s="35"/>
      <c r="H58" s="35"/>
      <c r="I58" s="34">
        <v>66</v>
      </c>
      <c r="J58" s="34">
        <v>39.299999999999997</v>
      </c>
    </row>
    <row r="59" spans="5:10">
      <c r="E59" s="35"/>
      <c r="F59" s="35"/>
      <c r="G59" s="35"/>
      <c r="H59" s="35"/>
      <c r="I59" s="34">
        <v>67</v>
      </c>
      <c r="J59" s="34">
        <v>39.5</v>
      </c>
    </row>
    <row r="60" spans="5:10">
      <c r="E60" s="35"/>
      <c r="F60" s="35"/>
      <c r="G60" s="35"/>
      <c r="H60" s="35"/>
      <c r="I60" s="34">
        <v>68</v>
      </c>
      <c r="J60" s="34">
        <v>39.799999999999997</v>
      </c>
    </row>
    <row r="61" spans="5:10">
      <c r="E61" s="35"/>
      <c r="F61" s="35"/>
      <c r="G61" s="35"/>
      <c r="H61" s="35"/>
      <c r="I61" s="34">
        <v>69</v>
      </c>
      <c r="J61" s="34">
        <v>40</v>
      </c>
    </row>
    <row r="62" spans="5:10">
      <c r="E62" s="35"/>
      <c r="F62" s="35"/>
      <c r="G62" s="35"/>
      <c r="H62" s="35"/>
      <c r="I62" s="34">
        <v>70</v>
      </c>
      <c r="J62" s="34">
        <v>40.299999999999997</v>
      </c>
    </row>
    <row r="63" spans="5:10">
      <c r="E63" s="35"/>
      <c r="F63" s="35"/>
      <c r="G63" s="35"/>
      <c r="H63" s="35"/>
      <c r="I63" s="34">
        <v>71</v>
      </c>
      <c r="J63" s="34">
        <v>40.5</v>
      </c>
    </row>
    <row r="64" spans="5:10">
      <c r="E64" s="35"/>
      <c r="F64" s="35"/>
      <c r="G64" s="35"/>
      <c r="H64" s="35"/>
      <c r="I64" s="34">
        <v>72</v>
      </c>
      <c r="J64" s="34">
        <v>40.799999999999997</v>
      </c>
    </row>
    <row r="65" spans="5:10">
      <c r="E65" s="35"/>
      <c r="F65" s="35"/>
      <c r="G65" s="35"/>
      <c r="H65" s="35"/>
      <c r="I65" s="34">
        <v>73</v>
      </c>
      <c r="J65" s="34">
        <v>41</v>
      </c>
    </row>
    <row r="66" spans="5:10">
      <c r="E66" s="35"/>
      <c r="F66" s="35"/>
      <c r="G66" s="35"/>
      <c r="H66" s="35"/>
      <c r="I66" s="34">
        <v>74</v>
      </c>
      <c r="J66" s="34">
        <v>41.2</v>
      </c>
    </row>
    <row r="67" spans="5:10">
      <c r="E67" s="35"/>
      <c r="F67" s="35"/>
      <c r="G67" s="35"/>
      <c r="H67" s="35"/>
      <c r="I67" s="34">
        <v>75</v>
      </c>
      <c r="J67" s="34">
        <v>41.5</v>
      </c>
    </row>
    <row r="68" spans="5:10">
      <c r="E68" s="35"/>
      <c r="F68" s="35"/>
      <c r="G68" s="35"/>
      <c r="H68" s="35"/>
      <c r="I68" s="34">
        <v>76</v>
      </c>
      <c r="J68" s="34">
        <v>41.7</v>
      </c>
    </row>
    <row r="69" spans="5:10">
      <c r="E69" s="35"/>
      <c r="F69" s="35"/>
      <c r="G69" s="35"/>
      <c r="H69" s="35"/>
      <c r="I69" s="34">
        <v>77</v>
      </c>
      <c r="J69" s="34">
        <v>41.9</v>
      </c>
    </row>
    <row r="70" spans="5:10">
      <c r="E70" s="35"/>
      <c r="F70" s="35"/>
      <c r="G70" s="35"/>
      <c r="H70" s="35"/>
      <c r="I70" s="34">
        <v>78</v>
      </c>
      <c r="J70" s="34">
        <v>42.1</v>
      </c>
    </row>
    <row r="71" spans="5:10">
      <c r="E71" s="35"/>
      <c r="F71" s="35"/>
      <c r="G71" s="35"/>
      <c r="H71" s="35"/>
      <c r="I71" s="34">
        <v>79</v>
      </c>
      <c r="J71" s="34">
        <v>42.4</v>
      </c>
    </row>
    <row r="72" spans="5:10">
      <c r="E72" s="35"/>
      <c r="F72" s="35"/>
      <c r="G72" s="35"/>
      <c r="H72" s="35"/>
      <c r="I72" s="34">
        <v>80</v>
      </c>
      <c r="J72" s="34">
        <v>42.6</v>
      </c>
    </row>
    <row r="73" spans="5:10">
      <c r="E73" s="35"/>
      <c r="F73" s="35"/>
      <c r="G73" s="35"/>
      <c r="H73" s="35"/>
      <c r="I73" s="34">
        <v>81</v>
      </c>
      <c r="J73" s="34">
        <v>42.8</v>
      </c>
    </row>
    <row r="74" spans="5:10">
      <c r="E74" s="35"/>
      <c r="F74" s="35"/>
      <c r="G74" s="35"/>
      <c r="H74" s="35"/>
      <c r="I74" s="34">
        <v>82</v>
      </c>
      <c r="J74" s="34">
        <v>43</v>
      </c>
    </row>
    <row r="75" spans="5:10">
      <c r="E75" s="35"/>
      <c r="F75" s="35"/>
      <c r="G75" s="35"/>
      <c r="H75" s="35"/>
      <c r="I75" s="34">
        <v>83</v>
      </c>
      <c r="J75" s="34">
        <v>43.2</v>
      </c>
    </row>
    <row r="76" spans="5:10">
      <c r="E76" s="35"/>
      <c r="F76" s="35"/>
      <c r="G76" s="35"/>
      <c r="H76" s="35"/>
      <c r="I76" s="34">
        <v>84</v>
      </c>
      <c r="J76" s="34">
        <v>43.4</v>
      </c>
    </row>
    <row r="77" spans="5:10">
      <c r="E77" s="35"/>
      <c r="F77" s="35"/>
      <c r="G77" s="35"/>
      <c r="H77" s="35"/>
      <c r="I77" s="34">
        <v>85</v>
      </c>
      <c r="J77" s="34">
        <v>43.6</v>
      </c>
    </row>
    <row r="78" spans="5:10">
      <c r="E78" s="35"/>
      <c r="F78" s="35"/>
      <c r="G78" s="35"/>
      <c r="H78" s="35"/>
      <c r="I78" s="34">
        <v>86</v>
      </c>
      <c r="J78" s="34">
        <v>43.8</v>
      </c>
    </row>
    <row r="79" spans="5:10">
      <c r="E79" s="35"/>
      <c r="F79" s="35"/>
      <c r="G79" s="35"/>
      <c r="H79" s="35"/>
      <c r="I79" s="34">
        <v>87</v>
      </c>
      <c r="J79" s="34">
        <v>44</v>
      </c>
    </row>
    <row r="80" spans="5:10">
      <c r="E80" s="35"/>
      <c r="F80" s="35"/>
      <c r="G80" s="35"/>
      <c r="H80" s="35"/>
      <c r="I80" s="34">
        <v>88</v>
      </c>
      <c r="J80" s="34">
        <v>44.2</v>
      </c>
    </row>
    <row r="81" spans="5:10">
      <c r="E81" s="35"/>
      <c r="F81" s="35"/>
      <c r="G81" s="35"/>
      <c r="H81" s="35"/>
      <c r="I81" s="34">
        <v>89</v>
      </c>
      <c r="J81" s="34">
        <v>44.4</v>
      </c>
    </row>
    <row r="82" spans="5:10">
      <c r="E82" s="35"/>
      <c r="F82" s="35"/>
      <c r="G82" s="35"/>
      <c r="H82" s="35"/>
      <c r="I82" s="34">
        <v>90</v>
      </c>
      <c r="J82" s="34">
        <v>44.6</v>
      </c>
    </row>
    <row r="83" spans="5:10">
      <c r="E83" s="35"/>
      <c r="F83" s="35"/>
      <c r="G83" s="35"/>
      <c r="H83" s="35"/>
      <c r="I83" s="34">
        <v>91</v>
      </c>
      <c r="J83" s="34">
        <v>44.8</v>
      </c>
    </row>
    <row r="84" spans="5:10">
      <c r="E84" s="35"/>
      <c r="F84" s="35"/>
      <c r="G84" s="35"/>
      <c r="H84" s="35"/>
      <c r="I84" s="34">
        <v>92</v>
      </c>
      <c r="J84" s="34">
        <v>45</v>
      </c>
    </row>
    <row r="85" spans="5:10">
      <c r="E85" s="35"/>
      <c r="F85" s="35"/>
      <c r="G85" s="35"/>
      <c r="H85" s="35"/>
      <c r="I85" s="34">
        <v>93</v>
      </c>
      <c r="J85" s="34">
        <v>45.2</v>
      </c>
    </row>
    <row r="86" spans="5:10">
      <c r="E86" s="35"/>
      <c r="F86" s="35"/>
      <c r="G86" s="35"/>
      <c r="H86" s="35"/>
      <c r="I86" s="34">
        <v>94</v>
      </c>
      <c r="J86" s="34">
        <v>45.3</v>
      </c>
    </row>
    <row r="87" spans="5:10">
      <c r="E87" s="35"/>
      <c r="F87" s="35"/>
      <c r="G87" s="35"/>
      <c r="H87" s="35"/>
      <c r="I87" s="34">
        <v>95</v>
      </c>
      <c r="J87" s="34">
        <v>45.5</v>
      </c>
    </row>
    <row r="88" spans="5:10">
      <c r="E88" s="35"/>
      <c r="F88" s="35"/>
      <c r="G88" s="35"/>
      <c r="H88" s="35"/>
      <c r="I88" s="34">
        <v>96</v>
      </c>
      <c r="J88" s="34">
        <v>45.7</v>
      </c>
    </row>
    <row r="89" spans="5:10">
      <c r="E89" s="35"/>
      <c r="F89" s="35"/>
      <c r="G89" s="35"/>
      <c r="H89" s="35"/>
      <c r="I89" s="34">
        <v>97</v>
      </c>
      <c r="J89" s="34">
        <v>45.9</v>
      </c>
    </row>
    <row r="90" spans="5:10">
      <c r="E90" s="35"/>
      <c r="F90" s="35"/>
      <c r="G90" s="35"/>
      <c r="H90" s="35"/>
      <c r="I90" s="34">
        <v>98</v>
      </c>
      <c r="J90" s="34">
        <v>46.1</v>
      </c>
    </row>
    <row r="91" spans="5:10">
      <c r="E91" s="35"/>
      <c r="F91" s="35"/>
      <c r="G91" s="35"/>
      <c r="H91" s="35"/>
      <c r="I91" s="34">
        <v>99</v>
      </c>
      <c r="J91" s="34">
        <v>46.2</v>
      </c>
    </row>
    <row r="92" spans="5:10">
      <c r="E92" s="35"/>
      <c r="F92" s="35"/>
      <c r="G92" s="35"/>
      <c r="H92" s="35"/>
      <c r="I92" s="34">
        <v>100</v>
      </c>
      <c r="J92" s="34">
        <v>46.4</v>
      </c>
    </row>
    <row r="93" spans="5:10">
      <c r="E93" s="35"/>
      <c r="F93" s="35"/>
      <c r="G93" s="35"/>
      <c r="H93" s="35"/>
      <c r="I93" s="34">
        <v>101</v>
      </c>
      <c r="J93" s="34">
        <v>46.6</v>
      </c>
    </row>
    <row r="94" spans="5:10">
      <c r="E94" s="35"/>
      <c r="F94" s="35"/>
      <c r="G94" s="35"/>
      <c r="H94" s="35"/>
      <c r="I94" s="34">
        <v>102</v>
      </c>
      <c r="J94" s="34">
        <v>46.7</v>
      </c>
    </row>
    <row r="95" spans="5:10">
      <c r="E95" s="35"/>
      <c r="F95" s="35"/>
      <c r="G95" s="35"/>
      <c r="H95" s="35"/>
      <c r="I95" s="34">
        <v>103</v>
      </c>
      <c r="J95" s="34">
        <v>46.9</v>
      </c>
    </row>
    <row r="96" spans="5:10">
      <c r="E96" s="35"/>
      <c r="F96" s="35"/>
      <c r="G96" s="35"/>
      <c r="H96" s="35"/>
      <c r="I96" s="34">
        <v>104</v>
      </c>
      <c r="J96" s="34">
        <v>47.1</v>
      </c>
    </row>
    <row r="97" spans="5:10">
      <c r="E97" s="35"/>
      <c r="F97" s="35"/>
      <c r="G97" s="35"/>
      <c r="H97" s="35"/>
      <c r="I97" s="34">
        <v>105</v>
      </c>
      <c r="J97" s="34">
        <v>47.2</v>
      </c>
    </row>
    <row r="98" spans="5:10">
      <c r="E98" s="35"/>
      <c r="F98" s="35"/>
      <c r="G98" s="35"/>
      <c r="H98" s="35"/>
      <c r="I98" s="34">
        <v>106</v>
      </c>
      <c r="J98" s="34">
        <v>47.4</v>
      </c>
    </row>
    <row r="99" spans="5:10">
      <c r="E99" s="35"/>
      <c r="F99" s="35"/>
      <c r="G99" s="35"/>
      <c r="H99" s="35"/>
      <c r="I99" s="34">
        <v>107</v>
      </c>
      <c r="J99" s="34">
        <v>47.6</v>
      </c>
    </row>
    <row r="100" spans="5:10">
      <c r="E100" s="35"/>
      <c r="F100" s="35"/>
      <c r="G100" s="35"/>
      <c r="H100" s="35"/>
      <c r="I100" s="34">
        <v>108</v>
      </c>
      <c r="J100" s="34">
        <v>47.7</v>
      </c>
    </row>
    <row r="101" spans="5:10">
      <c r="E101" s="35"/>
      <c r="F101" s="35"/>
      <c r="G101" s="35"/>
      <c r="H101" s="35"/>
      <c r="I101" s="34">
        <v>109</v>
      </c>
      <c r="J101" s="34">
        <v>47.9</v>
      </c>
    </row>
    <row r="102" spans="5:10">
      <c r="E102" s="35"/>
      <c r="F102" s="35"/>
      <c r="G102" s="35"/>
      <c r="H102" s="35"/>
      <c r="I102" s="34">
        <v>110</v>
      </c>
      <c r="J102" s="34">
        <v>48</v>
      </c>
    </row>
    <row r="103" spans="5:10">
      <c r="E103" s="35"/>
      <c r="F103" s="35"/>
      <c r="G103" s="35"/>
      <c r="H103" s="35"/>
      <c r="I103" s="34">
        <v>111</v>
      </c>
      <c r="J103" s="34">
        <v>48.2</v>
      </c>
    </row>
    <row r="104" spans="5:10">
      <c r="E104" s="35"/>
      <c r="F104" s="35"/>
      <c r="G104" s="35"/>
      <c r="H104" s="35"/>
      <c r="I104" s="34">
        <v>112</v>
      </c>
      <c r="J104" s="34">
        <v>48.4</v>
      </c>
    </row>
    <row r="105" spans="5:10">
      <c r="E105" s="35"/>
      <c r="F105" s="35"/>
      <c r="G105" s="35"/>
      <c r="H105" s="35"/>
      <c r="I105" s="34">
        <v>113</v>
      </c>
      <c r="J105" s="34">
        <v>48.5</v>
      </c>
    </row>
    <row r="106" spans="5:10">
      <c r="E106" s="35"/>
      <c r="F106" s="35"/>
      <c r="G106" s="35"/>
      <c r="H106" s="35"/>
      <c r="I106" s="34">
        <v>114</v>
      </c>
      <c r="J106" s="34">
        <v>48.7</v>
      </c>
    </row>
    <row r="107" spans="5:10">
      <c r="E107" s="35"/>
      <c r="F107" s="35"/>
      <c r="G107" s="35"/>
      <c r="H107" s="35"/>
      <c r="I107" s="34">
        <v>115</v>
      </c>
      <c r="J107" s="34">
        <v>48.8</v>
      </c>
    </row>
    <row r="108" spans="5:10">
      <c r="E108" s="35"/>
      <c r="F108" s="35"/>
      <c r="G108" s="35"/>
      <c r="H108" s="35"/>
      <c r="I108" s="34">
        <v>116</v>
      </c>
      <c r="J108" s="34">
        <v>49</v>
      </c>
    </row>
    <row r="109" spans="5:10">
      <c r="E109" s="35"/>
      <c r="F109" s="35"/>
      <c r="G109" s="35"/>
      <c r="H109" s="35"/>
      <c r="I109" s="34">
        <v>117</v>
      </c>
      <c r="J109" s="34">
        <v>49.1</v>
      </c>
    </row>
    <row r="110" spans="5:10">
      <c r="E110" s="35"/>
      <c r="F110" s="35"/>
      <c r="G110" s="35"/>
      <c r="H110" s="35"/>
      <c r="I110" s="34">
        <v>118</v>
      </c>
      <c r="J110" s="34">
        <v>49.3</v>
      </c>
    </row>
    <row r="111" spans="5:10">
      <c r="E111" s="35"/>
      <c r="F111" s="35"/>
      <c r="G111" s="35"/>
      <c r="H111" s="35"/>
      <c r="I111" s="34">
        <v>119</v>
      </c>
      <c r="J111" s="34">
        <v>49.4</v>
      </c>
    </row>
    <row r="112" spans="5:10">
      <c r="E112" s="35"/>
      <c r="F112" s="35"/>
      <c r="G112" s="35"/>
      <c r="H112" s="35"/>
      <c r="I112" s="34">
        <v>120</v>
      </c>
      <c r="J112" s="34">
        <v>49.5</v>
      </c>
    </row>
    <row r="113" spans="5:10">
      <c r="E113" s="35"/>
      <c r="F113" s="35"/>
      <c r="G113" s="35"/>
      <c r="H113" s="35"/>
      <c r="I113" s="34">
        <v>121</v>
      </c>
      <c r="J113" s="34">
        <v>49.7</v>
      </c>
    </row>
    <row r="114" spans="5:10">
      <c r="E114" s="35"/>
      <c r="F114" s="35"/>
      <c r="G114" s="35"/>
      <c r="H114" s="35"/>
      <c r="I114" s="34">
        <v>122</v>
      </c>
      <c r="J114" s="34">
        <v>49.8</v>
      </c>
    </row>
    <row r="115" spans="5:10">
      <c r="E115" s="35"/>
      <c r="F115" s="35"/>
      <c r="G115" s="35"/>
      <c r="H115" s="35"/>
      <c r="I115" s="34">
        <v>123</v>
      </c>
      <c r="J115" s="34">
        <v>50</v>
      </c>
    </row>
    <row r="116" spans="5:10">
      <c r="E116" s="35"/>
      <c r="F116" s="35"/>
      <c r="G116" s="35"/>
      <c r="H116" s="35"/>
      <c r="I116" s="34">
        <v>124</v>
      </c>
      <c r="J116" s="34">
        <v>50</v>
      </c>
    </row>
    <row r="117" spans="5:10">
      <c r="E117" s="35"/>
      <c r="F117" s="35"/>
      <c r="G117" s="35"/>
      <c r="H117" s="35"/>
      <c r="I117" s="34">
        <v>125</v>
      </c>
      <c r="J117" s="34">
        <v>50</v>
      </c>
    </row>
    <row r="118" spans="5:10">
      <c r="E118" s="35"/>
      <c r="F118" s="35"/>
      <c r="G118" s="35"/>
      <c r="H118" s="35"/>
      <c r="I118" s="34">
        <v>126</v>
      </c>
      <c r="J118" s="34">
        <v>50</v>
      </c>
    </row>
    <row r="119" spans="5:10">
      <c r="E119" s="35"/>
      <c r="F119" s="35"/>
      <c r="G119" s="35"/>
      <c r="H119" s="35"/>
      <c r="I119" s="34">
        <v>127</v>
      </c>
      <c r="J119" s="34">
        <v>50</v>
      </c>
    </row>
    <row r="120" spans="5:10">
      <c r="E120" s="35"/>
      <c r="F120" s="35"/>
      <c r="G120" s="35"/>
      <c r="H120" s="35"/>
      <c r="I120" s="34">
        <v>128</v>
      </c>
      <c r="J120" s="34">
        <v>50</v>
      </c>
    </row>
    <row r="121" spans="5:10">
      <c r="E121" s="35"/>
      <c r="F121" s="35"/>
      <c r="G121" s="35"/>
      <c r="H121" s="35"/>
      <c r="I121" s="34">
        <v>129</v>
      </c>
      <c r="J121" s="34">
        <v>50</v>
      </c>
    </row>
    <row r="122" spans="5:10">
      <c r="E122" s="35"/>
      <c r="F122" s="35"/>
      <c r="G122" s="35"/>
      <c r="H122" s="35"/>
      <c r="I122" s="34">
        <v>130</v>
      </c>
      <c r="J122" s="34">
        <v>50</v>
      </c>
    </row>
    <row r="123" spans="5:10">
      <c r="E123" s="35"/>
      <c r="F123" s="35"/>
      <c r="G123" s="35"/>
      <c r="H123" s="35"/>
      <c r="I123" s="34">
        <v>131</v>
      </c>
      <c r="J123" s="34">
        <v>50</v>
      </c>
    </row>
    <row r="124" spans="5:10">
      <c r="E124" s="35"/>
      <c r="F124" s="35"/>
      <c r="G124" s="35"/>
      <c r="H124" s="35"/>
      <c r="I124" s="34">
        <v>132</v>
      </c>
      <c r="J124" s="34">
        <v>50</v>
      </c>
    </row>
    <row r="125" spans="5:10">
      <c r="E125" s="35"/>
      <c r="F125" s="35"/>
      <c r="G125" s="35"/>
      <c r="H125" s="35"/>
      <c r="I125" s="34">
        <v>133</v>
      </c>
      <c r="J125" s="34">
        <v>50</v>
      </c>
    </row>
    <row r="126" spans="5:10">
      <c r="E126" s="35"/>
      <c r="F126" s="35"/>
      <c r="G126" s="35"/>
      <c r="H126" s="35"/>
      <c r="I126" s="34">
        <v>134</v>
      </c>
      <c r="J126" s="34">
        <v>50</v>
      </c>
    </row>
    <row r="127" spans="5:10">
      <c r="E127" s="35"/>
      <c r="F127" s="35"/>
      <c r="G127" s="35"/>
      <c r="H127" s="35"/>
      <c r="I127" s="34">
        <v>135</v>
      </c>
      <c r="J127" s="34">
        <v>50</v>
      </c>
    </row>
    <row r="128" spans="5:10">
      <c r="E128" s="35"/>
      <c r="F128" s="35"/>
      <c r="G128" s="35"/>
      <c r="H128" s="35"/>
      <c r="I128" s="34">
        <v>136</v>
      </c>
      <c r="J128" s="34">
        <v>50</v>
      </c>
    </row>
    <row r="129" spans="5:10">
      <c r="E129" s="35"/>
      <c r="F129" s="35"/>
      <c r="G129" s="35"/>
      <c r="H129" s="35"/>
      <c r="I129" s="34">
        <v>137</v>
      </c>
      <c r="J129" s="34">
        <v>50</v>
      </c>
    </row>
    <row r="130" spans="5:10">
      <c r="E130" s="35"/>
      <c r="F130" s="35"/>
      <c r="G130" s="35"/>
      <c r="H130" s="35"/>
      <c r="I130" s="34">
        <v>138</v>
      </c>
      <c r="J130" s="34">
        <v>50</v>
      </c>
    </row>
    <row r="131" spans="5:10">
      <c r="E131" s="35"/>
      <c r="F131" s="35"/>
      <c r="G131" s="35"/>
      <c r="H131" s="35"/>
      <c r="I131" s="34">
        <v>139</v>
      </c>
      <c r="J131" s="34">
        <v>50</v>
      </c>
    </row>
    <row r="132" spans="5:10">
      <c r="E132" s="35"/>
      <c r="F132" s="35"/>
      <c r="G132" s="35"/>
      <c r="H132" s="35"/>
      <c r="I132" s="34">
        <v>140</v>
      </c>
      <c r="J132" s="34">
        <v>50</v>
      </c>
    </row>
    <row r="133" spans="5:10">
      <c r="E133" s="35"/>
      <c r="F133" s="35"/>
      <c r="G133" s="35"/>
      <c r="H133" s="35"/>
      <c r="I133" s="34">
        <v>141</v>
      </c>
      <c r="J133" s="34">
        <v>50</v>
      </c>
    </row>
    <row r="134" spans="5:10">
      <c r="E134" s="35"/>
      <c r="F134" s="35"/>
      <c r="G134" s="35"/>
      <c r="H134" s="35"/>
      <c r="I134" s="34">
        <v>142</v>
      </c>
      <c r="J134" s="34">
        <v>50</v>
      </c>
    </row>
    <row r="135" spans="5:10">
      <c r="E135" s="35"/>
      <c r="F135" s="35"/>
      <c r="G135" s="35"/>
      <c r="H135" s="35"/>
      <c r="I135" s="34">
        <v>143</v>
      </c>
      <c r="J135" s="34">
        <v>50</v>
      </c>
    </row>
    <row r="136" spans="5:10">
      <c r="E136" s="35"/>
      <c r="F136" s="35"/>
      <c r="G136" s="35"/>
      <c r="H136" s="35"/>
      <c r="I136" s="34">
        <v>144</v>
      </c>
      <c r="J136" s="34">
        <v>50</v>
      </c>
    </row>
    <row r="137" spans="5:10">
      <c r="E137" s="35"/>
      <c r="F137" s="35"/>
      <c r="G137" s="35"/>
      <c r="H137" s="35"/>
      <c r="I137" s="34">
        <v>145</v>
      </c>
      <c r="J137" s="34">
        <v>50</v>
      </c>
    </row>
    <row r="138" spans="5:10">
      <c r="E138" s="35"/>
      <c r="F138" s="35"/>
      <c r="G138" s="35"/>
      <c r="H138" s="35"/>
      <c r="I138" s="34">
        <v>146</v>
      </c>
      <c r="J138" s="34">
        <v>50</v>
      </c>
    </row>
    <row r="139" spans="5:10">
      <c r="E139" s="35"/>
      <c r="F139" s="35"/>
      <c r="G139" s="35"/>
      <c r="H139" s="35"/>
      <c r="I139" s="34">
        <v>147</v>
      </c>
      <c r="J139" s="34">
        <v>50</v>
      </c>
    </row>
    <row r="140" spans="5:10">
      <c r="E140" s="35"/>
      <c r="F140" s="35"/>
      <c r="G140" s="35"/>
      <c r="H140" s="35"/>
      <c r="I140" s="34">
        <v>148</v>
      </c>
      <c r="J140" s="34">
        <v>50</v>
      </c>
    </row>
    <row r="141" spans="5:10">
      <c r="E141" s="35"/>
      <c r="F141" s="35"/>
      <c r="G141" s="35"/>
      <c r="H141" s="35"/>
      <c r="I141" s="34">
        <v>149</v>
      </c>
      <c r="J141" s="34">
        <v>50</v>
      </c>
    </row>
    <row r="142" spans="5:10">
      <c r="E142" s="35"/>
      <c r="F142" s="35"/>
      <c r="G142" s="35"/>
      <c r="H142" s="35"/>
      <c r="I142" s="34">
        <v>150</v>
      </c>
      <c r="J142" s="34">
        <v>50</v>
      </c>
    </row>
    <row r="143" spans="5:10">
      <c r="E143" s="35"/>
      <c r="F143" s="35"/>
      <c r="G143" s="35"/>
      <c r="H143" s="35"/>
      <c r="I143" s="34">
        <v>151</v>
      </c>
      <c r="J143" s="34">
        <v>50</v>
      </c>
    </row>
    <row r="144" spans="5:10">
      <c r="E144" s="35"/>
      <c r="F144" s="35"/>
      <c r="G144" s="35"/>
      <c r="H144" s="35"/>
      <c r="I144" s="34">
        <v>152</v>
      </c>
      <c r="J144" s="34">
        <v>50</v>
      </c>
    </row>
    <row r="145" spans="5:10">
      <c r="E145" s="35"/>
      <c r="F145" s="35"/>
      <c r="G145" s="35"/>
      <c r="H145" s="35"/>
      <c r="I145" s="34">
        <v>153</v>
      </c>
      <c r="J145" s="34">
        <v>50</v>
      </c>
    </row>
    <row r="146" spans="5:10">
      <c r="E146" s="35"/>
      <c r="F146" s="35"/>
      <c r="G146" s="35"/>
      <c r="H146" s="35"/>
      <c r="I146" s="34">
        <v>154</v>
      </c>
      <c r="J146" s="34">
        <v>50</v>
      </c>
    </row>
    <row r="147" spans="5:10">
      <c r="E147" s="35"/>
      <c r="F147" s="35"/>
      <c r="G147" s="35"/>
      <c r="H147" s="35"/>
      <c r="I147" s="34">
        <v>155</v>
      </c>
      <c r="J147" s="34">
        <v>50</v>
      </c>
    </row>
    <row r="148" spans="5:10">
      <c r="E148" s="35"/>
      <c r="F148" s="35"/>
      <c r="G148" s="35"/>
      <c r="H148" s="35"/>
      <c r="I148" s="34">
        <v>156</v>
      </c>
      <c r="J148" s="34">
        <v>50</v>
      </c>
    </row>
    <row r="149" spans="5:10">
      <c r="E149" s="35"/>
      <c r="F149" s="35"/>
      <c r="G149" s="35"/>
      <c r="H149" s="35"/>
      <c r="I149" s="34">
        <v>157</v>
      </c>
      <c r="J149" s="34">
        <v>50</v>
      </c>
    </row>
    <row r="150" spans="5:10">
      <c r="E150" s="35"/>
      <c r="F150" s="35"/>
      <c r="G150" s="35"/>
      <c r="H150" s="35"/>
      <c r="I150" s="34">
        <v>158</v>
      </c>
      <c r="J150" s="34">
        <v>50</v>
      </c>
    </row>
    <row r="151" spans="5:10">
      <c r="E151" s="35"/>
      <c r="F151" s="35"/>
      <c r="G151" s="35"/>
      <c r="H151" s="35"/>
      <c r="I151" s="34">
        <v>159</v>
      </c>
      <c r="J151" s="34">
        <v>50</v>
      </c>
    </row>
    <row r="152" spans="5:10">
      <c r="E152" s="35"/>
      <c r="F152" s="35"/>
      <c r="G152" s="35"/>
      <c r="H152" s="35"/>
      <c r="I152" s="34">
        <v>160</v>
      </c>
      <c r="J152" s="34">
        <v>50</v>
      </c>
    </row>
    <row r="153" spans="5:10">
      <c r="E153" s="35"/>
      <c r="F153" s="35"/>
      <c r="G153" s="35"/>
      <c r="H153" s="35"/>
      <c r="I153" s="34">
        <v>161</v>
      </c>
      <c r="J153" s="34">
        <v>50</v>
      </c>
    </row>
    <row r="154" spans="5:10">
      <c r="E154" s="35"/>
      <c r="F154" s="35"/>
      <c r="G154" s="35"/>
      <c r="H154" s="35"/>
      <c r="I154" s="34">
        <v>162</v>
      </c>
      <c r="J154" s="34">
        <v>50</v>
      </c>
    </row>
    <row r="155" spans="5:10">
      <c r="E155" s="35"/>
      <c r="F155" s="35"/>
      <c r="G155" s="35"/>
      <c r="H155" s="35"/>
      <c r="I155" s="34">
        <v>163</v>
      </c>
      <c r="J155" s="34">
        <v>50</v>
      </c>
    </row>
    <row r="156" spans="5:10">
      <c r="E156" s="35"/>
      <c r="F156" s="35"/>
      <c r="G156" s="35"/>
      <c r="H156" s="35"/>
      <c r="I156" s="34">
        <v>164</v>
      </c>
      <c r="J156" s="34">
        <v>50</v>
      </c>
    </row>
    <row r="157" spans="5:10">
      <c r="E157" s="35"/>
      <c r="F157" s="35"/>
      <c r="G157" s="35"/>
      <c r="H157" s="35"/>
      <c r="I157" s="34">
        <v>165</v>
      </c>
      <c r="J157" s="34">
        <v>50</v>
      </c>
    </row>
    <row r="158" spans="5:10">
      <c r="E158" s="35"/>
      <c r="F158" s="35"/>
      <c r="G158" s="35"/>
      <c r="H158" s="35"/>
      <c r="I158" s="34">
        <v>166</v>
      </c>
      <c r="J158" s="34">
        <v>50</v>
      </c>
    </row>
    <row r="159" spans="5:10">
      <c r="E159" s="35"/>
      <c r="F159" s="35"/>
      <c r="G159" s="35"/>
      <c r="H159" s="35"/>
      <c r="I159" s="34">
        <v>167</v>
      </c>
      <c r="J159" s="34">
        <v>50</v>
      </c>
    </row>
    <row r="160" spans="5:10">
      <c r="E160" s="35"/>
      <c r="F160" s="35"/>
      <c r="G160" s="35"/>
      <c r="H160" s="35"/>
      <c r="I160" s="34">
        <v>168</v>
      </c>
      <c r="J160" s="34">
        <v>50</v>
      </c>
    </row>
    <row r="161" spans="5:10">
      <c r="E161" s="35"/>
      <c r="F161" s="35"/>
      <c r="G161" s="35"/>
      <c r="H161" s="35"/>
      <c r="I161" s="34">
        <v>169</v>
      </c>
      <c r="J161" s="34">
        <v>50</v>
      </c>
    </row>
    <row r="162" spans="5:10">
      <c r="E162" s="35"/>
      <c r="F162" s="35"/>
      <c r="G162" s="35"/>
      <c r="H162" s="35"/>
      <c r="I162" s="34">
        <v>170</v>
      </c>
      <c r="J162" s="34">
        <v>50</v>
      </c>
    </row>
    <row r="163" spans="5:10">
      <c r="E163" s="35"/>
      <c r="F163" s="35"/>
      <c r="G163" s="35"/>
      <c r="H163" s="35"/>
      <c r="I163" s="34">
        <v>171</v>
      </c>
      <c r="J163" s="34">
        <v>50</v>
      </c>
    </row>
    <row r="164" spans="5:10">
      <c r="E164" s="35"/>
      <c r="F164" s="35"/>
      <c r="G164" s="35"/>
      <c r="H164" s="35"/>
      <c r="I164" s="34">
        <v>172</v>
      </c>
      <c r="J164" s="34">
        <v>50</v>
      </c>
    </row>
    <row r="165" spans="5:10">
      <c r="E165" s="35"/>
      <c r="F165" s="35"/>
      <c r="G165" s="35"/>
      <c r="H165" s="35"/>
      <c r="I165" s="34">
        <v>173</v>
      </c>
      <c r="J165" s="34">
        <v>50</v>
      </c>
    </row>
    <row r="166" spans="5:10">
      <c r="E166" s="35"/>
      <c r="F166" s="35"/>
      <c r="G166" s="35"/>
      <c r="H166" s="35"/>
      <c r="I166" s="34">
        <v>174</v>
      </c>
      <c r="J166" s="34">
        <v>50</v>
      </c>
    </row>
    <row r="167" spans="5:10">
      <c r="E167" s="35"/>
      <c r="F167" s="35"/>
      <c r="G167" s="35"/>
      <c r="H167" s="35"/>
      <c r="I167" s="34">
        <v>175</v>
      </c>
      <c r="J167" s="34">
        <v>50</v>
      </c>
    </row>
    <row r="168" spans="5:10">
      <c r="E168" s="35"/>
      <c r="F168" s="35"/>
      <c r="G168" s="35"/>
      <c r="H168" s="35"/>
      <c r="I168" s="34">
        <v>176</v>
      </c>
      <c r="J168" s="34">
        <v>50</v>
      </c>
    </row>
    <row r="169" spans="5:10">
      <c r="E169" s="35"/>
      <c r="F169" s="35"/>
      <c r="G169" s="35"/>
      <c r="H169" s="35"/>
      <c r="I169" s="34">
        <v>177</v>
      </c>
      <c r="J169" s="34">
        <v>50</v>
      </c>
    </row>
    <row r="170" spans="5:10">
      <c r="E170" s="35"/>
      <c r="F170" s="35"/>
      <c r="G170" s="35"/>
      <c r="H170" s="35"/>
      <c r="I170" s="34">
        <v>178</v>
      </c>
      <c r="J170" s="34">
        <v>50</v>
      </c>
    </row>
    <row r="171" spans="5:10">
      <c r="E171" s="35"/>
      <c r="F171" s="35"/>
      <c r="G171" s="35"/>
      <c r="H171" s="35"/>
      <c r="I171" s="34">
        <v>179</v>
      </c>
      <c r="J171" s="34">
        <v>50</v>
      </c>
    </row>
    <row r="172" spans="5:10">
      <c r="E172" s="35"/>
      <c r="F172" s="35"/>
      <c r="G172" s="35"/>
      <c r="H172" s="35"/>
      <c r="I172" s="34">
        <v>180</v>
      </c>
      <c r="J172" s="34">
        <v>50</v>
      </c>
    </row>
    <row r="173" spans="5:10">
      <c r="E173" s="35"/>
      <c r="F173" s="35"/>
      <c r="G173" s="35"/>
      <c r="H173" s="35"/>
      <c r="I173" s="34">
        <v>181</v>
      </c>
      <c r="J173" s="34">
        <v>50</v>
      </c>
    </row>
    <row r="174" spans="5:10">
      <c r="E174" s="35"/>
      <c r="F174" s="35"/>
      <c r="G174" s="35"/>
      <c r="H174" s="35"/>
      <c r="I174" s="34">
        <v>182</v>
      </c>
      <c r="J174" s="34">
        <v>50</v>
      </c>
    </row>
    <row r="175" spans="5:10">
      <c r="E175" s="35"/>
      <c r="F175" s="35"/>
      <c r="G175" s="35"/>
      <c r="H175" s="35"/>
      <c r="I175" s="34">
        <v>183</v>
      </c>
      <c r="J175" s="34">
        <v>50</v>
      </c>
    </row>
    <row r="176" spans="5:10">
      <c r="E176" s="35"/>
      <c r="F176" s="35"/>
      <c r="G176" s="35"/>
      <c r="H176" s="35"/>
      <c r="I176" s="34">
        <v>184</v>
      </c>
      <c r="J176" s="34">
        <v>50</v>
      </c>
    </row>
    <row r="177" spans="5:10">
      <c r="E177" s="35"/>
      <c r="F177" s="35"/>
      <c r="G177" s="35"/>
      <c r="H177" s="35"/>
      <c r="I177" s="34">
        <v>185</v>
      </c>
      <c r="J177" s="34">
        <v>50</v>
      </c>
    </row>
    <row r="178" spans="5:10">
      <c r="E178" s="35"/>
      <c r="F178" s="35"/>
      <c r="G178" s="35"/>
      <c r="H178" s="35"/>
      <c r="I178" s="34">
        <v>186</v>
      </c>
      <c r="J178" s="34">
        <v>50</v>
      </c>
    </row>
    <row r="179" spans="5:10">
      <c r="E179" s="35"/>
      <c r="F179" s="35"/>
      <c r="G179" s="35"/>
      <c r="H179" s="35"/>
      <c r="I179" s="34">
        <v>187</v>
      </c>
      <c r="J179" s="34">
        <v>50</v>
      </c>
    </row>
    <row r="180" spans="5:10">
      <c r="E180" s="35"/>
      <c r="F180" s="35"/>
      <c r="G180" s="35"/>
      <c r="H180" s="35"/>
      <c r="I180" s="34">
        <v>188</v>
      </c>
      <c r="J180" s="34">
        <v>50</v>
      </c>
    </row>
    <row r="181" spans="5:10">
      <c r="E181" s="35"/>
      <c r="F181" s="35"/>
      <c r="G181" s="35"/>
      <c r="H181" s="35"/>
      <c r="I181" s="34">
        <v>189</v>
      </c>
      <c r="J181" s="34">
        <v>50</v>
      </c>
    </row>
    <row r="182" spans="5:10">
      <c r="E182" s="35"/>
      <c r="F182" s="35"/>
      <c r="G182" s="35"/>
      <c r="H182" s="35"/>
      <c r="I182" s="34">
        <v>190</v>
      </c>
      <c r="J182" s="34">
        <v>50</v>
      </c>
    </row>
    <row r="183" spans="5:10">
      <c r="E183" s="35"/>
      <c r="F183" s="35"/>
      <c r="G183" s="35"/>
      <c r="H183" s="35"/>
      <c r="I183" s="34">
        <v>191</v>
      </c>
      <c r="J183" s="34">
        <v>50</v>
      </c>
    </row>
    <row r="184" spans="5:10">
      <c r="E184" s="35"/>
      <c r="F184" s="35"/>
      <c r="G184" s="35"/>
      <c r="H184" s="35"/>
      <c r="I184" s="34">
        <v>192</v>
      </c>
      <c r="J184" s="34">
        <v>50</v>
      </c>
    </row>
    <row r="185" spans="5:10">
      <c r="E185" s="35"/>
      <c r="F185" s="35"/>
      <c r="G185" s="35"/>
      <c r="H185" s="35"/>
      <c r="I185" s="34">
        <v>193</v>
      </c>
      <c r="J185" s="34">
        <v>50</v>
      </c>
    </row>
    <row r="186" spans="5:10">
      <c r="E186" s="35"/>
      <c r="F186" s="35"/>
      <c r="G186" s="35"/>
      <c r="H186" s="35"/>
      <c r="I186" s="34">
        <v>194</v>
      </c>
      <c r="J186" s="34">
        <v>50</v>
      </c>
    </row>
    <row r="187" spans="5:10">
      <c r="E187" s="35"/>
      <c r="F187" s="35"/>
      <c r="G187" s="35"/>
      <c r="H187" s="35"/>
      <c r="I187" s="34">
        <v>195</v>
      </c>
      <c r="J187" s="34">
        <v>50</v>
      </c>
    </row>
    <row r="188" spans="5:10">
      <c r="E188" s="35"/>
      <c r="F188" s="35"/>
      <c r="G188" s="35"/>
      <c r="H188" s="35"/>
      <c r="I188" s="34">
        <v>196</v>
      </c>
      <c r="J188" s="34">
        <v>50</v>
      </c>
    </row>
    <row r="189" spans="5:10">
      <c r="E189" s="35"/>
      <c r="F189" s="35"/>
      <c r="G189" s="35"/>
      <c r="H189" s="35"/>
      <c r="I189" s="34">
        <v>197</v>
      </c>
      <c r="J189" s="34">
        <v>50</v>
      </c>
    </row>
    <row r="190" spans="5:10">
      <c r="E190" s="35"/>
      <c r="F190" s="35"/>
      <c r="G190" s="35"/>
      <c r="H190" s="35"/>
      <c r="I190" s="34">
        <v>198</v>
      </c>
      <c r="J190" s="34">
        <v>50</v>
      </c>
    </row>
    <row r="191" spans="5:10">
      <c r="E191" s="35"/>
      <c r="F191" s="35"/>
      <c r="G191" s="35"/>
      <c r="H191" s="35"/>
      <c r="I191" s="34">
        <v>199</v>
      </c>
      <c r="J191" s="34">
        <v>50</v>
      </c>
    </row>
    <row r="192" spans="5:10">
      <c r="E192" s="35"/>
      <c r="F192" s="35"/>
      <c r="G192" s="35"/>
      <c r="H192" s="35"/>
      <c r="I192" s="34">
        <v>200</v>
      </c>
      <c r="J192" s="34">
        <v>50</v>
      </c>
    </row>
    <row r="193" spans="5:8">
      <c r="E193" s="33"/>
      <c r="F193" s="33"/>
      <c r="G193" s="33"/>
      <c r="H193" s="33"/>
    </row>
    <row r="194" spans="5:8">
      <c r="E194" s="33"/>
      <c r="F194" s="33"/>
      <c r="G194" s="33"/>
      <c r="H194" s="33"/>
    </row>
    <row r="195" spans="5:8">
      <c r="E195" s="33"/>
      <c r="F195" s="33"/>
      <c r="G195" s="33"/>
      <c r="H195" s="33"/>
    </row>
    <row r="196" spans="5:8">
      <c r="E196" s="33"/>
      <c r="F196" s="33"/>
      <c r="G196" s="33"/>
      <c r="H196" s="33"/>
    </row>
    <row r="197" spans="5:8">
      <c r="E197" s="33"/>
      <c r="F197" s="33"/>
      <c r="G197" s="33"/>
      <c r="H197" s="33"/>
    </row>
    <row r="198" spans="5:8">
      <c r="E198" s="33"/>
      <c r="F198" s="33"/>
      <c r="G198" s="33"/>
      <c r="H198" s="33"/>
    </row>
    <row r="199" spans="5:8">
      <c r="E199" s="33"/>
      <c r="F199" s="33"/>
      <c r="G199" s="33"/>
      <c r="H199" s="33"/>
    </row>
    <row r="200" spans="5:8">
      <c r="E200" s="33"/>
      <c r="F200" s="33"/>
      <c r="G200" s="33"/>
      <c r="H200" s="33"/>
    </row>
    <row r="201" spans="5:8">
      <c r="E201" s="33"/>
      <c r="F201" s="33"/>
      <c r="G201" s="33"/>
      <c r="H201" s="33"/>
    </row>
    <row r="202" spans="5:8">
      <c r="E202" s="33"/>
      <c r="F202" s="33"/>
      <c r="G202" s="33"/>
      <c r="H202" s="33"/>
    </row>
    <row r="203" spans="5:8">
      <c r="E203" s="33"/>
      <c r="F203" s="33"/>
      <c r="G203" s="33"/>
      <c r="H203" s="33"/>
    </row>
    <row r="204" spans="5:8">
      <c r="E204" s="33"/>
      <c r="F204" s="33"/>
      <c r="G204" s="33"/>
      <c r="H204" s="33"/>
    </row>
    <row r="205" spans="5:8">
      <c r="E205" s="33"/>
      <c r="F205" s="33"/>
      <c r="G205" s="33"/>
      <c r="H205" s="33"/>
    </row>
    <row r="206" spans="5:8">
      <c r="E206" s="33"/>
      <c r="F206" s="33"/>
      <c r="G206" s="33"/>
      <c r="H206" s="33"/>
    </row>
    <row r="207" spans="5:8">
      <c r="E207" s="33"/>
      <c r="F207" s="33"/>
      <c r="G207" s="33"/>
      <c r="H207" s="33"/>
    </row>
    <row r="208" spans="5:8">
      <c r="E208" s="33"/>
      <c r="F208" s="33"/>
      <c r="G208" s="33"/>
      <c r="H208" s="33"/>
    </row>
    <row r="209" spans="5:8">
      <c r="E209" s="33"/>
      <c r="F209" s="33"/>
      <c r="G209" s="33"/>
      <c r="H209" s="33"/>
    </row>
    <row r="210" spans="5:8">
      <c r="E210" s="33"/>
      <c r="F210" s="33"/>
      <c r="G210" s="33"/>
      <c r="H210" s="33"/>
    </row>
    <row r="211" spans="5:8">
      <c r="E211" s="33"/>
      <c r="F211" s="33"/>
      <c r="G211" s="33"/>
      <c r="H211" s="33"/>
    </row>
    <row r="212" spans="5:8">
      <c r="E212" s="33"/>
      <c r="F212" s="33"/>
      <c r="G212" s="33"/>
      <c r="H212" s="33"/>
    </row>
    <row r="213" spans="5:8">
      <c r="E213" s="33"/>
      <c r="F213" s="33"/>
      <c r="G213" s="33"/>
      <c r="H213" s="33"/>
    </row>
    <row r="214" spans="5:8">
      <c r="E214" s="33"/>
      <c r="F214" s="33"/>
      <c r="G214" s="33"/>
      <c r="H214" s="33"/>
    </row>
    <row r="215" spans="5:8">
      <c r="E215" s="33"/>
      <c r="F215" s="33"/>
      <c r="G215" s="33"/>
      <c r="H215" s="33"/>
    </row>
    <row r="216" spans="5:8">
      <c r="E216" s="33"/>
      <c r="F216" s="33"/>
      <c r="G216" s="33"/>
      <c r="H216" s="33"/>
    </row>
    <row r="217" spans="5:8">
      <c r="E217" s="33"/>
      <c r="F217" s="33"/>
      <c r="G217" s="33"/>
      <c r="H217" s="33"/>
    </row>
    <row r="218" spans="5:8">
      <c r="E218" s="33"/>
      <c r="F218" s="33"/>
      <c r="G218" s="33"/>
      <c r="H218" s="33"/>
    </row>
    <row r="219" spans="5:8">
      <c r="E219" s="33"/>
      <c r="F219" s="33"/>
      <c r="G219" s="33"/>
      <c r="H219" s="33"/>
    </row>
    <row r="220" spans="5:8">
      <c r="E220" s="33"/>
      <c r="F220" s="33"/>
      <c r="G220" s="33"/>
      <c r="H220" s="33"/>
    </row>
    <row r="221" spans="5:8">
      <c r="E221" s="33"/>
      <c r="F221" s="33"/>
      <c r="G221" s="33"/>
      <c r="H221" s="33"/>
    </row>
    <row r="222" spans="5:8">
      <c r="E222" s="33"/>
      <c r="F222" s="33"/>
      <c r="G222" s="33"/>
      <c r="H222" s="33"/>
    </row>
    <row r="223" spans="5:8">
      <c r="E223" s="33"/>
      <c r="F223" s="33"/>
      <c r="G223" s="33"/>
      <c r="H223" s="33"/>
    </row>
    <row r="224" spans="5:8">
      <c r="E224" s="33"/>
      <c r="F224" s="33"/>
      <c r="G224" s="33"/>
      <c r="H224" s="33"/>
    </row>
    <row r="225" spans="5:8">
      <c r="E225" s="33"/>
      <c r="F225" s="33"/>
      <c r="G225" s="33"/>
      <c r="H225" s="33"/>
    </row>
    <row r="226" spans="5:8">
      <c r="E226" s="33"/>
      <c r="F226" s="33"/>
      <c r="G226" s="33"/>
      <c r="H226" s="33"/>
    </row>
    <row r="227" spans="5:8">
      <c r="E227" s="33"/>
      <c r="F227" s="33"/>
      <c r="G227" s="33"/>
      <c r="H227" s="33"/>
    </row>
    <row r="228" spans="5:8">
      <c r="E228" s="33"/>
      <c r="F228" s="33"/>
      <c r="G228" s="33"/>
      <c r="H228" s="33"/>
    </row>
    <row r="229" spans="5:8">
      <c r="E229" s="33"/>
      <c r="F229" s="33"/>
      <c r="G229" s="33"/>
      <c r="H229" s="33"/>
    </row>
    <row r="230" spans="5:8">
      <c r="E230" s="33"/>
      <c r="F230" s="33"/>
      <c r="G230" s="33"/>
      <c r="H230" s="33"/>
    </row>
    <row r="231" spans="5:8">
      <c r="E231" s="33"/>
      <c r="F231" s="33"/>
      <c r="G231" s="33"/>
      <c r="H231" s="33"/>
    </row>
    <row r="232" spans="5:8">
      <c r="E232" s="33"/>
      <c r="F232" s="33"/>
      <c r="G232" s="33"/>
      <c r="H232" s="33"/>
    </row>
    <row r="233" spans="5:8">
      <c r="E233" s="33"/>
      <c r="F233" s="33"/>
      <c r="G233" s="33"/>
      <c r="H233" s="33"/>
    </row>
    <row r="234" spans="5:8">
      <c r="E234" s="33"/>
      <c r="F234" s="33"/>
      <c r="G234" s="33"/>
      <c r="H234" s="33"/>
    </row>
    <row r="235" spans="5:8">
      <c r="E235" s="33"/>
      <c r="F235" s="33"/>
      <c r="G235" s="33"/>
      <c r="H235" s="33"/>
    </row>
    <row r="236" spans="5:8">
      <c r="E236" s="33"/>
      <c r="F236" s="33"/>
      <c r="G236" s="33"/>
      <c r="H236" s="33"/>
    </row>
    <row r="237" spans="5:8">
      <c r="E237" s="33"/>
      <c r="F237" s="33"/>
      <c r="G237" s="33"/>
      <c r="H237" s="33"/>
    </row>
    <row r="238" spans="5:8">
      <c r="E238" s="33"/>
      <c r="F238" s="33"/>
      <c r="G238" s="33"/>
      <c r="H238" s="33"/>
    </row>
    <row r="239" spans="5:8">
      <c r="E239" s="33"/>
      <c r="F239" s="33"/>
      <c r="G239" s="33"/>
      <c r="H239" s="33"/>
    </row>
    <row r="240" spans="5:8">
      <c r="E240" s="33"/>
      <c r="F240" s="33"/>
      <c r="G240" s="33"/>
      <c r="H240" s="33"/>
    </row>
    <row r="241" spans="5:8">
      <c r="E241" s="33"/>
      <c r="F241" s="33"/>
      <c r="G241" s="33"/>
      <c r="H241" s="33"/>
    </row>
    <row r="242" spans="5:8">
      <c r="E242" s="33"/>
      <c r="F242" s="33"/>
      <c r="G242" s="33"/>
      <c r="H242" s="33"/>
    </row>
    <row r="243" spans="5:8">
      <c r="E243" s="33"/>
      <c r="F243" s="33"/>
      <c r="G243" s="33"/>
      <c r="H243" s="33"/>
    </row>
    <row r="244" spans="5:8">
      <c r="E244" s="33"/>
      <c r="F244" s="33"/>
      <c r="G244" s="33"/>
      <c r="H244" s="33"/>
    </row>
    <row r="245" spans="5:8">
      <c r="E245" s="33"/>
      <c r="F245" s="33"/>
      <c r="G245" s="33"/>
      <c r="H245" s="33"/>
    </row>
    <row r="246" spans="5:8">
      <c r="E246" s="33"/>
      <c r="F246" s="33"/>
      <c r="G246" s="33"/>
      <c r="H246" s="33"/>
    </row>
    <row r="247" spans="5:8">
      <c r="E247" s="33"/>
      <c r="F247" s="33"/>
      <c r="G247" s="33"/>
      <c r="H247" s="33"/>
    </row>
    <row r="248" spans="5:8">
      <c r="E248" s="33"/>
      <c r="F248" s="33"/>
      <c r="G248" s="33"/>
      <c r="H248" s="33"/>
    </row>
    <row r="249" spans="5:8">
      <c r="E249" s="33"/>
      <c r="F249" s="33"/>
      <c r="G249" s="33"/>
      <c r="H249" s="33"/>
    </row>
    <row r="250" spans="5:8">
      <c r="E250" s="33"/>
      <c r="F250" s="33"/>
      <c r="G250" s="33"/>
      <c r="H250" s="33"/>
    </row>
    <row r="251" spans="5:8">
      <c r="E251" s="33"/>
      <c r="F251" s="33"/>
      <c r="G251" s="33"/>
      <c r="H251" s="33"/>
    </row>
    <row r="252" spans="5:8">
      <c r="E252" s="33"/>
      <c r="F252" s="33"/>
      <c r="G252" s="33"/>
      <c r="H252" s="33"/>
    </row>
    <row r="253" spans="5:8">
      <c r="E253" s="33"/>
      <c r="F253" s="33"/>
      <c r="G253" s="33"/>
      <c r="H253" s="33"/>
    </row>
    <row r="254" spans="5:8">
      <c r="E254" s="33"/>
      <c r="F254" s="33"/>
      <c r="G254" s="33"/>
      <c r="H254" s="33"/>
    </row>
    <row r="255" spans="5:8">
      <c r="E255" s="33"/>
      <c r="F255" s="33"/>
      <c r="G255" s="33"/>
      <c r="H255" s="33"/>
    </row>
    <row r="256" spans="5:8">
      <c r="E256" s="33"/>
      <c r="F256" s="33"/>
      <c r="G256" s="33"/>
      <c r="H256" s="33"/>
    </row>
    <row r="257" spans="5:8">
      <c r="E257" s="33"/>
      <c r="F257" s="33"/>
      <c r="G257" s="33"/>
      <c r="H257" s="33"/>
    </row>
    <row r="258" spans="5:8">
      <c r="E258" s="33"/>
      <c r="F258" s="33"/>
      <c r="G258" s="33"/>
      <c r="H258" s="33"/>
    </row>
    <row r="259" spans="5:8">
      <c r="E259" s="33"/>
      <c r="F259" s="33"/>
      <c r="G259" s="33"/>
      <c r="H259" s="33"/>
    </row>
    <row r="260" spans="5:8">
      <c r="E260" s="33"/>
      <c r="F260" s="33"/>
      <c r="G260" s="33"/>
      <c r="H260" s="33"/>
    </row>
    <row r="261" spans="5:8">
      <c r="E261" s="33"/>
      <c r="F261" s="33"/>
      <c r="G261" s="33"/>
      <c r="H261" s="33"/>
    </row>
    <row r="262" spans="5:8">
      <c r="E262" s="33"/>
      <c r="F262" s="33"/>
      <c r="G262" s="33"/>
      <c r="H262" s="33"/>
    </row>
    <row r="263" spans="5:8">
      <c r="E263" s="33"/>
      <c r="F263" s="33"/>
      <c r="G263" s="33"/>
      <c r="H263" s="33"/>
    </row>
    <row r="264" spans="5:8">
      <c r="E264" s="33"/>
      <c r="F264" s="33"/>
      <c r="G264" s="33"/>
      <c r="H264" s="33"/>
    </row>
    <row r="265" spans="5:8">
      <c r="E265" s="33"/>
      <c r="F265" s="33"/>
      <c r="G265" s="33"/>
      <c r="H265" s="33"/>
    </row>
    <row r="266" spans="5:8">
      <c r="E266" s="33"/>
      <c r="F266" s="33"/>
      <c r="G266" s="33"/>
      <c r="H266" s="33"/>
    </row>
    <row r="267" spans="5:8">
      <c r="E267" s="33"/>
      <c r="F267" s="33"/>
      <c r="G267" s="33"/>
      <c r="H267" s="33"/>
    </row>
    <row r="268" spans="5:8">
      <c r="E268" s="33"/>
      <c r="F268" s="33"/>
      <c r="G268" s="33"/>
      <c r="H268" s="33"/>
    </row>
    <row r="269" spans="5:8">
      <c r="E269" s="33"/>
      <c r="F269" s="33"/>
      <c r="G269" s="33"/>
      <c r="H269" s="33"/>
    </row>
    <row r="270" spans="5:8">
      <c r="E270" s="33"/>
      <c r="F270" s="33"/>
      <c r="G270" s="33"/>
      <c r="H270" s="33"/>
    </row>
    <row r="271" spans="5:8">
      <c r="E271" s="33"/>
      <c r="F271" s="33"/>
      <c r="G271" s="33"/>
      <c r="H271" s="33"/>
    </row>
    <row r="272" spans="5:8">
      <c r="E272" s="33"/>
      <c r="F272" s="33"/>
      <c r="G272" s="33"/>
      <c r="H272" s="33"/>
    </row>
    <row r="273" spans="5:8">
      <c r="E273" s="33"/>
      <c r="F273" s="33"/>
      <c r="G273" s="33"/>
      <c r="H273" s="33"/>
    </row>
    <row r="274" spans="5:8">
      <c r="E274" s="33"/>
      <c r="F274" s="33"/>
      <c r="G274" s="33"/>
      <c r="H274" s="33"/>
    </row>
    <row r="275" spans="5:8">
      <c r="E275" s="33"/>
      <c r="F275" s="33"/>
      <c r="G275" s="33"/>
      <c r="H275" s="33"/>
    </row>
    <row r="276" spans="5:8">
      <c r="E276" s="33"/>
      <c r="F276" s="33"/>
      <c r="G276" s="33"/>
      <c r="H276" s="33"/>
    </row>
    <row r="277" spans="5:8">
      <c r="E277" s="33"/>
      <c r="F277" s="33"/>
      <c r="G277" s="33"/>
      <c r="H277" s="33"/>
    </row>
    <row r="278" spans="5:8">
      <c r="E278" s="33"/>
      <c r="F278" s="33"/>
      <c r="G278" s="33"/>
      <c r="H278" s="33"/>
    </row>
    <row r="279" spans="5:8">
      <c r="E279" s="33"/>
      <c r="F279" s="33"/>
      <c r="G279" s="33"/>
      <c r="H279" s="33"/>
    </row>
    <row r="280" spans="5:8">
      <c r="E280" s="33"/>
      <c r="F280" s="33"/>
      <c r="G280" s="33"/>
      <c r="H280" s="33"/>
    </row>
    <row r="281" spans="5:8">
      <c r="E281" s="33"/>
      <c r="F281" s="33"/>
      <c r="G281" s="33"/>
      <c r="H281" s="33"/>
    </row>
    <row r="282" spans="5:8">
      <c r="E282" s="33"/>
      <c r="F282" s="33"/>
      <c r="G282" s="33"/>
      <c r="H282" s="33"/>
    </row>
    <row r="283" spans="5:8">
      <c r="E283" s="33"/>
      <c r="F283" s="33"/>
      <c r="G283" s="33"/>
      <c r="H283" s="33"/>
    </row>
    <row r="284" spans="5:8">
      <c r="E284" s="33"/>
      <c r="F284" s="33"/>
      <c r="G284" s="33"/>
      <c r="H284" s="33"/>
    </row>
    <row r="285" spans="5:8">
      <c r="E285" s="33"/>
      <c r="F285" s="33"/>
      <c r="G285" s="33"/>
      <c r="H285" s="33"/>
    </row>
    <row r="286" spans="5:8">
      <c r="E286" s="33"/>
      <c r="F286" s="33"/>
      <c r="G286" s="33"/>
      <c r="H286" s="33"/>
    </row>
    <row r="287" spans="5:8">
      <c r="E287" s="33"/>
      <c r="F287" s="33"/>
      <c r="G287" s="33"/>
      <c r="H287" s="33"/>
    </row>
    <row r="288" spans="5:8">
      <c r="E288" s="33"/>
      <c r="F288" s="33"/>
      <c r="G288" s="33"/>
      <c r="H288" s="33"/>
    </row>
    <row r="289" spans="5:8">
      <c r="E289" s="33"/>
      <c r="F289" s="33"/>
      <c r="G289" s="33"/>
      <c r="H289" s="33"/>
    </row>
    <row r="290" spans="5:8">
      <c r="E290" s="33"/>
      <c r="F290" s="33"/>
      <c r="G290" s="33"/>
      <c r="H290" s="33"/>
    </row>
    <row r="291" spans="5:8">
      <c r="E291" s="33"/>
      <c r="F291" s="33"/>
      <c r="G291" s="33"/>
      <c r="H291" s="33"/>
    </row>
    <row r="292" spans="5:8">
      <c r="E292" s="33"/>
      <c r="F292" s="33"/>
      <c r="G292" s="33"/>
      <c r="H292" s="33"/>
    </row>
    <row r="293" spans="5:8">
      <c r="E293" s="33"/>
      <c r="F293" s="33"/>
      <c r="G293" s="33"/>
      <c r="H293" s="33"/>
    </row>
    <row r="294" spans="5:8">
      <c r="E294" s="33"/>
      <c r="F294" s="33"/>
      <c r="G294" s="33"/>
      <c r="H294" s="33"/>
    </row>
    <row r="295" spans="5:8">
      <c r="E295" s="33"/>
      <c r="F295" s="33"/>
      <c r="G295" s="33"/>
      <c r="H295" s="33"/>
    </row>
    <row r="296" spans="5:8">
      <c r="E296" s="33"/>
      <c r="F296" s="33"/>
      <c r="G296" s="33"/>
      <c r="H296" s="33"/>
    </row>
    <row r="297" spans="5:8">
      <c r="E297" s="33"/>
      <c r="F297" s="33"/>
      <c r="G297" s="33"/>
      <c r="H297" s="33"/>
    </row>
    <row r="298" spans="5:8">
      <c r="E298" s="33"/>
      <c r="F298" s="33"/>
      <c r="G298" s="33"/>
      <c r="H298" s="33"/>
    </row>
    <row r="299" spans="5:8">
      <c r="E299" s="33"/>
      <c r="F299" s="33"/>
      <c r="G299" s="33"/>
      <c r="H299" s="33"/>
    </row>
    <row r="300" spans="5:8">
      <c r="E300" s="33"/>
      <c r="F300" s="33"/>
      <c r="G300" s="33"/>
      <c r="H300" s="33"/>
    </row>
    <row r="301" spans="5:8">
      <c r="E301" s="33"/>
      <c r="F301" s="33"/>
      <c r="G301" s="33"/>
      <c r="H301" s="33"/>
    </row>
    <row r="302" spans="5:8">
      <c r="E302" s="33"/>
      <c r="F302" s="33"/>
      <c r="G302" s="33"/>
      <c r="H302" s="33"/>
    </row>
    <row r="303" spans="5:8">
      <c r="E303" s="33"/>
      <c r="F303" s="33"/>
      <c r="G303" s="33"/>
      <c r="H303" s="33"/>
    </row>
    <row r="304" spans="5:8">
      <c r="E304" s="33"/>
      <c r="F304" s="33"/>
      <c r="G304" s="33"/>
      <c r="H304" s="33"/>
    </row>
    <row r="305" spans="5:8">
      <c r="E305" s="33"/>
      <c r="F305" s="33"/>
      <c r="G305" s="33"/>
      <c r="H305" s="33"/>
    </row>
    <row r="306" spans="5:8">
      <c r="E306" s="33"/>
      <c r="F306" s="33"/>
      <c r="G306" s="33"/>
      <c r="H306" s="33"/>
    </row>
    <row r="307" spans="5:8">
      <c r="E307" s="33"/>
      <c r="F307" s="33"/>
      <c r="G307" s="33"/>
      <c r="H307" s="33"/>
    </row>
    <row r="308" spans="5:8">
      <c r="E308" s="33"/>
      <c r="F308" s="33"/>
      <c r="G308" s="33"/>
      <c r="H308" s="33"/>
    </row>
    <row r="309" spans="5:8">
      <c r="E309" s="33"/>
      <c r="F309" s="33"/>
      <c r="G309" s="33"/>
      <c r="H309" s="33"/>
    </row>
    <row r="310" spans="5:8">
      <c r="E310" s="33"/>
      <c r="F310" s="33"/>
      <c r="G310" s="33"/>
      <c r="H310" s="33"/>
    </row>
    <row r="311" spans="5:8">
      <c r="E311" s="33"/>
      <c r="F311" s="33"/>
      <c r="G311" s="33"/>
      <c r="H311" s="33"/>
    </row>
    <row r="312" spans="5:8">
      <c r="E312" s="33"/>
      <c r="F312" s="33"/>
      <c r="G312" s="33"/>
      <c r="H312" s="33"/>
    </row>
    <row r="313" spans="5:8">
      <c r="E313" s="33"/>
      <c r="F313" s="33"/>
      <c r="G313" s="33"/>
      <c r="H313" s="33"/>
    </row>
    <row r="314" spans="5:8">
      <c r="E314" s="33"/>
      <c r="F314" s="33"/>
      <c r="G314" s="33"/>
      <c r="H314" s="33"/>
    </row>
    <row r="315" spans="5:8">
      <c r="E315" s="33"/>
      <c r="F315" s="33"/>
      <c r="G315" s="33"/>
      <c r="H315" s="33"/>
    </row>
    <row r="316" spans="5:8">
      <c r="E316" s="33"/>
      <c r="F316" s="33"/>
      <c r="G316" s="33"/>
      <c r="H316" s="33"/>
    </row>
    <row r="317" spans="5:8">
      <c r="E317" s="33"/>
      <c r="F317" s="33"/>
      <c r="G317" s="33"/>
      <c r="H317" s="33"/>
    </row>
    <row r="318" spans="5:8">
      <c r="E318" s="33"/>
      <c r="F318" s="33"/>
      <c r="G318" s="33"/>
      <c r="H318" s="33"/>
    </row>
    <row r="319" spans="5:8">
      <c r="E319" s="33"/>
      <c r="F319" s="33"/>
      <c r="G319" s="33"/>
      <c r="H319" s="33"/>
    </row>
    <row r="320" spans="5:8">
      <c r="E320" s="33"/>
      <c r="F320" s="33"/>
      <c r="G320" s="33"/>
      <c r="H320" s="33"/>
    </row>
    <row r="321" spans="5:8">
      <c r="E321" s="33"/>
      <c r="F321" s="33"/>
      <c r="G321" s="33"/>
      <c r="H321" s="33"/>
    </row>
    <row r="322" spans="5:8">
      <c r="E322" s="33"/>
      <c r="F322" s="33"/>
      <c r="G322" s="33"/>
      <c r="H322" s="33"/>
    </row>
    <row r="323" spans="5:8">
      <c r="E323" s="33"/>
      <c r="F323" s="33"/>
      <c r="G323" s="33"/>
      <c r="H323" s="33"/>
    </row>
    <row r="324" spans="5:8">
      <c r="E324" s="33"/>
      <c r="F324" s="33"/>
      <c r="G324" s="33"/>
      <c r="H324" s="33"/>
    </row>
    <row r="325" spans="5:8">
      <c r="E325" s="33"/>
      <c r="F325" s="33"/>
      <c r="G325" s="33"/>
      <c r="H325" s="33"/>
    </row>
    <row r="326" spans="5:8">
      <c r="E326" s="33"/>
      <c r="F326" s="33"/>
      <c r="G326" s="33"/>
      <c r="H326" s="33"/>
    </row>
    <row r="327" spans="5:8">
      <c r="E327" s="33"/>
      <c r="F327" s="33"/>
      <c r="G327" s="33"/>
      <c r="H327" s="33"/>
    </row>
    <row r="328" spans="5:8">
      <c r="E328" s="33"/>
      <c r="F328" s="33"/>
      <c r="G328" s="33"/>
      <c r="H328" s="33"/>
    </row>
    <row r="329" spans="5:8">
      <c r="E329" s="33"/>
      <c r="F329" s="33"/>
      <c r="G329" s="33"/>
      <c r="H329" s="33"/>
    </row>
    <row r="330" spans="5:8">
      <c r="E330" s="33"/>
      <c r="F330" s="33"/>
      <c r="G330" s="33"/>
      <c r="H330" s="33"/>
    </row>
    <row r="331" spans="5:8">
      <c r="E331" s="33"/>
      <c r="F331" s="33"/>
      <c r="G331" s="33"/>
      <c r="H331" s="33"/>
    </row>
    <row r="332" spans="5:8">
      <c r="E332" s="33"/>
      <c r="F332" s="33"/>
      <c r="G332" s="33"/>
      <c r="H332" s="33"/>
    </row>
    <row r="333" spans="5:8">
      <c r="E333" s="33"/>
      <c r="F333" s="33"/>
      <c r="G333" s="33"/>
      <c r="H333" s="33"/>
    </row>
    <row r="334" spans="5:8">
      <c r="E334" s="33"/>
      <c r="F334" s="33"/>
      <c r="G334" s="33"/>
      <c r="H334" s="33"/>
    </row>
    <row r="335" spans="5:8">
      <c r="E335" s="33"/>
      <c r="F335" s="33"/>
      <c r="G335" s="33"/>
      <c r="H335" s="33"/>
    </row>
    <row r="336" spans="5:8">
      <c r="E336" s="33"/>
      <c r="F336" s="33"/>
      <c r="G336" s="33"/>
      <c r="H336" s="33"/>
    </row>
    <row r="337" spans="5:8">
      <c r="E337" s="33"/>
      <c r="F337" s="33"/>
      <c r="G337" s="33"/>
      <c r="H337" s="33"/>
    </row>
    <row r="338" spans="5:8">
      <c r="E338" s="33"/>
      <c r="F338" s="33"/>
      <c r="G338" s="33"/>
      <c r="H338" s="33"/>
    </row>
    <row r="339" spans="5:8">
      <c r="E339" s="33"/>
      <c r="F339" s="33"/>
      <c r="G339" s="33"/>
      <c r="H339" s="33"/>
    </row>
    <row r="340" spans="5:8">
      <c r="E340" s="33"/>
      <c r="F340" s="33"/>
      <c r="G340" s="33"/>
      <c r="H340" s="33"/>
    </row>
    <row r="341" spans="5:8">
      <c r="E341" s="33"/>
      <c r="F341" s="33"/>
      <c r="G341" s="33"/>
      <c r="H341" s="33"/>
    </row>
    <row r="342" spans="5:8">
      <c r="E342" s="33"/>
      <c r="F342" s="33"/>
      <c r="G342" s="33"/>
      <c r="H342" s="33"/>
    </row>
    <row r="343" spans="5:8">
      <c r="E343" s="33"/>
      <c r="F343" s="33"/>
      <c r="G343" s="33"/>
      <c r="H343" s="33"/>
    </row>
    <row r="344" spans="5:8">
      <c r="E344" s="33"/>
      <c r="F344" s="33"/>
      <c r="G344" s="33"/>
      <c r="H344" s="33"/>
    </row>
    <row r="345" spans="5:8">
      <c r="E345" s="33"/>
      <c r="F345" s="33"/>
      <c r="G345" s="33"/>
      <c r="H345" s="33"/>
    </row>
    <row r="346" spans="5:8">
      <c r="E346" s="33"/>
      <c r="F346" s="33"/>
      <c r="G346" s="33"/>
      <c r="H346" s="33"/>
    </row>
    <row r="347" spans="5:8">
      <c r="E347" s="33"/>
      <c r="F347" s="33"/>
      <c r="G347" s="33"/>
      <c r="H347" s="33"/>
    </row>
    <row r="348" spans="5:8">
      <c r="E348" s="33"/>
      <c r="F348" s="33"/>
      <c r="G348" s="33"/>
      <c r="H348" s="33"/>
    </row>
    <row r="349" spans="5:8">
      <c r="E349" s="33"/>
      <c r="F349" s="33"/>
      <c r="G349" s="33"/>
      <c r="H349" s="33"/>
    </row>
    <row r="350" spans="5:8">
      <c r="E350" s="33"/>
      <c r="F350" s="33"/>
      <c r="G350" s="33"/>
      <c r="H350" s="33"/>
    </row>
    <row r="351" spans="5:8">
      <c r="E351" s="33"/>
      <c r="F351" s="33"/>
      <c r="G351" s="33"/>
      <c r="H351" s="33"/>
    </row>
    <row r="352" spans="5:8">
      <c r="E352" s="33"/>
      <c r="F352" s="33"/>
      <c r="G352" s="33"/>
      <c r="H352" s="33"/>
    </row>
    <row r="353" spans="5:8">
      <c r="E353" s="33"/>
      <c r="F353" s="33"/>
      <c r="G353" s="33"/>
      <c r="H353" s="33"/>
    </row>
    <row r="354" spans="5:8">
      <c r="E354" s="33"/>
      <c r="F354" s="33"/>
      <c r="G354" s="33"/>
      <c r="H354" s="33"/>
    </row>
    <row r="355" spans="5:8">
      <c r="E355" s="33"/>
      <c r="F355" s="33"/>
      <c r="G355" s="33"/>
      <c r="H355" s="33"/>
    </row>
    <row r="356" spans="5:8">
      <c r="E356" s="33"/>
      <c r="F356" s="33"/>
      <c r="G356" s="33"/>
      <c r="H356" s="33"/>
    </row>
    <row r="357" spans="5:8">
      <c r="E357" s="33"/>
      <c r="F357" s="33"/>
      <c r="G357" s="33"/>
      <c r="H357" s="33"/>
    </row>
    <row r="358" spans="5:8">
      <c r="E358" s="33"/>
      <c r="F358" s="33"/>
      <c r="G358" s="33"/>
      <c r="H358" s="33"/>
    </row>
    <row r="359" spans="5:8">
      <c r="E359" s="33"/>
      <c r="F359" s="33"/>
      <c r="G359" s="33"/>
      <c r="H359" s="33"/>
    </row>
    <row r="360" spans="5:8">
      <c r="E360" s="33"/>
      <c r="F360" s="33"/>
      <c r="G360" s="33"/>
      <c r="H360" s="33"/>
    </row>
    <row r="361" spans="5:8">
      <c r="E361" s="33"/>
      <c r="F361" s="33"/>
      <c r="G361" s="33"/>
      <c r="H361" s="33"/>
    </row>
    <row r="362" spans="5:8">
      <c r="E362" s="33"/>
      <c r="F362" s="33"/>
      <c r="G362" s="33"/>
      <c r="H362" s="33"/>
    </row>
    <row r="363" spans="5:8">
      <c r="E363" s="33"/>
      <c r="F363" s="33"/>
      <c r="G363" s="33"/>
      <c r="H363" s="33"/>
    </row>
    <row r="364" spans="5:8">
      <c r="E364" s="33"/>
      <c r="F364" s="33"/>
      <c r="G364" s="33"/>
      <c r="H364" s="33"/>
    </row>
    <row r="365" spans="5:8">
      <c r="E365" s="33"/>
      <c r="F365" s="33"/>
      <c r="G365" s="33"/>
      <c r="H365" s="33"/>
    </row>
    <row r="366" spans="5:8">
      <c r="E366" s="33"/>
      <c r="F366" s="33"/>
      <c r="G366" s="33"/>
      <c r="H366" s="33"/>
    </row>
    <row r="367" spans="5:8">
      <c r="E367" s="33"/>
      <c r="F367" s="33"/>
      <c r="G367" s="33"/>
      <c r="H367" s="33"/>
    </row>
    <row r="368" spans="5:8">
      <c r="E368" s="33"/>
      <c r="F368" s="33"/>
      <c r="G368" s="33"/>
      <c r="H368" s="33"/>
    </row>
    <row r="369" spans="5:8">
      <c r="E369" s="33"/>
      <c r="F369" s="33"/>
      <c r="G369" s="33"/>
      <c r="H369" s="33"/>
    </row>
    <row r="370" spans="5:8">
      <c r="E370" s="33"/>
      <c r="F370" s="33"/>
      <c r="G370" s="33"/>
      <c r="H370" s="33"/>
    </row>
    <row r="371" spans="5:8">
      <c r="E371" s="33"/>
      <c r="F371" s="33"/>
      <c r="G371" s="33"/>
      <c r="H371" s="33"/>
    </row>
    <row r="372" spans="5:8">
      <c r="E372" s="33"/>
      <c r="F372" s="33"/>
      <c r="G372" s="33"/>
      <c r="H372" s="33"/>
    </row>
    <row r="373" spans="5:8">
      <c r="E373" s="33"/>
      <c r="F373" s="33"/>
      <c r="G373" s="33"/>
      <c r="H373" s="33"/>
    </row>
    <row r="374" spans="5:8">
      <c r="E374" s="33"/>
      <c r="F374" s="33"/>
      <c r="G374" s="33"/>
      <c r="H374" s="33"/>
    </row>
    <row r="375" spans="5:8">
      <c r="E375" s="33"/>
      <c r="F375" s="33"/>
      <c r="G375" s="33"/>
      <c r="H375" s="33"/>
    </row>
    <row r="376" spans="5:8">
      <c r="E376" s="33"/>
      <c r="F376" s="33"/>
      <c r="G376" s="33"/>
      <c r="H376" s="33"/>
    </row>
    <row r="377" spans="5:8">
      <c r="E377" s="33"/>
      <c r="F377" s="33"/>
      <c r="G377" s="33"/>
      <c r="H377" s="33"/>
    </row>
    <row r="378" spans="5:8">
      <c r="E378" s="33"/>
      <c r="F378" s="33"/>
      <c r="G378" s="33"/>
      <c r="H378" s="33"/>
    </row>
    <row r="379" spans="5:8">
      <c r="E379" s="33"/>
      <c r="F379" s="33"/>
      <c r="G379" s="33"/>
      <c r="H379" s="33"/>
    </row>
    <row r="380" spans="5:8">
      <c r="E380" s="33"/>
      <c r="F380" s="33"/>
      <c r="G380" s="33"/>
      <c r="H380" s="33"/>
    </row>
    <row r="381" spans="5:8">
      <c r="E381" s="33"/>
      <c r="F381" s="33"/>
      <c r="G381" s="33"/>
      <c r="H381" s="33"/>
    </row>
    <row r="382" spans="5:8">
      <c r="E382" s="33"/>
      <c r="F382" s="33"/>
      <c r="G382" s="33"/>
      <c r="H382" s="33"/>
    </row>
    <row r="383" spans="5:8">
      <c r="E383" s="33"/>
      <c r="F383" s="33"/>
      <c r="G383" s="33"/>
      <c r="H383" s="33"/>
    </row>
    <row r="384" spans="5:8">
      <c r="E384" s="33"/>
      <c r="F384" s="33"/>
      <c r="G384" s="33"/>
      <c r="H384" s="33"/>
    </row>
    <row r="385" spans="5:8">
      <c r="E385" s="33"/>
      <c r="F385" s="33"/>
      <c r="G385" s="33"/>
      <c r="H385" s="33"/>
    </row>
    <row r="386" spans="5:8">
      <c r="E386" s="33"/>
      <c r="F386" s="33"/>
      <c r="G386" s="33"/>
      <c r="H386" s="33"/>
    </row>
    <row r="387" spans="5:8">
      <c r="E387" s="33"/>
      <c r="F387" s="33"/>
      <c r="G387" s="33"/>
      <c r="H387" s="33"/>
    </row>
    <row r="388" spans="5:8">
      <c r="E388" s="33"/>
      <c r="F388" s="33"/>
      <c r="G388" s="33"/>
      <c r="H388" s="33"/>
    </row>
    <row r="389" spans="5:8">
      <c r="E389" s="33"/>
      <c r="F389" s="33"/>
      <c r="G389" s="33"/>
      <c r="H389" s="33"/>
    </row>
    <row r="390" spans="5:8">
      <c r="E390" s="33"/>
      <c r="F390" s="33"/>
      <c r="G390" s="33"/>
      <c r="H390" s="33"/>
    </row>
    <row r="391" spans="5:8">
      <c r="E391" s="33"/>
      <c r="F391" s="33"/>
      <c r="G391" s="33"/>
      <c r="H391" s="33"/>
    </row>
    <row r="392" spans="5:8">
      <c r="E392" s="33"/>
      <c r="F392" s="33"/>
      <c r="G392" s="33"/>
      <c r="H392" s="33"/>
    </row>
    <row r="393" spans="5:8">
      <c r="E393" s="33"/>
      <c r="F393" s="33"/>
      <c r="G393" s="33"/>
      <c r="H393" s="33"/>
    </row>
    <row r="394" spans="5:8">
      <c r="E394" s="33"/>
      <c r="F394" s="33"/>
      <c r="G394" s="33"/>
      <c r="H394" s="33"/>
    </row>
    <row r="395" spans="5:8">
      <c r="E395" s="33"/>
      <c r="F395" s="33"/>
      <c r="G395" s="33"/>
      <c r="H395" s="33"/>
    </row>
    <row r="396" spans="5:8">
      <c r="E396" s="33"/>
      <c r="F396" s="33"/>
      <c r="G396" s="33"/>
      <c r="H396" s="33"/>
    </row>
    <row r="397" spans="5:8">
      <c r="E397" s="33"/>
      <c r="F397" s="33"/>
      <c r="G397" s="33"/>
      <c r="H397" s="33"/>
    </row>
    <row r="398" spans="5:8">
      <c r="E398" s="33"/>
      <c r="F398" s="33"/>
      <c r="G398" s="33"/>
      <c r="H398" s="33"/>
    </row>
    <row r="399" spans="5:8">
      <c r="E399" s="33"/>
      <c r="F399" s="33"/>
      <c r="G399" s="33"/>
      <c r="H399" s="33"/>
    </row>
    <row r="400" spans="5:8">
      <c r="E400" s="33"/>
      <c r="F400" s="33"/>
      <c r="G400" s="33"/>
      <c r="H400" s="33"/>
    </row>
    <row r="401" spans="5:8">
      <c r="E401" s="33"/>
      <c r="F401" s="33"/>
      <c r="G401" s="33"/>
      <c r="H401" s="33"/>
    </row>
    <row r="402" spans="5:8">
      <c r="E402" s="33"/>
      <c r="F402" s="33"/>
      <c r="G402" s="33"/>
      <c r="H402" s="33"/>
    </row>
    <row r="403" spans="5:8">
      <c r="E403" s="33"/>
      <c r="F403" s="33"/>
      <c r="G403" s="33"/>
      <c r="H403" s="33"/>
    </row>
    <row r="404" spans="5:8">
      <c r="E404" s="33"/>
      <c r="F404" s="33"/>
      <c r="G404" s="33"/>
      <c r="H404" s="33"/>
    </row>
    <row r="405" spans="5:8">
      <c r="E405" s="33"/>
      <c r="F405" s="33"/>
      <c r="G405" s="33"/>
      <c r="H405" s="33"/>
    </row>
    <row r="406" spans="5:8">
      <c r="E406" s="33"/>
      <c r="F406" s="33"/>
      <c r="G406" s="33"/>
      <c r="H406" s="33"/>
    </row>
    <row r="407" spans="5:8">
      <c r="E407" s="33"/>
      <c r="F407" s="33"/>
      <c r="G407" s="33"/>
      <c r="H407" s="33"/>
    </row>
    <row r="408" spans="5:8">
      <c r="E408" s="33"/>
      <c r="F408" s="33"/>
      <c r="G408" s="33"/>
      <c r="H408" s="33"/>
    </row>
    <row r="409" spans="5:8">
      <c r="E409" s="33"/>
      <c r="F409" s="33"/>
      <c r="G409" s="33"/>
      <c r="H409" s="33"/>
    </row>
    <row r="410" spans="5:8">
      <c r="E410" s="33"/>
      <c r="F410" s="33"/>
      <c r="G410" s="33"/>
      <c r="H410" s="33"/>
    </row>
    <row r="411" spans="5:8">
      <c r="E411" s="33"/>
      <c r="F411" s="33"/>
      <c r="G411" s="33"/>
      <c r="H411" s="33"/>
    </row>
    <row r="412" spans="5:8">
      <c r="E412" s="33"/>
      <c r="F412" s="33"/>
      <c r="G412" s="33"/>
      <c r="H412" s="33"/>
    </row>
    <row r="413" spans="5:8">
      <c r="E413" s="33"/>
      <c r="F413" s="33"/>
      <c r="G413" s="33"/>
      <c r="H413" s="33"/>
    </row>
    <row r="414" spans="5:8">
      <c r="E414" s="33"/>
      <c r="F414" s="33"/>
      <c r="G414" s="33"/>
      <c r="H414" s="33"/>
    </row>
    <row r="415" spans="5:8">
      <c r="E415" s="33"/>
      <c r="F415" s="33"/>
      <c r="G415" s="33"/>
      <c r="H415" s="33"/>
    </row>
    <row r="416" spans="5:8">
      <c r="E416" s="33"/>
      <c r="F416" s="33"/>
      <c r="G416" s="33"/>
      <c r="H416" s="33"/>
    </row>
    <row r="417" spans="5:8">
      <c r="E417" s="33"/>
      <c r="F417" s="33"/>
      <c r="G417" s="33"/>
      <c r="H417" s="33"/>
    </row>
    <row r="418" spans="5:8">
      <c r="E418" s="33"/>
      <c r="F418" s="33"/>
      <c r="G418" s="33"/>
      <c r="H418" s="33"/>
    </row>
    <row r="419" spans="5:8">
      <c r="E419" s="33"/>
      <c r="F419" s="33"/>
      <c r="G419" s="33"/>
      <c r="H419" s="33"/>
    </row>
    <row r="420" spans="5:8">
      <c r="E420" s="33"/>
      <c r="F420" s="33"/>
      <c r="G420" s="33"/>
      <c r="H420" s="33"/>
    </row>
    <row r="421" spans="5:8">
      <c r="E421" s="33"/>
      <c r="F421" s="33"/>
      <c r="G421" s="33"/>
      <c r="H421" s="33"/>
    </row>
    <row r="422" spans="5:8">
      <c r="E422" s="33"/>
      <c r="F422" s="33"/>
      <c r="G422" s="33"/>
      <c r="H422" s="33"/>
    </row>
    <row r="423" spans="5:8">
      <c r="E423" s="33"/>
      <c r="F423" s="33"/>
      <c r="G423" s="33"/>
      <c r="H423" s="33"/>
    </row>
    <row r="424" spans="5:8">
      <c r="E424" s="33"/>
      <c r="F424" s="33"/>
      <c r="G424" s="33"/>
      <c r="H424" s="33"/>
    </row>
    <row r="425" spans="5:8">
      <c r="E425" s="33"/>
      <c r="F425" s="33"/>
      <c r="G425" s="33"/>
      <c r="H425" s="33"/>
    </row>
    <row r="426" spans="5:8">
      <c r="E426" s="33"/>
      <c r="F426" s="33"/>
      <c r="G426" s="33"/>
      <c r="H426" s="33"/>
    </row>
    <row r="427" spans="5:8">
      <c r="E427" s="33"/>
      <c r="F427" s="33"/>
      <c r="G427" s="33"/>
      <c r="H427" s="33"/>
    </row>
    <row r="428" spans="5:8">
      <c r="E428" s="33"/>
      <c r="F428" s="33"/>
      <c r="G428" s="33"/>
      <c r="H428" s="33"/>
    </row>
    <row r="429" spans="5:8">
      <c r="E429" s="33"/>
      <c r="F429" s="33"/>
      <c r="G429" s="33"/>
      <c r="H429" s="33"/>
    </row>
    <row r="430" spans="5:8">
      <c r="E430" s="33"/>
      <c r="F430" s="33"/>
      <c r="G430" s="33"/>
      <c r="H430" s="33"/>
    </row>
    <row r="431" spans="5:8">
      <c r="E431" s="33"/>
      <c r="F431" s="33"/>
      <c r="G431" s="33"/>
      <c r="H431" s="33"/>
    </row>
    <row r="432" spans="5:8">
      <c r="E432" s="33"/>
      <c r="F432" s="33"/>
      <c r="G432" s="33"/>
      <c r="H432" s="33"/>
    </row>
    <row r="433" spans="5:8">
      <c r="E433" s="33"/>
      <c r="F433" s="33"/>
      <c r="G433" s="33"/>
      <c r="H433" s="33"/>
    </row>
    <row r="434" spans="5:8">
      <c r="E434" s="33"/>
      <c r="F434" s="33"/>
      <c r="G434" s="33"/>
      <c r="H434" s="33"/>
    </row>
    <row r="435" spans="5:8">
      <c r="E435" s="33"/>
      <c r="F435" s="33"/>
      <c r="G435" s="33"/>
      <c r="H435" s="33"/>
    </row>
    <row r="436" spans="5:8">
      <c r="E436" s="33"/>
      <c r="F436" s="33"/>
      <c r="G436" s="33"/>
      <c r="H436" s="33"/>
    </row>
    <row r="437" spans="5:8">
      <c r="E437" s="33"/>
      <c r="F437" s="33"/>
      <c r="G437" s="33"/>
      <c r="H437" s="33"/>
    </row>
    <row r="438" spans="5:8">
      <c r="E438" s="33"/>
      <c r="F438" s="33"/>
      <c r="G438" s="33"/>
      <c r="H438" s="33"/>
    </row>
    <row r="439" spans="5:8">
      <c r="E439" s="33"/>
      <c r="F439" s="33"/>
      <c r="G439" s="33"/>
      <c r="H439" s="33"/>
    </row>
    <row r="440" spans="5:8">
      <c r="E440" s="33"/>
      <c r="F440" s="33"/>
      <c r="G440" s="33"/>
      <c r="H440" s="33"/>
    </row>
    <row r="441" spans="5:8">
      <c r="E441" s="33"/>
      <c r="F441" s="33"/>
      <c r="G441" s="33"/>
      <c r="H441" s="33"/>
    </row>
    <row r="442" spans="5:8">
      <c r="E442" s="33"/>
      <c r="F442" s="33"/>
      <c r="G442" s="33"/>
      <c r="H442" s="33"/>
    </row>
    <row r="443" spans="5:8">
      <c r="E443" s="33"/>
      <c r="F443" s="33"/>
      <c r="G443" s="33"/>
      <c r="H443" s="33"/>
    </row>
    <row r="444" spans="5:8">
      <c r="E444" s="33"/>
      <c r="F444" s="33"/>
      <c r="G444" s="33"/>
      <c r="H444" s="33"/>
    </row>
    <row r="445" spans="5:8">
      <c r="E445" s="33"/>
      <c r="F445" s="33"/>
      <c r="G445" s="33"/>
      <c r="H445" s="33"/>
    </row>
    <row r="446" spans="5:8">
      <c r="E446" s="33"/>
      <c r="F446" s="33"/>
      <c r="G446" s="33"/>
      <c r="H446" s="33"/>
    </row>
    <row r="447" spans="5:8">
      <c r="E447" s="33"/>
      <c r="F447" s="33"/>
      <c r="G447" s="33"/>
      <c r="H447" s="33"/>
    </row>
    <row r="448" spans="5:8">
      <c r="E448" s="33"/>
      <c r="F448" s="33"/>
      <c r="G448" s="33"/>
      <c r="H448" s="33"/>
    </row>
    <row r="449" spans="5:8">
      <c r="E449" s="33"/>
      <c r="F449" s="33"/>
      <c r="G449" s="33"/>
      <c r="H449" s="33"/>
    </row>
    <row r="450" spans="5:8">
      <c r="E450" s="33"/>
      <c r="F450" s="33"/>
      <c r="G450" s="33"/>
      <c r="H450" s="33"/>
    </row>
    <row r="451" spans="5:8">
      <c r="E451" s="33"/>
      <c r="F451" s="33"/>
      <c r="G451" s="33"/>
      <c r="H451" s="33"/>
    </row>
    <row r="452" spans="5:8">
      <c r="E452" s="33"/>
      <c r="F452" s="33"/>
      <c r="G452" s="33"/>
      <c r="H452" s="33"/>
    </row>
    <row r="453" spans="5:8">
      <c r="E453" s="33"/>
      <c r="F453" s="33"/>
      <c r="G453" s="33"/>
      <c r="H453" s="33"/>
    </row>
    <row r="454" spans="5:8">
      <c r="E454" s="33"/>
      <c r="F454" s="33"/>
      <c r="G454" s="33"/>
      <c r="H454" s="33"/>
    </row>
    <row r="455" spans="5:8">
      <c r="E455" s="33"/>
      <c r="F455" s="33"/>
      <c r="G455" s="33"/>
      <c r="H455" s="33"/>
    </row>
    <row r="456" spans="5:8">
      <c r="E456" s="33"/>
      <c r="F456" s="33"/>
      <c r="G456" s="33"/>
      <c r="H456" s="33"/>
    </row>
    <row r="457" spans="5:8">
      <c r="E457" s="33"/>
      <c r="F457" s="33"/>
      <c r="G457" s="33"/>
      <c r="H457" s="33"/>
    </row>
    <row r="458" spans="5:8">
      <c r="E458" s="33"/>
      <c r="F458" s="33"/>
      <c r="G458" s="33"/>
      <c r="H458" s="33"/>
    </row>
    <row r="459" spans="5:8">
      <c r="E459" s="33"/>
      <c r="F459" s="33"/>
      <c r="G459" s="33"/>
      <c r="H459" s="33"/>
    </row>
    <row r="460" spans="5:8">
      <c r="E460" s="33"/>
      <c r="F460" s="33"/>
      <c r="G460" s="33"/>
      <c r="H460" s="33"/>
    </row>
    <row r="461" spans="5:8">
      <c r="E461" s="33"/>
      <c r="F461" s="33"/>
      <c r="G461" s="33"/>
      <c r="H461" s="33"/>
    </row>
    <row r="462" spans="5:8">
      <c r="E462" s="33"/>
      <c r="F462" s="33"/>
      <c r="G462" s="33"/>
      <c r="H462" s="33"/>
    </row>
    <row r="463" spans="5:8">
      <c r="E463" s="33"/>
      <c r="F463" s="33"/>
      <c r="G463" s="33"/>
      <c r="H463" s="33"/>
    </row>
    <row r="464" spans="5:8">
      <c r="E464" s="33"/>
      <c r="F464" s="33"/>
      <c r="G464" s="33"/>
      <c r="H464" s="33"/>
    </row>
    <row r="465" spans="5:8">
      <c r="E465" s="33"/>
      <c r="F465" s="33"/>
      <c r="G465" s="33"/>
      <c r="H465" s="33"/>
    </row>
    <row r="466" spans="5:8">
      <c r="E466" s="33"/>
      <c r="F466" s="33"/>
      <c r="G466" s="33"/>
      <c r="H466" s="33"/>
    </row>
    <row r="467" spans="5:8">
      <c r="E467" s="33"/>
      <c r="F467" s="33"/>
      <c r="G467" s="33"/>
      <c r="H467" s="33"/>
    </row>
    <row r="468" spans="5:8">
      <c r="E468" s="33"/>
      <c r="F468" s="33"/>
      <c r="G468" s="33"/>
      <c r="H468" s="33"/>
    </row>
    <row r="469" spans="5:8">
      <c r="E469" s="33"/>
      <c r="F469" s="33"/>
      <c r="G469" s="33"/>
      <c r="H469" s="33"/>
    </row>
    <row r="470" spans="5:8">
      <c r="E470" s="33"/>
      <c r="F470" s="33"/>
      <c r="G470" s="33"/>
      <c r="H470" s="33"/>
    </row>
    <row r="471" spans="5:8">
      <c r="E471" s="33"/>
      <c r="F471" s="33"/>
      <c r="G471" s="33"/>
      <c r="H471" s="33"/>
    </row>
    <row r="472" spans="5:8">
      <c r="E472" s="33"/>
      <c r="F472" s="33"/>
      <c r="G472" s="33"/>
      <c r="H472" s="33"/>
    </row>
    <row r="473" spans="5:8">
      <c r="E473" s="33"/>
      <c r="F473" s="33"/>
      <c r="G473" s="33"/>
      <c r="H473" s="33"/>
    </row>
    <row r="474" spans="5:8">
      <c r="E474" s="33"/>
      <c r="F474" s="33"/>
      <c r="G474" s="33"/>
      <c r="H474" s="33"/>
    </row>
    <row r="475" spans="5:8">
      <c r="E475" s="33"/>
      <c r="F475" s="33"/>
      <c r="G475" s="33"/>
      <c r="H475" s="33"/>
    </row>
    <row r="476" spans="5:8">
      <c r="E476" s="33"/>
      <c r="F476" s="33"/>
      <c r="G476" s="33"/>
      <c r="H476" s="33"/>
    </row>
    <row r="477" spans="5:8">
      <c r="E477" s="33"/>
      <c r="F477" s="33"/>
      <c r="G477" s="33"/>
      <c r="H477" s="33"/>
    </row>
    <row r="478" spans="5:8">
      <c r="E478" s="33"/>
      <c r="F478" s="33"/>
      <c r="G478" s="33"/>
      <c r="H478" s="33"/>
    </row>
    <row r="479" spans="5:8">
      <c r="E479" s="33"/>
      <c r="F479" s="33"/>
      <c r="G479" s="33"/>
      <c r="H479" s="33"/>
    </row>
    <row r="480" spans="5:8">
      <c r="E480" s="33"/>
      <c r="F480" s="33"/>
      <c r="G480" s="33"/>
      <c r="H480" s="33"/>
    </row>
    <row r="481" spans="5:8">
      <c r="E481" s="33"/>
      <c r="F481" s="33"/>
      <c r="G481" s="33"/>
      <c r="H481" s="33"/>
    </row>
    <row r="482" spans="5:8">
      <c r="E482" s="33"/>
      <c r="F482" s="33"/>
      <c r="G482" s="33"/>
      <c r="H482" s="33"/>
    </row>
    <row r="483" spans="5:8">
      <c r="E483" s="33"/>
      <c r="F483" s="33"/>
      <c r="G483" s="33"/>
      <c r="H483" s="33"/>
    </row>
    <row r="484" spans="5:8">
      <c r="E484" s="33"/>
      <c r="F484" s="33"/>
      <c r="G484" s="33"/>
      <c r="H484" s="33"/>
    </row>
    <row r="485" spans="5:8">
      <c r="E485" s="33"/>
      <c r="F485" s="33"/>
      <c r="G485" s="33"/>
      <c r="H485" s="33"/>
    </row>
    <row r="486" spans="5:8">
      <c r="E486" s="33"/>
      <c r="F486" s="33"/>
      <c r="G486" s="33"/>
      <c r="H486" s="33"/>
    </row>
    <row r="487" spans="5:8">
      <c r="E487" s="33"/>
      <c r="F487" s="33"/>
      <c r="G487" s="33"/>
      <c r="H487" s="33"/>
    </row>
    <row r="488" spans="5:8">
      <c r="E488" s="33"/>
      <c r="F488" s="33"/>
      <c r="G488" s="33"/>
      <c r="H488" s="33"/>
    </row>
    <row r="489" spans="5:8">
      <c r="E489" s="33"/>
      <c r="F489" s="33"/>
      <c r="G489" s="33"/>
      <c r="H489" s="33"/>
    </row>
    <row r="490" spans="5:8">
      <c r="E490" s="33"/>
      <c r="F490" s="33"/>
      <c r="G490" s="33"/>
      <c r="H490" s="33"/>
    </row>
    <row r="491" spans="5:8">
      <c r="E491" s="33"/>
      <c r="F491" s="33"/>
      <c r="G491" s="33"/>
      <c r="H491" s="33"/>
    </row>
    <row r="492" spans="5:8">
      <c r="E492" s="33"/>
      <c r="F492" s="33"/>
      <c r="G492" s="33"/>
      <c r="H492" s="33"/>
    </row>
    <row r="493" spans="5:8">
      <c r="E493" s="33"/>
      <c r="F493" s="33"/>
      <c r="G493" s="33"/>
      <c r="H493" s="33"/>
    </row>
    <row r="494" spans="5:8">
      <c r="E494" s="33"/>
      <c r="F494" s="33"/>
      <c r="G494" s="33"/>
      <c r="H494" s="33"/>
    </row>
    <row r="495" spans="5:8">
      <c r="E495" s="33"/>
      <c r="F495" s="33"/>
      <c r="G495" s="33"/>
      <c r="H495" s="33"/>
    </row>
    <row r="496" spans="5:8">
      <c r="E496" s="33"/>
      <c r="F496" s="33"/>
      <c r="G496" s="33"/>
      <c r="H496" s="33"/>
    </row>
    <row r="497" spans="5:8">
      <c r="E497" s="33"/>
      <c r="F497" s="33"/>
      <c r="G497" s="33"/>
      <c r="H497" s="33"/>
    </row>
    <row r="498" spans="5:8">
      <c r="E498" s="33"/>
      <c r="F498" s="33"/>
      <c r="G498" s="33"/>
      <c r="H498" s="33"/>
    </row>
    <row r="499" spans="5:8">
      <c r="E499" s="33"/>
      <c r="F499" s="33"/>
      <c r="G499" s="33"/>
      <c r="H499" s="33"/>
    </row>
    <row r="500" spans="5:8">
      <c r="E500" s="33"/>
      <c r="F500" s="33"/>
      <c r="G500" s="33"/>
      <c r="H500" s="33"/>
    </row>
    <row r="501" spans="5:8">
      <c r="E501" s="33"/>
      <c r="F501" s="33"/>
      <c r="G501" s="33"/>
      <c r="H501" s="33"/>
    </row>
    <row r="502" spans="5:8">
      <c r="E502" s="33"/>
      <c r="F502" s="33"/>
      <c r="G502" s="33"/>
      <c r="H502" s="33"/>
    </row>
    <row r="503" spans="5:8">
      <c r="E503" s="33"/>
      <c r="F503" s="33"/>
      <c r="G503" s="33"/>
      <c r="H503" s="33"/>
    </row>
    <row r="504" spans="5:8">
      <c r="E504" s="33"/>
      <c r="F504" s="33"/>
      <c r="G504" s="33"/>
      <c r="H504" s="33"/>
    </row>
    <row r="505" spans="5:8">
      <c r="E505" s="33"/>
      <c r="F505" s="33"/>
      <c r="G505" s="33"/>
      <c r="H505" s="33"/>
    </row>
    <row r="506" spans="5:8">
      <c r="E506" s="33"/>
      <c r="F506" s="33"/>
      <c r="G506" s="33"/>
      <c r="H506" s="33"/>
    </row>
    <row r="507" spans="5:8">
      <c r="E507" s="33"/>
      <c r="F507" s="33"/>
      <c r="G507" s="33"/>
      <c r="H507" s="33"/>
    </row>
    <row r="508" spans="5:8">
      <c r="E508" s="33"/>
      <c r="F508" s="33"/>
      <c r="G508" s="33"/>
      <c r="H508" s="33"/>
    </row>
    <row r="509" spans="5:8">
      <c r="E509" s="33"/>
      <c r="F509" s="33"/>
      <c r="G509" s="33"/>
      <c r="H509" s="33"/>
    </row>
    <row r="510" spans="5:8">
      <c r="E510" s="33"/>
      <c r="F510" s="33"/>
      <c r="G510" s="33"/>
      <c r="H510" s="33"/>
    </row>
    <row r="511" spans="5:8">
      <c r="E511" s="33"/>
      <c r="F511" s="33"/>
      <c r="G511" s="33"/>
      <c r="H511" s="33"/>
    </row>
    <row r="512" spans="5:8">
      <c r="E512" s="33"/>
      <c r="F512" s="33"/>
      <c r="G512" s="33"/>
      <c r="H512" s="33"/>
    </row>
    <row r="513" spans="5:8">
      <c r="E513" s="33"/>
      <c r="F513" s="33"/>
      <c r="G513" s="33"/>
      <c r="H513" s="33"/>
    </row>
    <row r="514" spans="5:8">
      <c r="E514" s="33"/>
      <c r="F514" s="33"/>
      <c r="G514" s="33"/>
      <c r="H514" s="33"/>
    </row>
    <row r="515" spans="5:8">
      <c r="E515" s="33"/>
      <c r="F515" s="33"/>
      <c r="G515" s="33"/>
      <c r="H515" s="33"/>
    </row>
    <row r="516" spans="5:8">
      <c r="E516" s="33"/>
      <c r="F516" s="33"/>
      <c r="G516" s="33"/>
      <c r="H516" s="33"/>
    </row>
    <row r="517" spans="5:8">
      <c r="E517" s="33"/>
      <c r="F517" s="33"/>
      <c r="G517" s="33"/>
      <c r="H517" s="33"/>
    </row>
    <row r="518" spans="5:8">
      <c r="E518" s="33"/>
      <c r="F518" s="33"/>
      <c r="G518" s="33"/>
      <c r="H518" s="33"/>
    </row>
    <row r="519" spans="5:8">
      <c r="E519" s="33"/>
      <c r="F519" s="33"/>
      <c r="G519" s="33"/>
      <c r="H519" s="33"/>
    </row>
    <row r="520" spans="5:8">
      <c r="E520" s="33"/>
      <c r="F520" s="33"/>
      <c r="G520" s="33"/>
      <c r="H520" s="33"/>
    </row>
    <row r="521" spans="5:8">
      <c r="E521" s="33"/>
      <c r="F521" s="33"/>
      <c r="G521" s="33"/>
      <c r="H521" s="33"/>
    </row>
    <row r="522" spans="5:8">
      <c r="E522" s="33"/>
      <c r="F522" s="33"/>
      <c r="G522" s="33"/>
      <c r="H522" s="33"/>
    </row>
    <row r="523" spans="5:8">
      <c r="E523" s="33"/>
      <c r="F523" s="33"/>
      <c r="G523" s="33"/>
      <c r="H523" s="33"/>
    </row>
    <row r="524" spans="5:8">
      <c r="E524" s="33"/>
      <c r="F524" s="33"/>
      <c r="G524" s="33"/>
      <c r="H524" s="33"/>
    </row>
    <row r="525" spans="5:8">
      <c r="E525" s="33"/>
      <c r="F525" s="33"/>
      <c r="G525" s="33"/>
      <c r="H525" s="33"/>
    </row>
    <row r="526" spans="5:8">
      <c r="E526" s="33"/>
      <c r="F526" s="33"/>
      <c r="G526" s="33"/>
      <c r="H526" s="33"/>
    </row>
    <row r="527" spans="5:8">
      <c r="E527" s="33"/>
      <c r="F527" s="33"/>
      <c r="G527" s="33"/>
      <c r="H527" s="33"/>
    </row>
    <row r="528" spans="5:8">
      <c r="E528" s="33"/>
      <c r="F528" s="33"/>
      <c r="G528" s="33"/>
      <c r="H528" s="33"/>
    </row>
    <row r="529" spans="5:8">
      <c r="E529" s="33"/>
      <c r="F529" s="33"/>
      <c r="G529" s="33"/>
      <c r="H529" s="33"/>
    </row>
    <row r="530" spans="5:8">
      <c r="E530" s="33"/>
      <c r="F530" s="33"/>
      <c r="G530" s="33"/>
      <c r="H530" s="33"/>
    </row>
    <row r="531" spans="5:8">
      <c r="E531" s="33"/>
      <c r="F531" s="33"/>
      <c r="G531" s="33"/>
      <c r="H531" s="33"/>
    </row>
    <row r="532" spans="5:8">
      <c r="E532" s="33"/>
      <c r="F532" s="33"/>
      <c r="G532" s="33"/>
      <c r="H532" s="33"/>
    </row>
    <row r="533" spans="5:8">
      <c r="E533" s="33"/>
      <c r="F533" s="33"/>
      <c r="G533" s="33"/>
      <c r="H533" s="33"/>
    </row>
    <row r="534" spans="5:8">
      <c r="E534" s="33"/>
      <c r="F534" s="33"/>
      <c r="G534" s="33"/>
      <c r="H534" s="33"/>
    </row>
    <row r="535" spans="5:8">
      <c r="E535" s="33"/>
      <c r="F535" s="33"/>
      <c r="G535" s="33"/>
      <c r="H535" s="33"/>
    </row>
    <row r="536" spans="5:8">
      <c r="E536" s="33"/>
      <c r="F536" s="33"/>
      <c r="G536" s="33"/>
      <c r="H536" s="33"/>
    </row>
    <row r="537" spans="5:8">
      <c r="E537" s="33"/>
      <c r="F537" s="33"/>
      <c r="G537" s="33"/>
      <c r="H537" s="33"/>
    </row>
    <row r="538" spans="5:8">
      <c r="E538" s="33"/>
      <c r="F538" s="33"/>
      <c r="G538" s="33"/>
      <c r="H538" s="33"/>
    </row>
    <row r="539" spans="5:8">
      <c r="E539" s="33"/>
      <c r="F539" s="33"/>
      <c r="G539" s="33"/>
      <c r="H539" s="33"/>
    </row>
    <row r="540" spans="5:8">
      <c r="E540" s="33"/>
      <c r="F540" s="33"/>
      <c r="G540" s="33"/>
      <c r="H540" s="33"/>
    </row>
    <row r="541" spans="5:8">
      <c r="E541" s="33"/>
      <c r="F541" s="33"/>
      <c r="G541" s="33"/>
      <c r="H541" s="33"/>
    </row>
    <row r="542" spans="5:8">
      <c r="E542" s="33"/>
      <c r="F542" s="33"/>
      <c r="G542" s="33"/>
      <c r="H542" s="33"/>
    </row>
    <row r="543" spans="5:8">
      <c r="E543" s="33"/>
      <c r="F543" s="33"/>
      <c r="G543" s="33"/>
      <c r="H543" s="33"/>
    </row>
    <row r="544" spans="5:8">
      <c r="E544" s="33"/>
      <c r="F544" s="33"/>
      <c r="G544" s="33"/>
      <c r="H544" s="33"/>
    </row>
    <row r="545" spans="5:8">
      <c r="E545" s="33"/>
      <c r="F545" s="33"/>
      <c r="G545" s="33"/>
      <c r="H545" s="33"/>
    </row>
    <row r="546" spans="5:8">
      <c r="E546" s="33"/>
      <c r="F546" s="33"/>
      <c r="G546" s="33"/>
      <c r="H546" s="33"/>
    </row>
    <row r="547" spans="5:8">
      <c r="E547" s="33"/>
      <c r="F547" s="33"/>
      <c r="G547" s="33"/>
      <c r="H547" s="33"/>
    </row>
    <row r="548" spans="5:8">
      <c r="E548" s="33"/>
      <c r="F548" s="33"/>
      <c r="G548" s="33"/>
      <c r="H548" s="33"/>
    </row>
    <row r="549" spans="5:8">
      <c r="E549" s="33"/>
      <c r="F549" s="33"/>
      <c r="G549" s="33"/>
      <c r="H549" s="33"/>
    </row>
    <row r="550" spans="5:8">
      <c r="E550" s="33"/>
      <c r="F550" s="33"/>
      <c r="G550" s="33"/>
      <c r="H550" s="33"/>
    </row>
    <row r="551" spans="5:8">
      <c r="E551" s="33"/>
      <c r="F551" s="33"/>
      <c r="G551" s="33"/>
      <c r="H551" s="33"/>
    </row>
    <row r="552" spans="5:8">
      <c r="E552" s="33"/>
      <c r="F552" s="33"/>
      <c r="G552" s="33"/>
      <c r="H552" s="33"/>
    </row>
    <row r="553" spans="5:8">
      <c r="E553" s="33"/>
      <c r="F553" s="33"/>
      <c r="G553" s="33"/>
      <c r="H553" s="33"/>
    </row>
    <row r="554" spans="5:8">
      <c r="E554" s="33"/>
      <c r="F554" s="33"/>
      <c r="G554" s="33"/>
      <c r="H554" s="33"/>
    </row>
    <row r="555" spans="5:8">
      <c r="E555" s="33"/>
      <c r="F555" s="33"/>
      <c r="G555" s="33"/>
      <c r="H555" s="33"/>
    </row>
    <row r="556" spans="5:8">
      <c r="E556" s="33"/>
      <c r="F556" s="33"/>
      <c r="G556" s="33"/>
      <c r="H556" s="33"/>
    </row>
    <row r="557" spans="5:8">
      <c r="E557" s="33"/>
      <c r="F557" s="33"/>
      <c r="G557" s="33"/>
      <c r="H557" s="33"/>
    </row>
    <row r="558" spans="5:8">
      <c r="E558" s="33"/>
      <c r="F558" s="33"/>
      <c r="G558" s="33"/>
      <c r="H558" s="33"/>
    </row>
    <row r="559" spans="5:8">
      <c r="E559" s="33"/>
      <c r="F559" s="33"/>
      <c r="G559" s="33"/>
      <c r="H559" s="33"/>
    </row>
    <row r="560" spans="5:8">
      <c r="E560" s="33"/>
      <c r="F560" s="33"/>
      <c r="G560" s="33"/>
      <c r="H560" s="33"/>
    </row>
    <row r="561" spans="5:8">
      <c r="E561" s="33"/>
      <c r="F561" s="33"/>
      <c r="G561" s="33"/>
      <c r="H561" s="33"/>
    </row>
    <row r="562" spans="5:8">
      <c r="E562" s="33"/>
      <c r="F562" s="33"/>
      <c r="G562" s="33"/>
      <c r="H562" s="33"/>
    </row>
    <row r="563" spans="5:8">
      <c r="E563" s="33"/>
      <c r="F563" s="33"/>
      <c r="G563" s="33"/>
      <c r="H563" s="33"/>
    </row>
    <row r="564" spans="5:8">
      <c r="E564" s="33"/>
      <c r="F564" s="33"/>
      <c r="G564" s="33"/>
      <c r="H564" s="33"/>
    </row>
    <row r="565" spans="5:8">
      <c r="E565" s="33"/>
      <c r="F565" s="33"/>
      <c r="G565" s="33"/>
      <c r="H565" s="33"/>
    </row>
    <row r="566" spans="5:8">
      <c r="E566" s="33"/>
      <c r="F566" s="33"/>
      <c r="G566" s="33"/>
      <c r="H566" s="33"/>
    </row>
    <row r="567" spans="5:8">
      <c r="E567" s="33"/>
      <c r="F567" s="33"/>
      <c r="G567" s="33"/>
      <c r="H567" s="33"/>
    </row>
    <row r="568" spans="5:8">
      <c r="E568" s="33"/>
      <c r="F568" s="33"/>
      <c r="G568" s="33"/>
      <c r="H568" s="33"/>
    </row>
    <row r="569" spans="5:8">
      <c r="E569" s="33"/>
      <c r="F569" s="33"/>
      <c r="G569" s="33"/>
      <c r="H569" s="33"/>
    </row>
    <row r="570" spans="5:8">
      <c r="E570" s="33"/>
      <c r="F570" s="33"/>
      <c r="G570" s="33"/>
      <c r="H570" s="33"/>
    </row>
    <row r="571" spans="5:8">
      <c r="E571" s="33"/>
      <c r="F571" s="33"/>
      <c r="G571" s="33"/>
      <c r="H571" s="33"/>
    </row>
    <row r="572" spans="5:8">
      <c r="E572" s="33"/>
      <c r="F572" s="33"/>
      <c r="G572" s="33"/>
      <c r="H572" s="33"/>
    </row>
    <row r="573" spans="5:8">
      <c r="E573" s="33"/>
      <c r="F573" s="33"/>
      <c r="G573" s="33"/>
      <c r="H573" s="33"/>
    </row>
    <row r="574" spans="5:8">
      <c r="E574" s="33"/>
      <c r="F574" s="33"/>
      <c r="G574" s="33"/>
      <c r="H574" s="33"/>
    </row>
    <row r="575" spans="5:8">
      <c r="E575" s="33"/>
      <c r="F575" s="33"/>
      <c r="G575" s="33"/>
      <c r="H575" s="33"/>
    </row>
    <row r="576" spans="5:8">
      <c r="E576" s="33"/>
      <c r="F576" s="33"/>
      <c r="G576" s="33"/>
      <c r="H576" s="33"/>
    </row>
    <row r="577" spans="5:8">
      <c r="E577" s="33"/>
      <c r="F577" s="33"/>
      <c r="G577" s="33"/>
      <c r="H577" s="33"/>
    </row>
    <row r="578" spans="5:8">
      <c r="E578" s="33"/>
      <c r="F578" s="33"/>
      <c r="G578" s="33"/>
      <c r="H578" s="33"/>
    </row>
    <row r="579" spans="5:8">
      <c r="E579" s="33"/>
      <c r="F579" s="33"/>
      <c r="G579" s="33"/>
      <c r="H579" s="33"/>
    </row>
    <row r="580" spans="5:8">
      <c r="E580" s="33"/>
      <c r="F580" s="33"/>
      <c r="G580" s="33"/>
      <c r="H580" s="33"/>
    </row>
    <row r="581" spans="5:8">
      <c r="E581" s="33"/>
      <c r="F581" s="33"/>
      <c r="G581" s="33"/>
      <c r="H581" s="33"/>
    </row>
    <row r="582" spans="5:8">
      <c r="E582" s="33"/>
      <c r="F582" s="33"/>
      <c r="G582" s="33"/>
      <c r="H582" s="33"/>
    </row>
    <row r="583" spans="5:8">
      <c r="E583" s="33"/>
      <c r="F583" s="33"/>
      <c r="G583" s="33"/>
      <c r="H583" s="33"/>
    </row>
    <row r="584" spans="5:8">
      <c r="E584" s="33"/>
      <c r="F584" s="33"/>
      <c r="G584" s="33"/>
      <c r="H584" s="33"/>
    </row>
    <row r="585" spans="5:8">
      <c r="E585" s="33"/>
      <c r="F585" s="33"/>
      <c r="G585" s="33"/>
      <c r="H585" s="33"/>
    </row>
    <row r="586" spans="5:8">
      <c r="E586" s="33"/>
      <c r="F586" s="33"/>
      <c r="G586" s="33"/>
      <c r="H586" s="33"/>
    </row>
    <row r="587" spans="5:8">
      <c r="E587" s="33"/>
      <c r="F587" s="33"/>
      <c r="G587" s="33"/>
      <c r="H587" s="33"/>
    </row>
    <row r="588" spans="5:8">
      <c r="E588" s="33"/>
      <c r="F588" s="33"/>
      <c r="G588" s="33"/>
      <c r="H588" s="33"/>
    </row>
    <row r="589" spans="5:8">
      <c r="E589" s="33"/>
      <c r="F589" s="33"/>
      <c r="G589" s="33"/>
      <c r="H589" s="33"/>
    </row>
    <row r="590" spans="5:8">
      <c r="E590" s="33"/>
      <c r="F590" s="33"/>
      <c r="G590" s="33"/>
      <c r="H590" s="33"/>
    </row>
    <row r="591" spans="5:8">
      <c r="E591" s="33"/>
      <c r="F591" s="33"/>
      <c r="G591" s="33"/>
      <c r="H591" s="33"/>
    </row>
    <row r="592" spans="5:8">
      <c r="E592" s="33"/>
      <c r="F592" s="33"/>
      <c r="G592" s="33"/>
      <c r="H592" s="33"/>
    </row>
    <row r="593" spans="5:8">
      <c r="E593" s="33"/>
      <c r="F593" s="33"/>
      <c r="G593" s="33"/>
      <c r="H593" s="33"/>
    </row>
    <row r="594" spans="5:8">
      <c r="E594" s="33"/>
      <c r="F594" s="33"/>
      <c r="G594" s="33"/>
      <c r="H594" s="33"/>
    </row>
    <row r="595" spans="5:8">
      <c r="E595" s="33"/>
      <c r="F595" s="33"/>
      <c r="G595" s="33"/>
      <c r="H595" s="33"/>
    </row>
    <row r="596" spans="5:8">
      <c r="E596" s="33"/>
      <c r="F596" s="33"/>
      <c r="G596" s="33"/>
      <c r="H596" s="33"/>
    </row>
    <row r="597" spans="5:8">
      <c r="E597" s="33"/>
      <c r="F597" s="33"/>
      <c r="G597" s="33"/>
      <c r="H597" s="33"/>
    </row>
    <row r="598" spans="5:8">
      <c r="E598" s="33"/>
      <c r="F598" s="33"/>
      <c r="G598" s="33"/>
      <c r="H598" s="33"/>
    </row>
    <row r="599" spans="5:8">
      <c r="E599" s="33"/>
      <c r="F599" s="33"/>
      <c r="G599" s="33"/>
      <c r="H599" s="33"/>
    </row>
    <row r="600" spans="5:8">
      <c r="E600" s="33"/>
      <c r="F600" s="33"/>
      <c r="G600" s="33"/>
      <c r="H600" s="33"/>
    </row>
    <row r="601" spans="5:8">
      <c r="E601" s="33"/>
      <c r="F601" s="33"/>
      <c r="G601" s="33"/>
      <c r="H601" s="33"/>
    </row>
    <row r="602" spans="5:8">
      <c r="E602" s="33"/>
      <c r="F602" s="33"/>
      <c r="G602" s="33"/>
      <c r="H602" s="33"/>
    </row>
    <row r="603" spans="5:8">
      <c r="E603" s="33"/>
      <c r="F603" s="33"/>
      <c r="G603" s="33"/>
      <c r="H603" s="33"/>
    </row>
    <row r="604" spans="5:8">
      <c r="E604" s="33"/>
      <c r="F604" s="33"/>
      <c r="G604" s="33"/>
      <c r="H604" s="33"/>
    </row>
    <row r="605" spans="5:8">
      <c r="E605" s="33"/>
      <c r="F605" s="33"/>
      <c r="G605" s="33"/>
      <c r="H605" s="33"/>
    </row>
    <row r="606" spans="5:8">
      <c r="E606" s="33"/>
      <c r="F606" s="33"/>
      <c r="G606" s="33"/>
      <c r="H606" s="33"/>
    </row>
    <row r="607" spans="5:8">
      <c r="E607" s="33"/>
      <c r="F607" s="33"/>
      <c r="G607" s="33"/>
      <c r="H607" s="33"/>
    </row>
    <row r="608" spans="5:8">
      <c r="E608" s="33"/>
      <c r="F608" s="33"/>
      <c r="G608" s="33"/>
      <c r="H608" s="33"/>
    </row>
    <row r="609" spans="5:8">
      <c r="E609" s="33"/>
      <c r="F609" s="33"/>
      <c r="G609" s="33"/>
      <c r="H609" s="33"/>
    </row>
    <row r="610" spans="5:8">
      <c r="E610" s="33"/>
      <c r="F610" s="33"/>
      <c r="G610" s="33"/>
      <c r="H610" s="33"/>
    </row>
    <row r="611" spans="5:8">
      <c r="E611" s="33"/>
      <c r="F611" s="33"/>
      <c r="G611" s="33"/>
      <c r="H611" s="33"/>
    </row>
    <row r="612" spans="5:8">
      <c r="E612" s="33"/>
      <c r="F612" s="33"/>
      <c r="G612" s="33"/>
      <c r="H612" s="33"/>
    </row>
    <row r="613" spans="5:8">
      <c r="E613" s="33"/>
      <c r="F613" s="33"/>
      <c r="G613" s="33"/>
      <c r="H613" s="33"/>
    </row>
    <row r="614" spans="5:8">
      <c r="E614" s="33"/>
      <c r="F614" s="33"/>
      <c r="G614" s="33"/>
      <c r="H614" s="33"/>
    </row>
    <row r="615" spans="5:8">
      <c r="E615" s="33"/>
      <c r="F615" s="33"/>
      <c r="G615" s="33"/>
      <c r="H615" s="33"/>
    </row>
    <row r="616" spans="5:8">
      <c r="E616" s="33"/>
      <c r="F616" s="33"/>
      <c r="G616" s="33"/>
      <c r="H616" s="33"/>
    </row>
    <row r="617" spans="5:8">
      <c r="E617" s="33"/>
      <c r="F617" s="33"/>
      <c r="G617" s="33"/>
      <c r="H617" s="33"/>
    </row>
    <row r="618" spans="5:8">
      <c r="E618" s="33"/>
      <c r="F618" s="33"/>
      <c r="G618" s="33"/>
      <c r="H618" s="33"/>
    </row>
    <row r="619" spans="5:8">
      <c r="E619" s="33"/>
      <c r="F619" s="33"/>
      <c r="G619" s="33"/>
      <c r="H619" s="33"/>
    </row>
    <row r="620" spans="5:8">
      <c r="E620" s="33"/>
      <c r="F620" s="33"/>
      <c r="G620" s="33"/>
      <c r="H620" s="33"/>
    </row>
    <row r="621" spans="5:8">
      <c r="E621" s="33"/>
      <c r="F621" s="33"/>
      <c r="G621" s="33"/>
      <c r="H621" s="33"/>
    </row>
    <row r="622" spans="5:8">
      <c r="E622" s="33"/>
      <c r="F622" s="33"/>
      <c r="G622" s="33"/>
      <c r="H622" s="33"/>
    </row>
    <row r="623" spans="5:8">
      <c r="E623" s="33"/>
      <c r="F623" s="33"/>
      <c r="G623" s="33"/>
      <c r="H623" s="33"/>
    </row>
    <row r="624" spans="5:8">
      <c r="E624" s="33"/>
      <c r="F624" s="33"/>
      <c r="G624" s="33"/>
      <c r="H624" s="33"/>
    </row>
    <row r="625" spans="5:8">
      <c r="E625" s="33"/>
      <c r="F625" s="33"/>
      <c r="G625" s="33"/>
      <c r="H625" s="33"/>
    </row>
    <row r="626" spans="5:8">
      <c r="E626" s="33"/>
      <c r="F626" s="33"/>
      <c r="G626" s="33"/>
      <c r="H626" s="33"/>
    </row>
    <row r="627" spans="5:8">
      <c r="E627" s="33"/>
      <c r="F627" s="33"/>
      <c r="G627" s="33"/>
      <c r="H627" s="33"/>
    </row>
    <row r="628" spans="5:8">
      <c r="E628" s="33"/>
      <c r="F628" s="33"/>
      <c r="G628" s="33"/>
      <c r="H628" s="33"/>
    </row>
    <row r="629" spans="5:8">
      <c r="E629" s="33"/>
      <c r="F629" s="33"/>
      <c r="G629" s="33"/>
      <c r="H629" s="33"/>
    </row>
    <row r="630" spans="5:8">
      <c r="E630" s="33"/>
      <c r="F630" s="33"/>
      <c r="G630" s="33"/>
      <c r="H630" s="33"/>
    </row>
    <row r="631" spans="5:8">
      <c r="E631" s="33"/>
      <c r="F631" s="33"/>
      <c r="G631" s="33"/>
      <c r="H631" s="33"/>
    </row>
    <row r="632" spans="5:8">
      <c r="E632" s="33"/>
      <c r="F632" s="33"/>
      <c r="G632" s="33"/>
      <c r="H632" s="33"/>
    </row>
    <row r="633" spans="5:8">
      <c r="E633" s="33"/>
      <c r="F633" s="33"/>
      <c r="G633" s="33"/>
      <c r="H633" s="33"/>
    </row>
    <row r="634" spans="5:8">
      <c r="E634" s="33"/>
      <c r="F634" s="33"/>
      <c r="G634" s="33"/>
      <c r="H634" s="33"/>
    </row>
    <row r="635" spans="5:8">
      <c r="E635" s="33"/>
      <c r="F635" s="33"/>
      <c r="G635" s="33"/>
      <c r="H635" s="33"/>
    </row>
    <row r="636" spans="5:8">
      <c r="E636" s="33"/>
      <c r="F636" s="33"/>
      <c r="G636" s="33"/>
      <c r="H636" s="33"/>
    </row>
    <row r="637" spans="5:8">
      <c r="E637" s="33"/>
      <c r="F637" s="33"/>
      <c r="G637" s="33"/>
      <c r="H637" s="33"/>
    </row>
    <row r="638" spans="5:8">
      <c r="E638" s="33"/>
      <c r="F638" s="33"/>
      <c r="G638" s="33"/>
      <c r="H638" s="33"/>
    </row>
    <row r="639" spans="5:8">
      <c r="E639" s="33"/>
      <c r="F639" s="33"/>
      <c r="G639" s="33"/>
      <c r="H639" s="33"/>
    </row>
    <row r="640" spans="5:8">
      <c r="E640" s="33"/>
      <c r="F640" s="33"/>
      <c r="G640" s="33"/>
      <c r="H640" s="33"/>
    </row>
    <row r="641" spans="5:8">
      <c r="E641" s="33"/>
      <c r="F641" s="33"/>
      <c r="G641" s="33"/>
      <c r="H641" s="33"/>
    </row>
    <row r="642" spans="5:8">
      <c r="E642" s="33"/>
      <c r="F642" s="33"/>
      <c r="G642" s="33"/>
      <c r="H642" s="33"/>
    </row>
    <row r="643" spans="5:8">
      <c r="E643" s="33"/>
      <c r="F643" s="33"/>
      <c r="G643" s="33"/>
      <c r="H643" s="33"/>
    </row>
    <row r="644" spans="5:8">
      <c r="E644" s="33"/>
      <c r="F644" s="33"/>
      <c r="G644" s="33"/>
      <c r="H644" s="33"/>
    </row>
    <row r="645" spans="5:8">
      <c r="E645" s="33"/>
      <c r="F645" s="33"/>
      <c r="G645" s="33"/>
      <c r="H645" s="33"/>
    </row>
    <row r="646" spans="5:8">
      <c r="E646" s="33"/>
      <c r="F646" s="33"/>
      <c r="G646" s="33"/>
      <c r="H646" s="33"/>
    </row>
    <row r="647" spans="5:8">
      <c r="E647" s="33"/>
      <c r="F647" s="33"/>
      <c r="G647" s="33"/>
      <c r="H647" s="33"/>
    </row>
    <row r="648" spans="5:8">
      <c r="E648" s="33"/>
      <c r="F648" s="33"/>
      <c r="G648" s="33"/>
      <c r="H648" s="33"/>
    </row>
    <row r="649" spans="5:8">
      <c r="E649" s="33"/>
      <c r="F649" s="33"/>
      <c r="G649" s="33"/>
      <c r="H649" s="33"/>
    </row>
    <row r="650" spans="5:8">
      <c r="E650" s="33"/>
      <c r="F650" s="33"/>
      <c r="G650" s="33"/>
      <c r="H650" s="33"/>
    </row>
    <row r="651" spans="5:8">
      <c r="E651" s="33"/>
      <c r="F651" s="33"/>
      <c r="G651" s="33"/>
      <c r="H651" s="33"/>
    </row>
    <row r="652" spans="5:8">
      <c r="E652" s="33"/>
      <c r="F652" s="33"/>
      <c r="G652" s="33"/>
      <c r="H652" s="33"/>
    </row>
    <row r="653" spans="5:8">
      <c r="E653" s="33"/>
      <c r="F653" s="33"/>
      <c r="G653" s="33"/>
      <c r="H653" s="33"/>
    </row>
    <row r="654" spans="5:8">
      <c r="E654" s="33"/>
      <c r="F654" s="33"/>
      <c r="G654" s="33"/>
      <c r="H654" s="33"/>
    </row>
    <row r="655" spans="5:8">
      <c r="E655" s="33"/>
      <c r="F655" s="33"/>
      <c r="G655" s="33"/>
      <c r="H655" s="33"/>
    </row>
    <row r="656" spans="5:8">
      <c r="E656" s="33"/>
      <c r="F656" s="33"/>
      <c r="G656" s="33"/>
      <c r="H656" s="33"/>
    </row>
    <row r="657" spans="5:8">
      <c r="E657" s="33"/>
      <c r="F657" s="33"/>
      <c r="G657" s="33"/>
      <c r="H657" s="33"/>
    </row>
    <row r="658" spans="5:8">
      <c r="E658" s="33"/>
      <c r="F658" s="33"/>
      <c r="G658" s="33"/>
      <c r="H658" s="33"/>
    </row>
    <row r="659" spans="5:8">
      <c r="E659" s="33"/>
      <c r="F659" s="33"/>
      <c r="G659" s="33"/>
      <c r="H659" s="33"/>
    </row>
    <row r="660" spans="5:8">
      <c r="E660" s="33"/>
      <c r="F660" s="33"/>
      <c r="G660" s="33"/>
      <c r="H660" s="33"/>
    </row>
    <row r="661" spans="5:8">
      <c r="E661" s="33"/>
      <c r="F661" s="33"/>
      <c r="G661" s="33"/>
      <c r="H661" s="33"/>
    </row>
    <row r="662" spans="5:8">
      <c r="E662" s="33"/>
      <c r="F662" s="33"/>
      <c r="G662" s="33"/>
      <c r="H662" s="33"/>
    </row>
    <row r="663" spans="5:8">
      <c r="E663" s="33"/>
      <c r="F663" s="33"/>
      <c r="G663" s="33"/>
      <c r="H663" s="33"/>
    </row>
    <row r="664" spans="5:8">
      <c r="E664" s="33"/>
      <c r="F664" s="33"/>
      <c r="G664" s="33"/>
      <c r="H664" s="33"/>
    </row>
    <row r="665" spans="5:8">
      <c r="E665" s="33"/>
      <c r="F665" s="33"/>
      <c r="G665" s="33"/>
      <c r="H665" s="33"/>
    </row>
    <row r="666" spans="5:8">
      <c r="E666" s="33"/>
      <c r="F666" s="33"/>
      <c r="G666" s="33"/>
      <c r="H666" s="33"/>
    </row>
    <row r="667" spans="5:8">
      <c r="E667" s="33"/>
      <c r="F667" s="33"/>
      <c r="G667" s="33"/>
      <c r="H667" s="33"/>
    </row>
    <row r="668" spans="5:8">
      <c r="E668" s="33"/>
      <c r="F668" s="33"/>
      <c r="G668" s="33"/>
      <c r="H668" s="33"/>
    </row>
    <row r="669" spans="5:8">
      <c r="E669" s="33"/>
      <c r="F669" s="33"/>
      <c r="G669" s="33"/>
      <c r="H669" s="33"/>
    </row>
    <row r="670" spans="5:8">
      <c r="E670" s="33"/>
      <c r="F670" s="33"/>
      <c r="G670" s="33"/>
      <c r="H670" s="33"/>
    </row>
    <row r="671" spans="5:8">
      <c r="E671" s="33"/>
      <c r="F671" s="33"/>
      <c r="G671" s="33"/>
      <c r="H671" s="33"/>
    </row>
    <row r="672" spans="5:8">
      <c r="E672" s="33"/>
      <c r="F672" s="33"/>
      <c r="G672" s="33"/>
      <c r="H672" s="33"/>
    </row>
    <row r="673" spans="5:8">
      <c r="E673" s="33"/>
      <c r="F673" s="33"/>
      <c r="G673" s="33"/>
      <c r="H673" s="33"/>
    </row>
    <row r="674" spans="5:8">
      <c r="E674" s="33"/>
      <c r="F674" s="33"/>
      <c r="G674" s="33"/>
      <c r="H674" s="33"/>
    </row>
    <row r="675" spans="5:8">
      <c r="E675" s="33"/>
      <c r="F675" s="33"/>
      <c r="G675" s="33"/>
      <c r="H675" s="33"/>
    </row>
    <row r="676" spans="5:8">
      <c r="E676" s="33"/>
      <c r="F676" s="33"/>
      <c r="G676" s="33"/>
      <c r="H676" s="33"/>
    </row>
    <row r="677" spans="5:8">
      <c r="E677" s="33"/>
      <c r="F677" s="33"/>
      <c r="G677" s="33"/>
      <c r="H677" s="33"/>
    </row>
    <row r="678" spans="5:8">
      <c r="E678" s="33"/>
      <c r="F678" s="33"/>
      <c r="G678" s="33"/>
      <c r="H678" s="33"/>
    </row>
    <row r="679" spans="5:8">
      <c r="E679" s="33"/>
      <c r="F679" s="33"/>
      <c r="G679" s="33"/>
      <c r="H679" s="33"/>
    </row>
    <row r="680" spans="5:8">
      <c r="E680" s="33"/>
      <c r="F680" s="33"/>
      <c r="G680" s="33"/>
      <c r="H680" s="33"/>
    </row>
    <row r="681" spans="5:8">
      <c r="E681" s="33"/>
      <c r="F681" s="33"/>
      <c r="G681" s="33"/>
      <c r="H681" s="33"/>
    </row>
    <row r="682" spans="5:8">
      <c r="E682" s="33"/>
      <c r="F682" s="33"/>
      <c r="G682" s="33"/>
      <c r="H682" s="33"/>
    </row>
    <row r="683" spans="5:8">
      <c r="E683" s="33"/>
      <c r="F683" s="33"/>
      <c r="G683" s="33"/>
      <c r="H683" s="33"/>
    </row>
    <row r="684" spans="5:8">
      <c r="E684" s="33"/>
      <c r="F684" s="33"/>
      <c r="G684" s="33"/>
      <c r="H684" s="33"/>
    </row>
    <row r="685" spans="5:8">
      <c r="E685" s="33"/>
      <c r="F685" s="33"/>
      <c r="G685" s="33"/>
      <c r="H685" s="33"/>
    </row>
    <row r="686" spans="5:8">
      <c r="E686" s="33"/>
      <c r="F686" s="33"/>
      <c r="G686" s="33"/>
      <c r="H686" s="33"/>
    </row>
    <row r="687" spans="5:8">
      <c r="E687" s="33"/>
      <c r="F687" s="33"/>
      <c r="G687" s="33"/>
      <c r="H687" s="33"/>
    </row>
    <row r="688" spans="5:8">
      <c r="E688" s="33"/>
      <c r="F688" s="33"/>
      <c r="G688" s="33"/>
      <c r="H688" s="33"/>
    </row>
    <row r="689" spans="5:8">
      <c r="E689" s="33"/>
      <c r="F689" s="33"/>
      <c r="G689" s="33"/>
      <c r="H689" s="33"/>
    </row>
    <row r="690" spans="5:8">
      <c r="E690" s="33"/>
      <c r="F690" s="33"/>
      <c r="G690" s="33"/>
      <c r="H690" s="33"/>
    </row>
    <row r="691" spans="5:8">
      <c r="E691" s="33"/>
      <c r="F691" s="33"/>
      <c r="G691" s="33"/>
      <c r="H691" s="33"/>
    </row>
    <row r="692" spans="5:8">
      <c r="E692" s="33"/>
      <c r="F692" s="33"/>
      <c r="G692" s="33"/>
      <c r="H692" s="33"/>
    </row>
    <row r="693" spans="5:8">
      <c r="E693" s="33"/>
      <c r="F693" s="33"/>
      <c r="G693" s="33"/>
      <c r="H693" s="33"/>
    </row>
    <row r="694" spans="5:8">
      <c r="E694" s="33"/>
      <c r="F694" s="33"/>
      <c r="G694" s="33"/>
      <c r="H694" s="33"/>
    </row>
    <row r="695" spans="5:8">
      <c r="E695" s="33"/>
      <c r="F695" s="33"/>
      <c r="G695" s="33"/>
      <c r="H695" s="33"/>
    </row>
    <row r="696" spans="5:8">
      <c r="E696" s="33"/>
      <c r="F696" s="33"/>
      <c r="G696" s="33"/>
      <c r="H696" s="33"/>
    </row>
    <row r="697" spans="5:8">
      <c r="E697" s="33"/>
      <c r="F697" s="33"/>
      <c r="G697" s="33"/>
      <c r="H697" s="33"/>
    </row>
    <row r="698" spans="5:8">
      <c r="E698" s="33"/>
      <c r="F698" s="33"/>
      <c r="G698" s="33"/>
      <c r="H698" s="33"/>
    </row>
    <row r="699" spans="5:8">
      <c r="E699" s="33"/>
      <c r="F699" s="33"/>
      <c r="G699" s="33"/>
      <c r="H699" s="33"/>
    </row>
    <row r="700" spans="5:8">
      <c r="E700" s="33"/>
      <c r="F700" s="33"/>
      <c r="G700" s="33"/>
      <c r="H700" s="33"/>
    </row>
    <row r="701" spans="5:8">
      <c r="E701" s="33"/>
      <c r="F701" s="33"/>
      <c r="G701" s="33"/>
      <c r="H701" s="33"/>
    </row>
    <row r="702" spans="5:8">
      <c r="E702" s="33"/>
      <c r="F702" s="33"/>
      <c r="G702" s="33"/>
      <c r="H702" s="33"/>
    </row>
    <row r="703" spans="5:8">
      <c r="E703" s="33"/>
      <c r="F703" s="33"/>
      <c r="G703" s="33"/>
      <c r="H703" s="33"/>
    </row>
    <row r="704" spans="5:8">
      <c r="E704" s="33"/>
      <c r="F704" s="33"/>
      <c r="G704" s="33"/>
      <c r="H704" s="33"/>
    </row>
    <row r="705" spans="5:8">
      <c r="E705" s="33"/>
      <c r="F705" s="33"/>
      <c r="G705" s="33"/>
      <c r="H705" s="33"/>
    </row>
    <row r="706" spans="5:8">
      <c r="E706" s="33"/>
      <c r="F706" s="33"/>
      <c r="G706" s="33"/>
      <c r="H706" s="33"/>
    </row>
    <row r="707" spans="5:8">
      <c r="E707" s="33"/>
      <c r="F707" s="33"/>
      <c r="G707" s="33"/>
      <c r="H707" s="33"/>
    </row>
    <row r="708" spans="5:8">
      <c r="E708" s="33"/>
      <c r="F708" s="33"/>
      <c r="G708" s="33"/>
      <c r="H708" s="33"/>
    </row>
    <row r="709" spans="5:8">
      <c r="E709" s="33"/>
      <c r="F709" s="33"/>
      <c r="G709" s="33"/>
      <c r="H709" s="33"/>
    </row>
    <row r="710" spans="5:8">
      <c r="E710" s="33"/>
      <c r="F710" s="33"/>
      <c r="G710" s="33"/>
      <c r="H710" s="33"/>
    </row>
    <row r="711" spans="5:8">
      <c r="E711" s="33"/>
      <c r="F711" s="33"/>
      <c r="G711" s="33"/>
      <c r="H711" s="33"/>
    </row>
    <row r="712" spans="5:8">
      <c r="E712" s="33"/>
      <c r="F712" s="33"/>
      <c r="G712" s="33"/>
      <c r="H712" s="33"/>
    </row>
    <row r="713" spans="5:8">
      <c r="E713" s="33"/>
      <c r="F713" s="33"/>
      <c r="G713" s="33"/>
      <c r="H713" s="33"/>
    </row>
    <row r="714" spans="5:8">
      <c r="E714" s="33"/>
      <c r="F714" s="33"/>
      <c r="G714" s="33"/>
      <c r="H714" s="33"/>
    </row>
    <row r="715" spans="5:8">
      <c r="E715" s="33"/>
      <c r="F715" s="33"/>
      <c r="G715" s="33"/>
      <c r="H715" s="33"/>
    </row>
    <row r="716" spans="5:8">
      <c r="E716" s="33"/>
      <c r="F716" s="33"/>
      <c r="G716" s="33"/>
      <c r="H716" s="33"/>
    </row>
    <row r="717" spans="5:8">
      <c r="E717" s="33"/>
      <c r="F717" s="33"/>
      <c r="G717" s="33"/>
      <c r="H717" s="33"/>
    </row>
    <row r="718" spans="5:8">
      <c r="E718" s="33"/>
      <c r="F718" s="33"/>
      <c r="G718" s="33"/>
      <c r="H718" s="33"/>
    </row>
    <row r="719" spans="5:8">
      <c r="E719" s="33"/>
      <c r="F719" s="33"/>
      <c r="G719" s="33"/>
      <c r="H719" s="33"/>
    </row>
    <row r="720" spans="5:8">
      <c r="E720" s="33"/>
      <c r="F720" s="33"/>
      <c r="G720" s="33"/>
      <c r="H720" s="33"/>
    </row>
    <row r="721" spans="5:8">
      <c r="E721" s="33"/>
      <c r="F721" s="33"/>
      <c r="G721" s="33"/>
      <c r="H721" s="33"/>
    </row>
    <row r="722" spans="5:8">
      <c r="E722" s="33"/>
      <c r="F722" s="33"/>
      <c r="G722" s="33"/>
      <c r="H722" s="33"/>
    </row>
    <row r="723" spans="5:8">
      <c r="E723" s="33"/>
      <c r="F723" s="33"/>
      <c r="G723" s="33"/>
      <c r="H723" s="33"/>
    </row>
    <row r="724" spans="5:8">
      <c r="E724" s="33"/>
      <c r="F724" s="33"/>
      <c r="G724" s="33"/>
      <c r="H724" s="33"/>
    </row>
    <row r="725" spans="5:8">
      <c r="E725" s="33"/>
      <c r="F725" s="33"/>
      <c r="G725" s="33"/>
      <c r="H725" s="33"/>
    </row>
    <row r="726" spans="5:8">
      <c r="E726" s="33"/>
      <c r="F726" s="33"/>
      <c r="G726" s="33"/>
      <c r="H726" s="33"/>
    </row>
    <row r="727" spans="5:8">
      <c r="E727" s="33"/>
      <c r="F727" s="33"/>
      <c r="G727" s="33"/>
      <c r="H727" s="33"/>
    </row>
    <row r="728" spans="5:8">
      <c r="E728" s="33"/>
      <c r="F728" s="33"/>
      <c r="G728" s="33"/>
      <c r="H728" s="33"/>
    </row>
    <row r="729" spans="5:8">
      <c r="E729" s="33"/>
      <c r="F729" s="33"/>
      <c r="G729" s="33"/>
      <c r="H729" s="33"/>
    </row>
    <row r="730" spans="5:8">
      <c r="E730" s="33"/>
      <c r="F730" s="33"/>
      <c r="G730" s="33"/>
      <c r="H730" s="33"/>
    </row>
    <row r="731" spans="5:8">
      <c r="E731" s="33"/>
      <c r="F731" s="33"/>
      <c r="G731" s="33"/>
      <c r="H731" s="33"/>
    </row>
    <row r="732" spans="5:8">
      <c r="E732" s="33"/>
      <c r="F732" s="33"/>
      <c r="G732" s="33"/>
      <c r="H732" s="33"/>
    </row>
    <row r="733" spans="5:8">
      <c r="E733" s="33"/>
      <c r="F733" s="33"/>
      <c r="G733" s="33"/>
      <c r="H733" s="33"/>
    </row>
    <row r="734" spans="5:8">
      <c r="E734" s="33"/>
      <c r="F734" s="33"/>
      <c r="G734" s="33"/>
      <c r="H734" s="33"/>
    </row>
    <row r="735" spans="5:8">
      <c r="E735" s="33"/>
      <c r="F735" s="33"/>
      <c r="G735" s="33"/>
      <c r="H735" s="33"/>
    </row>
    <row r="736" spans="5:8">
      <c r="E736" s="33"/>
      <c r="F736" s="33"/>
      <c r="G736" s="33"/>
      <c r="H736" s="33"/>
    </row>
    <row r="737" spans="5:8">
      <c r="E737" s="33"/>
      <c r="F737" s="33"/>
      <c r="G737" s="33"/>
      <c r="H737" s="33"/>
    </row>
    <row r="738" spans="5:8">
      <c r="E738" s="33"/>
      <c r="F738" s="33"/>
      <c r="G738" s="33"/>
      <c r="H738" s="33"/>
    </row>
    <row r="739" spans="5:8">
      <c r="E739" s="33"/>
      <c r="F739" s="33"/>
      <c r="G739" s="33"/>
      <c r="H739" s="33"/>
    </row>
    <row r="740" spans="5:8">
      <c r="E740" s="33"/>
      <c r="F740" s="33"/>
      <c r="G740" s="33"/>
      <c r="H740" s="33"/>
    </row>
    <row r="741" spans="5:8">
      <c r="E741" s="33"/>
      <c r="F741" s="33"/>
      <c r="G741" s="33"/>
      <c r="H741" s="33"/>
    </row>
    <row r="742" spans="5:8">
      <c r="E742" s="33"/>
      <c r="F742" s="33"/>
      <c r="G742" s="33"/>
      <c r="H742" s="33"/>
    </row>
    <row r="743" spans="5:8">
      <c r="E743" s="33"/>
      <c r="F743" s="33"/>
      <c r="G743" s="33"/>
      <c r="H743" s="33"/>
    </row>
    <row r="744" spans="5:8">
      <c r="E744" s="33"/>
      <c r="F744" s="33"/>
      <c r="G744" s="33"/>
      <c r="H744" s="33"/>
    </row>
    <row r="745" spans="5:8">
      <c r="E745" s="33"/>
      <c r="F745" s="33"/>
      <c r="G745" s="33"/>
      <c r="H745" s="33"/>
    </row>
    <row r="746" spans="5:8">
      <c r="E746" s="33"/>
      <c r="F746" s="33"/>
      <c r="G746" s="33"/>
      <c r="H746" s="33"/>
    </row>
    <row r="747" spans="5:8">
      <c r="E747" s="33"/>
      <c r="F747" s="33"/>
      <c r="G747" s="33"/>
      <c r="H747" s="33"/>
    </row>
    <row r="748" spans="5:8">
      <c r="E748" s="33"/>
      <c r="F748" s="33"/>
      <c r="G748" s="33"/>
      <c r="H748" s="33"/>
    </row>
    <row r="749" spans="5:8">
      <c r="E749" s="33"/>
      <c r="F749" s="33"/>
      <c r="G749" s="33"/>
      <c r="H749" s="33"/>
    </row>
    <row r="750" spans="5:8">
      <c r="E750" s="33"/>
      <c r="F750" s="33"/>
      <c r="G750" s="33"/>
      <c r="H750" s="33"/>
    </row>
    <row r="751" spans="5:8">
      <c r="E751" s="33"/>
      <c r="F751" s="33"/>
      <c r="G751" s="33"/>
      <c r="H751" s="33"/>
    </row>
    <row r="752" spans="5:8">
      <c r="E752" s="33"/>
      <c r="F752" s="33"/>
      <c r="G752" s="33"/>
      <c r="H752" s="33"/>
    </row>
    <row r="753" spans="5:8">
      <c r="E753" s="33"/>
      <c r="F753" s="33"/>
      <c r="G753" s="33"/>
      <c r="H753" s="33"/>
    </row>
    <row r="754" spans="5:8">
      <c r="E754" s="33"/>
      <c r="F754" s="33"/>
      <c r="G754" s="33"/>
      <c r="H754" s="33"/>
    </row>
    <row r="755" spans="5:8">
      <c r="E755" s="33"/>
      <c r="F755" s="33"/>
      <c r="G755" s="33"/>
      <c r="H755" s="33"/>
    </row>
    <row r="756" spans="5:8">
      <c r="E756" s="33"/>
      <c r="F756" s="33"/>
      <c r="G756" s="33"/>
      <c r="H756" s="33"/>
    </row>
    <row r="757" spans="5:8">
      <c r="E757" s="33"/>
      <c r="F757" s="33"/>
      <c r="G757" s="33"/>
      <c r="H757" s="33"/>
    </row>
    <row r="758" spans="5:8">
      <c r="E758" s="33"/>
      <c r="F758" s="33"/>
      <c r="G758" s="33"/>
      <c r="H758" s="33"/>
    </row>
    <row r="759" spans="5:8">
      <c r="E759" s="33"/>
      <c r="F759" s="33"/>
      <c r="G759" s="33"/>
      <c r="H759" s="33"/>
    </row>
    <row r="760" spans="5:8">
      <c r="E760" s="33"/>
      <c r="F760" s="33"/>
      <c r="G760" s="33"/>
      <c r="H760" s="33"/>
    </row>
    <row r="761" spans="5:8">
      <c r="E761" s="33"/>
      <c r="F761" s="33"/>
      <c r="G761" s="33"/>
      <c r="H761" s="33"/>
    </row>
    <row r="762" spans="5:8">
      <c r="E762" s="33"/>
      <c r="F762" s="33"/>
      <c r="G762" s="33"/>
      <c r="H762" s="33"/>
    </row>
    <row r="763" spans="5:8">
      <c r="E763" s="33"/>
      <c r="F763" s="33"/>
      <c r="G763" s="33"/>
      <c r="H763" s="33"/>
    </row>
    <row r="764" spans="5:8">
      <c r="E764" s="33"/>
      <c r="F764" s="33"/>
      <c r="G764" s="33"/>
      <c r="H764" s="33"/>
    </row>
    <row r="765" spans="5:8">
      <c r="E765" s="33"/>
      <c r="F765" s="33"/>
      <c r="G765" s="33"/>
      <c r="H765" s="33"/>
    </row>
    <row r="766" spans="5:8">
      <c r="E766" s="33"/>
      <c r="F766" s="33"/>
      <c r="G766" s="33"/>
      <c r="H766" s="33"/>
    </row>
    <row r="767" spans="5:8">
      <c r="E767" s="33"/>
      <c r="F767" s="33"/>
      <c r="G767" s="33"/>
      <c r="H767" s="33"/>
    </row>
    <row r="768" spans="5:8">
      <c r="E768" s="33"/>
      <c r="F768" s="33"/>
      <c r="G768" s="33"/>
      <c r="H768" s="33"/>
    </row>
    <row r="769" spans="5:8">
      <c r="E769" s="33"/>
      <c r="F769" s="33"/>
      <c r="G769" s="33"/>
      <c r="H769" s="33"/>
    </row>
    <row r="770" spans="5:8">
      <c r="E770" s="33"/>
      <c r="F770" s="33"/>
      <c r="G770" s="33"/>
      <c r="H770" s="33"/>
    </row>
    <row r="771" spans="5:8">
      <c r="E771" s="33"/>
      <c r="F771" s="33"/>
      <c r="G771" s="33"/>
      <c r="H771" s="33"/>
    </row>
    <row r="772" spans="5:8">
      <c r="E772" s="33"/>
      <c r="F772" s="33"/>
      <c r="G772" s="33"/>
      <c r="H772" s="33"/>
    </row>
    <row r="773" spans="5:8">
      <c r="E773" s="33"/>
      <c r="F773" s="33"/>
      <c r="G773" s="33"/>
      <c r="H773" s="33"/>
    </row>
    <row r="774" spans="5:8">
      <c r="E774" s="33"/>
      <c r="F774" s="33"/>
      <c r="G774" s="33"/>
      <c r="H774" s="33"/>
    </row>
    <row r="775" spans="5:8">
      <c r="E775" s="33"/>
      <c r="F775" s="33"/>
      <c r="G775" s="33"/>
      <c r="H775" s="33"/>
    </row>
    <row r="776" spans="5:8">
      <c r="E776" s="33"/>
      <c r="F776" s="33"/>
      <c r="G776" s="33"/>
      <c r="H776" s="33"/>
    </row>
    <row r="777" spans="5:8">
      <c r="E777" s="33"/>
      <c r="F777" s="33"/>
      <c r="G777" s="33"/>
      <c r="H777" s="33"/>
    </row>
    <row r="778" spans="5:8">
      <c r="E778" s="33"/>
      <c r="F778" s="33"/>
      <c r="G778" s="33"/>
      <c r="H778" s="33"/>
    </row>
    <row r="779" spans="5:8">
      <c r="E779" s="33"/>
      <c r="F779" s="33"/>
      <c r="G779" s="33"/>
      <c r="H779" s="33"/>
    </row>
    <row r="780" spans="5:8">
      <c r="E780" s="33"/>
      <c r="F780" s="33"/>
      <c r="G780" s="33"/>
      <c r="H780" s="33"/>
    </row>
    <row r="781" spans="5:8">
      <c r="E781" s="33"/>
      <c r="F781" s="33"/>
      <c r="G781" s="33"/>
      <c r="H781" s="33"/>
    </row>
    <row r="782" spans="5:8">
      <c r="E782" s="33"/>
      <c r="F782" s="33"/>
      <c r="G782" s="33"/>
      <c r="H782" s="33"/>
    </row>
    <row r="783" spans="5:8">
      <c r="E783" s="33"/>
      <c r="F783" s="33"/>
      <c r="G783" s="33"/>
      <c r="H783" s="33"/>
    </row>
    <row r="784" spans="5:8">
      <c r="E784" s="33"/>
      <c r="F784" s="33"/>
      <c r="G784" s="33"/>
      <c r="H784" s="33"/>
    </row>
    <row r="785" spans="5:8">
      <c r="E785" s="33"/>
      <c r="F785" s="33"/>
      <c r="G785" s="33"/>
      <c r="H785" s="33"/>
    </row>
    <row r="786" spans="5:8">
      <c r="E786" s="33"/>
      <c r="F786" s="33"/>
      <c r="G786" s="33"/>
      <c r="H786" s="33"/>
    </row>
    <row r="787" spans="5:8">
      <c r="E787" s="33"/>
      <c r="F787" s="33"/>
      <c r="G787" s="33"/>
      <c r="H787" s="33"/>
    </row>
    <row r="788" spans="5:8">
      <c r="E788" s="33"/>
      <c r="F788" s="33"/>
      <c r="G788" s="33"/>
      <c r="H788" s="33"/>
    </row>
    <row r="789" spans="5:8">
      <c r="E789" s="33"/>
      <c r="F789" s="33"/>
      <c r="G789" s="33"/>
      <c r="H789" s="33"/>
    </row>
    <row r="790" spans="5:8">
      <c r="E790" s="33"/>
      <c r="F790" s="33"/>
      <c r="G790" s="33"/>
      <c r="H790" s="33"/>
    </row>
    <row r="791" spans="5:8">
      <c r="E791" s="33"/>
      <c r="F791" s="33"/>
      <c r="G791" s="33"/>
      <c r="H791" s="33"/>
    </row>
    <row r="792" spans="5:8">
      <c r="E792" s="33"/>
      <c r="F792" s="33"/>
      <c r="G792" s="33"/>
      <c r="H792" s="33"/>
    </row>
    <row r="793" spans="5:8">
      <c r="E793" s="33"/>
      <c r="F793" s="33"/>
      <c r="G793" s="33"/>
      <c r="H793" s="33"/>
    </row>
    <row r="794" spans="5:8">
      <c r="E794" s="33"/>
      <c r="F794" s="33"/>
      <c r="G794" s="33"/>
      <c r="H794" s="33"/>
    </row>
    <row r="795" spans="5:8">
      <c r="E795" s="33"/>
      <c r="F795" s="33"/>
      <c r="G795" s="33"/>
      <c r="H795" s="33"/>
    </row>
    <row r="796" spans="5:8">
      <c r="E796" s="33"/>
      <c r="F796" s="33"/>
      <c r="G796" s="33"/>
      <c r="H796" s="33"/>
    </row>
    <row r="797" spans="5:8">
      <c r="E797" s="33"/>
      <c r="F797" s="33"/>
      <c r="G797" s="33"/>
      <c r="H797" s="33"/>
    </row>
    <row r="798" spans="5:8">
      <c r="E798" s="33"/>
      <c r="F798" s="33"/>
      <c r="G798" s="33"/>
      <c r="H798" s="33"/>
    </row>
    <row r="799" spans="5:8">
      <c r="E799" s="33"/>
      <c r="F799" s="33"/>
      <c r="G799" s="33"/>
      <c r="H799" s="33"/>
    </row>
    <row r="800" spans="5:8">
      <c r="E800" s="33"/>
      <c r="F800" s="33"/>
      <c r="G800" s="33"/>
      <c r="H800" s="33"/>
    </row>
    <row r="801" spans="5:8">
      <c r="E801" s="33"/>
      <c r="F801" s="33"/>
      <c r="G801" s="33"/>
      <c r="H801" s="33"/>
    </row>
    <row r="802" spans="5:8">
      <c r="E802" s="33"/>
      <c r="F802" s="33"/>
      <c r="G802" s="33"/>
      <c r="H802" s="33"/>
    </row>
    <row r="803" spans="5:8">
      <c r="E803" s="33"/>
      <c r="F803" s="33"/>
      <c r="G803" s="33"/>
      <c r="H803" s="33"/>
    </row>
    <row r="804" spans="5:8">
      <c r="E804" s="33"/>
      <c r="F804" s="33"/>
      <c r="G804" s="33"/>
      <c r="H804" s="33"/>
    </row>
    <row r="805" spans="5:8">
      <c r="E805" s="33"/>
      <c r="F805" s="33"/>
      <c r="G805" s="33"/>
      <c r="H805" s="33"/>
    </row>
    <row r="806" spans="5:8">
      <c r="E806" s="33"/>
      <c r="F806" s="33"/>
      <c r="G806" s="33"/>
      <c r="H806" s="33"/>
    </row>
    <row r="807" spans="5:8">
      <c r="E807" s="33"/>
      <c r="F807" s="33"/>
      <c r="G807" s="33"/>
      <c r="H807" s="33"/>
    </row>
    <row r="808" spans="5:8">
      <c r="E808" s="33"/>
      <c r="F808" s="33"/>
      <c r="G808" s="33"/>
      <c r="H808" s="33"/>
    </row>
    <row r="809" spans="5:8">
      <c r="E809" s="33"/>
      <c r="F809" s="33"/>
      <c r="G809" s="33"/>
      <c r="H809" s="33"/>
    </row>
    <row r="810" spans="5:8">
      <c r="E810" s="33"/>
      <c r="F810" s="33"/>
      <c r="G810" s="33"/>
      <c r="H810" s="33"/>
    </row>
    <row r="811" spans="5:8">
      <c r="E811" s="33"/>
      <c r="F811" s="33"/>
      <c r="G811" s="33"/>
      <c r="H811" s="33"/>
    </row>
    <row r="812" spans="5:8">
      <c r="E812" s="33"/>
      <c r="F812" s="33"/>
      <c r="G812" s="33"/>
      <c r="H812" s="33"/>
    </row>
    <row r="813" spans="5:8">
      <c r="E813" s="33"/>
      <c r="F813" s="33"/>
      <c r="G813" s="33"/>
      <c r="H813" s="33"/>
    </row>
    <row r="814" spans="5:8">
      <c r="E814" s="33"/>
      <c r="F814" s="33"/>
      <c r="G814" s="33"/>
      <c r="H814" s="33"/>
    </row>
    <row r="815" spans="5:8">
      <c r="E815" s="33"/>
      <c r="F815" s="33"/>
      <c r="G815" s="33"/>
      <c r="H815" s="33"/>
    </row>
    <row r="816" spans="5:8">
      <c r="E816" s="33"/>
      <c r="F816" s="33"/>
      <c r="G816" s="33"/>
      <c r="H816" s="33"/>
    </row>
    <row r="817" spans="5:8">
      <c r="E817" s="33"/>
      <c r="F817" s="33"/>
      <c r="G817" s="33"/>
      <c r="H817" s="33"/>
    </row>
    <row r="818" spans="5:8">
      <c r="E818" s="33"/>
      <c r="F818" s="33"/>
      <c r="G818" s="33"/>
      <c r="H818" s="33"/>
    </row>
    <row r="819" spans="5:8">
      <c r="E819" s="33"/>
      <c r="F819" s="33"/>
      <c r="G819" s="33"/>
      <c r="H819" s="33"/>
    </row>
    <row r="820" spans="5:8">
      <c r="E820" s="33"/>
      <c r="F820" s="33"/>
      <c r="G820" s="33"/>
      <c r="H820" s="33"/>
    </row>
    <row r="821" spans="5:8">
      <c r="E821" s="33"/>
      <c r="F821" s="33"/>
      <c r="G821" s="33"/>
      <c r="H821" s="33"/>
    </row>
    <row r="822" spans="5:8">
      <c r="E822" s="33"/>
      <c r="F822" s="33"/>
      <c r="G822" s="33"/>
      <c r="H822" s="33"/>
    </row>
    <row r="823" spans="5:8">
      <c r="E823" s="33"/>
      <c r="F823" s="33"/>
      <c r="G823" s="33"/>
      <c r="H823" s="33"/>
    </row>
    <row r="824" spans="5:8">
      <c r="E824" s="33"/>
      <c r="F824" s="33"/>
      <c r="G824" s="33"/>
      <c r="H824" s="33"/>
    </row>
    <row r="825" spans="5:8">
      <c r="E825" s="33"/>
      <c r="F825" s="33"/>
      <c r="G825" s="33"/>
      <c r="H825" s="33"/>
    </row>
    <row r="826" spans="5:8">
      <c r="E826" s="33"/>
      <c r="F826" s="33"/>
      <c r="G826" s="33"/>
      <c r="H826" s="33"/>
    </row>
    <row r="827" spans="5:8">
      <c r="E827" s="33"/>
      <c r="F827" s="33"/>
      <c r="G827" s="33"/>
      <c r="H827" s="33"/>
    </row>
    <row r="828" spans="5:8">
      <c r="E828" s="33"/>
      <c r="F828" s="33"/>
      <c r="G828" s="33"/>
      <c r="H828" s="33"/>
    </row>
    <row r="829" spans="5:8">
      <c r="E829" s="33"/>
      <c r="F829" s="33"/>
      <c r="G829" s="33"/>
      <c r="H829" s="33"/>
    </row>
    <row r="830" spans="5:8">
      <c r="E830" s="33"/>
      <c r="F830" s="33"/>
      <c r="G830" s="33"/>
      <c r="H830" s="33"/>
    </row>
    <row r="831" spans="5:8">
      <c r="E831" s="33"/>
      <c r="F831" s="33"/>
      <c r="G831" s="33"/>
      <c r="H831" s="33"/>
    </row>
    <row r="832" spans="5:8">
      <c r="E832" s="33"/>
      <c r="F832" s="33"/>
      <c r="G832" s="33"/>
      <c r="H832" s="33"/>
    </row>
    <row r="833" spans="5:8">
      <c r="E833" s="33"/>
      <c r="F833" s="33"/>
      <c r="G833" s="33"/>
      <c r="H833" s="33"/>
    </row>
    <row r="834" spans="5:8">
      <c r="E834" s="33"/>
      <c r="F834" s="33"/>
      <c r="G834" s="33"/>
      <c r="H834" s="33"/>
    </row>
    <row r="835" spans="5:8">
      <c r="E835" s="33"/>
      <c r="F835" s="33"/>
      <c r="G835" s="33"/>
      <c r="H835" s="33"/>
    </row>
    <row r="836" spans="5:8">
      <c r="E836" s="33"/>
      <c r="F836" s="33"/>
      <c r="G836" s="33"/>
      <c r="H836" s="33"/>
    </row>
    <row r="837" spans="5:8">
      <c r="E837" s="33"/>
      <c r="F837" s="33"/>
      <c r="G837" s="33"/>
      <c r="H837" s="33"/>
    </row>
    <row r="838" spans="5:8">
      <c r="E838" s="33"/>
      <c r="F838" s="33"/>
      <c r="G838" s="33"/>
      <c r="H838" s="33"/>
    </row>
    <row r="839" spans="5:8">
      <c r="E839" s="33"/>
      <c r="F839" s="33"/>
      <c r="G839" s="33"/>
      <c r="H839" s="33"/>
    </row>
    <row r="840" spans="5:8">
      <c r="E840" s="33"/>
      <c r="F840" s="33"/>
      <c r="G840" s="33"/>
      <c r="H840" s="33"/>
    </row>
    <row r="841" spans="5:8">
      <c r="E841" s="33"/>
      <c r="F841" s="33"/>
      <c r="G841" s="33"/>
      <c r="H841" s="33"/>
    </row>
    <row r="842" spans="5:8">
      <c r="E842" s="33"/>
      <c r="F842" s="33"/>
      <c r="G842" s="33"/>
      <c r="H842" s="33"/>
    </row>
    <row r="843" spans="5:8">
      <c r="E843" s="33"/>
      <c r="F843" s="33"/>
      <c r="G843" s="33"/>
      <c r="H843" s="33"/>
    </row>
    <row r="844" spans="5:8">
      <c r="E844" s="33"/>
      <c r="F844" s="33"/>
      <c r="G844" s="33"/>
      <c r="H844" s="33"/>
    </row>
    <row r="845" spans="5:8">
      <c r="E845" s="33"/>
      <c r="F845" s="33"/>
      <c r="G845" s="33"/>
      <c r="H845" s="33"/>
    </row>
    <row r="846" spans="5:8">
      <c r="E846" s="33"/>
      <c r="F846" s="33"/>
      <c r="G846" s="33"/>
      <c r="H846" s="33"/>
    </row>
    <row r="847" spans="5:8">
      <c r="E847" s="33"/>
      <c r="F847" s="33"/>
      <c r="G847" s="33"/>
      <c r="H847" s="33"/>
    </row>
    <row r="848" spans="5:8">
      <c r="E848" s="33"/>
      <c r="F848" s="33"/>
      <c r="G848" s="33"/>
      <c r="H848" s="33"/>
    </row>
    <row r="849" spans="5:8">
      <c r="E849" s="33"/>
      <c r="F849" s="33"/>
      <c r="G849" s="33"/>
      <c r="H849" s="33"/>
    </row>
    <row r="850" spans="5:8">
      <c r="E850" s="33"/>
      <c r="F850" s="33"/>
      <c r="G850" s="33"/>
      <c r="H850" s="33"/>
    </row>
    <row r="851" spans="5:8">
      <c r="E851" s="33"/>
      <c r="F851" s="33"/>
      <c r="G851" s="33"/>
      <c r="H851" s="33"/>
    </row>
    <row r="852" spans="5:8">
      <c r="E852" s="33"/>
      <c r="F852" s="33"/>
      <c r="G852" s="33"/>
      <c r="H852" s="33"/>
    </row>
    <row r="853" spans="5:8">
      <c r="E853" s="33"/>
      <c r="F853" s="33"/>
      <c r="G853" s="33"/>
      <c r="H853" s="33"/>
    </row>
    <row r="854" spans="5:8">
      <c r="E854" s="33"/>
      <c r="F854" s="33"/>
      <c r="G854" s="33"/>
      <c r="H854" s="33"/>
    </row>
    <row r="855" spans="5:8">
      <c r="E855" s="33"/>
      <c r="F855" s="33"/>
      <c r="G855" s="33"/>
      <c r="H855" s="33"/>
    </row>
    <row r="856" spans="5:8">
      <c r="E856" s="33"/>
      <c r="F856" s="33"/>
      <c r="G856" s="33"/>
      <c r="H856" s="33"/>
    </row>
    <row r="857" spans="5:8">
      <c r="E857" s="33"/>
      <c r="F857" s="33"/>
      <c r="G857" s="33"/>
      <c r="H857" s="33"/>
    </row>
    <row r="858" spans="5:8">
      <c r="E858" s="33"/>
      <c r="F858" s="33"/>
      <c r="G858" s="33"/>
      <c r="H858" s="33"/>
    </row>
    <row r="859" spans="5:8">
      <c r="E859" s="33"/>
      <c r="F859" s="33"/>
      <c r="G859" s="33"/>
      <c r="H859" s="33"/>
    </row>
    <row r="860" spans="5:8">
      <c r="E860" s="33"/>
      <c r="F860" s="33"/>
      <c r="G860" s="33"/>
      <c r="H860" s="33"/>
    </row>
    <row r="861" spans="5:8">
      <c r="E861" s="33"/>
      <c r="F861" s="33"/>
      <c r="G861" s="33"/>
      <c r="H861" s="33"/>
    </row>
    <row r="862" spans="5:8">
      <c r="E862" s="33"/>
      <c r="F862" s="33"/>
      <c r="G862" s="33"/>
      <c r="H862" s="33"/>
    </row>
    <row r="863" spans="5:8">
      <c r="E863" s="33"/>
      <c r="F863" s="33"/>
      <c r="G863" s="33"/>
      <c r="H863" s="33"/>
    </row>
    <row r="864" spans="5:8">
      <c r="E864" s="33"/>
      <c r="F864" s="33"/>
      <c r="G864" s="33"/>
      <c r="H864" s="33"/>
    </row>
    <row r="865" spans="5:8">
      <c r="E865" s="33"/>
      <c r="F865" s="33"/>
      <c r="G865" s="33"/>
      <c r="H865" s="33"/>
    </row>
    <row r="866" spans="5:8">
      <c r="E866" s="33"/>
      <c r="F866" s="33"/>
      <c r="G866" s="33"/>
      <c r="H866" s="33"/>
    </row>
    <row r="867" spans="5:8">
      <c r="E867" s="33"/>
      <c r="F867" s="33"/>
      <c r="G867" s="33"/>
      <c r="H867" s="33"/>
    </row>
    <row r="868" spans="5:8">
      <c r="E868" s="33"/>
      <c r="F868" s="33"/>
      <c r="G868" s="33"/>
      <c r="H868" s="33"/>
    </row>
    <row r="869" spans="5:8">
      <c r="E869" s="33"/>
      <c r="F869" s="33"/>
      <c r="G869" s="33"/>
      <c r="H869" s="33"/>
    </row>
    <row r="870" spans="5:8">
      <c r="E870" s="33"/>
      <c r="F870" s="33"/>
      <c r="G870" s="33"/>
      <c r="H870" s="33"/>
    </row>
    <row r="871" spans="5:8">
      <c r="E871" s="33"/>
      <c r="F871" s="33"/>
      <c r="G871" s="33"/>
      <c r="H871" s="33"/>
    </row>
    <row r="872" spans="5:8">
      <c r="E872" s="33"/>
      <c r="F872" s="33"/>
      <c r="G872" s="33"/>
      <c r="H872" s="33"/>
    </row>
    <row r="873" spans="5:8">
      <c r="E873" s="33"/>
      <c r="F873" s="33"/>
      <c r="G873" s="33"/>
      <c r="H873" s="33"/>
    </row>
    <row r="874" spans="5:8">
      <c r="E874" s="33"/>
      <c r="F874" s="33"/>
      <c r="G874" s="33"/>
      <c r="H874" s="33"/>
    </row>
    <row r="875" spans="5:8">
      <c r="E875" s="33"/>
      <c r="F875" s="33"/>
      <c r="G875" s="33"/>
      <c r="H875" s="33"/>
    </row>
    <row r="876" spans="5:8">
      <c r="E876" s="33"/>
      <c r="F876" s="33"/>
      <c r="G876" s="33"/>
      <c r="H876" s="33"/>
    </row>
    <row r="877" spans="5:8">
      <c r="E877" s="33"/>
      <c r="F877" s="33"/>
      <c r="G877" s="33"/>
      <c r="H877" s="33"/>
    </row>
    <row r="878" spans="5:8">
      <c r="E878" s="33"/>
      <c r="F878" s="33"/>
      <c r="G878" s="33"/>
      <c r="H878" s="33"/>
    </row>
    <row r="879" spans="5:8">
      <c r="E879" s="33"/>
      <c r="F879" s="33"/>
      <c r="G879" s="33"/>
      <c r="H879" s="33"/>
    </row>
    <row r="880" spans="5:8">
      <c r="E880" s="33"/>
      <c r="F880" s="33"/>
      <c r="G880" s="33"/>
      <c r="H880" s="33"/>
    </row>
    <row r="881" spans="5:8">
      <c r="E881" s="33"/>
      <c r="F881" s="33"/>
      <c r="G881" s="33"/>
      <c r="H881" s="33"/>
    </row>
    <row r="882" spans="5:8">
      <c r="E882" s="33"/>
      <c r="F882" s="33"/>
      <c r="G882" s="33"/>
      <c r="H882" s="33"/>
    </row>
    <row r="883" spans="5:8">
      <c r="E883" s="33"/>
      <c r="F883" s="33"/>
      <c r="G883" s="33"/>
      <c r="H883" s="33"/>
    </row>
    <row r="884" spans="5:8">
      <c r="E884" s="33"/>
      <c r="F884" s="33"/>
      <c r="G884" s="33"/>
      <c r="H884" s="33"/>
    </row>
    <row r="885" spans="5:8">
      <c r="E885" s="33"/>
      <c r="F885" s="33"/>
      <c r="G885" s="33"/>
      <c r="H885" s="33"/>
    </row>
    <row r="886" spans="5:8">
      <c r="E886" s="33"/>
      <c r="F886" s="33"/>
      <c r="G886" s="33"/>
      <c r="H886" s="33"/>
    </row>
    <row r="887" spans="5:8">
      <c r="E887" s="33"/>
      <c r="F887" s="33"/>
      <c r="G887" s="33"/>
      <c r="H887" s="33"/>
    </row>
    <row r="888" spans="5:8">
      <c r="E888" s="33"/>
      <c r="F888" s="33"/>
      <c r="G888" s="33"/>
      <c r="H888" s="33"/>
    </row>
    <row r="889" spans="5:8">
      <c r="E889" s="33"/>
      <c r="F889" s="33"/>
      <c r="G889" s="33"/>
      <c r="H889" s="33"/>
    </row>
    <row r="890" spans="5:8">
      <c r="E890" s="33"/>
      <c r="F890" s="33"/>
      <c r="G890" s="33"/>
      <c r="H890" s="33"/>
    </row>
    <row r="891" spans="5:8">
      <c r="E891" s="33"/>
      <c r="F891" s="33"/>
      <c r="G891" s="33"/>
      <c r="H891" s="33"/>
    </row>
    <row r="892" spans="5:8">
      <c r="E892" s="33"/>
      <c r="F892" s="33"/>
      <c r="G892" s="33"/>
      <c r="H892" s="33"/>
    </row>
    <row r="893" spans="5:8">
      <c r="E893" s="33"/>
      <c r="F893" s="33"/>
      <c r="G893" s="33"/>
      <c r="H893" s="33"/>
    </row>
    <row r="894" spans="5:8">
      <c r="E894" s="33"/>
      <c r="F894" s="33"/>
      <c r="G894" s="33"/>
      <c r="H894" s="33"/>
    </row>
    <row r="895" spans="5:8">
      <c r="E895" s="33"/>
      <c r="F895" s="33"/>
      <c r="G895" s="33"/>
      <c r="H895" s="33"/>
    </row>
    <row r="896" spans="5:8">
      <c r="E896" s="33"/>
      <c r="F896" s="33"/>
      <c r="G896" s="33"/>
      <c r="H896" s="33"/>
    </row>
    <row r="897" spans="5:8">
      <c r="E897" s="33"/>
      <c r="F897" s="33"/>
      <c r="G897" s="33"/>
      <c r="H897" s="33"/>
    </row>
    <row r="898" spans="5:8">
      <c r="E898" s="33"/>
      <c r="F898" s="33"/>
      <c r="G898" s="33"/>
      <c r="H898" s="33"/>
    </row>
    <row r="899" spans="5:8">
      <c r="E899" s="33"/>
      <c r="F899" s="33"/>
      <c r="G899" s="33"/>
      <c r="H899" s="33"/>
    </row>
    <row r="900" spans="5:8">
      <c r="E900" s="33"/>
      <c r="F900" s="33"/>
      <c r="G900" s="33"/>
      <c r="H900" s="33"/>
    </row>
    <row r="901" spans="5:8">
      <c r="E901" s="33"/>
      <c r="F901" s="33"/>
      <c r="G901" s="33"/>
      <c r="H901" s="33"/>
    </row>
    <row r="902" spans="5:8">
      <c r="E902" s="33"/>
      <c r="F902" s="33"/>
      <c r="G902" s="33"/>
      <c r="H902" s="33"/>
    </row>
    <row r="903" spans="5:8">
      <c r="E903" s="33"/>
      <c r="F903" s="33"/>
      <c r="G903" s="33"/>
      <c r="H903" s="33"/>
    </row>
    <row r="904" spans="5:8">
      <c r="E904" s="33"/>
      <c r="F904" s="33"/>
      <c r="G904" s="33"/>
      <c r="H904" s="33"/>
    </row>
    <row r="905" spans="5:8">
      <c r="E905" s="33"/>
      <c r="F905" s="33"/>
      <c r="G905" s="33"/>
      <c r="H905" s="33"/>
    </row>
    <row r="906" spans="5:8">
      <c r="E906" s="33"/>
      <c r="F906" s="33"/>
      <c r="G906" s="33"/>
      <c r="H906" s="33"/>
    </row>
    <row r="907" spans="5:8">
      <c r="E907" s="33"/>
      <c r="F907" s="33"/>
      <c r="G907" s="33"/>
      <c r="H907" s="33"/>
    </row>
    <row r="908" spans="5:8">
      <c r="E908" s="33"/>
      <c r="F908" s="33"/>
      <c r="G908" s="33"/>
      <c r="H908" s="33"/>
    </row>
    <row r="909" spans="5:8">
      <c r="E909" s="33"/>
      <c r="F909" s="33"/>
      <c r="G909" s="33"/>
      <c r="H909" s="33"/>
    </row>
    <row r="910" spans="5:8">
      <c r="E910" s="33"/>
      <c r="F910" s="33"/>
      <c r="G910" s="33"/>
      <c r="H910" s="33"/>
    </row>
    <row r="911" spans="5:8">
      <c r="E911" s="33"/>
      <c r="F911" s="33"/>
      <c r="G911" s="33"/>
      <c r="H911" s="33"/>
    </row>
    <row r="912" spans="5:8">
      <c r="E912" s="33"/>
      <c r="F912" s="33"/>
      <c r="G912" s="33"/>
      <c r="H912" s="33"/>
    </row>
    <row r="913" spans="5:8">
      <c r="E913" s="33"/>
      <c r="F913" s="33"/>
      <c r="G913" s="33"/>
      <c r="H913" s="33"/>
    </row>
    <row r="914" spans="5:8">
      <c r="E914" s="33"/>
      <c r="F914" s="33"/>
      <c r="G914" s="33"/>
      <c r="H914" s="33"/>
    </row>
    <row r="915" spans="5:8">
      <c r="E915" s="33"/>
      <c r="F915" s="33"/>
      <c r="G915" s="33"/>
      <c r="H915" s="33"/>
    </row>
    <row r="916" spans="5:8">
      <c r="E916" s="33"/>
      <c r="F916" s="33"/>
      <c r="G916" s="33"/>
      <c r="H916" s="33"/>
    </row>
    <row r="917" spans="5:8">
      <c r="E917" s="33"/>
      <c r="F917" s="33"/>
      <c r="G917" s="33"/>
      <c r="H917" s="33"/>
    </row>
    <row r="918" spans="5:8">
      <c r="E918" s="33"/>
      <c r="F918" s="33"/>
      <c r="G918" s="33"/>
      <c r="H918" s="33"/>
    </row>
    <row r="919" spans="5:8">
      <c r="E919" s="33"/>
      <c r="F919" s="33"/>
      <c r="G919" s="33"/>
      <c r="H919" s="33"/>
    </row>
    <row r="920" spans="5:8">
      <c r="E920" s="33"/>
      <c r="F920" s="33"/>
      <c r="G920" s="33"/>
      <c r="H920" s="33"/>
    </row>
    <row r="921" spans="5:8">
      <c r="E921" s="33"/>
      <c r="F921" s="33"/>
      <c r="G921" s="33"/>
      <c r="H921" s="33"/>
    </row>
    <row r="922" spans="5:8">
      <c r="E922" s="33"/>
      <c r="F922" s="33"/>
      <c r="G922" s="33"/>
      <c r="H922" s="33"/>
    </row>
    <row r="923" spans="5:8">
      <c r="E923" s="33"/>
      <c r="F923" s="33"/>
      <c r="G923" s="33"/>
      <c r="H923" s="33"/>
    </row>
    <row r="924" spans="5:8">
      <c r="E924" s="33"/>
      <c r="F924" s="33"/>
      <c r="G924" s="33"/>
      <c r="H924" s="33"/>
    </row>
    <row r="925" spans="5:8">
      <c r="E925" s="33"/>
      <c r="F925" s="33"/>
      <c r="G925" s="33"/>
      <c r="H925" s="33"/>
    </row>
    <row r="926" spans="5:8">
      <c r="E926" s="33"/>
      <c r="F926" s="33"/>
      <c r="G926" s="33"/>
      <c r="H926" s="33"/>
    </row>
    <row r="927" spans="5:8">
      <c r="E927" s="33"/>
      <c r="F927" s="33"/>
      <c r="G927" s="33"/>
      <c r="H927" s="33"/>
    </row>
    <row r="928" spans="5:8">
      <c r="E928" s="33"/>
      <c r="F928" s="33"/>
      <c r="G928" s="33"/>
      <c r="H928" s="33"/>
    </row>
    <row r="929" spans="5:8">
      <c r="E929" s="33"/>
      <c r="F929" s="33"/>
      <c r="G929" s="33"/>
      <c r="H929" s="33"/>
    </row>
    <row r="930" spans="5:8">
      <c r="E930" s="33"/>
      <c r="F930" s="33"/>
      <c r="G930" s="33"/>
      <c r="H930" s="33"/>
    </row>
    <row r="931" spans="5:8">
      <c r="E931" s="33"/>
      <c r="F931" s="33"/>
      <c r="G931" s="33"/>
      <c r="H931" s="33"/>
    </row>
    <row r="932" spans="5:8">
      <c r="E932" s="33"/>
      <c r="F932" s="33"/>
      <c r="G932" s="33"/>
      <c r="H932" s="33"/>
    </row>
    <row r="933" spans="5:8">
      <c r="E933" s="33"/>
      <c r="F933" s="33"/>
      <c r="G933" s="33"/>
      <c r="H933" s="33"/>
    </row>
    <row r="934" spans="5:8">
      <c r="E934" s="33"/>
      <c r="F934" s="33"/>
      <c r="G934" s="33"/>
      <c r="H934" s="33"/>
    </row>
    <row r="935" spans="5:8">
      <c r="E935" s="33"/>
      <c r="F935" s="33"/>
      <c r="G935" s="33"/>
      <c r="H935" s="33"/>
    </row>
    <row r="936" spans="5:8">
      <c r="E936" s="33"/>
      <c r="F936" s="33"/>
      <c r="G936" s="33"/>
      <c r="H936" s="33"/>
    </row>
    <row r="937" spans="5:8">
      <c r="E937" s="33"/>
      <c r="F937" s="33"/>
      <c r="G937" s="33"/>
      <c r="H937" s="33"/>
    </row>
    <row r="938" spans="5:8">
      <c r="E938" s="33"/>
      <c r="F938" s="33"/>
      <c r="G938" s="33"/>
      <c r="H938" s="33"/>
    </row>
    <row r="939" spans="5:8">
      <c r="E939" s="33"/>
      <c r="F939" s="33"/>
      <c r="G939" s="33"/>
      <c r="H939" s="33"/>
    </row>
    <row r="940" spans="5:8">
      <c r="E940" s="33"/>
      <c r="F940" s="33"/>
      <c r="G940" s="33"/>
      <c r="H940" s="33"/>
    </row>
    <row r="941" spans="5:8">
      <c r="E941" s="33"/>
      <c r="F941" s="33"/>
      <c r="G941" s="33"/>
      <c r="H941" s="33"/>
    </row>
    <row r="942" spans="5:8">
      <c r="E942" s="33"/>
      <c r="F942" s="33"/>
      <c r="G942" s="33"/>
      <c r="H942" s="33"/>
    </row>
    <row r="943" spans="5:8">
      <c r="E943" s="33"/>
      <c r="F943" s="33"/>
      <c r="G943" s="33"/>
      <c r="H943" s="33"/>
    </row>
    <row r="944" spans="5:8">
      <c r="E944" s="33"/>
      <c r="F944" s="33"/>
      <c r="G944" s="33"/>
      <c r="H944" s="33"/>
    </row>
    <row r="945" spans="5:8">
      <c r="E945" s="33"/>
      <c r="F945" s="33"/>
      <c r="G945" s="33"/>
      <c r="H945" s="33"/>
    </row>
    <row r="946" spans="5:8">
      <c r="E946" s="33"/>
      <c r="F946" s="33"/>
      <c r="G946" s="33"/>
      <c r="H946" s="33"/>
    </row>
    <row r="947" spans="5:8">
      <c r="E947" s="33"/>
      <c r="F947" s="33"/>
      <c r="G947" s="33"/>
      <c r="H947" s="33"/>
    </row>
    <row r="948" spans="5:8">
      <c r="E948" s="33"/>
      <c r="F948" s="33"/>
      <c r="G948" s="33"/>
      <c r="H948" s="33"/>
    </row>
    <row r="949" spans="5:8">
      <c r="E949" s="33"/>
      <c r="F949" s="33"/>
      <c r="G949" s="33"/>
      <c r="H949" s="33"/>
    </row>
    <row r="950" spans="5:8">
      <c r="E950" s="33"/>
      <c r="F950" s="33"/>
      <c r="G950" s="33"/>
      <c r="H950" s="33"/>
    </row>
    <row r="951" spans="5:8">
      <c r="E951" s="33"/>
      <c r="F951" s="33"/>
      <c r="G951" s="33"/>
      <c r="H951" s="33"/>
    </row>
    <row r="952" spans="5:8">
      <c r="E952" s="33"/>
      <c r="F952" s="33"/>
      <c r="G952" s="33"/>
      <c r="H952" s="33"/>
    </row>
    <row r="953" spans="5:8">
      <c r="E953" s="33"/>
      <c r="F953" s="33"/>
      <c r="G953" s="33"/>
      <c r="H953" s="33"/>
    </row>
    <row r="954" spans="5:8">
      <c r="E954" s="33"/>
      <c r="F954" s="33"/>
      <c r="G954" s="33"/>
      <c r="H954" s="33"/>
    </row>
    <row r="955" spans="5:8">
      <c r="E955" s="33"/>
      <c r="F955" s="33"/>
      <c r="G955" s="33"/>
      <c r="H955" s="33"/>
    </row>
    <row r="956" spans="5:8">
      <c r="E956" s="33"/>
      <c r="F956" s="33"/>
      <c r="G956" s="33"/>
      <c r="H956" s="33"/>
    </row>
    <row r="957" spans="5:8">
      <c r="E957" s="33"/>
      <c r="F957" s="33"/>
      <c r="G957" s="33"/>
      <c r="H957" s="33"/>
    </row>
    <row r="958" spans="5:8">
      <c r="E958" s="33"/>
      <c r="F958" s="33"/>
      <c r="G958" s="33"/>
      <c r="H958" s="33"/>
    </row>
    <row r="959" spans="5:8">
      <c r="E959" s="33"/>
      <c r="F959" s="33"/>
      <c r="G959" s="33"/>
      <c r="H959" s="33"/>
    </row>
    <row r="960" spans="5:8">
      <c r="E960" s="33"/>
      <c r="F960" s="33"/>
      <c r="G960" s="33"/>
      <c r="H960" s="33"/>
    </row>
    <row r="961" spans="5:8">
      <c r="E961" s="33"/>
      <c r="F961" s="33"/>
      <c r="G961" s="33"/>
      <c r="H961" s="33"/>
    </row>
    <row r="962" spans="5:8">
      <c r="E962" s="33"/>
      <c r="F962" s="33"/>
      <c r="G962" s="33"/>
      <c r="H962" s="33"/>
    </row>
    <row r="963" spans="5:8">
      <c r="E963" s="33"/>
      <c r="F963" s="33"/>
      <c r="G963" s="33"/>
      <c r="H963" s="33"/>
    </row>
    <row r="964" spans="5:8">
      <c r="E964" s="33"/>
      <c r="F964" s="33"/>
      <c r="G964" s="33"/>
      <c r="H964" s="33"/>
    </row>
    <row r="965" spans="5:8">
      <c r="E965" s="33"/>
      <c r="F965" s="33"/>
      <c r="G965" s="33"/>
      <c r="H965" s="33"/>
    </row>
    <row r="966" spans="5:8">
      <c r="E966" s="33"/>
      <c r="F966" s="33"/>
      <c r="G966" s="33"/>
      <c r="H966" s="3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9"/>
  <sheetViews>
    <sheetView workbookViewId="0">
      <selection activeCell="D16" sqref="D16"/>
    </sheetView>
  </sheetViews>
  <sheetFormatPr defaultColWidth="12.5703125" defaultRowHeight="15" customHeight="1"/>
  <cols>
    <col min="1" max="16384" width="12.5703125" style="24"/>
  </cols>
  <sheetData>
    <row r="1" spans="1:13" ht="15.75">
      <c r="A1" s="20" t="s">
        <v>264</v>
      </c>
      <c r="C1" s="21" t="s">
        <v>265</v>
      </c>
      <c r="J1" s="20"/>
      <c r="M1" s="22"/>
    </row>
    <row r="2" spans="1:13" ht="15.75">
      <c r="C2" s="21"/>
      <c r="J2" s="20"/>
      <c r="M2" s="22"/>
    </row>
    <row r="3" spans="1:13" ht="15.75">
      <c r="C3" s="21"/>
      <c r="J3" s="20"/>
      <c r="M3" s="22"/>
    </row>
    <row r="4" spans="1:13" ht="15" customHeight="1">
      <c r="A4" s="21"/>
      <c r="B4" s="103" t="s">
        <v>367</v>
      </c>
    </row>
    <row r="5" spans="1:13" ht="15" customHeight="1">
      <c r="A5" s="21"/>
      <c r="B5" s="21" t="s">
        <v>406</v>
      </c>
    </row>
    <row r="6" spans="1:13" ht="15" customHeight="1">
      <c r="A6" s="23"/>
      <c r="J6" s="23"/>
    </row>
    <row r="7" spans="1:13" ht="15" customHeight="1">
      <c r="A7" s="23"/>
      <c r="B7" s="103"/>
      <c r="J7" s="23"/>
    </row>
    <row r="8" spans="1:13" ht="15" customHeight="1">
      <c r="A8" s="23"/>
      <c r="B8" s="21" t="s">
        <v>368</v>
      </c>
      <c r="J8" s="23"/>
    </row>
    <row r="9" spans="1:13" ht="15" customHeight="1">
      <c r="A9" s="23"/>
      <c r="J9" s="23"/>
    </row>
    <row r="10" spans="1:13" ht="15" customHeight="1">
      <c r="A10" s="23"/>
      <c r="J10" s="23"/>
    </row>
    <row r="12" spans="1:13">
      <c r="A12" s="20" t="s">
        <v>266</v>
      </c>
    </row>
    <row r="14" spans="1:13" ht="15" customHeight="1">
      <c r="A14" s="21" t="s">
        <v>267</v>
      </c>
    </row>
    <row r="17" spans="1:10" ht="15" customHeight="1">
      <c r="A17" s="20" t="s">
        <v>268</v>
      </c>
    </row>
    <row r="18" spans="1:10" ht="15" customHeight="1">
      <c r="A18" s="23"/>
      <c r="J18" s="23"/>
    </row>
    <row r="19" spans="1:10" ht="15" customHeight="1">
      <c r="A19" s="21" t="s">
        <v>269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LiD Calculator</vt:lpstr>
      <vt:lpstr>Decals</vt:lpstr>
      <vt:lpstr>Fighters</vt:lpstr>
      <vt:lpstr>Weapons</vt:lpstr>
      <vt:lpstr>Weapon Moves</vt:lpstr>
      <vt:lpstr>Lists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Mascoutah Yard</dc:creator>
  <cp:lastModifiedBy>Mascoutah Yard</cp:lastModifiedBy>
  <dcterms:created xsi:type="dcterms:W3CDTF">2025-11-12T13:57:32Z</dcterms:created>
  <dcterms:modified xsi:type="dcterms:W3CDTF">2025-11-21T20:50:52Z</dcterms:modified>
</cp:coreProperties>
</file>