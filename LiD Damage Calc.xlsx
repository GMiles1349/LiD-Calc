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surmeier-my.sharepoint.com/personal/mascoutah_surmeier_com/Documents/Desktop/Useful Documents/Projects/"/>
    </mc:Choice>
  </mc:AlternateContent>
  <xr:revisionPtr revIDLastSave="109" documentId="11_8553CDACC7550BBEDDBDCDB16F855A7CD9EB238D" xr6:coauthVersionLast="47" xr6:coauthVersionMax="47" xr10:uidLastSave="{04DD12F4-2B4C-42F9-98E2-22150E2B2B19}"/>
  <bookViews>
    <workbookView xWindow="-120" yWindow="-120" windowWidth="29040" windowHeight="15840" activeTab="3" xr2:uid="{00000000-000D-0000-FFFF-FFFF00000000}"/>
  </bookViews>
  <sheets>
    <sheet name="LiD Calculator" sheetId="1" r:id="rId1"/>
    <sheet name="Decals" sheetId="2" r:id="rId2"/>
    <sheet name="Lists" sheetId="3" r:id="rId3"/>
    <sheet name="Notes" sheetId="4" r:id="rId4"/>
    <sheet name="Readme" sheetId="5" r:id="rId5"/>
  </sheets>
  <definedNames>
    <definedName name="_xlnm._FilterDatabase" localSheetId="1" hidden="1">Decals!$A$1:$S$178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YLD8iuuatnypr0BgccKy1LA7xpobRz7VyycG6gyqw5I="/>
    </ext>
  </extLst>
</workbook>
</file>

<file path=xl/calcChain.xml><?xml version="1.0" encoding="utf-8"?>
<calcChain xmlns="http://schemas.openxmlformats.org/spreadsheetml/2006/main">
  <c r="P18" i="1" l="1"/>
  <c r="P17" i="1"/>
  <c r="P16" i="1"/>
  <c r="P15" i="1"/>
  <c r="P14" i="1"/>
  <c r="P13" i="1"/>
  <c r="P12" i="1"/>
  <c r="P11" i="1"/>
  <c r="P10" i="1"/>
  <c r="O18" i="1"/>
  <c r="O17" i="1"/>
  <c r="O16" i="1"/>
  <c r="O15" i="1"/>
  <c r="O14" i="1"/>
  <c r="O13" i="1"/>
  <c r="O12" i="1"/>
  <c r="O11" i="1"/>
  <c r="O10" i="1"/>
  <c r="N18" i="1"/>
  <c r="N17" i="1"/>
  <c r="N16" i="1"/>
  <c r="N15" i="1"/>
  <c r="N14" i="1"/>
  <c r="N13" i="1"/>
  <c r="N12" i="1"/>
  <c r="N11" i="1"/>
  <c r="N10" i="1"/>
  <c r="M18" i="1"/>
  <c r="M17" i="1"/>
  <c r="M16" i="1"/>
  <c r="M15" i="1"/>
  <c r="M14" i="1"/>
  <c r="M13" i="1"/>
  <c r="M12" i="1"/>
  <c r="M11" i="1"/>
  <c r="M10" i="1"/>
  <c r="L18" i="1"/>
  <c r="L17" i="1"/>
  <c r="L16" i="1"/>
  <c r="L15" i="1"/>
  <c r="L14" i="1"/>
  <c r="L13" i="1"/>
  <c r="L12" i="1"/>
  <c r="L11" i="1"/>
  <c r="L10" i="1"/>
  <c r="K18" i="1"/>
  <c r="K17" i="1"/>
  <c r="K16" i="1"/>
  <c r="K15" i="1"/>
  <c r="K14" i="1"/>
  <c r="K13" i="1"/>
  <c r="K12" i="1"/>
  <c r="K11" i="1"/>
  <c r="K10" i="1"/>
  <c r="J18" i="1"/>
  <c r="J17" i="1"/>
  <c r="J16" i="1"/>
  <c r="J15" i="1"/>
  <c r="J14" i="1"/>
  <c r="J13" i="1"/>
  <c r="J12" i="1"/>
  <c r="J11" i="1"/>
  <c r="J10" i="1"/>
  <c r="I18" i="1"/>
  <c r="I17" i="1"/>
  <c r="I16" i="1"/>
  <c r="I15" i="1"/>
  <c r="I14" i="1"/>
  <c r="I13" i="1"/>
  <c r="I12" i="1"/>
  <c r="I11" i="1"/>
  <c r="I10" i="1"/>
  <c r="H18" i="1"/>
  <c r="H17" i="1"/>
  <c r="H16" i="1"/>
  <c r="H15" i="1"/>
  <c r="H14" i="1"/>
  <c r="H13" i="1"/>
  <c r="H12" i="1"/>
  <c r="H11" i="1"/>
  <c r="H10" i="1"/>
  <c r="G18" i="1"/>
  <c r="G17" i="1"/>
  <c r="G16" i="1"/>
  <c r="G15" i="1"/>
  <c r="G14" i="1"/>
  <c r="G13" i="1"/>
  <c r="G12" i="1"/>
  <c r="G11" i="1"/>
  <c r="G10" i="1"/>
  <c r="F18" i="1"/>
  <c r="F17" i="1"/>
  <c r="F16" i="1"/>
  <c r="F15" i="1"/>
  <c r="F14" i="1"/>
  <c r="F13" i="1"/>
  <c r="F12" i="1"/>
  <c r="F11" i="1"/>
  <c r="F10" i="1"/>
  <c r="E18" i="1"/>
  <c r="E17" i="1"/>
  <c r="E16" i="1"/>
  <c r="E15" i="1"/>
  <c r="E14" i="1"/>
  <c r="E13" i="1"/>
  <c r="E12" i="1"/>
  <c r="E10" i="1"/>
  <c r="E11" i="1"/>
  <c r="A25" i="1" l="1"/>
  <c r="A28" i="1"/>
  <c r="D25" i="1"/>
  <c r="Q18" i="1"/>
  <c r="Q12" i="1"/>
  <c r="G22" i="1" s="1"/>
  <c r="K22" i="1"/>
  <c r="Q11" i="1"/>
  <c r="Q17" i="1"/>
  <c r="Q16" i="1"/>
  <c r="Q14" i="1"/>
  <c r="D22" i="1" s="1"/>
  <c r="Q10" i="1"/>
  <c r="C22" i="1" s="1"/>
  <c r="O22" i="1"/>
  <c r="I22" i="1"/>
  <c r="N22" i="1"/>
  <c r="H22" i="1"/>
  <c r="B22" i="1"/>
  <c r="M22" i="1"/>
  <c r="L22" i="1"/>
  <c r="F22" i="1"/>
  <c r="Q13" i="1"/>
  <c r="Q15" i="1"/>
  <c r="D28" i="1"/>
  <c r="J22" i="1"/>
  <c r="E22" i="1"/>
  <c r="A22" i="1" l="1"/>
  <c r="P22" i="1" s="1"/>
  <c r="E30" i="1" s="1"/>
  <c r="E31" i="1" l="1"/>
  <c r="E32" i="1" s="1"/>
  <c r="E33" i="1"/>
  <c r="E34" i="1" s="1"/>
</calcChain>
</file>

<file path=xl/sharedStrings.xml><?xml version="1.0" encoding="utf-8"?>
<sst xmlns="http://schemas.openxmlformats.org/spreadsheetml/2006/main" count="423" uniqueCount="291">
  <si>
    <t>Stats</t>
  </si>
  <si>
    <t>ATK</t>
  </si>
  <si>
    <t>BASE CRIT %</t>
  </si>
  <si>
    <t>WEAPON TYPE</t>
  </si>
  <si>
    <t>Assault Rifle</t>
  </si>
  <si>
    <t>RAW TYPE</t>
  </si>
  <si>
    <t>Piercing</t>
  </si>
  <si>
    <t>%</t>
  </si>
  <si>
    <t>ELEMENT TYPE</t>
  </si>
  <si>
    <t>None</t>
  </si>
  <si>
    <t>HEADSHOT MULTI</t>
  </si>
  <si>
    <t>Decals</t>
  </si>
  <si>
    <t>Name</t>
  </si>
  <si>
    <t>A GRP</t>
  </si>
  <si>
    <t>C GRP</t>
  </si>
  <si>
    <t>REQ WEP</t>
  </si>
  <si>
    <t>REQ DAM TYPE</t>
  </si>
  <si>
    <t>REQ ELE</t>
  </si>
  <si>
    <t>REQ FAC</t>
  </si>
  <si>
    <t>ATK *</t>
  </si>
  <si>
    <t>ATK 2 *</t>
  </si>
  <si>
    <t>HS *</t>
  </si>
  <si>
    <t>CRIT %</t>
  </si>
  <si>
    <t>CRIT *</t>
  </si>
  <si>
    <t>EXPLOSIVE</t>
  </si>
  <si>
    <t>APPLICABLE MUL</t>
  </si>
  <si>
    <t>Professional Cosplayer</t>
  </si>
  <si>
    <t>Joker</t>
  </si>
  <si>
    <t>Barbarian</t>
  </si>
  <si>
    <t>Critical Attack</t>
  </si>
  <si>
    <t>Assault Rifle Addict</t>
  </si>
  <si>
    <t>Golden Gym</t>
  </si>
  <si>
    <t>Five-leaf Clover</t>
  </si>
  <si>
    <t>Serial Killer</t>
  </si>
  <si>
    <t>ATK DECAL GROUP SUMS</t>
  </si>
  <si>
    <t>FINAL ATK MULTIPLIER</t>
  </si>
  <si>
    <t>EXPLOSIVE MULTIPLIER</t>
  </si>
  <si>
    <t>HEADSHOT MULTIPLIER</t>
  </si>
  <si>
    <t>CRITICAL CHANCE</t>
  </si>
  <si>
    <t>CRIT DMG MULTIPLIER</t>
  </si>
  <si>
    <t>FINAL NON-CRIT ATTACK</t>
  </si>
  <si>
    <t>FINAL CRIT ATTACK</t>
  </si>
  <si>
    <t>FINAL AVG ATTACK</t>
  </si>
  <si>
    <t>FINAL NON-CRIT HEADSHOT</t>
  </si>
  <si>
    <t>FINAL CRIT HEADSHOT</t>
  </si>
  <si>
    <t>NAME</t>
  </si>
  <si>
    <t>RAGE DMG *</t>
  </si>
  <si>
    <t>HP &lt;= 15%</t>
  </si>
  <si>
    <t>HP 100%</t>
  </si>
  <si>
    <t>DOWN ATK *</t>
  </si>
  <si>
    <t>REQS</t>
  </si>
  <si>
    <t>Comments</t>
  </si>
  <si>
    <t>Super Hero</t>
  </si>
  <si>
    <t>Legendary Hero</t>
  </si>
  <si>
    <t>Bull</t>
  </si>
  <si>
    <t>Raging Bull</t>
  </si>
  <si>
    <t>Dumbbell</t>
  </si>
  <si>
    <t>Barbell</t>
  </si>
  <si>
    <t>Judge's Gavel</t>
  </si>
  <si>
    <t>One Shot One Kill</t>
  </si>
  <si>
    <t>Dual Wielding Master</t>
  </si>
  <si>
    <t>Master Builder</t>
  </si>
  <si>
    <t>DOD</t>
  </si>
  <si>
    <t>Drill Sergeant</t>
  </si>
  <si>
    <t>WE</t>
  </si>
  <si>
    <t>Wizard</t>
  </si>
  <si>
    <t>CW</t>
  </si>
  <si>
    <t>Medalist</t>
  </si>
  <si>
    <t>MILK</t>
  </si>
  <si>
    <t>Samurai</t>
  </si>
  <si>
    <t>Slash</t>
  </si>
  <si>
    <t>Slugger</t>
  </si>
  <si>
    <t>Blunt</t>
  </si>
  <si>
    <t>Firestarter</t>
  </si>
  <si>
    <t>Fire</t>
  </si>
  <si>
    <t>Electrifier</t>
  </si>
  <si>
    <t>Electric</t>
  </si>
  <si>
    <t>Hornet</t>
  </si>
  <si>
    <t>Poison</t>
  </si>
  <si>
    <t>Giant Killer</t>
  </si>
  <si>
    <t>Four-leaf Clover</t>
  </si>
  <si>
    <t>Superalloy</t>
  </si>
  <si>
    <t>Dengeki Playstation</t>
  </si>
  <si>
    <t>Self-Defense</t>
  </si>
  <si>
    <t>Hammer Addict</t>
  </si>
  <si>
    <t>Hammer</t>
  </si>
  <si>
    <t>Machete Addict</t>
  </si>
  <si>
    <t>Machete</t>
  </si>
  <si>
    <t>Saber Addict</t>
  </si>
  <si>
    <t>Saber</t>
  </si>
  <si>
    <t>Fireworks Addict</t>
  </si>
  <si>
    <t>Fireworks</t>
  </si>
  <si>
    <t>Trump Card</t>
  </si>
  <si>
    <t>Iron Addict</t>
  </si>
  <si>
    <t>Iron</t>
  </si>
  <si>
    <t>Crossbow Addict</t>
  </si>
  <si>
    <t>Crossbow</t>
  </si>
  <si>
    <t>Katana Addict</t>
  </si>
  <si>
    <t>Katana</t>
  </si>
  <si>
    <t>Hockey Addict</t>
  </si>
  <si>
    <t>Hockey Stick</t>
  </si>
  <si>
    <t>Panther Mode</t>
  </si>
  <si>
    <t>Jupiter Style</t>
  </si>
  <si>
    <t>Slash, Blunt</t>
  </si>
  <si>
    <t>Durga Angel</t>
  </si>
  <si>
    <t>Crowd Pleaser</t>
  </si>
  <si>
    <t>Cerberus</t>
  </si>
  <si>
    <t>Trigger Happy</t>
  </si>
  <si>
    <t>HP 100%: Requires Assault Rife</t>
  </si>
  <si>
    <t>Tiger II</t>
  </si>
  <si>
    <t>Chi-Ha</t>
  </si>
  <si>
    <t>T95E2</t>
  </si>
  <si>
    <t>INVADER (WoT)</t>
  </si>
  <si>
    <t>Full Metal Jacket</t>
  </si>
  <si>
    <t>Sniper Rifle</t>
  </si>
  <si>
    <t>Hagakure</t>
  </si>
  <si>
    <t>Buzzsaw Addict</t>
  </si>
  <si>
    <t>Buzzsaw</t>
  </si>
  <si>
    <t>Magnum Addict</t>
  </si>
  <si>
    <t>Magnum</t>
  </si>
  <si>
    <t>Sword Addict</t>
  </si>
  <si>
    <t>Sword</t>
  </si>
  <si>
    <t>Poison Master</t>
  </si>
  <si>
    <t>Sniper Rifle Addict</t>
  </si>
  <si>
    <t>Chopper Addict</t>
  </si>
  <si>
    <t>Chopper</t>
  </si>
  <si>
    <t>Claw Addict</t>
  </si>
  <si>
    <t>Claw</t>
  </si>
  <si>
    <t>Night Assassin</t>
  </si>
  <si>
    <t>Knife</t>
  </si>
  <si>
    <t>Knife Addict</t>
  </si>
  <si>
    <t>Chainsaw Addict</t>
  </si>
  <si>
    <t>Chainsaw</t>
  </si>
  <si>
    <t>Pitching Addict</t>
  </si>
  <si>
    <t>Pitching</t>
  </si>
  <si>
    <t>Pinch Hitter</t>
  </si>
  <si>
    <t>Bat</t>
  </si>
  <si>
    <t>Bowling Addict</t>
  </si>
  <si>
    <t>Bowling Ball</t>
  </si>
  <si>
    <t>Bat Addict</t>
  </si>
  <si>
    <t>Rocket Launcher Addict</t>
  </si>
  <si>
    <t>Rocket Launcher</t>
  </si>
  <si>
    <t>Con Smith</t>
  </si>
  <si>
    <t>Samantha</t>
  </si>
  <si>
    <t>Kevin Smith</t>
  </si>
  <si>
    <t>Dan Smith</t>
  </si>
  <si>
    <t>KAEDE Smith</t>
  </si>
  <si>
    <t>Mask De Smith</t>
  </si>
  <si>
    <t>Garcian Smith</t>
  </si>
  <si>
    <t>Pickaxe Addict</t>
  </si>
  <si>
    <t>Pickaxe</t>
  </si>
  <si>
    <t>Axe Addict</t>
  </si>
  <si>
    <t>Axe</t>
  </si>
  <si>
    <t>Shotgun Addict</t>
  </si>
  <si>
    <t>Shotgun</t>
  </si>
  <si>
    <t>Hammerhead</t>
  </si>
  <si>
    <t>Gravedigger</t>
  </si>
  <si>
    <t>Shovel</t>
  </si>
  <si>
    <t>Corkscrew Punch</t>
  </si>
  <si>
    <t>Boxing Gloves</t>
  </si>
  <si>
    <t>Boxing Addict</t>
  </si>
  <si>
    <t>Fire Baton Addict</t>
  </si>
  <si>
    <t>Fire Baton</t>
  </si>
  <si>
    <t>Drill Addict</t>
  </si>
  <si>
    <t>Drill</t>
  </si>
  <si>
    <t>Thunder Road</t>
  </si>
  <si>
    <t>Motorcycle</t>
  </si>
  <si>
    <t>Vigilante</t>
  </si>
  <si>
    <t>Fire Rod Addict</t>
  </si>
  <si>
    <t>Fire Rod</t>
  </si>
  <si>
    <t>Motorcycle Addict</t>
  </si>
  <si>
    <t>Welding Gun Addict</t>
  </si>
  <si>
    <t>Welding Gun</t>
  </si>
  <si>
    <t>Don Quixote</t>
  </si>
  <si>
    <t>Drill Mole</t>
  </si>
  <si>
    <t>Nail Gun Addict</t>
  </si>
  <si>
    <t>Nail Gun</t>
  </si>
  <si>
    <t>Shovel Addict</t>
  </si>
  <si>
    <t>Flamethrower Addict</t>
  </si>
  <si>
    <t>Flamethrower</t>
  </si>
  <si>
    <t>Flashdance</t>
  </si>
  <si>
    <t>ANGRY MAMA</t>
  </si>
  <si>
    <t>Death Hunt</t>
  </si>
  <si>
    <t>Requires Shotgun</t>
  </si>
  <si>
    <t>Stun Rod Addict</t>
  </si>
  <si>
    <t>Stun Rod</t>
  </si>
  <si>
    <t>Shuriken Addict</t>
  </si>
  <si>
    <t>Shuriken</t>
  </si>
  <si>
    <t>Thunder Rod Addict</t>
  </si>
  <si>
    <t>Thunder Rod</t>
  </si>
  <si>
    <t>TRAVIS TOUCHDOWN (NMH)</t>
  </si>
  <si>
    <t>Requires Machete</t>
  </si>
  <si>
    <t>SYLVIA CHRISTEL (NMH)</t>
  </si>
  <si>
    <t>Requires Full Matching Armor</t>
  </si>
  <si>
    <t>SHINOBU (NMH)</t>
  </si>
  <si>
    <t>Requires Katana</t>
  </si>
  <si>
    <t>SPEED BUSTER (NMH)</t>
  </si>
  <si>
    <t>Requires DOD</t>
  </si>
  <si>
    <t>DESTROYMAN (NMH)</t>
  </si>
  <si>
    <t>Requires Candle Wolf</t>
  </si>
  <si>
    <t>HOLLY SUMMERS (NMH)</t>
  </si>
  <si>
    <t>Requires War Ensemble</t>
  </si>
  <si>
    <t>BAD GIRL (NMH)</t>
  </si>
  <si>
    <t>Requires MILK</t>
  </si>
  <si>
    <t>HENRY (NMH)</t>
  </si>
  <si>
    <t>ATK 2: Perfect Guard</t>
  </si>
  <si>
    <t>Musketeer</t>
  </si>
  <si>
    <t>Lumberjack</t>
  </si>
  <si>
    <t>Bazooka Wake-Up</t>
  </si>
  <si>
    <t>ATK 2: Final Round</t>
  </si>
  <si>
    <t>Spear Addict</t>
  </si>
  <si>
    <t>Spear</t>
  </si>
  <si>
    <t>Warrior Monk</t>
  </si>
  <si>
    <t>Great Hero</t>
  </si>
  <si>
    <t>Requires Sword</t>
  </si>
  <si>
    <t>CENTER FORWARD</t>
  </si>
  <si>
    <t>Requires Hockey Stick</t>
  </si>
  <si>
    <t>Invader</t>
  </si>
  <si>
    <t>TDM Only</t>
  </si>
  <si>
    <t>Dragonfire</t>
  </si>
  <si>
    <t>Requires Flamethrower</t>
  </si>
  <si>
    <t>Jungle Tiger</t>
  </si>
  <si>
    <t>Flail Addict</t>
  </si>
  <si>
    <t>Flail</t>
  </si>
  <si>
    <t>Six-leaf Clover</t>
  </si>
  <si>
    <t>Salamander</t>
  </si>
  <si>
    <t>Requires Fire Rod</t>
  </si>
  <si>
    <t>Firewheel</t>
  </si>
  <si>
    <t>Perfect Closer</t>
  </si>
  <si>
    <t>Pitching Machine</t>
  </si>
  <si>
    <t>ATK 2: Random with Full Set</t>
  </si>
  <si>
    <t>Archery Addict</t>
  </si>
  <si>
    <t>Archer's Bow</t>
  </si>
  <si>
    <t>Local Butcher</t>
  </si>
  <si>
    <t>Niten Ichi-ryu</t>
  </si>
  <si>
    <t>Requires Dual Wield Same Weapon</t>
  </si>
  <si>
    <t>King of Coal</t>
  </si>
  <si>
    <t>Pro Bowler</t>
  </si>
  <si>
    <t>ATK 2: Random on Triple Strike</t>
  </si>
  <si>
    <t>Chimera</t>
  </si>
  <si>
    <t>TDM Defense Only</t>
  </si>
  <si>
    <t>Timber Addict</t>
  </si>
  <si>
    <t>Timber</t>
  </si>
  <si>
    <t>Bandit</t>
  </si>
  <si>
    <t>Stun Gun Addict</t>
  </si>
  <si>
    <t>Stun Gun</t>
  </si>
  <si>
    <t>Electric Bop</t>
  </si>
  <si>
    <t>Lion Dance Addict</t>
  </si>
  <si>
    <t>Lion Dance Knuckle</t>
  </si>
  <si>
    <t>Lion Man</t>
  </si>
  <si>
    <t>Requires Lion Dance Knuckle</t>
  </si>
  <si>
    <t>Billy the Kid</t>
  </si>
  <si>
    <t>Spin Master</t>
  </si>
  <si>
    <t>Requires Yo-Yo</t>
  </si>
  <si>
    <t>Yo-Yo Addict</t>
  </si>
  <si>
    <t>Yo-Yo</t>
  </si>
  <si>
    <t>Below the Belt</t>
  </si>
  <si>
    <t>Final Hero</t>
  </si>
  <si>
    <t>Superalloy Death Zam</t>
  </si>
  <si>
    <t>ATK 2: Enemy HP &gt;= 70%</t>
  </si>
  <si>
    <t>Rio Bravo</t>
  </si>
  <si>
    <t>Special Unit Captain</t>
  </si>
  <si>
    <t>Uncle-D2 (DEATHVERSE)</t>
  </si>
  <si>
    <t>Queen B (DEATHVERSE)</t>
  </si>
  <si>
    <t>Queen of the Wolves</t>
  </si>
  <si>
    <t>Blacksmith</t>
  </si>
  <si>
    <t>Violence Class</t>
  </si>
  <si>
    <t>Slash,Blunt</t>
  </si>
  <si>
    <t>Precocious Bouncer</t>
  </si>
  <si>
    <t>Poison General</t>
  </si>
  <si>
    <t>One Way Ticket</t>
  </si>
  <si>
    <t>Dog Day Afternoon</t>
  </si>
  <si>
    <t>Fire Angel</t>
  </si>
  <si>
    <t>Grand Master Builder</t>
  </si>
  <si>
    <t>Hellish Drill Sergeant</t>
  </si>
  <si>
    <t>Electro Beast</t>
  </si>
  <si>
    <t>Arch Wizard</t>
  </si>
  <si>
    <t>Queen Of Spades</t>
  </si>
  <si>
    <t>Platinum Medalist</t>
  </si>
  <si>
    <t>Magic Fencer</t>
  </si>
  <si>
    <t>Fire,Electric,Poison</t>
  </si>
  <si>
    <t>Requires (Blunt or Slash) + (Fire, Electric, or Poison)</t>
  </si>
  <si>
    <t>WEAPON TYPES</t>
  </si>
  <si>
    <t>LUK</t>
  </si>
  <si>
    <t>Crit Chance</t>
  </si>
  <si>
    <t>123+</t>
  </si>
  <si>
    <t>Attack Damage Formula</t>
  </si>
  <si>
    <t>(Current working formula. Will be changed as better information is gathered)</t>
  </si>
  <si>
    <t>ATK * FUN * Scale * Coeff * (1-RES)</t>
  </si>
  <si>
    <t>Link to Google Docs Readme file</t>
  </si>
  <si>
    <t>https://docs.google.com/document/d/1JzKXNbdBcInopx9EtC4c_uq9eNEvUGo-s86fAblIONI/edit?usp=drive_link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</si>
</sst>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2">
    <font>
      <sz val="11"/>
      <color theme="1"/>
      <name val="Aptos Narrow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rgb="FFFF0000"/>
      <name val="Aptos Narrow"/>
      <family val="2"/>
    </font>
    <font>
      <b/>
      <sz val="11"/>
      <color theme="0"/>
      <name val="Aptos Narrow"/>
      <family val="2"/>
    </font>
    <font>
      <b/>
      <sz val="11"/>
      <color theme="1"/>
      <name val="Serif"/>
    </font>
    <font>
      <b/>
      <sz val="11"/>
      <color theme="1"/>
      <name val="Arial"/>
      <family val="2"/>
    </font>
    <font>
      <b/>
      <sz val="11"/>
      <color rgb="FF000000"/>
      <name val="Sans-serif"/>
    </font>
    <font>
      <sz val="11"/>
      <color rgb="FF000000"/>
      <name val="Sans-serif"/>
    </font>
    <font>
      <b/>
      <u/>
      <sz val="11"/>
      <color rgb="FF000000"/>
      <name val="Sans-serif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u/>
      <sz val="11"/>
      <color theme="1"/>
      <name val="Arial"/>
      <family val="2"/>
    </font>
    <font>
      <i/>
      <sz val="11"/>
      <color theme="1"/>
      <name val="Arial"/>
      <family val="2"/>
    </font>
    <font>
      <i/>
      <sz val="12"/>
      <color theme="1"/>
      <name val="Arial"/>
      <family val="2"/>
    </font>
    <font>
      <sz val="11"/>
      <color theme="1"/>
      <name val="Arial"/>
      <family val="2"/>
    </font>
    <font>
      <b/>
      <i/>
      <sz val="11"/>
      <color theme="1"/>
      <name val="Arial"/>
      <family val="2"/>
    </font>
    <font>
      <b/>
      <i/>
      <sz val="11"/>
      <color theme="1"/>
      <name val="Aptos Narrow"/>
      <family val="2"/>
      <scheme val="minor"/>
    </font>
    <font>
      <u/>
      <sz val="11"/>
      <color rgb="FF467886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1A983"/>
        <bgColor rgb="FFF1A983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theme="4"/>
      </patternFill>
    </fill>
    <fill>
      <patternFill patternType="solid">
        <fgColor rgb="FFBF4F14"/>
        <bgColor rgb="FFBF4F14"/>
      </patternFill>
    </fill>
    <fill>
      <patternFill patternType="solid">
        <fgColor rgb="FFBFBFBF"/>
        <bgColor rgb="FFBFBFBF"/>
      </patternFill>
    </fill>
    <fill>
      <patternFill patternType="solid">
        <fgColor theme="1"/>
        <bgColor theme="1"/>
      </patternFill>
    </fill>
    <fill>
      <patternFill patternType="solid">
        <fgColor rgb="FFA6C9EB"/>
        <bgColor rgb="FFA6C9EB"/>
      </patternFill>
    </fill>
    <fill>
      <patternFill patternType="solid">
        <fgColor rgb="FFFF6464"/>
        <bgColor rgb="FFFF6464"/>
      </patternFill>
    </fill>
    <fill>
      <patternFill patternType="solid">
        <fgColor rgb="FFC1E4F5"/>
        <bgColor rgb="FFC1E4F5"/>
      </patternFill>
    </fill>
    <fill>
      <patternFill patternType="solid">
        <fgColor rgb="FFFFFFFF"/>
        <bgColor rgb="FFFFFFFF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E8E8E8"/>
      </right>
      <top style="thin">
        <color rgb="FFE8E8E8"/>
      </top>
      <bottom style="thin">
        <color rgb="FFE8E8E8"/>
      </bottom>
      <diagonal/>
    </border>
    <border>
      <left style="thin">
        <color rgb="FFE8E8E8"/>
      </left>
      <right style="thin">
        <color rgb="FFE8E8E8"/>
      </right>
      <top style="thin">
        <color rgb="FFE8E8E8"/>
      </top>
      <bottom style="thin">
        <color rgb="FFE8E8E8"/>
      </bottom>
      <diagonal/>
    </border>
    <border>
      <left/>
      <right/>
      <top/>
      <bottom style="medium">
        <color theme="1"/>
      </bottom>
      <diagonal/>
    </border>
    <border>
      <left/>
      <right style="thin">
        <color rgb="FFE8E8E8"/>
      </right>
      <top/>
      <bottom/>
      <diagonal/>
    </border>
    <border>
      <left style="thin">
        <color rgb="FFE8E8E8"/>
      </left>
      <right/>
      <top/>
      <bottom/>
      <diagonal/>
    </border>
    <border>
      <left/>
      <right/>
      <top style="medium">
        <color theme="1"/>
      </top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E8E8E8"/>
      </right>
      <top/>
      <bottom/>
      <diagonal/>
    </border>
    <border>
      <left style="thin">
        <color rgb="FFE8E8E8"/>
      </left>
      <right style="thin">
        <color rgb="FFE8E8E8"/>
      </right>
      <top/>
      <bottom style="thin">
        <color rgb="FFE8E8E8"/>
      </bottom>
      <diagonal/>
    </border>
    <border>
      <left/>
      <right style="thin">
        <color rgb="FFE8E8E8"/>
      </right>
      <top/>
      <bottom/>
      <diagonal/>
    </border>
    <border>
      <left style="thin">
        <color rgb="FFE8E8E8"/>
      </left>
      <right style="thin">
        <color rgb="FFE8E8E8"/>
      </right>
      <top/>
      <bottom/>
      <diagonal/>
    </border>
    <border>
      <left style="thin">
        <color rgb="FFE8E8E8"/>
      </left>
      <right style="thin">
        <color rgb="FFE8E8E8"/>
      </right>
      <top/>
      <bottom/>
      <diagonal/>
    </border>
    <border>
      <left style="thin">
        <color rgb="FFE8E8E8"/>
      </left>
      <right style="thin">
        <color rgb="FFE8E8E8"/>
      </right>
      <top style="thin">
        <color rgb="FFE8E8E8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double">
        <color rgb="FF000000"/>
      </top>
      <bottom/>
      <diagonal/>
    </border>
    <border>
      <left style="medium">
        <color rgb="FF000000"/>
      </left>
      <right/>
      <top style="thin">
        <color rgb="FF45B0E1"/>
      </top>
      <bottom/>
      <diagonal/>
    </border>
    <border>
      <left/>
      <right/>
      <top style="medium">
        <color rgb="FF000000"/>
      </top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1" fillId="0" borderId="6" xfId="0" applyFont="1" applyBorder="1" applyAlignment="1">
      <alignment horizontal="center"/>
    </xf>
    <xf numFmtId="0" fontId="1" fillId="3" borderId="7" xfId="0" applyFont="1" applyFill="1" applyBorder="1"/>
    <xf numFmtId="0" fontId="1" fillId="3" borderId="8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0" fontId="1" fillId="3" borderId="9" xfId="0" applyFont="1" applyFill="1" applyBorder="1" applyAlignment="1">
      <alignment horizontal="center"/>
    </xf>
    <xf numFmtId="0" fontId="1" fillId="3" borderId="0" xfId="0" applyFont="1" applyFill="1" applyAlignment="1">
      <alignment horizontal="right" vertical="center" wrapText="1"/>
    </xf>
    <xf numFmtId="0" fontId="6" fillId="3" borderId="10" xfId="0" applyFont="1" applyFill="1" applyBorder="1" applyAlignment="1">
      <alignment vertical="center" wrapText="1"/>
    </xf>
    <xf numFmtId="0" fontId="6" fillId="3" borderId="0" xfId="0" applyFont="1" applyFill="1" applyAlignment="1">
      <alignment vertical="center" wrapText="1"/>
    </xf>
    <xf numFmtId="0" fontId="3" fillId="3" borderId="0" xfId="0" applyFont="1" applyFill="1"/>
    <xf numFmtId="0" fontId="1" fillId="4" borderId="11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right" vertical="center" wrapText="1"/>
    </xf>
    <xf numFmtId="0" fontId="6" fillId="3" borderId="12" xfId="0" applyFont="1" applyFill="1" applyBorder="1" applyAlignment="1">
      <alignment vertical="center" wrapText="1"/>
    </xf>
    <xf numFmtId="0" fontId="3" fillId="3" borderId="13" xfId="0" applyFont="1" applyFill="1" applyBorder="1"/>
    <xf numFmtId="0" fontId="3" fillId="3" borderId="5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7" fillId="6" borderId="23" xfId="0" applyFont="1" applyFill="1" applyBorder="1"/>
    <xf numFmtId="0" fontId="7" fillId="6" borderId="23" xfId="0" applyFont="1" applyFill="1" applyBorder="1" applyAlignment="1">
      <alignment horizontal="left"/>
    </xf>
    <xf numFmtId="0" fontId="3" fillId="0" borderId="11" xfId="0" applyFont="1" applyBorder="1" applyAlignment="1">
      <alignment horizontal="right"/>
    </xf>
    <xf numFmtId="0" fontId="1" fillId="8" borderId="11" xfId="0" applyFont="1" applyFill="1" applyBorder="1" applyAlignment="1">
      <alignment horizontal="center"/>
    </xf>
    <xf numFmtId="0" fontId="3" fillId="0" borderId="11" xfId="0" applyFont="1" applyBorder="1"/>
    <xf numFmtId="0" fontId="7" fillId="6" borderId="32" xfId="0" applyFont="1" applyFill="1" applyBorder="1" applyAlignment="1">
      <alignment horizontal="center"/>
    </xf>
    <xf numFmtId="0" fontId="7" fillId="6" borderId="33" xfId="0" applyFont="1" applyFill="1" applyBorder="1"/>
    <xf numFmtId="0" fontId="7" fillId="6" borderId="33" xfId="0" applyFont="1" applyFill="1" applyBorder="1" applyAlignment="1">
      <alignment horizontal="left"/>
    </xf>
    <xf numFmtId="0" fontId="1" fillId="12" borderId="34" xfId="0" applyFont="1" applyFill="1" applyBorder="1" applyAlignment="1">
      <alignment horizontal="left"/>
    </xf>
    <xf numFmtId="0" fontId="1" fillId="12" borderId="23" xfId="0" applyFont="1" applyFill="1" applyBorder="1"/>
    <xf numFmtId="0" fontId="1" fillId="12" borderId="23" xfId="0" applyFont="1" applyFill="1" applyBorder="1" applyAlignment="1">
      <alignment horizontal="left"/>
    </xf>
    <xf numFmtId="0" fontId="3" fillId="12" borderId="23" xfId="0" applyFont="1" applyFill="1" applyBorder="1"/>
    <xf numFmtId="0" fontId="3" fillId="12" borderId="23" xfId="0" applyFont="1" applyFill="1" applyBorder="1" applyAlignment="1">
      <alignment horizontal="right"/>
    </xf>
    <xf numFmtId="0" fontId="3" fillId="12" borderId="35" xfId="0" applyFont="1" applyFill="1" applyBorder="1"/>
    <xf numFmtId="0" fontId="1" fillId="3" borderId="36" xfId="0" applyFont="1" applyFill="1" applyBorder="1" applyAlignment="1">
      <alignment horizontal="left"/>
    </xf>
    <xf numFmtId="0" fontId="3" fillId="3" borderId="30" xfId="0" applyFont="1" applyFill="1" applyBorder="1"/>
    <xf numFmtId="0" fontId="3" fillId="3" borderId="30" xfId="0" applyFont="1" applyFill="1" applyBorder="1" applyAlignment="1">
      <alignment horizontal="left"/>
    </xf>
    <xf numFmtId="0" fontId="3" fillId="3" borderId="30" xfId="0" applyFont="1" applyFill="1" applyBorder="1" applyAlignment="1">
      <alignment horizontal="right"/>
    </xf>
    <xf numFmtId="0" fontId="1" fillId="12" borderId="36" xfId="0" applyFont="1" applyFill="1" applyBorder="1" applyAlignment="1">
      <alignment horizontal="left"/>
    </xf>
    <xf numFmtId="0" fontId="3" fillId="12" borderId="23" xfId="0" applyFont="1" applyFill="1" applyBorder="1" applyAlignment="1">
      <alignment horizontal="left"/>
    </xf>
    <xf numFmtId="0" fontId="3" fillId="0" borderId="0" xfId="0" applyFont="1" applyAlignment="1">
      <alignment horizontal="left"/>
    </xf>
    <xf numFmtId="0" fontId="9" fillId="0" borderId="0" xfId="0" applyFont="1"/>
    <xf numFmtId="0" fontId="9" fillId="13" borderId="0" xfId="0" applyFont="1" applyFill="1"/>
    <xf numFmtId="0" fontId="10" fillId="13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5" fillId="13" borderId="0" xfId="0" applyFont="1" applyFill="1" applyAlignment="1">
      <alignment horizontal="left"/>
    </xf>
    <xf numFmtId="10" fontId="11" fillId="13" borderId="0" xfId="0" applyNumberFormat="1" applyFont="1" applyFill="1"/>
    <xf numFmtId="0" fontId="12" fillId="13" borderId="0" xfId="0" applyFont="1" applyFill="1" applyAlignment="1">
      <alignment horizontal="center"/>
    </xf>
    <xf numFmtId="10" fontId="10" fillId="13" borderId="0" xfId="0" applyNumberFormat="1" applyFont="1" applyFill="1" applyAlignment="1">
      <alignment horizontal="center"/>
    </xf>
    <xf numFmtId="0" fontId="3" fillId="13" borderId="0" xfId="0" applyFont="1" applyFill="1" applyAlignment="1">
      <alignment horizontal="left"/>
    </xf>
    <xf numFmtId="9" fontId="10" fillId="13" borderId="0" xfId="0" applyNumberFormat="1" applyFont="1" applyFill="1" applyAlignment="1">
      <alignment horizontal="center"/>
    </xf>
    <xf numFmtId="0" fontId="11" fillId="13" borderId="0" xfId="0" applyFont="1" applyFill="1"/>
    <xf numFmtId="0" fontId="13" fillId="13" borderId="0" xfId="0" applyFont="1" applyFill="1" applyAlignment="1">
      <alignment horizontal="left"/>
    </xf>
    <xf numFmtId="0" fontId="14" fillId="13" borderId="0" xfId="0" applyFont="1" applyFill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" fillId="11" borderId="1" xfId="0" applyFont="1" applyFill="1" applyBorder="1" applyAlignment="1">
      <alignment horizontal="right"/>
    </xf>
    <xf numFmtId="0" fontId="2" fillId="0" borderId="2" xfId="0" applyFont="1" applyBorder="1"/>
    <xf numFmtId="0" fontId="2" fillId="0" borderId="3" xfId="0" applyFont="1" applyBorder="1"/>
    <xf numFmtId="0" fontId="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11" borderId="24" xfId="0" applyFont="1" applyFill="1" applyBorder="1" applyAlignment="1">
      <alignment horizontal="right"/>
    </xf>
    <xf numFmtId="0" fontId="2" fillId="0" borderId="29" xfId="0" applyFont="1" applyBorder="1"/>
    <xf numFmtId="0" fontId="2" fillId="0" borderId="25" xfId="0" applyFont="1" applyBorder="1"/>
    <xf numFmtId="0" fontId="1" fillId="0" borderId="30" xfId="0" applyFont="1" applyBorder="1" applyAlignment="1">
      <alignment horizontal="center"/>
    </xf>
    <xf numFmtId="0" fontId="2" fillId="0" borderId="31" xfId="0" applyFont="1" applyBorder="1"/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1" fillId="5" borderId="20" xfId="0" applyFont="1" applyFill="1" applyBorder="1" applyAlignment="1">
      <alignment horizontal="center"/>
    </xf>
    <xf numFmtId="0" fontId="2" fillId="0" borderId="21" xfId="0" applyFont="1" applyBorder="1"/>
    <xf numFmtId="0" fontId="2" fillId="0" borderId="22" xfId="0" applyFont="1" applyBorder="1"/>
    <xf numFmtId="0" fontId="4" fillId="7" borderId="24" xfId="0" applyFont="1" applyFill="1" applyBorder="1" applyAlignment="1">
      <alignment horizontal="center"/>
    </xf>
    <xf numFmtId="0" fontId="4" fillId="4" borderId="26" xfId="0" applyFont="1" applyFill="1" applyBorder="1" applyAlignment="1">
      <alignment horizontal="left"/>
    </xf>
    <xf numFmtId="0" fontId="2" fillId="0" borderId="27" xfId="0" applyFont="1" applyBorder="1"/>
    <xf numFmtId="0" fontId="2" fillId="0" borderId="28" xfId="0" applyFont="1" applyBorder="1"/>
    <xf numFmtId="0" fontId="3" fillId="0" borderId="1" xfId="0" applyFont="1" applyBorder="1" applyAlignment="1">
      <alignment horizontal="right"/>
    </xf>
    <xf numFmtId="0" fontId="8" fillId="4" borderId="1" xfId="0" applyFont="1" applyFill="1" applyBorder="1" applyAlignment="1">
      <alignment horizontal="left"/>
    </xf>
    <xf numFmtId="0" fontId="3" fillId="9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10" borderId="1" xfId="0" applyFont="1" applyFill="1" applyBorder="1" applyAlignment="1">
      <alignment horizontal="center"/>
    </xf>
  </cellXfs>
  <cellStyles count="1">
    <cellStyle name="Normal" xfId="0" builtinId="0"/>
  </cellStyles>
  <dxfs count="2"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</dxfs>
  <tableStyles count="1">
    <tableStyle name="Lists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K45" headerRowCount="0">
  <tableColumns count="11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</tableColumns>
  <tableStyleInfo name="List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document/d/1JzKXNbdBcInopx9EtC4c_uq9eNEvUGo-s86fAblIONI/edit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workbookViewId="0">
      <selection activeCell="I5" sqref="I5"/>
    </sheetView>
  </sheetViews>
  <sheetFormatPr defaultColWidth="12.5703125" defaultRowHeight="15" customHeight="1"/>
  <cols>
    <col min="1" max="14" width="8.5703125" customWidth="1"/>
    <col min="15" max="15" width="11.42578125" customWidth="1"/>
    <col min="16" max="16" width="8.5703125" customWidth="1"/>
    <col min="17" max="17" width="12.28515625" customWidth="1"/>
    <col min="18" max="26" width="8.5703125" customWidth="1"/>
  </cols>
  <sheetData>
    <row r="1" spans="1:18">
      <c r="A1" s="75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7"/>
      <c r="L1" s="1"/>
      <c r="M1" s="2"/>
      <c r="N1" s="2"/>
      <c r="O1" s="2"/>
      <c r="P1" s="2"/>
      <c r="Q1" s="2"/>
      <c r="R1" s="2"/>
    </row>
    <row r="2" spans="1:18">
      <c r="A2" s="76" t="s">
        <v>1</v>
      </c>
      <c r="B2" s="67"/>
      <c r="C2" s="69">
        <v>3700</v>
      </c>
      <c r="D2" s="67"/>
      <c r="E2" s="3"/>
      <c r="F2" s="4"/>
      <c r="G2" s="5"/>
      <c r="H2" s="76" t="s">
        <v>2</v>
      </c>
      <c r="I2" s="67"/>
      <c r="J2" s="77">
        <v>35.5</v>
      </c>
      <c r="K2" s="67"/>
      <c r="L2" s="6"/>
      <c r="M2" s="7"/>
      <c r="N2" s="7"/>
      <c r="O2" s="7"/>
      <c r="P2" s="7"/>
      <c r="Q2" s="7"/>
      <c r="R2" s="7"/>
    </row>
    <row r="3" spans="1:18">
      <c r="A3" s="78" t="s">
        <v>3</v>
      </c>
      <c r="B3" s="67"/>
      <c r="C3" s="79" t="s">
        <v>4</v>
      </c>
      <c r="D3" s="67"/>
      <c r="E3" s="8"/>
      <c r="F3" s="9"/>
      <c r="G3" s="10"/>
      <c r="H3" s="11"/>
      <c r="I3" s="12"/>
      <c r="J3" s="12"/>
      <c r="K3" s="12"/>
      <c r="L3" s="1"/>
      <c r="M3" s="2"/>
      <c r="N3" s="2"/>
      <c r="O3" s="2"/>
      <c r="P3" s="2"/>
      <c r="Q3" s="2"/>
      <c r="R3" s="2"/>
    </row>
    <row r="4" spans="1:18">
      <c r="A4" s="76" t="s">
        <v>5</v>
      </c>
      <c r="B4" s="67"/>
      <c r="C4" s="79" t="s">
        <v>6</v>
      </c>
      <c r="D4" s="67"/>
      <c r="E4" s="13" t="s">
        <v>7</v>
      </c>
      <c r="F4" s="14">
        <v>100</v>
      </c>
      <c r="G4" s="10"/>
      <c r="H4" s="15"/>
      <c r="I4" s="16"/>
      <c r="J4" s="16"/>
      <c r="K4" s="16"/>
      <c r="L4" s="2"/>
      <c r="M4" s="2"/>
      <c r="N4" s="2"/>
      <c r="O4" s="2"/>
      <c r="P4" s="2"/>
      <c r="Q4" s="2"/>
      <c r="R4" s="2"/>
    </row>
    <row r="5" spans="1:18">
      <c r="A5" s="76" t="s">
        <v>8</v>
      </c>
      <c r="B5" s="67"/>
      <c r="C5" s="79" t="s">
        <v>9</v>
      </c>
      <c r="D5" s="67"/>
      <c r="E5" s="13" t="s">
        <v>7</v>
      </c>
      <c r="F5" s="14">
        <v>0</v>
      </c>
      <c r="G5" s="10"/>
      <c r="H5" s="15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>
      <c r="A6" s="76" t="s">
        <v>10</v>
      </c>
      <c r="B6" s="67"/>
      <c r="C6" s="80">
        <v>1.5</v>
      </c>
      <c r="D6" s="67"/>
      <c r="E6" s="18"/>
      <c r="F6" s="19"/>
      <c r="G6" s="20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</row>
    <row r="7" spans="1:18">
      <c r="A7" s="22"/>
      <c r="B7" s="22"/>
      <c r="C7" s="22"/>
      <c r="D7" s="22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</row>
    <row r="8" spans="1:18">
      <c r="A8" s="75" t="s">
        <v>11</v>
      </c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7"/>
    </row>
    <row r="9" spans="1:18">
      <c r="A9" s="81" t="s">
        <v>12</v>
      </c>
      <c r="B9" s="82"/>
      <c r="C9" s="82"/>
      <c r="D9" s="83"/>
      <c r="E9" s="24" t="s">
        <v>13</v>
      </c>
      <c r="F9" s="24" t="s">
        <v>14</v>
      </c>
      <c r="G9" s="25" t="s">
        <v>15</v>
      </c>
      <c r="H9" s="25" t="s">
        <v>16</v>
      </c>
      <c r="I9" s="25" t="s">
        <v>17</v>
      </c>
      <c r="J9" s="25" t="s">
        <v>18</v>
      </c>
      <c r="K9" s="24" t="s">
        <v>19</v>
      </c>
      <c r="L9" s="24" t="s">
        <v>20</v>
      </c>
      <c r="M9" s="24" t="s">
        <v>21</v>
      </c>
      <c r="N9" s="24" t="s">
        <v>22</v>
      </c>
      <c r="O9" s="24" t="s">
        <v>23</v>
      </c>
      <c r="P9" s="24" t="s">
        <v>24</v>
      </c>
      <c r="Q9" s="84" t="s">
        <v>25</v>
      </c>
      <c r="R9" s="72"/>
    </row>
    <row r="10" spans="1:18">
      <c r="A10" s="85" t="s">
        <v>26</v>
      </c>
      <c r="B10" s="86"/>
      <c r="C10" s="86"/>
      <c r="D10" s="87"/>
      <c r="E10" s="26">
        <f>_xlfn.XLOOKUP(A10,Decals!$A$3:$A$178,Decals!$B$3:$B$178,0)</f>
        <v>3</v>
      </c>
      <c r="F10" s="26">
        <f>_xlfn.XLOOKUP(A10,Decals!$A$3:$A$178,Decals!$C$3:$C$178,0)</f>
        <v>0</v>
      </c>
      <c r="G10" s="26">
        <f>_xlfn.XLOOKUP(A10,Decals!$A$3:$A$178,Decals!$D$3:$D$178,0)</f>
        <v>0</v>
      </c>
      <c r="H10" s="26">
        <f>_xlfn.XLOOKUP(A10,Decals!$A$3:$A$178,Decals!$E$3:$E$178,0)</f>
        <v>0</v>
      </c>
      <c r="I10" s="26">
        <f>_xlfn.XLOOKUP(A10,Decals!$A$3:$A$178,Decals!$F$3:$F$178,0)</f>
        <v>0</v>
      </c>
      <c r="J10" s="26">
        <f>_xlfn.XLOOKUP(A10,Decals!$A$3:$A$178,Decals!$G$3:$G$178,0)</f>
        <v>0</v>
      </c>
      <c r="K10" s="26">
        <f>_xlfn.XLOOKUP(A10,Decals!$A$3:$A$178,Decals!$H$3:$H$178,0)</f>
        <v>20</v>
      </c>
      <c r="L10" s="26">
        <f>_xlfn.XLOOKUP(A10,Decals!$A$3:$A$178,Decals!$I$3:$I$178,0)</f>
        <v>0</v>
      </c>
      <c r="M10" s="26">
        <f>_xlfn.XLOOKUP(A10,Decals!$A$3:$A$178,Decals!$J$3:$J$178,0)</f>
        <v>0</v>
      </c>
      <c r="N10" s="26">
        <f>_xlfn.XLOOKUP(A10,Decals!$A$3:$A$178,Decals!$K$3:$K$178,0)</f>
        <v>20</v>
      </c>
      <c r="O10" s="26">
        <f>_xlfn.XLOOKUP(A10,Decals!$A$3:$A$178,Decals!$L$3:$L$178,0)</f>
        <v>0</v>
      </c>
      <c r="P10" s="26">
        <f>_xlfn.XLOOKUP(A10,Decals!$A$3:$A$178,Decals!$M$3:$M$178,0)</f>
        <v>0</v>
      </c>
      <c r="Q10" s="88">
        <f t="shared" ref="Q10:Q18" si="0">IF(
  AND(
    OR(ISNUMBER(SEARCH($C$4,H10)),H10=0), OR(ISNUMBER(SEARCH($C$5,I10)),I10=0),
    OR(ISNUMBER(SEARCH($C$3,G10)),G10=0),
  ),
K10,0)</f>
        <v>0</v>
      </c>
      <c r="R10" s="67"/>
    </row>
    <row r="11" spans="1:18">
      <c r="A11" s="89" t="s">
        <v>27</v>
      </c>
      <c r="B11" s="66"/>
      <c r="C11" s="66"/>
      <c r="D11" s="67"/>
      <c r="E11" s="26">
        <f>_xlfn.XLOOKUP(A11,Decals!$A$3:$A$178,Decals!$B$3:$B$178,0)</f>
        <v>1</v>
      </c>
      <c r="F11" s="26">
        <f>_xlfn.XLOOKUP(A11,Decals!$A$3:$A$178,Decals!$C$3:$C$178,0)</f>
        <v>0</v>
      </c>
      <c r="G11" s="26">
        <f>_xlfn.XLOOKUP(A11,Decals!$A$3:$A$178,Decals!$D$3:$D$178,0)</f>
        <v>0</v>
      </c>
      <c r="H11" s="26">
        <f>_xlfn.XLOOKUP(A11,Decals!$A$3:$A$178,Decals!$E$3:$E$178,0)</f>
        <v>0</v>
      </c>
      <c r="I11" s="26">
        <f>_xlfn.XLOOKUP(A11,Decals!$A$3:$A$178,Decals!$F$3:$F$178,0)</f>
        <v>0</v>
      </c>
      <c r="J11" s="26">
        <f>_xlfn.XLOOKUP(A11,Decals!$A$3:$A$178,Decals!$G$3:$G$178,0)</f>
        <v>0</v>
      </c>
      <c r="K11" s="26">
        <f>_xlfn.XLOOKUP(A11,Decals!$A$3:$A$178,Decals!$H$3:$H$178,0)</f>
        <v>15</v>
      </c>
      <c r="L11" s="26">
        <f>_xlfn.XLOOKUP(A11,Decals!$A$3:$A$178,Decals!$I$3:$I$178,0)</f>
        <v>0</v>
      </c>
      <c r="M11" s="26">
        <f>_xlfn.XLOOKUP(A11,Decals!$A$3:$A$178,Decals!$J$3:$J$178,0)</f>
        <v>0</v>
      </c>
      <c r="N11" s="26">
        <f>_xlfn.XLOOKUP(A11,Decals!$A$3:$A$178,Decals!$K$3:$K$178,0)</f>
        <v>0</v>
      </c>
      <c r="O11" s="26">
        <f>_xlfn.XLOOKUP(A11,Decals!$A$3:$A$178,Decals!$L$3:$L$178,0)</f>
        <v>0</v>
      </c>
      <c r="P11" s="26">
        <f>_xlfn.XLOOKUP(A11,Decals!$A$3:$A$178,Decals!$M$3:$M$178,0)</f>
        <v>0</v>
      </c>
      <c r="Q11" s="88">
        <f t="shared" si="0"/>
        <v>0</v>
      </c>
      <c r="R11" s="67"/>
    </row>
    <row r="12" spans="1:18">
      <c r="A12" s="89" t="s">
        <v>28</v>
      </c>
      <c r="B12" s="66"/>
      <c r="C12" s="66"/>
      <c r="D12" s="67"/>
      <c r="E12" s="26">
        <f>_xlfn.XLOOKUP(A12,Decals!$A$3:$A$178,Decals!$B$3:$B$178,0)</f>
        <v>7</v>
      </c>
      <c r="F12" s="26">
        <f>_xlfn.XLOOKUP(A12,Decals!$A$3:$A$178,Decals!$C$3:$C$178,0)</f>
        <v>0</v>
      </c>
      <c r="G12" s="26">
        <f>_xlfn.XLOOKUP(A12,Decals!$A$3:$A$178,Decals!$D$3:$D$178,0)</f>
        <v>0</v>
      </c>
      <c r="H12" s="26">
        <f>_xlfn.XLOOKUP(A12,Decals!$A$3:$A$178,Decals!$E$3:$E$178,0)</f>
        <v>0</v>
      </c>
      <c r="I12" s="26">
        <f>_xlfn.XLOOKUP(A12,Decals!$A$3:$A$178,Decals!$F$3:$F$178,0)</f>
        <v>0</v>
      </c>
      <c r="J12" s="26">
        <f>_xlfn.XLOOKUP(A12,Decals!$A$3:$A$178,Decals!$G$3:$G$178,0)</f>
        <v>0</v>
      </c>
      <c r="K12" s="26">
        <f>_xlfn.XLOOKUP(A12,Decals!$A$3:$A$178,Decals!$H$3:$H$178,0)</f>
        <v>20</v>
      </c>
      <c r="L12" s="26">
        <f>_xlfn.XLOOKUP(A12,Decals!$A$3:$A$178,Decals!$I$3:$I$178,0)</f>
        <v>0</v>
      </c>
      <c r="M12" s="26">
        <f>_xlfn.XLOOKUP(A12,Decals!$A$3:$A$178,Decals!$J$3:$J$178,0)</f>
        <v>0</v>
      </c>
      <c r="N12" s="26">
        <f>_xlfn.XLOOKUP(A12,Decals!$A$3:$A$178,Decals!$K$3:$K$178,0)</f>
        <v>0</v>
      </c>
      <c r="O12" s="26">
        <f>_xlfn.XLOOKUP(A12,Decals!$A$3:$A$178,Decals!$L$3:$L$178,0)</f>
        <v>0</v>
      </c>
      <c r="P12" s="26">
        <f>_xlfn.XLOOKUP(A12,Decals!$A$3:$A$178,Decals!$M$3:$M$178,0)</f>
        <v>0</v>
      </c>
      <c r="Q12" s="88">
        <f t="shared" si="0"/>
        <v>0</v>
      </c>
      <c r="R12" s="67"/>
    </row>
    <row r="13" spans="1:18">
      <c r="A13" s="91" t="s">
        <v>29</v>
      </c>
      <c r="B13" s="66"/>
      <c r="C13" s="66"/>
      <c r="D13" s="67"/>
      <c r="E13" s="26">
        <f>_xlfn.XLOOKUP(A13,Decals!$A$3:$A$178,Decals!$B$3:$B$178,0)</f>
        <v>0</v>
      </c>
      <c r="F13" s="26">
        <f>_xlfn.XLOOKUP(A13,Decals!$A$3:$A$178,Decals!$C$3:$C$178,0)</f>
        <v>2</v>
      </c>
      <c r="G13" s="26">
        <f>_xlfn.XLOOKUP(A13,Decals!$A$3:$A$178,Decals!$D$3:$D$178,0)</f>
        <v>0</v>
      </c>
      <c r="H13" s="26">
        <f>_xlfn.XLOOKUP(A13,Decals!$A$3:$A$178,Decals!$E$3:$E$178,0)</f>
        <v>0</v>
      </c>
      <c r="I13" s="26">
        <f>_xlfn.XLOOKUP(A13,Decals!$A$3:$A$178,Decals!$F$3:$F$178,0)</f>
        <v>0</v>
      </c>
      <c r="J13" s="26">
        <f>_xlfn.XLOOKUP(A13,Decals!$A$3:$A$178,Decals!$G$3:$G$178,0)</f>
        <v>0</v>
      </c>
      <c r="K13" s="26">
        <f>_xlfn.XLOOKUP(A13,Decals!$A$3:$A$178,Decals!$H$3:$H$178,0)</f>
        <v>0</v>
      </c>
      <c r="L13" s="26">
        <f>_xlfn.XLOOKUP(A13,Decals!$A$3:$A$178,Decals!$I$3:$I$178,0)</f>
        <v>0</v>
      </c>
      <c r="M13" s="26">
        <f>_xlfn.XLOOKUP(A13,Decals!$A$3:$A$178,Decals!$J$3:$J$178,0)</f>
        <v>0</v>
      </c>
      <c r="N13" s="26">
        <f>_xlfn.XLOOKUP(A13,Decals!$A$3:$A$178,Decals!$K$3:$K$178,0)</f>
        <v>0</v>
      </c>
      <c r="O13" s="26">
        <f>_xlfn.XLOOKUP(A13,Decals!$A$3:$A$178,Decals!$L$3:$L$178,0)</f>
        <v>30</v>
      </c>
      <c r="P13" s="26">
        <f>_xlfn.XLOOKUP(A13,Decals!$A$3:$A$178,Decals!$M$3:$M$178,0)</f>
        <v>0</v>
      </c>
      <c r="Q13" s="88">
        <f t="shared" si="0"/>
        <v>0</v>
      </c>
      <c r="R13" s="67"/>
    </row>
    <row r="14" spans="1:18">
      <c r="A14" s="91" t="s">
        <v>30</v>
      </c>
      <c r="B14" s="66"/>
      <c r="C14" s="66"/>
      <c r="D14" s="67"/>
      <c r="E14" s="26">
        <f>_xlfn.XLOOKUP(A14,Decals!$A$3:$A$178,Decals!$B$3:$B$178,0)</f>
        <v>4</v>
      </c>
      <c r="F14" s="26">
        <f>_xlfn.XLOOKUP(A14,Decals!$A$3:$A$178,Decals!$C$3:$C$178,0)</f>
        <v>0</v>
      </c>
      <c r="G14" s="26" t="str">
        <f>_xlfn.XLOOKUP(A14,Decals!$A$3:$A$178,Decals!$D$3:$D$178,0)</f>
        <v>Assault Rifle</v>
      </c>
      <c r="H14" s="26">
        <f>_xlfn.XLOOKUP(A14,Decals!$A$3:$A$178,Decals!$E$3:$E$178,0)</f>
        <v>0</v>
      </c>
      <c r="I14" s="26">
        <f>_xlfn.XLOOKUP(A14,Decals!$A$3:$A$178,Decals!$F$3:$F$178,0)</f>
        <v>0</v>
      </c>
      <c r="J14" s="26">
        <f>_xlfn.XLOOKUP(A14,Decals!$A$3:$A$178,Decals!$G$3:$G$178,0)</f>
        <v>0</v>
      </c>
      <c r="K14" s="26">
        <f>_xlfn.XLOOKUP(A14,Decals!$A$3:$A$178,Decals!$H$3:$H$178,0)</f>
        <v>30</v>
      </c>
      <c r="L14" s="26">
        <f>_xlfn.XLOOKUP(A14,Decals!$A$3:$A$178,Decals!$I$3:$I$178,0)</f>
        <v>0</v>
      </c>
      <c r="M14" s="26">
        <f>_xlfn.XLOOKUP(A14,Decals!$A$3:$A$178,Decals!$J$3:$J$178,0)</f>
        <v>0</v>
      </c>
      <c r="N14" s="26">
        <f>_xlfn.XLOOKUP(A14,Decals!$A$3:$A$178,Decals!$K$3:$K$178,0)</f>
        <v>0</v>
      </c>
      <c r="O14" s="26">
        <f>_xlfn.XLOOKUP(A14,Decals!$A$3:$A$178,Decals!$L$3:$L$178,0)</f>
        <v>0</v>
      </c>
      <c r="P14" s="26">
        <f>_xlfn.XLOOKUP(A14,Decals!$A$3:$A$178,Decals!$M$3:$M$178,0)</f>
        <v>0</v>
      </c>
      <c r="Q14" s="88">
        <f t="shared" si="0"/>
        <v>0</v>
      </c>
      <c r="R14" s="67"/>
    </row>
    <row r="15" spans="1:18">
      <c r="A15" s="89" t="s">
        <v>31</v>
      </c>
      <c r="B15" s="66"/>
      <c r="C15" s="66"/>
      <c r="D15" s="67"/>
      <c r="E15" s="26">
        <f>_xlfn.XLOOKUP(A15,Decals!$A$3:$A$178,Decals!$B$3:$B$178,0)</f>
        <v>1</v>
      </c>
      <c r="F15" s="26">
        <f>_xlfn.XLOOKUP(A15,Decals!$A$3:$A$178,Decals!$C$3:$C$178,0)</f>
        <v>0</v>
      </c>
      <c r="G15" s="26">
        <f>_xlfn.XLOOKUP(A15,Decals!$A$3:$A$178,Decals!$D$3:$D$178,0)</f>
        <v>0</v>
      </c>
      <c r="H15" s="26">
        <f>_xlfn.XLOOKUP(A15,Decals!$A$3:$A$178,Decals!$E$3:$E$178,0)</f>
        <v>0</v>
      </c>
      <c r="I15" s="26">
        <f>_xlfn.XLOOKUP(A15,Decals!$A$3:$A$178,Decals!$F$3:$F$178,0)</f>
        <v>0</v>
      </c>
      <c r="J15" s="26">
        <f>_xlfn.XLOOKUP(A15,Decals!$A$3:$A$178,Decals!$G$3:$G$178,0)</f>
        <v>0</v>
      </c>
      <c r="K15" s="26">
        <f>_xlfn.XLOOKUP(A15,Decals!$A$3:$A$178,Decals!$H$3:$H$178,0)</f>
        <v>30</v>
      </c>
      <c r="L15" s="26">
        <f>_xlfn.XLOOKUP(A15,Decals!$A$3:$A$178,Decals!$I$3:$I$178,0)</f>
        <v>0</v>
      </c>
      <c r="M15" s="26">
        <f>_xlfn.XLOOKUP(A15,Decals!$A$3:$A$178,Decals!$J$3:$J$178,0)</f>
        <v>0</v>
      </c>
      <c r="N15" s="26">
        <f>_xlfn.XLOOKUP(A15,Decals!$A$3:$A$178,Decals!$K$3:$K$178,0)</f>
        <v>0</v>
      </c>
      <c r="O15" s="26">
        <f>_xlfn.XLOOKUP(A15,Decals!$A$3:$A$178,Decals!$L$3:$L$178,0)</f>
        <v>0</v>
      </c>
      <c r="P15" s="26">
        <f>_xlfn.XLOOKUP(A15,Decals!$A$3:$A$178,Decals!$M$3:$M$178,0)</f>
        <v>0</v>
      </c>
      <c r="Q15" s="88">
        <f t="shared" si="0"/>
        <v>0</v>
      </c>
      <c r="R15" s="67"/>
    </row>
    <row r="16" spans="1:18">
      <c r="A16" s="89" t="s">
        <v>32</v>
      </c>
      <c r="B16" s="66"/>
      <c r="C16" s="66"/>
      <c r="D16" s="67"/>
      <c r="E16" s="26">
        <f>_xlfn.XLOOKUP(A16,Decals!$A$3:$A$178,Decals!$B$3:$B$178,0)</f>
        <v>0</v>
      </c>
      <c r="F16" s="26">
        <f>_xlfn.XLOOKUP(A16,Decals!$A$3:$A$178,Decals!$C$3:$C$178,0)</f>
        <v>0</v>
      </c>
      <c r="G16" s="26">
        <f>_xlfn.XLOOKUP(A16,Decals!$A$3:$A$178,Decals!$D$3:$D$178,0)</f>
        <v>0</v>
      </c>
      <c r="H16" s="26">
        <f>_xlfn.XLOOKUP(A16,Decals!$A$3:$A$178,Decals!$E$3:$E$178,0)</f>
        <v>0</v>
      </c>
      <c r="I16" s="26">
        <f>_xlfn.XLOOKUP(A16,Decals!$A$3:$A$178,Decals!$F$3:$F$178,0)</f>
        <v>0</v>
      </c>
      <c r="J16" s="26">
        <f>_xlfn.XLOOKUP(A16,Decals!$A$3:$A$178,Decals!$G$3:$G$178,0)</f>
        <v>0</v>
      </c>
      <c r="K16" s="26">
        <f>_xlfn.XLOOKUP(A16,Decals!$A$3:$A$178,Decals!$H$3:$H$178,0)</f>
        <v>0</v>
      </c>
      <c r="L16" s="26">
        <f>_xlfn.XLOOKUP(A16,Decals!$A$3:$A$178,Decals!$I$3:$I$178,0)</f>
        <v>0</v>
      </c>
      <c r="M16" s="26">
        <f>_xlfn.XLOOKUP(A16,Decals!$A$3:$A$178,Decals!$J$3:$J$178,0)</f>
        <v>0</v>
      </c>
      <c r="N16" s="26">
        <f>_xlfn.XLOOKUP(A16,Decals!$A$3:$A$178,Decals!$K$3:$K$178,0)</f>
        <v>20</v>
      </c>
      <c r="O16" s="26">
        <f>_xlfn.XLOOKUP(A16,Decals!$A$3:$A$178,Decals!$L$3:$L$178,0)</f>
        <v>0</v>
      </c>
      <c r="P16" s="26">
        <f>_xlfn.XLOOKUP(A16,Decals!$A$3:$A$178,Decals!$M$3:$M$178,0)</f>
        <v>0</v>
      </c>
      <c r="Q16" s="88">
        <f t="shared" si="0"/>
        <v>0</v>
      </c>
      <c r="R16" s="67"/>
    </row>
    <row r="17" spans="1:18">
      <c r="A17" s="89" t="s">
        <v>33</v>
      </c>
      <c r="B17" s="66"/>
      <c r="C17" s="66"/>
      <c r="D17" s="67"/>
      <c r="E17" s="26">
        <f>_xlfn.XLOOKUP(A17,Decals!$A$3:$A$178,Decals!$B$3:$B$178,0)</f>
        <v>1</v>
      </c>
      <c r="F17" s="26">
        <f>_xlfn.XLOOKUP(A17,Decals!$A$3:$A$178,Decals!$C$3:$C$178,0)</f>
        <v>0</v>
      </c>
      <c r="G17" s="26">
        <f>_xlfn.XLOOKUP(A17,Decals!$A$3:$A$178,Decals!$D$3:$D$178,0)</f>
        <v>0</v>
      </c>
      <c r="H17" s="26">
        <f>_xlfn.XLOOKUP(A17,Decals!$A$3:$A$178,Decals!$E$3:$E$178,0)</f>
        <v>0</v>
      </c>
      <c r="I17" s="26">
        <f>_xlfn.XLOOKUP(A17,Decals!$A$3:$A$178,Decals!$F$3:$F$178,0)</f>
        <v>0</v>
      </c>
      <c r="J17" s="26">
        <f>_xlfn.XLOOKUP(A17,Decals!$A$3:$A$178,Decals!$G$3:$G$178,0)</f>
        <v>0</v>
      </c>
      <c r="K17" s="26">
        <f>_xlfn.XLOOKUP(A17,Decals!$A$3:$A$178,Decals!$H$3:$H$178,0)</f>
        <v>100</v>
      </c>
      <c r="L17" s="26">
        <f>_xlfn.XLOOKUP(A17,Decals!$A$3:$A$178,Decals!$I$3:$I$178,0)</f>
        <v>0</v>
      </c>
      <c r="M17" s="26">
        <f>_xlfn.XLOOKUP(A17,Decals!$A$3:$A$178,Decals!$J$3:$J$178,0)</f>
        <v>0</v>
      </c>
      <c r="N17" s="26">
        <f>_xlfn.XLOOKUP(A17,Decals!$A$3:$A$178,Decals!$K$3:$K$178,0)</f>
        <v>0</v>
      </c>
      <c r="O17" s="26">
        <f>_xlfn.XLOOKUP(A17,Decals!$A$3:$A$178,Decals!$L$3:$L$178,0)</f>
        <v>0</v>
      </c>
      <c r="P17" s="26">
        <f>_xlfn.XLOOKUP(A17,Decals!$A$3:$A$178,Decals!$M$3:$M$178,0)</f>
        <v>0</v>
      </c>
      <c r="Q17" s="88">
        <f t="shared" si="0"/>
        <v>0</v>
      </c>
      <c r="R17" s="67"/>
    </row>
    <row r="18" spans="1:18">
      <c r="A18" s="92"/>
      <c r="B18" s="66"/>
      <c r="C18" s="66"/>
      <c r="D18" s="67"/>
      <c r="E18" s="26">
        <f>_xlfn.XLOOKUP(A18,Decals!$A$3:$A$178,Decals!$B$3:$B$178,0)</f>
        <v>0</v>
      </c>
      <c r="F18" s="26">
        <f>_xlfn.XLOOKUP(A18,Decals!$A$3:$A$178,Decals!$C$3:$C$178,0)</f>
        <v>0</v>
      </c>
      <c r="G18" s="26">
        <f>_xlfn.XLOOKUP(A18,Decals!$A$3:$A$178,Decals!$D$3:$D$178,0)</f>
        <v>0</v>
      </c>
      <c r="H18" s="26">
        <f>_xlfn.XLOOKUP(A18,Decals!$A$3:$A$178,Decals!$E$3:$E$178,0)</f>
        <v>0</v>
      </c>
      <c r="I18" s="26">
        <f>_xlfn.XLOOKUP(A18,Decals!$A$3:$A$178,Decals!$F$3:$F$178,0)</f>
        <v>0</v>
      </c>
      <c r="J18" s="26">
        <f>_xlfn.XLOOKUP(A18,Decals!$A$3:$A$178,Decals!$G$3:$G$178,0)</f>
        <v>0</v>
      </c>
      <c r="K18" s="26">
        <f>_xlfn.XLOOKUP(A18,Decals!$A$3:$A$178,Decals!$H$3:$H$178,0)</f>
        <v>0</v>
      </c>
      <c r="L18" s="26">
        <f>_xlfn.XLOOKUP(A18,Decals!$A$3:$A$178,Decals!$I$3:$I$178,0)</f>
        <v>0</v>
      </c>
      <c r="M18" s="26">
        <f>_xlfn.XLOOKUP(A18,Decals!$A$3:$A$178,Decals!$J$3:$J$178,0)</f>
        <v>0</v>
      </c>
      <c r="N18" s="26">
        <f>_xlfn.XLOOKUP(A18,Decals!$A$3:$A$178,Decals!$K$3:$K$178,0)</f>
        <v>0</v>
      </c>
      <c r="O18" s="26">
        <f>_xlfn.XLOOKUP(A18,Decals!$A$3:$A$178,Decals!$L$3:$L$178,0)</f>
        <v>0</v>
      </c>
      <c r="P18" s="26">
        <f>_xlfn.XLOOKUP(A18,Decals!$A$3:$A$178,Decals!$M$3:$M$178,0)</f>
        <v>0</v>
      </c>
      <c r="Q18" s="88">
        <f t="shared" si="0"/>
        <v>0</v>
      </c>
      <c r="R18" s="67"/>
    </row>
    <row r="20" spans="1:18">
      <c r="A20" s="75" t="s">
        <v>34</v>
      </c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7"/>
      <c r="P20" s="75" t="s">
        <v>35</v>
      </c>
      <c r="Q20" s="66"/>
      <c r="R20" s="67"/>
    </row>
    <row r="21" spans="1:18">
      <c r="A21" s="27">
        <v>1</v>
      </c>
      <c r="B21" s="27">
        <v>2</v>
      </c>
      <c r="C21" s="27">
        <v>3</v>
      </c>
      <c r="D21" s="27">
        <v>4</v>
      </c>
      <c r="E21" s="27">
        <v>5</v>
      </c>
      <c r="F21" s="27">
        <v>6</v>
      </c>
      <c r="G21" s="27">
        <v>7</v>
      </c>
      <c r="H21" s="27">
        <v>8</v>
      </c>
      <c r="I21" s="27">
        <v>9</v>
      </c>
      <c r="J21" s="27">
        <v>10</v>
      </c>
      <c r="K21" s="27">
        <v>11</v>
      </c>
      <c r="L21" s="27">
        <v>12</v>
      </c>
      <c r="M21" s="27">
        <v>13</v>
      </c>
      <c r="N21" s="27">
        <v>14</v>
      </c>
      <c r="O21" s="27">
        <v>15</v>
      </c>
      <c r="P21" s="90"/>
      <c r="Q21" s="66"/>
      <c r="R21" s="67"/>
    </row>
    <row r="22" spans="1:18" ht="15.75" customHeight="1">
      <c r="A22" s="28">
        <f>SUMIFS($Q$10:$Q$18,$E$10:$E$18,1) / 100 + 1</f>
        <v>1</v>
      </c>
      <c r="B22" s="28">
        <f>SUMIFS($Q$10:$Q$18,$E$10:$E$18,2) / 100 + 1</f>
        <v>1</v>
      </c>
      <c r="C22" s="28">
        <f>SUMIFS($Q$10:$Q$18,$E$10:$E$18,3) / 100 + 1</f>
        <v>1</v>
      </c>
      <c r="D22" s="28">
        <f>SUMIFS($Q$10:$Q$18,$E$10:$E$18,4) / 100 + 1</f>
        <v>1</v>
      </c>
      <c r="E22" s="28">
        <f>SUMIFS($Q$10:$Q$18,$E$10:$E$18,5) / 100 + 1</f>
        <v>1</v>
      </c>
      <c r="F22" s="28">
        <f>SUMIFS($Q$10:$Q$18,$E$10:$E$18,6) / 100 + 1</f>
        <v>1</v>
      </c>
      <c r="G22" s="28">
        <f>SUMIFS($Q$10:$Q$18,$E$10:$E$18,7) / 100 + 1</f>
        <v>1</v>
      </c>
      <c r="H22" s="28">
        <f>SUMIFS($Q$10:$Q$18,$E$10:$E$18,8) / 100 + 1</f>
        <v>1</v>
      </c>
      <c r="I22" s="28">
        <f>SUMIFS($Q$10:$Q$18,$E$10:$E$18,9) / 100 + 1</f>
        <v>1</v>
      </c>
      <c r="J22" s="28">
        <f>SUMIFS($Q$10:$Q$18,$E$10:$E$18,10) / 100 + 1</f>
        <v>1</v>
      </c>
      <c r="K22" s="28">
        <f>SUMIFS($Q$10:$Q$18,$E$10:$E$18,11) / 100 + 1</f>
        <v>1</v>
      </c>
      <c r="L22" s="28">
        <f>SUMIFS($Q$10:$Q$18,$E$10:$E$18,12) / 100 + 1</f>
        <v>1</v>
      </c>
      <c r="M22" s="28">
        <f>SUMIFS($Q$10:$Q$18,$E$10:$E$18,13) / 100 + 1</f>
        <v>1</v>
      </c>
      <c r="N22" s="28">
        <f>SUMIFS($Q$10:$Q$18,$E$10:$E$18,14) / 100 + 1</f>
        <v>1</v>
      </c>
      <c r="O22" s="28">
        <f>SUMIFS($Q$10:$Q$18,$E$10:$E$18,15) / 100 + 1</f>
        <v>1</v>
      </c>
      <c r="P22" s="68">
        <f>A22 * B22 * C22 * D22 * E22 * F22 * G22 * H22 * I22 * J22 * K22 * L22 * M22 * N22 * O22</f>
        <v>1</v>
      </c>
      <c r="Q22" s="66"/>
      <c r="R22" s="67"/>
    </row>
    <row r="23" spans="1:18" ht="15.75" customHeight="1"/>
    <row r="24" spans="1:18" ht="15.75" customHeight="1">
      <c r="A24" s="75" t="s">
        <v>36</v>
      </c>
      <c r="B24" s="66"/>
      <c r="C24" s="67"/>
      <c r="D24" s="75" t="s">
        <v>37</v>
      </c>
      <c r="E24" s="66"/>
      <c r="F24" s="67"/>
    </row>
    <row r="25" spans="1:18" ht="15.75" customHeight="1">
      <c r="A25" s="69">
        <f>SUM(O10:O18)/100+1</f>
        <v>1.3</v>
      </c>
      <c r="B25" s="66"/>
      <c r="C25" s="67"/>
      <c r="D25" s="69">
        <f>C6+(SUM(M10:M18) / 100 + 1)</f>
        <v>2.5</v>
      </c>
      <c r="E25" s="66"/>
      <c r="F25" s="67"/>
    </row>
    <row r="26" spans="1:18" ht="15.75" customHeight="1"/>
    <row r="27" spans="1:18" ht="15.75" customHeight="1">
      <c r="A27" s="93" t="s">
        <v>38</v>
      </c>
      <c r="B27" s="66"/>
      <c r="C27" s="67"/>
      <c r="D27" s="93" t="s">
        <v>39</v>
      </c>
      <c r="E27" s="66"/>
      <c r="F27" s="67"/>
    </row>
    <row r="28" spans="1:18" ht="15.75" customHeight="1">
      <c r="A28" s="69">
        <f>IF( SUM(N10:N18,J2)&lt;=99.9, SUM(N10:N18,J2), 99.9)</f>
        <v>75.5</v>
      </c>
      <c r="B28" s="66"/>
      <c r="C28" s="67"/>
      <c r="D28" s="69">
        <f>SUM(O10:O18)/100+1</f>
        <v>1.3</v>
      </c>
      <c r="E28" s="66"/>
      <c r="F28" s="67"/>
    </row>
    <row r="29" spans="1:18" ht="15.75" customHeight="1"/>
    <row r="30" spans="1:18" ht="15.75" customHeight="1">
      <c r="A30" s="65" t="s">
        <v>40</v>
      </c>
      <c r="B30" s="66"/>
      <c r="C30" s="66"/>
      <c r="D30" s="67"/>
      <c r="E30" s="68">
        <f>SUM(C2*P22)</f>
        <v>3700</v>
      </c>
      <c r="F30" s="67"/>
    </row>
    <row r="31" spans="1:18" ht="15.75" customHeight="1">
      <c r="A31" s="70" t="s">
        <v>41</v>
      </c>
      <c r="B31" s="71"/>
      <c r="C31" s="71"/>
      <c r="D31" s="72"/>
      <c r="E31" s="73">
        <f>SUM(E30 * (1.5 * D28))</f>
        <v>7215.0000000000009</v>
      </c>
      <c r="F31" s="74"/>
    </row>
    <row r="32" spans="1:18" ht="15.75" customHeight="1">
      <c r="A32" s="65" t="s">
        <v>42</v>
      </c>
      <c r="B32" s="66"/>
      <c r="C32" s="66"/>
      <c r="D32" s="67"/>
      <c r="E32" s="68">
        <f>E30 + ((E31 - E30) * (A28 / 100))</f>
        <v>6353.8250000000007</v>
      </c>
      <c r="F32" s="67"/>
    </row>
    <row r="33" spans="1:6" ht="15.75" customHeight="1">
      <c r="A33" s="65" t="s">
        <v>43</v>
      </c>
      <c r="B33" s="66"/>
      <c r="C33" s="66"/>
      <c r="D33" s="67"/>
      <c r="E33" s="68">
        <f>E30 * D25</f>
        <v>9250</v>
      </c>
      <c r="F33" s="67"/>
    </row>
    <row r="34" spans="1:6" ht="15.75" customHeight="1">
      <c r="A34" s="65" t="s">
        <v>44</v>
      </c>
      <c r="B34" s="66"/>
      <c r="C34" s="66"/>
      <c r="D34" s="67"/>
      <c r="E34" s="68">
        <f>E33 * (1.5 * D28)</f>
        <v>18037.5</v>
      </c>
      <c r="F34" s="67"/>
    </row>
    <row r="35" spans="1:6" ht="15.75" customHeight="1"/>
    <row r="36" spans="1:6" ht="15.75" customHeight="1"/>
    <row r="37" spans="1:6" ht="15.75" customHeight="1"/>
    <row r="38" spans="1:6" ht="15.75" customHeight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6">
    <mergeCell ref="A27:C27"/>
    <mergeCell ref="D27:F27"/>
    <mergeCell ref="A20:O20"/>
    <mergeCell ref="A18:D18"/>
    <mergeCell ref="A24:C24"/>
    <mergeCell ref="D24:F24"/>
    <mergeCell ref="A25:C25"/>
    <mergeCell ref="D25:F25"/>
    <mergeCell ref="A13:D13"/>
    <mergeCell ref="A14:D14"/>
    <mergeCell ref="A15:D15"/>
    <mergeCell ref="A16:D16"/>
    <mergeCell ref="A17:D17"/>
    <mergeCell ref="P21:R21"/>
    <mergeCell ref="P22:R22"/>
    <mergeCell ref="Q13:R13"/>
    <mergeCell ref="Q14:R14"/>
    <mergeCell ref="Q15:R15"/>
    <mergeCell ref="Q16:R16"/>
    <mergeCell ref="Q17:R17"/>
    <mergeCell ref="Q18:R18"/>
    <mergeCell ref="P20:R20"/>
    <mergeCell ref="A10:D10"/>
    <mergeCell ref="Q10:R10"/>
    <mergeCell ref="A11:D11"/>
    <mergeCell ref="Q11:R11"/>
    <mergeCell ref="Q12:R12"/>
    <mergeCell ref="A12:D12"/>
    <mergeCell ref="A6:B6"/>
    <mergeCell ref="C6:D6"/>
    <mergeCell ref="A8:R8"/>
    <mergeCell ref="A9:D9"/>
    <mergeCell ref="Q9:R9"/>
    <mergeCell ref="A3:B3"/>
    <mergeCell ref="C3:D3"/>
    <mergeCell ref="A4:B4"/>
    <mergeCell ref="C4:D4"/>
    <mergeCell ref="A5:B5"/>
    <mergeCell ref="C5:D5"/>
    <mergeCell ref="A1:K1"/>
    <mergeCell ref="A2:B2"/>
    <mergeCell ref="C2:D2"/>
    <mergeCell ref="H2:I2"/>
    <mergeCell ref="J2:K2"/>
    <mergeCell ref="A28:C28"/>
    <mergeCell ref="D28:F28"/>
    <mergeCell ref="A30:D30"/>
    <mergeCell ref="E30:F30"/>
    <mergeCell ref="A31:D31"/>
    <mergeCell ref="E31:F31"/>
    <mergeCell ref="A32:D32"/>
    <mergeCell ref="A33:D33"/>
    <mergeCell ref="E33:F33"/>
    <mergeCell ref="A34:D34"/>
    <mergeCell ref="E34:F34"/>
    <mergeCell ref="E32:F32"/>
  </mergeCells>
  <dataValidations count="4">
    <dataValidation type="decimal" allowBlank="1" showErrorMessage="1" sqref="C6" xr:uid="{00000000-0002-0000-0000-000000000000}">
      <formula1>1</formula1>
      <formula2>100</formula2>
    </dataValidation>
    <dataValidation type="decimal" allowBlank="1" showErrorMessage="1" sqref="F3:F5" xr:uid="{00000000-0002-0000-0000-000002000000}">
      <formula1>0</formula1>
      <formula2>100</formula2>
    </dataValidation>
    <dataValidation type="decimal" allowBlank="1" showErrorMessage="1" sqref="J2" xr:uid="{00000000-0002-0000-0000-000004000000}">
      <formula1>0</formula1>
      <formula2>99.9</formula2>
    </dataValidation>
    <dataValidation type="decimal" operator="greaterThanOrEqual" allowBlank="1" showErrorMessage="1" sqref="C2" xr:uid="{00000000-0002-0000-0000-000005000000}">
      <formula1>1</formula1>
    </dataValidation>
  </dataValidations>
  <pageMargins left="0.7" right="0.7" top="0.75" bottom="0.75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1000000}">
          <x14:formula1>
            <xm:f>Lists!$C$2:$C$5</xm:f>
          </x14:formula1>
          <xm:sqref>C5</xm:sqref>
        </x14:dataValidation>
        <x14:dataValidation type="list" allowBlank="1" showErrorMessage="1" xr:uid="{00000000-0002-0000-0000-000003000000}">
          <x14:formula1>
            <xm:f>Decals!$A$3:$A$161</xm:f>
          </x14:formula1>
          <xm:sqref>A10:A18</xm:sqref>
        </x14:dataValidation>
        <x14:dataValidation type="list" allowBlank="1" showErrorMessage="1" xr:uid="{00000000-0002-0000-0000-000006000000}">
          <x14:formula1>
            <xm:f>Lists!$A$2:$A$45</xm:f>
          </x14:formula1>
          <xm:sqref>C3</xm:sqref>
        </x14:dataValidation>
        <x14:dataValidation type="list" allowBlank="1" showErrorMessage="1" xr:uid="{00000000-0002-0000-0000-000007000000}">
          <x14:formula1>
            <xm:f>Lists!$B$2:$B$4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00"/>
  <sheetViews>
    <sheetView workbookViewId="0"/>
  </sheetViews>
  <sheetFormatPr defaultColWidth="12.5703125" defaultRowHeight="15" customHeight="1"/>
  <cols>
    <col min="1" max="1" width="27.28515625" customWidth="1"/>
    <col min="2" max="2" width="8.7109375" customWidth="1"/>
    <col min="3" max="3" width="9" customWidth="1"/>
    <col min="4" max="4" width="18.42578125" customWidth="1"/>
    <col min="5" max="5" width="16.7109375" customWidth="1"/>
    <col min="6" max="6" width="10.85546875" customWidth="1"/>
    <col min="7" max="7" width="11.140625" customWidth="1"/>
    <col min="8" max="8" width="8" customWidth="1"/>
    <col min="9" max="9" width="9.42578125" customWidth="1"/>
    <col min="10" max="10" width="7.28515625" customWidth="1"/>
    <col min="11" max="11" width="9.5703125" customWidth="1"/>
    <col min="12" max="12" width="9" customWidth="1"/>
    <col min="13" max="13" width="13.140625" customWidth="1"/>
    <col min="14" max="14" width="14.5703125" customWidth="1"/>
    <col min="15" max="15" width="12.28515625" customWidth="1"/>
    <col min="16" max="16" width="10.85546875" customWidth="1"/>
    <col min="17" max="17" width="14.5703125" customWidth="1"/>
    <col min="18" max="18" width="8.28515625" customWidth="1"/>
    <col min="19" max="19" width="47.42578125" customWidth="1"/>
    <col min="20" max="26" width="8.5703125" customWidth="1"/>
  </cols>
  <sheetData>
    <row r="1" spans="1:19">
      <c r="A1" s="29" t="s">
        <v>45</v>
      </c>
      <c r="B1" s="30" t="s">
        <v>13</v>
      </c>
      <c r="C1" s="30" t="s">
        <v>14</v>
      </c>
      <c r="D1" s="31" t="s">
        <v>15</v>
      </c>
      <c r="E1" s="31" t="s">
        <v>16</v>
      </c>
      <c r="F1" s="31" t="s">
        <v>17</v>
      </c>
      <c r="G1" s="31" t="s">
        <v>18</v>
      </c>
      <c r="H1" s="30" t="s">
        <v>19</v>
      </c>
      <c r="I1" s="30" t="s">
        <v>20</v>
      </c>
      <c r="J1" s="30" t="s">
        <v>21</v>
      </c>
      <c r="K1" s="30" t="s">
        <v>22</v>
      </c>
      <c r="L1" s="30" t="s">
        <v>23</v>
      </c>
      <c r="M1" s="30" t="s">
        <v>24</v>
      </c>
      <c r="N1" s="30" t="s">
        <v>46</v>
      </c>
      <c r="O1" s="30" t="s">
        <v>47</v>
      </c>
      <c r="P1" s="30" t="s">
        <v>48</v>
      </c>
      <c r="Q1" s="30" t="s">
        <v>49</v>
      </c>
      <c r="R1" s="30" t="s">
        <v>50</v>
      </c>
      <c r="S1" s="30" t="s">
        <v>51</v>
      </c>
    </row>
    <row r="2" spans="1:19" hidden="1">
      <c r="A2" s="32"/>
      <c r="B2" s="33"/>
      <c r="C2" s="33"/>
      <c r="D2" s="34"/>
      <c r="E2" s="34"/>
      <c r="F2" s="34"/>
      <c r="G2" s="34"/>
      <c r="H2" s="33"/>
      <c r="I2" s="33"/>
      <c r="J2" s="35"/>
      <c r="K2" s="35"/>
      <c r="L2" s="35"/>
      <c r="M2" s="36"/>
      <c r="N2" s="37"/>
      <c r="O2" s="37"/>
      <c r="P2" s="37"/>
      <c r="Q2" s="37"/>
      <c r="R2" s="37"/>
      <c r="S2" s="37"/>
    </row>
    <row r="3" spans="1:19" hidden="1">
      <c r="A3" s="38" t="s">
        <v>52</v>
      </c>
      <c r="B3" s="39">
        <v>1</v>
      </c>
      <c r="C3" s="39"/>
      <c r="D3" s="40"/>
      <c r="E3" s="40"/>
      <c r="F3" s="40"/>
      <c r="G3" s="40"/>
      <c r="H3" s="39"/>
      <c r="I3" s="39"/>
      <c r="J3" s="39"/>
      <c r="K3" s="39"/>
      <c r="L3" s="39"/>
      <c r="M3" s="41"/>
      <c r="N3" s="39"/>
      <c r="O3" s="39"/>
      <c r="P3" s="39">
        <v>15</v>
      </c>
      <c r="Q3" s="39"/>
      <c r="R3" s="39"/>
      <c r="S3" s="39"/>
    </row>
    <row r="4" spans="1:19" hidden="1">
      <c r="A4" s="42" t="s">
        <v>53</v>
      </c>
      <c r="B4" s="35">
        <v>1</v>
      </c>
      <c r="C4" s="35"/>
      <c r="D4" s="43"/>
      <c r="E4" s="43"/>
      <c r="F4" s="43"/>
      <c r="G4" s="43"/>
      <c r="H4" s="35"/>
      <c r="I4" s="35"/>
      <c r="J4" s="35"/>
      <c r="K4" s="35"/>
      <c r="L4" s="35"/>
      <c r="M4" s="36"/>
      <c r="N4" s="35"/>
      <c r="O4" s="35"/>
      <c r="P4" s="35">
        <v>30</v>
      </c>
      <c r="Q4" s="35"/>
      <c r="R4" s="35"/>
      <c r="S4" s="35"/>
    </row>
    <row r="5" spans="1:19" hidden="1">
      <c r="A5" s="38" t="s">
        <v>54</v>
      </c>
      <c r="B5" s="39">
        <v>1</v>
      </c>
      <c r="C5" s="39"/>
      <c r="D5" s="40"/>
      <c r="E5" s="40"/>
      <c r="F5" s="40"/>
      <c r="G5" s="40"/>
      <c r="H5" s="39"/>
      <c r="I5" s="39"/>
      <c r="J5" s="39"/>
      <c r="K5" s="39"/>
      <c r="L5" s="39"/>
      <c r="M5" s="41"/>
      <c r="N5" s="39"/>
      <c r="O5" s="39">
        <v>30</v>
      </c>
      <c r="P5" s="39"/>
      <c r="Q5" s="39"/>
      <c r="R5" s="39"/>
      <c r="S5" s="39"/>
    </row>
    <row r="6" spans="1:19" hidden="1">
      <c r="A6" s="42" t="s">
        <v>55</v>
      </c>
      <c r="B6" s="35">
        <v>1</v>
      </c>
      <c r="C6" s="35"/>
      <c r="D6" s="43"/>
      <c r="E6" s="43"/>
      <c r="F6" s="43"/>
      <c r="G6" s="43"/>
      <c r="H6" s="35"/>
      <c r="I6" s="35"/>
      <c r="J6" s="35"/>
      <c r="K6" s="35"/>
      <c r="L6" s="35"/>
      <c r="M6" s="36"/>
      <c r="N6" s="35"/>
      <c r="O6" s="35">
        <v>60</v>
      </c>
      <c r="P6" s="35"/>
      <c r="Q6" s="35"/>
      <c r="R6" s="35"/>
      <c r="S6" s="35"/>
    </row>
    <row r="7" spans="1:19" hidden="1">
      <c r="A7" s="38" t="s">
        <v>33</v>
      </c>
      <c r="B7" s="39">
        <v>1</v>
      </c>
      <c r="C7" s="39"/>
      <c r="D7" s="40"/>
      <c r="E7" s="40"/>
      <c r="F7" s="40"/>
      <c r="G7" s="40"/>
      <c r="H7" s="39">
        <v>100</v>
      </c>
      <c r="I7" s="39"/>
      <c r="J7" s="39"/>
      <c r="K7" s="39"/>
      <c r="L7" s="39"/>
      <c r="M7" s="41"/>
      <c r="N7" s="39"/>
      <c r="O7" s="39"/>
      <c r="P7" s="39"/>
      <c r="Q7" s="39"/>
      <c r="R7" s="39"/>
      <c r="S7" s="39"/>
    </row>
    <row r="8" spans="1:19" hidden="1">
      <c r="A8" s="42" t="s">
        <v>56</v>
      </c>
      <c r="B8" s="35">
        <v>1</v>
      </c>
      <c r="C8" s="35"/>
      <c r="D8" s="43"/>
      <c r="E8" s="43"/>
      <c r="F8" s="43"/>
      <c r="G8" s="43"/>
      <c r="H8" s="35">
        <v>7</v>
      </c>
      <c r="I8" s="35"/>
      <c r="J8" s="35"/>
      <c r="K8" s="35"/>
      <c r="L8" s="35"/>
      <c r="M8" s="36"/>
      <c r="N8" s="35"/>
      <c r="O8" s="35"/>
      <c r="P8" s="35"/>
      <c r="Q8" s="35"/>
      <c r="R8" s="35"/>
      <c r="S8" s="35"/>
    </row>
    <row r="9" spans="1:19" hidden="1">
      <c r="A9" s="38" t="s">
        <v>57</v>
      </c>
      <c r="B9" s="39">
        <v>1</v>
      </c>
      <c r="C9" s="39"/>
      <c r="D9" s="40"/>
      <c r="E9" s="40"/>
      <c r="F9" s="40"/>
      <c r="G9" s="40"/>
      <c r="H9" s="39">
        <v>15</v>
      </c>
      <c r="I9" s="39"/>
      <c r="J9" s="39"/>
      <c r="K9" s="39"/>
      <c r="L9" s="39"/>
      <c r="M9" s="41"/>
      <c r="N9" s="39"/>
      <c r="O9" s="39"/>
      <c r="P9" s="39"/>
      <c r="Q9" s="39"/>
      <c r="R9" s="39"/>
      <c r="S9" s="39"/>
    </row>
    <row r="10" spans="1:19" hidden="1">
      <c r="A10" s="42" t="s">
        <v>58</v>
      </c>
      <c r="B10" s="35"/>
      <c r="C10" s="35"/>
      <c r="D10" s="43"/>
      <c r="E10" s="43"/>
      <c r="F10" s="43"/>
      <c r="G10" s="43"/>
      <c r="H10" s="35"/>
      <c r="I10" s="35"/>
      <c r="J10" s="35"/>
      <c r="K10" s="35"/>
      <c r="L10" s="35"/>
      <c r="M10" s="36"/>
      <c r="N10" s="35"/>
      <c r="O10" s="35"/>
      <c r="P10" s="35"/>
      <c r="Q10" s="35">
        <v>100</v>
      </c>
      <c r="R10" s="35"/>
      <c r="S10" s="35"/>
    </row>
    <row r="11" spans="1:19" hidden="1">
      <c r="A11" s="38" t="s">
        <v>59</v>
      </c>
      <c r="B11" s="39">
        <v>11</v>
      </c>
      <c r="C11" s="39"/>
      <c r="D11" s="40"/>
      <c r="E11" s="40"/>
      <c r="F11" s="40"/>
      <c r="G11" s="40"/>
      <c r="H11" s="39"/>
      <c r="I11" s="39"/>
      <c r="J11" s="39">
        <v>70</v>
      </c>
      <c r="K11" s="39"/>
      <c r="L11" s="39"/>
      <c r="M11" s="41"/>
      <c r="N11" s="39"/>
      <c r="O11" s="39"/>
      <c r="P11" s="39"/>
      <c r="Q11" s="39"/>
      <c r="R11" s="39"/>
      <c r="S11" s="39"/>
    </row>
    <row r="12" spans="1:19" hidden="1">
      <c r="A12" s="42" t="s">
        <v>28</v>
      </c>
      <c r="B12" s="35">
        <v>7</v>
      </c>
      <c r="C12" s="35"/>
      <c r="D12" s="43"/>
      <c r="E12" s="43"/>
      <c r="F12" s="43"/>
      <c r="G12" s="43"/>
      <c r="H12" s="35">
        <v>20</v>
      </c>
      <c r="I12" s="35"/>
      <c r="J12" s="35"/>
      <c r="K12" s="35"/>
      <c r="L12" s="35"/>
      <c r="M12" s="36"/>
      <c r="N12" s="35"/>
      <c r="O12" s="35"/>
      <c r="P12" s="35"/>
      <c r="Q12" s="35"/>
      <c r="R12" s="35"/>
      <c r="S12" s="35"/>
    </row>
    <row r="13" spans="1:19" hidden="1">
      <c r="A13" s="38" t="s">
        <v>60</v>
      </c>
      <c r="B13" s="39">
        <v>6</v>
      </c>
      <c r="C13" s="39"/>
      <c r="D13" s="40"/>
      <c r="E13" s="40"/>
      <c r="F13" s="40"/>
      <c r="G13" s="40"/>
      <c r="H13" s="39">
        <v>10</v>
      </c>
      <c r="I13" s="39"/>
      <c r="J13" s="39"/>
      <c r="K13" s="39"/>
      <c r="L13" s="39"/>
      <c r="M13" s="41"/>
      <c r="N13" s="39"/>
      <c r="O13" s="39"/>
      <c r="P13" s="39"/>
      <c r="Q13" s="39"/>
      <c r="R13" s="39"/>
      <c r="S13" s="39"/>
    </row>
    <row r="14" spans="1:19" hidden="1">
      <c r="A14" s="42" t="s">
        <v>61</v>
      </c>
      <c r="B14" s="35">
        <v>3</v>
      </c>
      <c r="C14" s="35"/>
      <c r="D14" s="43"/>
      <c r="E14" s="43"/>
      <c r="F14" s="43"/>
      <c r="G14" s="43" t="s">
        <v>62</v>
      </c>
      <c r="H14" s="35">
        <v>7</v>
      </c>
      <c r="I14" s="35"/>
      <c r="J14" s="35"/>
      <c r="K14" s="35"/>
      <c r="L14" s="35"/>
      <c r="M14" s="36"/>
      <c r="N14" s="35"/>
      <c r="O14" s="35"/>
      <c r="P14" s="35"/>
      <c r="Q14" s="35"/>
      <c r="R14" s="35"/>
      <c r="S14" s="35"/>
    </row>
    <row r="15" spans="1:19" hidden="1">
      <c r="A15" s="38" t="s">
        <v>63</v>
      </c>
      <c r="B15" s="39">
        <v>3</v>
      </c>
      <c r="C15" s="39"/>
      <c r="D15" s="40"/>
      <c r="E15" s="40"/>
      <c r="F15" s="40"/>
      <c r="G15" s="40" t="s">
        <v>64</v>
      </c>
      <c r="H15" s="39">
        <v>7</v>
      </c>
      <c r="I15" s="39"/>
      <c r="J15" s="39"/>
      <c r="K15" s="39"/>
      <c r="L15" s="39"/>
      <c r="M15" s="41"/>
      <c r="N15" s="39"/>
      <c r="O15" s="39"/>
      <c r="P15" s="39"/>
      <c r="Q15" s="39"/>
      <c r="R15" s="39"/>
      <c r="S15" s="39"/>
    </row>
    <row r="16" spans="1:19" hidden="1">
      <c r="A16" s="42" t="s">
        <v>65</v>
      </c>
      <c r="B16" s="35">
        <v>3</v>
      </c>
      <c r="C16" s="35"/>
      <c r="D16" s="43"/>
      <c r="E16" s="43"/>
      <c r="F16" s="43"/>
      <c r="G16" s="43" t="s">
        <v>66</v>
      </c>
      <c r="H16" s="35">
        <v>7</v>
      </c>
      <c r="I16" s="35"/>
      <c r="J16" s="35"/>
      <c r="K16" s="35"/>
      <c r="L16" s="35"/>
      <c r="M16" s="36"/>
      <c r="N16" s="35"/>
      <c r="O16" s="35"/>
      <c r="P16" s="35"/>
      <c r="Q16" s="35"/>
      <c r="R16" s="35"/>
      <c r="S16" s="35"/>
    </row>
    <row r="17" spans="1:19" hidden="1">
      <c r="A17" s="38" t="s">
        <v>67</v>
      </c>
      <c r="B17" s="39">
        <v>3</v>
      </c>
      <c r="C17" s="39"/>
      <c r="D17" s="40"/>
      <c r="E17" s="40"/>
      <c r="F17" s="40"/>
      <c r="G17" s="40" t="s">
        <v>68</v>
      </c>
      <c r="H17" s="39">
        <v>7</v>
      </c>
      <c r="I17" s="39"/>
      <c r="J17" s="39"/>
      <c r="K17" s="39"/>
      <c r="L17" s="39"/>
      <c r="M17" s="41"/>
      <c r="N17" s="39"/>
      <c r="O17" s="39"/>
      <c r="P17" s="39"/>
      <c r="Q17" s="39"/>
      <c r="R17" s="39"/>
      <c r="S17" s="39"/>
    </row>
    <row r="18" spans="1:19" hidden="1">
      <c r="A18" s="42" t="s">
        <v>69</v>
      </c>
      <c r="B18" s="35">
        <v>5</v>
      </c>
      <c r="C18" s="35"/>
      <c r="D18" s="43"/>
      <c r="E18" s="43" t="s">
        <v>70</v>
      </c>
      <c r="F18" s="43"/>
      <c r="G18" s="43"/>
      <c r="H18" s="35">
        <v>10</v>
      </c>
      <c r="I18" s="35"/>
      <c r="J18" s="35"/>
      <c r="K18" s="35"/>
      <c r="L18" s="35"/>
      <c r="M18" s="36"/>
      <c r="N18" s="35"/>
      <c r="O18" s="35"/>
      <c r="P18" s="35"/>
      <c r="Q18" s="35"/>
      <c r="R18" s="35"/>
      <c r="S18" s="35"/>
    </row>
    <row r="19" spans="1:19" hidden="1">
      <c r="A19" s="38" t="s">
        <v>71</v>
      </c>
      <c r="B19" s="39">
        <v>5</v>
      </c>
      <c r="C19" s="39"/>
      <c r="D19" s="40"/>
      <c r="E19" s="40" t="s">
        <v>72</v>
      </c>
      <c r="F19" s="40"/>
      <c r="G19" s="40"/>
      <c r="H19" s="39">
        <v>10</v>
      </c>
      <c r="I19" s="39"/>
      <c r="J19" s="39"/>
      <c r="K19" s="39"/>
      <c r="L19" s="39"/>
      <c r="M19" s="41"/>
      <c r="N19" s="39"/>
      <c r="O19" s="39"/>
      <c r="P19" s="39"/>
      <c r="Q19" s="39"/>
      <c r="R19" s="39"/>
      <c r="S19" s="39"/>
    </row>
    <row r="20" spans="1:19" hidden="1">
      <c r="A20" s="42" t="s">
        <v>73</v>
      </c>
      <c r="B20" s="35">
        <v>5</v>
      </c>
      <c r="C20" s="35"/>
      <c r="D20" s="43"/>
      <c r="E20" s="43"/>
      <c r="F20" s="43" t="s">
        <v>74</v>
      </c>
      <c r="G20" s="43"/>
      <c r="H20" s="35">
        <v>10</v>
      </c>
      <c r="I20" s="35"/>
      <c r="J20" s="35"/>
      <c r="K20" s="35"/>
      <c r="L20" s="35"/>
      <c r="M20" s="36"/>
      <c r="N20" s="35"/>
      <c r="O20" s="35"/>
      <c r="P20" s="35"/>
      <c r="Q20" s="35"/>
      <c r="R20" s="35"/>
      <c r="S20" s="35"/>
    </row>
    <row r="21" spans="1:19" ht="15.75" hidden="1" customHeight="1">
      <c r="A21" s="38" t="s">
        <v>75</v>
      </c>
      <c r="B21" s="39">
        <v>5</v>
      </c>
      <c r="C21" s="39"/>
      <c r="D21" s="40"/>
      <c r="E21" s="40"/>
      <c r="F21" s="40" t="s">
        <v>76</v>
      </c>
      <c r="G21" s="40"/>
      <c r="H21" s="39">
        <v>10</v>
      </c>
      <c r="I21" s="39"/>
      <c r="J21" s="39"/>
      <c r="K21" s="39"/>
      <c r="L21" s="39"/>
      <c r="M21" s="41"/>
      <c r="N21" s="39"/>
      <c r="O21" s="39"/>
      <c r="P21" s="39"/>
      <c r="Q21" s="39"/>
      <c r="R21" s="39"/>
      <c r="S21" s="39"/>
    </row>
    <row r="22" spans="1:19" ht="15.75" hidden="1" customHeight="1">
      <c r="A22" s="42" t="s">
        <v>77</v>
      </c>
      <c r="B22" s="35">
        <v>5</v>
      </c>
      <c r="C22" s="35"/>
      <c r="D22" s="43"/>
      <c r="E22" s="43"/>
      <c r="F22" s="43" t="s">
        <v>78</v>
      </c>
      <c r="G22" s="43"/>
      <c r="H22" s="35">
        <v>10</v>
      </c>
      <c r="I22" s="35"/>
      <c r="J22" s="35"/>
      <c r="K22" s="35"/>
      <c r="L22" s="35"/>
      <c r="M22" s="36"/>
      <c r="N22" s="35"/>
      <c r="O22" s="35"/>
      <c r="P22" s="35"/>
      <c r="Q22" s="35"/>
      <c r="R22" s="35"/>
      <c r="S22" s="35"/>
    </row>
    <row r="23" spans="1:19" ht="15.75" hidden="1" customHeight="1">
      <c r="A23" s="38" t="s">
        <v>79</v>
      </c>
      <c r="B23" s="39">
        <v>8</v>
      </c>
      <c r="C23" s="39"/>
      <c r="D23" s="40"/>
      <c r="E23" s="40"/>
      <c r="F23" s="40"/>
      <c r="G23" s="40"/>
      <c r="H23" s="39">
        <v>30</v>
      </c>
      <c r="I23" s="39"/>
      <c r="J23" s="39"/>
      <c r="K23" s="39"/>
      <c r="L23" s="39"/>
      <c r="M23" s="41"/>
      <c r="N23" s="39"/>
      <c r="O23" s="39"/>
      <c r="P23" s="39"/>
      <c r="Q23" s="39"/>
      <c r="R23" s="39"/>
      <c r="S23" s="39"/>
    </row>
    <row r="24" spans="1:19" ht="15.75" hidden="1" customHeight="1">
      <c r="A24" s="42" t="s">
        <v>80</v>
      </c>
      <c r="B24" s="35"/>
      <c r="C24" s="35"/>
      <c r="D24" s="43"/>
      <c r="E24" s="43"/>
      <c r="F24" s="43"/>
      <c r="G24" s="43"/>
      <c r="H24" s="35"/>
      <c r="I24" s="35"/>
      <c r="J24" s="35"/>
      <c r="K24" s="35">
        <v>10</v>
      </c>
      <c r="L24" s="35"/>
      <c r="M24" s="36"/>
      <c r="N24" s="35"/>
      <c r="O24" s="35"/>
      <c r="P24" s="35"/>
      <c r="Q24" s="35"/>
      <c r="R24" s="35"/>
      <c r="S24" s="35"/>
    </row>
    <row r="25" spans="1:19" ht="15.75" hidden="1" customHeight="1">
      <c r="A25" s="38" t="s">
        <v>32</v>
      </c>
      <c r="B25" s="39"/>
      <c r="C25" s="39"/>
      <c r="D25" s="40"/>
      <c r="E25" s="40"/>
      <c r="F25" s="40"/>
      <c r="G25" s="40"/>
      <c r="H25" s="39"/>
      <c r="I25" s="39"/>
      <c r="J25" s="39"/>
      <c r="K25" s="39">
        <v>20</v>
      </c>
      <c r="L25" s="39"/>
      <c r="M25" s="41"/>
      <c r="N25" s="39"/>
      <c r="O25" s="39"/>
      <c r="P25" s="39"/>
      <c r="Q25" s="39"/>
      <c r="R25" s="39"/>
      <c r="S25" s="39"/>
    </row>
    <row r="26" spans="1:19" ht="15.75" hidden="1" customHeight="1">
      <c r="A26" s="42" t="s">
        <v>81</v>
      </c>
      <c r="B26" s="35">
        <v>9</v>
      </c>
      <c r="C26" s="35"/>
      <c r="D26" s="43"/>
      <c r="E26" s="43"/>
      <c r="F26" s="43"/>
      <c r="G26" s="43"/>
      <c r="H26" s="35">
        <v>20</v>
      </c>
      <c r="I26" s="35"/>
      <c r="J26" s="35"/>
      <c r="K26" s="35"/>
      <c r="L26" s="35"/>
      <c r="M26" s="36"/>
      <c r="N26" s="35"/>
      <c r="O26" s="35"/>
      <c r="P26" s="35"/>
      <c r="Q26" s="35"/>
      <c r="R26" s="35"/>
      <c r="S26" s="35"/>
    </row>
    <row r="27" spans="1:19" ht="15.75" hidden="1" customHeight="1">
      <c r="A27" s="38" t="s">
        <v>82</v>
      </c>
      <c r="B27" s="39"/>
      <c r="C27" s="39"/>
      <c r="D27" s="40"/>
      <c r="E27" s="40"/>
      <c r="F27" s="40"/>
      <c r="G27" s="40"/>
      <c r="H27" s="39"/>
      <c r="I27" s="39"/>
      <c r="J27" s="39"/>
      <c r="K27" s="39"/>
      <c r="L27" s="39"/>
      <c r="M27" s="41"/>
      <c r="N27" s="39"/>
      <c r="O27" s="39"/>
      <c r="P27" s="39"/>
      <c r="Q27" s="39">
        <v>10</v>
      </c>
      <c r="R27" s="39"/>
      <c r="S27" s="39"/>
    </row>
    <row r="28" spans="1:19" ht="15.75" hidden="1" customHeight="1">
      <c r="A28" s="42" t="s">
        <v>83</v>
      </c>
      <c r="B28" s="35"/>
      <c r="C28" s="35"/>
      <c r="D28" s="43"/>
      <c r="E28" s="43"/>
      <c r="F28" s="43"/>
      <c r="G28" s="43"/>
      <c r="H28" s="35">
        <v>50</v>
      </c>
      <c r="I28" s="35"/>
      <c r="J28" s="35"/>
      <c r="K28" s="35"/>
      <c r="L28" s="35"/>
      <c r="M28" s="36"/>
      <c r="N28" s="35"/>
      <c r="O28" s="35"/>
      <c r="P28" s="35"/>
      <c r="Q28" s="35"/>
      <c r="R28" s="35"/>
      <c r="S28" s="35"/>
    </row>
    <row r="29" spans="1:19" ht="15.75" customHeight="1">
      <c r="A29" s="38" t="s">
        <v>84</v>
      </c>
      <c r="B29" s="39">
        <v>4</v>
      </c>
      <c r="C29" s="39"/>
      <c r="D29" s="40" t="s">
        <v>85</v>
      </c>
      <c r="E29" s="40"/>
      <c r="F29" s="40"/>
      <c r="G29" s="40"/>
      <c r="H29" s="39">
        <v>30</v>
      </c>
      <c r="I29" s="39"/>
      <c r="J29" s="39"/>
      <c r="K29" s="39"/>
      <c r="L29" s="39"/>
      <c r="M29" s="41"/>
      <c r="N29" s="39"/>
      <c r="O29" s="39"/>
      <c r="P29" s="39"/>
      <c r="Q29" s="39"/>
      <c r="R29" s="39"/>
      <c r="S29" s="39"/>
    </row>
    <row r="30" spans="1:19" ht="15.75" customHeight="1">
      <c r="A30" s="42" t="s">
        <v>86</v>
      </c>
      <c r="B30" s="35">
        <v>4</v>
      </c>
      <c r="C30" s="35"/>
      <c r="D30" s="43" t="s">
        <v>87</v>
      </c>
      <c r="E30" s="43"/>
      <c r="F30" s="43"/>
      <c r="G30" s="43"/>
      <c r="H30" s="35">
        <v>30</v>
      </c>
      <c r="I30" s="35"/>
      <c r="J30" s="35"/>
      <c r="K30" s="35"/>
      <c r="L30" s="35"/>
      <c r="M30" s="36"/>
      <c r="N30" s="35"/>
      <c r="O30" s="35"/>
      <c r="P30" s="35"/>
      <c r="Q30" s="35"/>
      <c r="R30" s="35"/>
      <c r="S30" s="35"/>
    </row>
    <row r="31" spans="1:19" ht="15.75" customHeight="1">
      <c r="A31" s="38" t="s">
        <v>30</v>
      </c>
      <c r="B31" s="39">
        <v>4</v>
      </c>
      <c r="C31" s="39"/>
      <c r="D31" s="40" t="s">
        <v>4</v>
      </c>
      <c r="E31" s="40"/>
      <c r="F31" s="40"/>
      <c r="G31" s="40"/>
      <c r="H31" s="39">
        <v>30</v>
      </c>
      <c r="I31" s="39"/>
      <c r="J31" s="39"/>
      <c r="K31" s="39"/>
      <c r="L31" s="39"/>
      <c r="M31" s="41"/>
      <c r="N31" s="39"/>
      <c r="O31" s="39"/>
      <c r="P31" s="39"/>
      <c r="Q31" s="39"/>
      <c r="R31" s="39"/>
      <c r="S31" s="39"/>
    </row>
    <row r="32" spans="1:19" ht="15.75" customHeight="1">
      <c r="A32" s="42" t="s">
        <v>88</v>
      </c>
      <c r="B32" s="35">
        <v>4</v>
      </c>
      <c r="C32" s="35"/>
      <c r="D32" s="43" t="s">
        <v>89</v>
      </c>
      <c r="E32" s="43"/>
      <c r="F32" s="43"/>
      <c r="G32" s="43"/>
      <c r="H32" s="35">
        <v>30</v>
      </c>
      <c r="I32" s="35"/>
      <c r="J32" s="35"/>
      <c r="K32" s="35"/>
      <c r="L32" s="35"/>
      <c r="M32" s="36"/>
      <c r="N32" s="35"/>
      <c r="O32" s="35"/>
      <c r="P32" s="35"/>
      <c r="Q32" s="35"/>
      <c r="R32" s="35"/>
      <c r="S32" s="35"/>
    </row>
    <row r="33" spans="1:19" ht="15.75" customHeight="1">
      <c r="A33" s="38" t="s">
        <v>90</v>
      </c>
      <c r="B33" s="39">
        <v>4</v>
      </c>
      <c r="C33" s="39"/>
      <c r="D33" s="40" t="s">
        <v>91</v>
      </c>
      <c r="E33" s="40"/>
      <c r="F33" s="40"/>
      <c r="G33" s="40"/>
      <c r="H33" s="39">
        <v>30</v>
      </c>
      <c r="I33" s="39"/>
      <c r="J33" s="39"/>
      <c r="K33" s="39"/>
      <c r="L33" s="39"/>
      <c r="M33" s="41"/>
      <c r="N33" s="39"/>
      <c r="O33" s="39"/>
      <c r="P33" s="39"/>
      <c r="Q33" s="39"/>
      <c r="R33" s="39"/>
      <c r="S33" s="39"/>
    </row>
    <row r="34" spans="1:19" ht="15.75" hidden="1" customHeight="1">
      <c r="A34" s="42" t="s">
        <v>92</v>
      </c>
      <c r="B34" s="35"/>
      <c r="C34" s="35"/>
      <c r="D34" s="43"/>
      <c r="E34" s="43"/>
      <c r="F34" s="43"/>
      <c r="G34" s="43"/>
      <c r="H34" s="35">
        <v>20</v>
      </c>
      <c r="I34" s="35"/>
      <c r="J34" s="35"/>
      <c r="K34" s="35"/>
      <c r="L34" s="35"/>
      <c r="M34" s="36"/>
      <c r="N34" s="35"/>
      <c r="O34" s="35"/>
      <c r="P34" s="35"/>
      <c r="Q34" s="35"/>
      <c r="R34" s="35"/>
      <c r="S34" s="35"/>
    </row>
    <row r="35" spans="1:19" ht="15.75" customHeight="1">
      <c r="A35" s="38" t="s">
        <v>93</v>
      </c>
      <c r="B35" s="39">
        <v>4</v>
      </c>
      <c r="C35" s="39"/>
      <c r="D35" s="40" t="s">
        <v>94</v>
      </c>
      <c r="E35" s="40"/>
      <c r="F35" s="40"/>
      <c r="G35" s="40"/>
      <c r="H35" s="39">
        <v>30</v>
      </c>
      <c r="I35" s="39"/>
      <c r="J35" s="39"/>
      <c r="K35" s="39"/>
      <c r="L35" s="39"/>
      <c r="M35" s="41"/>
      <c r="N35" s="39"/>
      <c r="O35" s="39"/>
      <c r="P35" s="39"/>
      <c r="Q35" s="39"/>
      <c r="R35" s="39"/>
      <c r="S35" s="39"/>
    </row>
    <row r="36" spans="1:19" ht="15.75" customHeight="1">
      <c r="A36" s="42" t="s">
        <v>95</v>
      </c>
      <c r="B36" s="35">
        <v>4</v>
      </c>
      <c r="C36" s="35"/>
      <c r="D36" s="43" t="s">
        <v>96</v>
      </c>
      <c r="E36" s="43"/>
      <c r="F36" s="43"/>
      <c r="G36" s="43"/>
      <c r="H36" s="35">
        <v>30</v>
      </c>
      <c r="I36" s="35"/>
      <c r="J36" s="35"/>
      <c r="K36" s="35"/>
      <c r="L36" s="35"/>
      <c r="M36" s="36"/>
      <c r="N36" s="35"/>
      <c r="O36" s="35"/>
      <c r="P36" s="35"/>
      <c r="Q36" s="35"/>
      <c r="R36" s="35"/>
      <c r="S36" s="35"/>
    </row>
    <row r="37" spans="1:19" ht="15.75" customHeight="1">
      <c r="A37" s="38" t="s">
        <v>97</v>
      </c>
      <c r="B37" s="39">
        <v>4</v>
      </c>
      <c r="C37" s="39"/>
      <c r="D37" s="40" t="s">
        <v>98</v>
      </c>
      <c r="E37" s="40"/>
      <c r="F37" s="40"/>
      <c r="G37" s="40"/>
      <c r="H37" s="39">
        <v>30</v>
      </c>
      <c r="I37" s="39"/>
      <c r="J37" s="39"/>
      <c r="K37" s="39"/>
      <c r="L37" s="39"/>
      <c r="M37" s="41"/>
      <c r="N37" s="39"/>
      <c r="O37" s="39"/>
      <c r="P37" s="39"/>
      <c r="Q37" s="39"/>
      <c r="R37" s="39"/>
      <c r="S37" s="39"/>
    </row>
    <row r="38" spans="1:19" ht="15.75" customHeight="1">
      <c r="A38" s="42" t="s">
        <v>99</v>
      </c>
      <c r="B38" s="35">
        <v>4</v>
      </c>
      <c r="C38" s="35"/>
      <c r="D38" s="43" t="s">
        <v>100</v>
      </c>
      <c r="E38" s="43"/>
      <c r="F38" s="43"/>
      <c r="G38" s="43"/>
      <c r="H38" s="35">
        <v>30</v>
      </c>
      <c r="I38" s="35"/>
      <c r="J38" s="35"/>
      <c r="K38" s="35"/>
      <c r="L38" s="35"/>
      <c r="M38" s="36"/>
      <c r="N38" s="35"/>
      <c r="O38" s="35"/>
      <c r="P38" s="35"/>
      <c r="Q38" s="35"/>
      <c r="R38" s="35"/>
      <c r="S38" s="35"/>
    </row>
    <row r="39" spans="1:19" ht="15.75" hidden="1" customHeight="1">
      <c r="A39" s="38" t="s">
        <v>101</v>
      </c>
      <c r="B39" s="39"/>
      <c r="C39" s="39"/>
      <c r="D39" s="40"/>
      <c r="E39" s="40"/>
      <c r="F39" s="40"/>
      <c r="G39" s="40"/>
      <c r="H39" s="39">
        <v>5</v>
      </c>
      <c r="I39" s="39"/>
      <c r="J39" s="39"/>
      <c r="K39" s="39"/>
      <c r="L39" s="39"/>
      <c r="M39" s="41"/>
      <c r="N39" s="39"/>
      <c r="O39" s="39"/>
      <c r="P39" s="39"/>
      <c r="Q39" s="39"/>
      <c r="R39" s="39"/>
      <c r="S39" s="39"/>
    </row>
    <row r="40" spans="1:19" ht="15.75" hidden="1" customHeight="1">
      <c r="A40" s="42" t="s">
        <v>102</v>
      </c>
      <c r="B40" s="35"/>
      <c r="C40" s="35"/>
      <c r="D40" s="43"/>
      <c r="E40" s="43" t="s">
        <v>103</v>
      </c>
      <c r="F40" s="43"/>
      <c r="G40" s="43"/>
      <c r="H40" s="35">
        <v>10</v>
      </c>
      <c r="I40" s="35"/>
      <c r="J40" s="35"/>
      <c r="K40" s="35"/>
      <c r="L40" s="35"/>
      <c r="M40" s="36"/>
      <c r="N40" s="35"/>
      <c r="O40" s="35"/>
      <c r="P40" s="35"/>
      <c r="Q40" s="35"/>
      <c r="R40" s="35"/>
      <c r="S40" s="35"/>
    </row>
    <row r="41" spans="1:19" ht="15.75" hidden="1" customHeight="1">
      <c r="A41" s="38" t="s">
        <v>104</v>
      </c>
      <c r="B41" s="39"/>
      <c r="C41" s="39"/>
      <c r="D41" s="40"/>
      <c r="E41" s="40"/>
      <c r="F41" s="40"/>
      <c r="G41" s="40"/>
      <c r="H41" s="39"/>
      <c r="I41" s="39"/>
      <c r="J41" s="39"/>
      <c r="K41" s="39">
        <v>15</v>
      </c>
      <c r="L41" s="39"/>
      <c r="M41" s="41"/>
      <c r="N41" s="39"/>
      <c r="O41" s="39"/>
      <c r="P41" s="39"/>
      <c r="Q41" s="39"/>
      <c r="R41" s="39"/>
      <c r="S41" s="39"/>
    </row>
    <row r="42" spans="1:19" ht="15.75" hidden="1" customHeight="1">
      <c r="A42" s="42" t="s">
        <v>105</v>
      </c>
      <c r="B42" s="35">
        <v>13</v>
      </c>
      <c r="C42" s="35"/>
      <c r="D42" s="43"/>
      <c r="E42" s="43"/>
      <c r="F42" s="43"/>
      <c r="G42" s="43"/>
      <c r="H42" s="35">
        <v>50</v>
      </c>
      <c r="I42" s="35"/>
      <c r="J42" s="35"/>
      <c r="K42" s="35"/>
      <c r="L42" s="35"/>
      <c r="M42" s="36"/>
      <c r="N42" s="35"/>
      <c r="O42" s="35"/>
      <c r="P42" s="35"/>
      <c r="Q42" s="35"/>
      <c r="R42" s="35"/>
      <c r="S42" s="35"/>
    </row>
    <row r="43" spans="1:19" ht="15.75" hidden="1" customHeight="1">
      <c r="A43" s="38" t="s">
        <v>106</v>
      </c>
      <c r="B43" s="39"/>
      <c r="C43" s="39"/>
      <c r="D43" s="40"/>
      <c r="E43" s="40"/>
      <c r="F43" s="40"/>
      <c r="G43" s="40"/>
      <c r="H43" s="39">
        <v>30</v>
      </c>
      <c r="I43" s="39"/>
      <c r="J43" s="39"/>
      <c r="K43" s="39"/>
      <c r="L43" s="39"/>
      <c r="M43" s="41"/>
      <c r="N43" s="39"/>
      <c r="O43" s="39"/>
      <c r="P43" s="39"/>
      <c r="Q43" s="39"/>
      <c r="R43" s="39"/>
      <c r="S43" s="39"/>
    </row>
    <row r="44" spans="1:19" ht="15.75" hidden="1" customHeight="1">
      <c r="A44" s="42" t="s">
        <v>29</v>
      </c>
      <c r="B44" s="35"/>
      <c r="C44" s="35">
        <v>2</v>
      </c>
      <c r="D44" s="43"/>
      <c r="E44" s="43"/>
      <c r="F44" s="43"/>
      <c r="G44" s="43"/>
      <c r="H44" s="35"/>
      <c r="I44" s="35"/>
      <c r="J44" s="35"/>
      <c r="K44" s="35"/>
      <c r="L44" s="35">
        <v>30</v>
      </c>
      <c r="M44" s="36"/>
      <c r="N44" s="35"/>
      <c r="O44" s="35"/>
      <c r="P44" s="35"/>
      <c r="Q44" s="35"/>
      <c r="R44" s="35"/>
      <c r="S44" s="35"/>
    </row>
    <row r="45" spans="1:19" ht="15.75" customHeight="1">
      <c r="A45" s="38" t="s">
        <v>107</v>
      </c>
      <c r="B45" s="39"/>
      <c r="C45" s="39"/>
      <c r="D45" s="40" t="s">
        <v>4</v>
      </c>
      <c r="E45" s="40"/>
      <c r="F45" s="40"/>
      <c r="G45" s="40"/>
      <c r="H45" s="39"/>
      <c r="I45" s="39"/>
      <c r="J45" s="39"/>
      <c r="K45" s="39"/>
      <c r="L45" s="39"/>
      <c r="M45" s="41"/>
      <c r="N45" s="39"/>
      <c r="O45" s="39"/>
      <c r="P45" s="39">
        <v>15</v>
      </c>
      <c r="Q45" s="39"/>
      <c r="R45" s="39"/>
      <c r="S45" s="39" t="s">
        <v>108</v>
      </c>
    </row>
    <row r="46" spans="1:19" ht="15.75" hidden="1" customHeight="1">
      <c r="A46" s="42" t="s">
        <v>109</v>
      </c>
      <c r="B46" s="35">
        <v>12</v>
      </c>
      <c r="C46" s="35"/>
      <c r="D46" s="43"/>
      <c r="E46" s="43"/>
      <c r="F46" s="43"/>
      <c r="G46" s="43"/>
      <c r="H46" s="35"/>
      <c r="I46" s="35"/>
      <c r="J46" s="35"/>
      <c r="K46" s="35"/>
      <c r="L46" s="35"/>
      <c r="M46" s="36">
        <v>20</v>
      </c>
      <c r="N46" s="35"/>
      <c r="O46" s="35"/>
      <c r="P46" s="35"/>
      <c r="Q46" s="35"/>
      <c r="R46" s="35"/>
      <c r="S46" s="35"/>
    </row>
    <row r="47" spans="1:19" ht="15.75" hidden="1" customHeight="1">
      <c r="A47" s="38" t="s">
        <v>110</v>
      </c>
      <c r="B47" s="39"/>
      <c r="C47" s="39"/>
      <c r="D47" s="40"/>
      <c r="E47" s="40"/>
      <c r="F47" s="40"/>
      <c r="G47" s="40"/>
      <c r="H47" s="39">
        <v>30</v>
      </c>
      <c r="I47" s="39"/>
      <c r="J47" s="39"/>
      <c r="K47" s="39"/>
      <c r="L47" s="39"/>
      <c r="M47" s="41"/>
      <c r="N47" s="39"/>
      <c r="O47" s="39"/>
      <c r="P47" s="39"/>
      <c r="Q47" s="39"/>
      <c r="R47" s="39"/>
      <c r="S47" s="39"/>
    </row>
    <row r="48" spans="1:19" ht="15.75" hidden="1" customHeight="1">
      <c r="A48" s="42" t="s">
        <v>111</v>
      </c>
      <c r="B48" s="35"/>
      <c r="C48" s="35"/>
      <c r="D48" s="43"/>
      <c r="E48" s="43"/>
      <c r="F48" s="43"/>
      <c r="G48" s="43"/>
      <c r="H48" s="35"/>
      <c r="I48" s="35"/>
      <c r="J48" s="35"/>
      <c r="K48" s="35"/>
      <c r="L48" s="35"/>
      <c r="M48" s="36"/>
      <c r="N48" s="35"/>
      <c r="O48" s="35"/>
      <c r="P48" s="35"/>
      <c r="Q48" s="35"/>
      <c r="R48" s="35"/>
      <c r="S48" s="35"/>
    </row>
    <row r="49" spans="1:19" ht="15.75" hidden="1" customHeight="1">
      <c r="A49" s="38" t="s">
        <v>112</v>
      </c>
      <c r="B49" s="39">
        <v>1</v>
      </c>
      <c r="C49" s="39"/>
      <c r="D49" s="40"/>
      <c r="E49" s="40"/>
      <c r="F49" s="40"/>
      <c r="G49" s="40"/>
      <c r="H49" s="39">
        <v>20</v>
      </c>
      <c r="I49" s="39"/>
      <c r="J49" s="39"/>
      <c r="K49" s="39"/>
      <c r="L49" s="39"/>
      <c r="M49" s="41"/>
      <c r="N49" s="39"/>
      <c r="O49" s="39"/>
      <c r="P49" s="39"/>
      <c r="Q49" s="39"/>
      <c r="R49" s="39"/>
      <c r="S49" s="39"/>
    </row>
    <row r="50" spans="1:19" ht="15.75" customHeight="1">
      <c r="A50" s="42" t="s">
        <v>113</v>
      </c>
      <c r="B50" s="35">
        <v>11</v>
      </c>
      <c r="C50" s="35"/>
      <c r="D50" s="43" t="s">
        <v>114</v>
      </c>
      <c r="E50" s="43"/>
      <c r="F50" s="43"/>
      <c r="G50" s="43"/>
      <c r="H50" s="35"/>
      <c r="I50" s="35">
        <v>30</v>
      </c>
      <c r="J50" s="35">
        <v>70</v>
      </c>
      <c r="K50" s="35"/>
      <c r="L50" s="35"/>
      <c r="M50" s="36"/>
      <c r="N50" s="35"/>
      <c r="O50" s="35"/>
      <c r="P50" s="35"/>
      <c r="Q50" s="35"/>
      <c r="R50" s="35"/>
      <c r="S50" s="35"/>
    </row>
    <row r="51" spans="1:19" ht="15.75" customHeight="1">
      <c r="A51" s="38" t="s">
        <v>115</v>
      </c>
      <c r="B51" s="39"/>
      <c r="C51" s="39">
        <v>2</v>
      </c>
      <c r="D51" s="40" t="s">
        <v>98</v>
      </c>
      <c r="E51" s="40"/>
      <c r="F51" s="40"/>
      <c r="G51" s="40"/>
      <c r="H51" s="39"/>
      <c r="I51" s="39"/>
      <c r="J51" s="39"/>
      <c r="K51" s="39">
        <v>60</v>
      </c>
      <c r="L51" s="39">
        <v>30</v>
      </c>
      <c r="M51" s="41"/>
      <c r="N51" s="39"/>
      <c r="O51" s="39"/>
      <c r="P51" s="39"/>
      <c r="Q51" s="39"/>
      <c r="R51" s="39"/>
      <c r="S51" s="39"/>
    </row>
    <row r="52" spans="1:19" ht="15.75" customHeight="1">
      <c r="A52" s="42" t="s">
        <v>116</v>
      </c>
      <c r="B52" s="35">
        <v>4</v>
      </c>
      <c r="C52" s="35"/>
      <c r="D52" s="43" t="s">
        <v>117</v>
      </c>
      <c r="E52" s="43"/>
      <c r="F52" s="43"/>
      <c r="G52" s="43"/>
      <c r="H52" s="35">
        <v>30</v>
      </c>
      <c r="I52" s="35"/>
      <c r="J52" s="35"/>
      <c r="K52" s="35"/>
      <c r="L52" s="35"/>
      <c r="M52" s="36"/>
      <c r="N52" s="35"/>
      <c r="O52" s="35"/>
      <c r="P52" s="35"/>
      <c r="Q52" s="35"/>
      <c r="R52" s="35"/>
      <c r="S52" s="35"/>
    </row>
    <row r="53" spans="1:19" ht="15.75" customHeight="1">
      <c r="A53" s="38" t="s">
        <v>118</v>
      </c>
      <c r="B53" s="39">
        <v>4</v>
      </c>
      <c r="C53" s="39"/>
      <c r="D53" s="40" t="s">
        <v>119</v>
      </c>
      <c r="E53" s="40"/>
      <c r="F53" s="40"/>
      <c r="G53" s="40"/>
      <c r="H53" s="39">
        <v>30</v>
      </c>
      <c r="I53" s="39"/>
      <c r="J53" s="39"/>
      <c r="K53" s="39"/>
      <c r="L53" s="39"/>
      <c r="M53" s="41"/>
      <c r="N53" s="39"/>
      <c r="O53" s="39"/>
      <c r="P53" s="39"/>
      <c r="Q53" s="39"/>
      <c r="R53" s="39"/>
      <c r="S53" s="39"/>
    </row>
    <row r="54" spans="1:19" ht="15.75" customHeight="1">
      <c r="A54" s="42" t="s">
        <v>120</v>
      </c>
      <c r="B54" s="35">
        <v>4</v>
      </c>
      <c r="C54" s="35"/>
      <c r="D54" s="43" t="s">
        <v>121</v>
      </c>
      <c r="E54" s="43"/>
      <c r="F54" s="43"/>
      <c r="G54" s="43"/>
      <c r="H54" s="35">
        <v>30</v>
      </c>
      <c r="I54" s="35"/>
      <c r="J54" s="35"/>
      <c r="K54" s="35"/>
      <c r="L54" s="35"/>
      <c r="M54" s="36"/>
      <c r="N54" s="35"/>
      <c r="O54" s="35"/>
      <c r="P54" s="35"/>
      <c r="Q54" s="35"/>
      <c r="R54" s="35"/>
      <c r="S54" s="35"/>
    </row>
    <row r="55" spans="1:19" ht="15.75" hidden="1" customHeight="1">
      <c r="A55" s="38" t="s">
        <v>122</v>
      </c>
      <c r="B55" s="39">
        <v>5</v>
      </c>
      <c r="C55" s="39"/>
      <c r="D55" s="40"/>
      <c r="E55" s="40"/>
      <c r="F55" s="40" t="s">
        <v>78</v>
      </c>
      <c r="G55" s="40"/>
      <c r="H55" s="39">
        <v>10</v>
      </c>
      <c r="I55" s="39"/>
      <c r="J55" s="39"/>
      <c r="K55" s="39"/>
      <c r="L55" s="39"/>
      <c r="M55" s="41"/>
      <c r="N55" s="39"/>
      <c r="O55" s="39"/>
      <c r="P55" s="39"/>
      <c r="Q55" s="39"/>
      <c r="R55" s="39"/>
      <c r="S55" s="39"/>
    </row>
    <row r="56" spans="1:19" ht="15.75" customHeight="1">
      <c r="A56" s="42" t="s">
        <v>123</v>
      </c>
      <c r="B56" s="35">
        <v>4</v>
      </c>
      <c r="C56" s="35"/>
      <c r="D56" s="43" t="s">
        <v>114</v>
      </c>
      <c r="E56" s="43"/>
      <c r="F56" s="43"/>
      <c r="G56" s="43"/>
      <c r="H56" s="35">
        <v>30</v>
      </c>
      <c r="I56" s="35"/>
      <c r="J56" s="35"/>
      <c r="K56" s="35"/>
      <c r="L56" s="35"/>
      <c r="M56" s="36"/>
      <c r="N56" s="35"/>
      <c r="O56" s="35"/>
      <c r="P56" s="35"/>
      <c r="Q56" s="35"/>
      <c r="R56" s="35"/>
      <c r="S56" s="35"/>
    </row>
    <row r="57" spans="1:19" ht="15.75" customHeight="1">
      <c r="A57" s="38" t="s">
        <v>124</v>
      </c>
      <c r="B57" s="39">
        <v>4</v>
      </c>
      <c r="C57" s="39"/>
      <c r="D57" s="40" t="s">
        <v>125</v>
      </c>
      <c r="E57" s="40"/>
      <c r="F57" s="40"/>
      <c r="G57" s="40"/>
      <c r="H57" s="39">
        <v>30</v>
      </c>
      <c r="I57" s="39"/>
      <c r="J57" s="39"/>
      <c r="K57" s="39"/>
      <c r="L57" s="39"/>
      <c r="M57" s="41"/>
      <c r="N57" s="39"/>
      <c r="O57" s="39"/>
      <c r="P57" s="39"/>
      <c r="Q57" s="39"/>
      <c r="R57" s="39"/>
      <c r="S57" s="39"/>
    </row>
    <row r="58" spans="1:19" ht="15.75" customHeight="1">
      <c r="A58" s="42" t="s">
        <v>126</v>
      </c>
      <c r="B58" s="35">
        <v>4</v>
      </c>
      <c r="C58" s="35"/>
      <c r="D58" s="43" t="s">
        <v>127</v>
      </c>
      <c r="E58" s="43"/>
      <c r="F58" s="43"/>
      <c r="G58" s="43"/>
      <c r="H58" s="35">
        <v>30</v>
      </c>
      <c r="I58" s="35"/>
      <c r="J58" s="35"/>
      <c r="K58" s="35"/>
      <c r="L58" s="35"/>
      <c r="M58" s="36"/>
      <c r="N58" s="35"/>
      <c r="O58" s="35"/>
      <c r="P58" s="35"/>
      <c r="Q58" s="35"/>
      <c r="R58" s="35"/>
      <c r="S58" s="35"/>
    </row>
    <row r="59" spans="1:19" ht="15.75" customHeight="1">
      <c r="A59" s="38" t="s">
        <v>128</v>
      </c>
      <c r="B59" s="39"/>
      <c r="C59" s="39"/>
      <c r="D59" s="40" t="s">
        <v>129</v>
      </c>
      <c r="E59" s="40"/>
      <c r="F59" s="40"/>
      <c r="G59" s="40"/>
      <c r="H59" s="39"/>
      <c r="I59" s="39">
        <v>100</v>
      </c>
      <c r="J59" s="39"/>
      <c r="K59" s="39"/>
      <c r="L59" s="39"/>
      <c r="M59" s="41"/>
      <c r="N59" s="39"/>
      <c r="O59" s="39"/>
      <c r="P59" s="39"/>
      <c r="Q59" s="39"/>
      <c r="R59" s="39"/>
      <c r="S59" s="39"/>
    </row>
    <row r="60" spans="1:19" ht="15.75" customHeight="1">
      <c r="A60" s="42" t="s">
        <v>130</v>
      </c>
      <c r="B60" s="35">
        <v>4</v>
      </c>
      <c r="C60" s="35"/>
      <c r="D60" s="43" t="s">
        <v>129</v>
      </c>
      <c r="E60" s="43"/>
      <c r="F60" s="43"/>
      <c r="G60" s="43"/>
      <c r="H60" s="35">
        <v>30</v>
      </c>
      <c r="I60" s="35"/>
      <c r="J60" s="35"/>
      <c r="K60" s="35"/>
      <c r="L60" s="35"/>
      <c r="M60" s="36"/>
      <c r="N60" s="35"/>
      <c r="O60" s="35"/>
      <c r="P60" s="35"/>
      <c r="Q60" s="35"/>
      <c r="R60" s="35"/>
      <c r="S60" s="35"/>
    </row>
    <row r="61" spans="1:19" ht="15.75" customHeight="1">
      <c r="A61" s="38" t="s">
        <v>131</v>
      </c>
      <c r="B61" s="39">
        <v>4</v>
      </c>
      <c r="C61" s="39"/>
      <c r="D61" s="40" t="s">
        <v>132</v>
      </c>
      <c r="E61" s="40"/>
      <c r="F61" s="40"/>
      <c r="G61" s="40"/>
      <c r="H61" s="39">
        <v>30</v>
      </c>
      <c r="I61" s="39"/>
      <c r="J61" s="39"/>
      <c r="K61" s="39"/>
      <c r="L61" s="39"/>
      <c r="M61" s="41"/>
      <c r="N61" s="39"/>
      <c r="O61" s="39"/>
      <c r="P61" s="39"/>
      <c r="Q61" s="39"/>
      <c r="R61" s="39"/>
      <c r="S61" s="39"/>
    </row>
    <row r="62" spans="1:19" ht="15.75" customHeight="1">
      <c r="A62" s="42" t="s">
        <v>133</v>
      </c>
      <c r="B62" s="35">
        <v>4</v>
      </c>
      <c r="C62" s="35"/>
      <c r="D62" s="43" t="s">
        <v>134</v>
      </c>
      <c r="E62" s="43"/>
      <c r="F62" s="43"/>
      <c r="G62" s="43"/>
      <c r="H62" s="35">
        <v>30</v>
      </c>
      <c r="I62" s="35"/>
      <c r="J62" s="35"/>
      <c r="K62" s="35"/>
      <c r="L62" s="35"/>
      <c r="M62" s="36"/>
      <c r="N62" s="35"/>
      <c r="O62" s="35"/>
      <c r="P62" s="35"/>
      <c r="Q62" s="35"/>
      <c r="R62" s="35"/>
      <c r="S62" s="35"/>
    </row>
    <row r="63" spans="1:19" ht="15.75" customHeight="1">
      <c r="A63" s="38" t="s">
        <v>135</v>
      </c>
      <c r="B63" s="39"/>
      <c r="C63" s="39"/>
      <c r="D63" s="40" t="s">
        <v>136</v>
      </c>
      <c r="E63" s="40"/>
      <c r="F63" s="40"/>
      <c r="G63" s="40"/>
      <c r="H63" s="39">
        <v>44</v>
      </c>
      <c r="I63" s="39">
        <v>100</v>
      </c>
      <c r="J63" s="39"/>
      <c r="K63" s="39"/>
      <c r="L63" s="39"/>
      <c r="M63" s="41"/>
      <c r="N63" s="39"/>
      <c r="O63" s="39"/>
      <c r="P63" s="39"/>
      <c r="Q63" s="39"/>
      <c r="R63" s="39"/>
      <c r="S63" s="39"/>
    </row>
    <row r="64" spans="1:19" ht="15.75" customHeight="1">
      <c r="A64" s="42" t="s">
        <v>137</v>
      </c>
      <c r="B64" s="35">
        <v>4</v>
      </c>
      <c r="C64" s="35"/>
      <c r="D64" s="43" t="s">
        <v>138</v>
      </c>
      <c r="E64" s="43"/>
      <c r="F64" s="43"/>
      <c r="G64" s="43"/>
      <c r="H64" s="35">
        <v>30</v>
      </c>
      <c r="I64" s="35"/>
      <c r="J64" s="35"/>
      <c r="K64" s="35"/>
      <c r="L64" s="35"/>
      <c r="M64" s="36"/>
      <c r="N64" s="35"/>
      <c r="O64" s="35"/>
      <c r="P64" s="35"/>
      <c r="Q64" s="35"/>
      <c r="R64" s="35"/>
      <c r="S64" s="35"/>
    </row>
    <row r="65" spans="1:19" ht="15.75" customHeight="1">
      <c r="A65" s="38" t="s">
        <v>139</v>
      </c>
      <c r="B65" s="39">
        <v>4</v>
      </c>
      <c r="C65" s="39"/>
      <c r="D65" s="40" t="s">
        <v>136</v>
      </c>
      <c r="E65" s="40"/>
      <c r="F65" s="40"/>
      <c r="G65" s="40"/>
      <c r="H65" s="39">
        <v>30</v>
      </c>
      <c r="I65" s="39"/>
      <c r="J65" s="39"/>
      <c r="K65" s="39"/>
      <c r="L65" s="39"/>
      <c r="M65" s="41"/>
      <c r="N65" s="39"/>
      <c r="O65" s="39"/>
      <c r="P65" s="39"/>
      <c r="Q65" s="39"/>
      <c r="R65" s="39"/>
      <c r="S65" s="39"/>
    </row>
    <row r="66" spans="1:19" ht="15.75" customHeight="1">
      <c r="A66" s="42" t="s">
        <v>140</v>
      </c>
      <c r="B66" s="35">
        <v>4</v>
      </c>
      <c r="C66" s="35"/>
      <c r="D66" s="43" t="s">
        <v>141</v>
      </c>
      <c r="E66" s="43"/>
      <c r="F66" s="43"/>
      <c r="G66" s="43"/>
      <c r="H66" s="35">
        <v>30</v>
      </c>
      <c r="I66" s="35"/>
      <c r="J66" s="35"/>
      <c r="K66" s="35"/>
      <c r="L66" s="35"/>
      <c r="M66" s="36"/>
      <c r="N66" s="35"/>
      <c r="O66" s="35"/>
      <c r="P66" s="35"/>
      <c r="Q66" s="35"/>
      <c r="R66" s="35"/>
      <c r="S66" s="35"/>
    </row>
    <row r="67" spans="1:19" ht="15.75" hidden="1" customHeight="1">
      <c r="A67" s="38" t="s">
        <v>142</v>
      </c>
      <c r="B67" s="39">
        <v>6</v>
      </c>
      <c r="C67" s="39"/>
      <c r="D67" s="40"/>
      <c r="E67" s="40"/>
      <c r="F67" s="40"/>
      <c r="G67" s="40"/>
      <c r="H67" s="39">
        <v>20</v>
      </c>
      <c r="I67" s="39"/>
      <c r="J67" s="39"/>
      <c r="K67" s="39"/>
      <c r="L67" s="39"/>
      <c r="M67" s="41"/>
      <c r="N67" s="39"/>
      <c r="O67" s="39"/>
      <c r="P67" s="39"/>
      <c r="Q67" s="39"/>
      <c r="R67" s="39"/>
      <c r="S67" s="39"/>
    </row>
    <row r="68" spans="1:19" ht="15.75" hidden="1" customHeight="1">
      <c r="A68" s="42" t="s">
        <v>143</v>
      </c>
      <c r="B68" s="35"/>
      <c r="C68" s="35"/>
      <c r="D68" s="43"/>
      <c r="E68" s="43"/>
      <c r="F68" s="43"/>
      <c r="G68" s="43"/>
      <c r="H68" s="35"/>
      <c r="I68" s="35"/>
      <c r="J68" s="35"/>
      <c r="K68" s="35"/>
      <c r="L68" s="35"/>
      <c r="M68" s="36"/>
      <c r="N68" s="35">
        <v>20</v>
      </c>
      <c r="O68" s="35"/>
      <c r="P68" s="35"/>
      <c r="Q68" s="35"/>
      <c r="R68" s="35"/>
      <c r="S68" s="35"/>
    </row>
    <row r="69" spans="1:19" ht="15.75" customHeight="1">
      <c r="A69" s="38" t="s">
        <v>144</v>
      </c>
      <c r="B69" s="39"/>
      <c r="C69" s="39"/>
      <c r="D69" s="40" t="s">
        <v>129</v>
      </c>
      <c r="E69" s="40"/>
      <c r="F69" s="40"/>
      <c r="G69" s="40"/>
      <c r="H69" s="39">
        <v>15</v>
      </c>
      <c r="I69" s="39"/>
      <c r="J69" s="39"/>
      <c r="K69" s="39"/>
      <c r="L69" s="39"/>
      <c r="M69" s="41"/>
      <c r="N69" s="39"/>
      <c r="O69" s="39"/>
      <c r="P69" s="39"/>
      <c r="Q69" s="39"/>
      <c r="R69" s="39"/>
      <c r="S69" s="39"/>
    </row>
    <row r="70" spans="1:19" ht="15.75" customHeight="1">
      <c r="A70" s="42" t="s">
        <v>145</v>
      </c>
      <c r="B70" s="35"/>
      <c r="C70" s="35"/>
      <c r="D70" s="43" t="s">
        <v>119</v>
      </c>
      <c r="E70" s="43"/>
      <c r="F70" s="43"/>
      <c r="G70" s="43"/>
      <c r="H70" s="35">
        <v>15</v>
      </c>
      <c r="I70" s="35"/>
      <c r="J70" s="35"/>
      <c r="K70" s="35"/>
      <c r="L70" s="35"/>
      <c r="M70" s="36"/>
      <c r="N70" s="35"/>
      <c r="O70" s="35"/>
      <c r="P70" s="35"/>
      <c r="Q70" s="35"/>
      <c r="R70" s="35"/>
      <c r="S70" s="35"/>
    </row>
    <row r="71" spans="1:19" ht="15.75" customHeight="1">
      <c r="A71" s="38" t="s">
        <v>146</v>
      </c>
      <c r="B71" s="39"/>
      <c r="C71" s="39"/>
      <c r="D71" s="40" t="s">
        <v>114</v>
      </c>
      <c r="E71" s="40"/>
      <c r="F71" s="40"/>
      <c r="G71" s="40"/>
      <c r="H71" s="39">
        <v>15</v>
      </c>
      <c r="I71" s="39"/>
      <c r="J71" s="39"/>
      <c r="K71" s="39"/>
      <c r="L71" s="39"/>
      <c r="M71" s="41"/>
      <c r="N71" s="39"/>
      <c r="O71" s="39"/>
      <c r="P71" s="39"/>
      <c r="Q71" s="39"/>
      <c r="R71" s="39"/>
      <c r="S71" s="39"/>
    </row>
    <row r="72" spans="1:19" ht="15.75" customHeight="1">
      <c r="A72" s="42" t="s">
        <v>147</v>
      </c>
      <c r="B72" s="35"/>
      <c r="C72" s="35"/>
      <c r="D72" s="43" t="s">
        <v>141</v>
      </c>
      <c r="E72" s="43"/>
      <c r="F72" s="43"/>
      <c r="G72" s="43"/>
      <c r="H72" s="35">
        <v>15</v>
      </c>
      <c r="I72" s="35"/>
      <c r="J72" s="35"/>
      <c r="K72" s="35"/>
      <c r="L72" s="35"/>
      <c r="M72" s="36"/>
      <c r="N72" s="35"/>
      <c r="O72" s="35"/>
      <c r="P72" s="35"/>
      <c r="Q72" s="35"/>
      <c r="R72" s="35"/>
      <c r="S72" s="35"/>
    </row>
    <row r="73" spans="1:19" ht="15.75" hidden="1" customHeight="1">
      <c r="A73" s="38" t="s">
        <v>148</v>
      </c>
      <c r="B73" s="39"/>
      <c r="C73" s="39">
        <v>2</v>
      </c>
      <c r="D73" s="40"/>
      <c r="E73" s="40"/>
      <c r="F73" s="40"/>
      <c r="G73" s="40"/>
      <c r="H73" s="39"/>
      <c r="I73" s="39"/>
      <c r="J73" s="39"/>
      <c r="K73" s="39">
        <v>15</v>
      </c>
      <c r="L73" s="39">
        <v>15</v>
      </c>
      <c r="M73" s="41"/>
      <c r="N73" s="39"/>
      <c r="O73" s="39"/>
      <c r="P73" s="39"/>
      <c r="Q73" s="39"/>
      <c r="R73" s="39"/>
      <c r="S73" s="39"/>
    </row>
    <row r="74" spans="1:19" ht="15.75" customHeight="1">
      <c r="A74" s="42" t="s">
        <v>149</v>
      </c>
      <c r="B74" s="35">
        <v>4</v>
      </c>
      <c r="C74" s="35"/>
      <c r="D74" s="43" t="s">
        <v>150</v>
      </c>
      <c r="E74" s="43"/>
      <c r="F74" s="43"/>
      <c r="G74" s="43"/>
      <c r="H74" s="35">
        <v>30</v>
      </c>
      <c r="I74" s="35"/>
      <c r="J74" s="35"/>
      <c r="K74" s="35"/>
      <c r="L74" s="35"/>
      <c r="M74" s="36"/>
      <c r="N74" s="35"/>
      <c r="O74" s="35"/>
      <c r="P74" s="35"/>
      <c r="Q74" s="35"/>
      <c r="R74" s="35"/>
      <c r="S74" s="35"/>
    </row>
    <row r="75" spans="1:19" ht="15.75" customHeight="1">
      <c r="A75" s="38" t="s">
        <v>151</v>
      </c>
      <c r="B75" s="39">
        <v>4</v>
      </c>
      <c r="C75" s="39"/>
      <c r="D75" s="40" t="s">
        <v>152</v>
      </c>
      <c r="E75" s="40"/>
      <c r="F75" s="40"/>
      <c r="G75" s="40"/>
      <c r="H75" s="39">
        <v>30</v>
      </c>
      <c r="I75" s="39"/>
      <c r="J75" s="39"/>
      <c r="K75" s="39"/>
      <c r="L75" s="39"/>
      <c r="M75" s="41"/>
      <c r="N75" s="39"/>
      <c r="O75" s="39"/>
      <c r="P75" s="39"/>
      <c r="Q75" s="39"/>
      <c r="R75" s="39"/>
      <c r="S75" s="39"/>
    </row>
    <row r="76" spans="1:19" ht="15.75" customHeight="1">
      <c r="A76" s="42" t="s">
        <v>153</v>
      </c>
      <c r="B76" s="35">
        <v>4</v>
      </c>
      <c r="C76" s="35"/>
      <c r="D76" s="43" t="s">
        <v>154</v>
      </c>
      <c r="E76" s="43"/>
      <c r="F76" s="43"/>
      <c r="G76" s="43"/>
      <c r="H76" s="35">
        <v>30</v>
      </c>
      <c r="I76" s="35"/>
      <c r="J76" s="35"/>
      <c r="K76" s="35"/>
      <c r="L76" s="35"/>
      <c r="M76" s="36"/>
      <c r="N76" s="35"/>
      <c r="O76" s="35"/>
      <c r="P76" s="35"/>
      <c r="Q76" s="35"/>
      <c r="R76" s="35"/>
      <c r="S76" s="35"/>
    </row>
    <row r="77" spans="1:19" ht="15.75" customHeight="1">
      <c r="A77" s="38" t="s">
        <v>155</v>
      </c>
      <c r="B77" s="39"/>
      <c r="C77" s="39"/>
      <c r="D77" s="40" t="s">
        <v>85</v>
      </c>
      <c r="E77" s="40"/>
      <c r="F77" s="40"/>
      <c r="G77" s="40"/>
      <c r="H77" s="39">
        <v>70</v>
      </c>
      <c r="I77" s="39"/>
      <c r="J77" s="39"/>
      <c r="K77" s="39"/>
      <c r="L77" s="39"/>
      <c r="M77" s="41"/>
      <c r="N77" s="39"/>
      <c r="O77" s="39"/>
      <c r="P77" s="39"/>
      <c r="Q77" s="39"/>
      <c r="R77" s="39"/>
      <c r="S77" s="39"/>
    </row>
    <row r="78" spans="1:19" ht="15.75" customHeight="1">
      <c r="A78" s="42" t="s">
        <v>156</v>
      </c>
      <c r="B78" s="35"/>
      <c r="C78" s="35"/>
      <c r="D78" s="43" t="s">
        <v>157</v>
      </c>
      <c r="E78" s="43"/>
      <c r="F78" s="43"/>
      <c r="G78" s="43"/>
      <c r="H78" s="35">
        <v>30</v>
      </c>
      <c r="I78" s="35"/>
      <c r="J78" s="35"/>
      <c r="K78" s="35"/>
      <c r="L78" s="35"/>
      <c r="M78" s="36"/>
      <c r="N78" s="35"/>
      <c r="O78" s="35"/>
      <c r="P78" s="35"/>
      <c r="Q78" s="35"/>
      <c r="R78" s="35"/>
      <c r="S78" s="35"/>
    </row>
    <row r="79" spans="1:19" ht="15.75" customHeight="1">
      <c r="A79" s="38" t="s">
        <v>158</v>
      </c>
      <c r="B79" s="39"/>
      <c r="C79" s="39"/>
      <c r="D79" s="40" t="s">
        <v>159</v>
      </c>
      <c r="E79" s="40"/>
      <c r="F79" s="40"/>
      <c r="G79" s="40"/>
      <c r="H79" s="39">
        <v>15</v>
      </c>
      <c r="I79" s="39"/>
      <c r="J79" s="39"/>
      <c r="K79" s="39"/>
      <c r="L79" s="39"/>
      <c r="M79" s="41"/>
      <c r="N79" s="39"/>
      <c r="O79" s="39"/>
      <c r="P79" s="39"/>
      <c r="Q79" s="39"/>
      <c r="R79" s="39"/>
      <c r="S79" s="39"/>
    </row>
    <row r="80" spans="1:19" ht="15.75" hidden="1" customHeight="1">
      <c r="A80" s="42" t="s">
        <v>160</v>
      </c>
      <c r="B80" s="35">
        <v>4</v>
      </c>
      <c r="C80" s="35"/>
      <c r="D80" s="43"/>
      <c r="E80" s="43"/>
      <c r="F80" s="43"/>
      <c r="G80" s="43"/>
      <c r="H80" s="35">
        <v>30</v>
      </c>
      <c r="I80" s="35"/>
      <c r="J80" s="35"/>
      <c r="K80" s="35"/>
      <c r="L80" s="35"/>
      <c r="M80" s="36"/>
      <c r="N80" s="35"/>
      <c r="O80" s="35"/>
      <c r="P80" s="35"/>
      <c r="Q80" s="35"/>
      <c r="R80" s="35"/>
      <c r="S80" s="35"/>
    </row>
    <row r="81" spans="1:19" ht="15.75" customHeight="1">
      <c r="A81" s="38" t="s">
        <v>161</v>
      </c>
      <c r="B81" s="39">
        <v>4</v>
      </c>
      <c r="C81" s="39"/>
      <c r="D81" s="40" t="s">
        <v>162</v>
      </c>
      <c r="E81" s="40"/>
      <c r="F81" s="40"/>
      <c r="G81" s="40"/>
      <c r="H81" s="39">
        <v>30</v>
      </c>
      <c r="I81" s="39"/>
      <c r="J81" s="39"/>
      <c r="K81" s="39"/>
      <c r="L81" s="39"/>
      <c r="M81" s="41"/>
      <c r="N81" s="39"/>
      <c r="O81" s="39"/>
      <c r="P81" s="39"/>
      <c r="Q81" s="39"/>
      <c r="R81" s="39"/>
      <c r="S81" s="39"/>
    </row>
    <row r="82" spans="1:19" ht="15.75" customHeight="1">
      <c r="A82" s="42" t="s">
        <v>163</v>
      </c>
      <c r="B82" s="35">
        <v>4</v>
      </c>
      <c r="C82" s="35"/>
      <c r="D82" s="43" t="s">
        <v>164</v>
      </c>
      <c r="E82" s="43"/>
      <c r="F82" s="43"/>
      <c r="G82" s="43"/>
      <c r="H82" s="35">
        <v>30</v>
      </c>
      <c r="I82" s="35"/>
      <c r="J82" s="35"/>
      <c r="K82" s="35"/>
      <c r="L82" s="35"/>
      <c r="M82" s="36"/>
      <c r="N82" s="35"/>
      <c r="O82" s="35"/>
      <c r="P82" s="35"/>
      <c r="Q82" s="35"/>
      <c r="R82" s="35"/>
      <c r="S82" s="35"/>
    </row>
    <row r="83" spans="1:19" ht="15.75" customHeight="1">
      <c r="A83" s="38" t="s">
        <v>165</v>
      </c>
      <c r="B83" s="39"/>
      <c r="C83" s="39"/>
      <c r="D83" s="40" t="s">
        <v>166</v>
      </c>
      <c r="E83" s="40"/>
      <c r="F83" s="40"/>
      <c r="G83" s="40"/>
      <c r="H83" s="39">
        <v>30</v>
      </c>
      <c r="I83" s="39"/>
      <c r="J83" s="39"/>
      <c r="K83" s="39"/>
      <c r="L83" s="39"/>
      <c r="M83" s="41"/>
      <c r="N83" s="39">
        <v>20</v>
      </c>
      <c r="O83" s="39"/>
      <c r="P83" s="39"/>
      <c r="Q83" s="39"/>
      <c r="R83" s="39"/>
      <c r="S83" s="39"/>
    </row>
    <row r="84" spans="1:19" ht="15.75" customHeight="1">
      <c r="A84" s="42" t="s">
        <v>167</v>
      </c>
      <c r="B84" s="35"/>
      <c r="C84" s="35"/>
      <c r="D84" s="43" t="s">
        <v>119</v>
      </c>
      <c r="E84" s="43"/>
      <c r="F84" s="43"/>
      <c r="G84" s="43"/>
      <c r="H84" s="35">
        <v>30</v>
      </c>
      <c r="I84" s="35"/>
      <c r="J84" s="35"/>
      <c r="K84" s="35"/>
      <c r="L84" s="35"/>
      <c r="M84" s="36"/>
      <c r="N84" s="35"/>
      <c r="O84" s="35"/>
      <c r="P84" s="35"/>
      <c r="Q84" s="35"/>
      <c r="R84" s="35"/>
      <c r="S84" s="35"/>
    </row>
    <row r="85" spans="1:19" ht="15.75" customHeight="1">
      <c r="A85" s="38" t="s">
        <v>168</v>
      </c>
      <c r="B85" s="39">
        <v>4</v>
      </c>
      <c r="C85" s="39"/>
      <c r="D85" s="40" t="s">
        <v>169</v>
      </c>
      <c r="E85" s="40"/>
      <c r="F85" s="40"/>
      <c r="G85" s="40"/>
      <c r="H85" s="39">
        <v>30</v>
      </c>
      <c r="I85" s="39"/>
      <c r="J85" s="39"/>
      <c r="K85" s="39"/>
      <c r="L85" s="39"/>
      <c r="M85" s="41"/>
      <c r="N85" s="39"/>
      <c r="O85" s="39"/>
      <c r="P85" s="39"/>
      <c r="Q85" s="39"/>
      <c r="R85" s="39"/>
      <c r="S85" s="39"/>
    </row>
    <row r="86" spans="1:19" ht="15.75" customHeight="1">
      <c r="A86" s="42" t="s">
        <v>170</v>
      </c>
      <c r="B86" s="35">
        <v>4</v>
      </c>
      <c r="C86" s="35"/>
      <c r="D86" s="43" t="s">
        <v>166</v>
      </c>
      <c r="E86" s="43"/>
      <c r="F86" s="43"/>
      <c r="G86" s="43"/>
      <c r="H86" s="35">
        <v>30</v>
      </c>
      <c r="I86" s="35"/>
      <c r="J86" s="35"/>
      <c r="K86" s="35"/>
      <c r="L86" s="35"/>
      <c r="M86" s="36"/>
      <c r="N86" s="35"/>
      <c r="O86" s="35"/>
      <c r="P86" s="35"/>
      <c r="Q86" s="35"/>
      <c r="R86" s="35"/>
      <c r="S86" s="35"/>
    </row>
    <row r="87" spans="1:19" ht="15.75" customHeight="1">
      <c r="A87" s="38" t="s">
        <v>171</v>
      </c>
      <c r="B87" s="39">
        <v>4</v>
      </c>
      <c r="C87" s="39"/>
      <c r="D87" s="40" t="s">
        <v>172</v>
      </c>
      <c r="E87" s="40"/>
      <c r="F87" s="40"/>
      <c r="G87" s="40"/>
      <c r="H87" s="39">
        <v>30</v>
      </c>
      <c r="I87" s="39"/>
      <c r="J87" s="39"/>
      <c r="K87" s="39"/>
      <c r="L87" s="39"/>
      <c r="M87" s="41"/>
      <c r="N87" s="39"/>
      <c r="O87" s="39"/>
      <c r="P87" s="39"/>
      <c r="Q87" s="39"/>
      <c r="R87" s="39"/>
      <c r="S87" s="39"/>
    </row>
    <row r="88" spans="1:19" ht="15.75" hidden="1" customHeight="1">
      <c r="A88" s="42" t="s">
        <v>173</v>
      </c>
      <c r="B88" s="35"/>
      <c r="C88" s="35"/>
      <c r="D88" s="43"/>
      <c r="E88" s="43"/>
      <c r="F88" s="43"/>
      <c r="G88" s="43"/>
      <c r="H88" s="35">
        <v>50</v>
      </c>
      <c r="I88" s="35"/>
      <c r="J88" s="35"/>
      <c r="K88" s="35"/>
      <c r="L88" s="35"/>
      <c r="M88" s="36"/>
      <c r="N88" s="35"/>
      <c r="O88" s="35"/>
      <c r="P88" s="35"/>
      <c r="Q88" s="35"/>
      <c r="R88" s="35"/>
      <c r="S88" s="35"/>
    </row>
    <row r="89" spans="1:19" ht="15.75" customHeight="1">
      <c r="A89" s="38" t="s">
        <v>174</v>
      </c>
      <c r="B89" s="39"/>
      <c r="C89" s="39"/>
      <c r="D89" s="40" t="s">
        <v>164</v>
      </c>
      <c r="E89" s="40"/>
      <c r="F89" s="40"/>
      <c r="G89" s="40"/>
      <c r="H89" s="39">
        <v>40</v>
      </c>
      <c r="I89" s="39"/>
      <c r="J89" s="39"/>
      <c r="K89" s="39"/>
      <c r="L89" s="39"/>
      <c r="M89" s="41"/>
      <c r="N89" s="39"/>
      <c r="O89" s="39"/>
      <c r="P89" s="39"/>
      <c r="Q89" s="39"/>
      <c r="R89" s="39"/>
      <c r="S89" s="39"/>
    </row>
    <row r="90" spans="1:19" ht="15.75" customHeight="1">
      <c r="A90" s="42" t="s">
        <v>175</v>
      </c>
      <c r="B90" s="35">
        <v>4</v>
      </c>
      <c r="C90" s="35"/>
      <c r="D90" s="43" t="s">
        <v>176</v>
      </c>
      <c r="E90" s="43"/>
      <c r="F90" s="43"/>
      <c r="G90" s="43"/>
      <c r="H90" s="35">
        <v>30</v>
      </c>
      <c r="I90" s="35"/>
      <c r="J90" s="35"/>
      <c r="K90" s="35"/>
      <c r="L90" s="35"/>
      <c r="M90" s="36"/>
      <c r="N90" s="35"/>
      <c r="O90" s="35"/>
      <c r="P90" s="35"/>
      <c r="Q90" s="35"/>
      <c r="R90" s="35"/>
      <c r="S90" s="35"/>
    </row>
    <row r="91" spans="1:19" ht="15.75" customHeight="1">
      <c r="A91" s="38" t="s">
        <v>177</v>
      </c>
      <c r="B91" s="39">
        <v>4</v>
      </c>
      <c r="C91" s="39"/>
      <c r="D91" s="40" t="s">
        <v>157</v>
      </c>
      <c r="E91" s="40"/>
      <c r="F91" s="40"/>
      <c r="G91" s="40"/>
      <c r="H91" s="39">
        <v>30</v>
      </c>
      <c r="I91" s="39"/>
      <c r="J91" s="39"/>
      <c r="K91" s="39"/>
      <c r="L91" s="39"/>
      <c r="M91" s="41"/>
      <c r="N91" s="39"/>
      <c r="O91" s="39"/>
      <c r="P91" s="39"/>
      <c r="Q91" s="39"/>
      <c r="R91" s="39"/>
      <c r="S91" s="39"/>
    </row>
    <row r="92" spans="1:19" ht="15.75" customHeight="1">
      <c r="A92" s="42" t="s">
        <v>178</v>
      </c>
      <c r="B92" s="35">
        <v>4</v>
      </c>
      <c r="C92" s="35"/>
      <c r="D92" s="43" t="s">
        <v>179</v>
      </c>
      <c r="E92" s="43"/>
      <c r="F92" s="43"/>
      <c r="G92" s="43"/>
      <c r="H92" s="35">
        <v>30</v>
      </c>
      <c r="I92" s="35"/>
      <c r="J92" s="35"/>
      <c r="K92" s="35"/>
      <c r="L92" s="35"/>
      <c r="M92" s="36"/>
      <c r="N92" s="35"/>
      <c r="O92" s="35"/>
      <c r="P92" s="35"/>
      <c r="Q92" s="35"/>
      <c r="R92" s="35"/>
      <c r="S92" s="35"/>
    </row>
    <row r="93" spans="1:19" ht="15.75" customHeight="1">
      <c r="A93" s="38" t="s">
        <v>180</v>
      </c>
      <c r="B93" s="39"/>
      <c r="C93" s="39"/>
      <c r="D93" s="40" t="s">
        <v>172</v>
      </c>
      <c r="E93" s="40"/>
      <c r="F93" s="40"/>
      <c r="G93" s="40"/>
      <c r="H93" s="39">
        <v>40</v>
      </c>
      <c r="I93" s="39"/>
      <c r="J93" s="39"/>
      <c r="K93" s="39"/>
      <c r="L93" s="39"/>
      <c r="M93" s="41"/>
      <c r="N93" s="39"/>
      <c r="O93" s="39"/>
      <c r="P93" s="39"/>
      <c r="Q93" s="39"/>
      <c r="R93" s="39"/>
      <c r="S93" s="39"/>
    </row>
    <row r="94" spans="1:19" ht="15.75" customHeight="1">
      <c r="A94" s="42" t="s">
        <v>181</v>
      </c>
      <c r="B94" s="35"/>
      <c r="C94" s="35"/>
      <c r="D94" s="43" t="s">
        <v>94</v>
      </c>
      <c r="E94" s="43"/>
      <c r="F94" s="43"/>
      <c r="G94" s="43"/>
      <c r="H94" s="35">
        <v>60</v>
      </c>
      <c r="I94" s="35"/>
      <c r="J94" s="35"/>
      <c r="K94" s="35"/>
      <c r="L94" s="35"/>
      <c r="M94" s="36"/>
      <c r="N94" s="35"/>
      <c r="O94" s="35"/>
      <c r="P94" s="35"/>
      <c r="Q94" s="35"/>
      <c r="R94" s="35"/>
      <c r="S94" s="35"/>
    </row>
    <row r="95" spans="1:19" ht="15.75" customHeight="1">
      <c r="A95" s="38" t="s">
        <v>182</v>
      </c>
      <c r="B95" s="39"/>
      <c r="C95" s="39"/>
      <c r="D95" s="40" t="s">
        <v>154</v>
      </c>
      <c r="E95" s="40"/>
      <c r="F95" s="40"/>
      <c r="G95" s="40"/>
      <c r="H95" s="39">
        <v>30</v>
      </c>
      <c r="I95" s="39"/>
      <c r="J95" s="39"/>
      <c r="K95" s="39"/>
      <c r="L95" s="39"/>
      <c r="M95" s="41"/>
      <c r="N95" s="39">
        <v>80</v>
      </c>
      <c r="O95" s="39"/>
      <c r="P95" s="39"/>
      <c r="Q95" s="39"/>
      <c r="R95" s="39"/>
      <c r="S95" s="39" t="s">
        <v>183</v>
      </c>
    </row>
    <row r="96" spans="1:19" ht="15.75" customHeight="1">
      <c r="A96" s="42" t="s">
        <v>184</v>
      </c>
      <c r="B96" s="35">
        <v>4</v>
      </c>
      <c r="C96" s="35"/>
      <c r="D96" s="43" t="s">
        <v>185</v>
      </c>
      <c r="E96" s="43"/>
      <c r="F96" s="43"/>
      <c r="G96" s="43"/>
      <c r="H96" s="35">
        <v>30</v>
      </c>
      <c r="I96" s="35"/>
      <c r="J96" s="35"/>
      <c r="K96" s="35"/>
      <c r="L96" s="35"/>
      <c r="M96" s="36"/>
      <c r="N96" s="35"/>
      <c r="O96" s="35"/>
      <c r="P96" s="35"/>
      <c r="Q96" s="35"/>
      <c r="R96" s="35"/>
      <c r="S96" s="35"/>
    </row>
    <row r="97" spans="1:19" ht="15.75" customHeight="1">
      <c r="A97" s="38" t="s">
        <v>186</v>
      </c>
      <c r="B97" s="39">
        <v>4</v>
      </c>
      <c r="C97" s="39"/>
      <c r="D97" s="40" t="s">
        <v>187</v>
      </c>
      <c r="E97" s="40"/>
      <c r="F97" s="40"/>
      <c r="G97" s="40"/>
      <c r="H97" s="39">
        <v>30</v>
      </c>
      <c r="I97" s="39"/>
      <c r="J97" s="39"/>
      <c r="K97" s="39"/>
      <c r="L97" s="39"/>
      <c r="M97" s="41"/>
      <c r="N97" s="39"/>
      <c r="O97" s="39"/>
      <c r="P97" s="39"/>
      <c r="Q97" s="39"/>
      <c r="R97" s="39"/>
      <c r="S97" s="39"/>
    </row>
    <row r="98" spans="1:19" ht="15.75" customHeight="1">
      <c r="A98" s="42" t="s">
        <v>188</v>
      </c>
      <c r="B98" s="35">
        <v>4</v>
      </c>
      <c r="C98" s="35"/>
      <c r="D98" s="43" t="s">
        <v>189</v>
      </c>
      <c r="E98" s="43"/>
      <c r="F98" s="43"/>
      <c r="G98" s="43"/>
      <c r="H98" s="35">
        <v>30</v>
      </c>
      <c r="I98" s="35"/>
      <c r="J98" s="35"/>
      <c r="K98" s="35"/>
      <c r="L98" s="35"/>
      <c r="M98" s="36"/>
      <c r="N98" s="35"/>
      <c r="O98" s="35"/>
      <c r="P98" s="35"/>
      <c r="Q98" s="35"/>
      <c r="R98" s="35"/>
      <c r="S98" s="35"/>
    </row>
    <row r="99" spans="1:19" ht="15.75" customHeight="1">
      <c r="A99" s="38" t="s">
        <v>190</v>
      </c>
      <c r="B99" s="39"/>
      <c r="C99" s="39"/>
      <c r="D99" s="40" t="s">
        <v>87</v>
      </c>
      <c r="E99" s="40"/>
      <c r="F99" s="40"/>
      <c r="G99" s="40"/>
      <c r="H99" s="39">
        <v>20</v>
      </c>
      <c r="I99" s="39">
        <v>30</v>
      </c>
      <c r="J99" s="39"/>
      <c r="K99" s="39"/>
      <c r="L99" s="39"/>
      <c r="M99" s="41"/>
      <c r="N99" s="39"/>
      <c r="O99" s="39"/>
      <c r="P99" s="39"/>
      <c r="Q99" s="39"/>
      <c r="R99" s="39"/>
      <c r="S99" s="39" t="s">
        <v>191</v>
      </c>
    </row>
    <row r="100" spans="1:19" ht="15.75" hidden="1" customHeight="1">
      <c r="A100" s="42" t="s">
        <v>192</v>
      </c>
      <c r="B100" s="35">
        <v>3</v>
      </c>
      <c r="C100" s="35"/>
      <c r="D100" s="43"/>
      <c r="E100" s="43"/>
      <c r="F100" s="43"/>
      <c r="G100" s="43"/>
      <c r="H100" s="35">
        <v>10</v>
      </c>
      <c r="I100" s="35"/>
      <c r="J100" s="35"/>
      <c r="K100" s="35">
        <v>20</v>
      </c>
      <c r="L100" s="35"/>
      <c r="M100" s="36"/>
      <c r="N100" s="35"/>
      <c r="O100" s="35"/>
      <c r="P100" s="35"/>
      <c r="Q100" s="35"/>
      <c r="R100" s="35"/>
      <c r="S100" s="35" t="s">
        <v>193</v>
      </c>
    </row>
    <row r="101" spans="1:19" ht="15.75" customHeight="1">
      <c r="A101" s="38" t="s">
        <v>194</v>
      </c>
      <c r="B101" s="39"/>
      <c r="C101" s="39"/>
      <c r="D101" s="40" t="s">
        <v>98</v>
      </c>
      <c r="E101" s="40"/>
      <c r="F101" s="40"/>
      <c r="G101" s="40"/>
      <c r="H101" s="39">
        <v>20</v>
      </c>
      <c r="I101" s="39"/>
      <c r="J101" s="39"/>
      <c r="K101" s="39"/>
      <c r="L101" s="39"/>
      <c r="M101" s="41"/>
      <c r="N101" s="39"/>
      <c r="O101" s="39"/>
      <c r="P101" s="39"/>
      <c r="Q101" s="39"/>
      <c r="R101" s="39"/>
      <c r="S101" s="39" t="s">
        <v>195</v>
      </c>
    </row>
    <row r="102" spans="1:19" ht="15.75" hidden="1" customHeight="1">
      <c r="A102" s="42" t="s">
        <v>196</v>
      </c>
      <c r="B102" s="35"/>
      <c r="C102" s="35"/>
      <c r="D102" s="43"/>
      <c r="E102" s="43"/>
      <c r="F102" s="43"/>
      <c r="G102" s="43" t="s">
        <v>62</v>
      </c>
      <c r="H102" s="35">
        <v>10</v>
      </c>
      <c r="I102" s="35"/>
      <c r="J102" s="35"/>
      <c r="K102" s="35"/>
      <c r="L102" s="35"/>
      <c r="M102" s="36"/>
      <c r="N102" s="35"/>
      <c r="O102" s="35"/>
      <c r="P102" s="35"/>
      <c r="Q102" s="35"/>
      <c r="R102" s="35"/>
      <c r="S102" s="35" t="s">
        <v>197</v>
      </c>
    </row>
    <row r="103" spans="1:19" ht="15.75" hidden="1" customHeight="1">
      <c r="A103" s="38" t="s">
        <v>198</v>
      </c>
      <c r="B103" s="39"/>
      <c r="C103" s="39"/>
      <c r="D103" s="40"/>
      <c r="E103" s="40"/>
      <c r="F103" s="40"/>
      <c r="G103" s="40" t="s">
        <v>66</v>
      </c>
      <c r="H103" s="39">
        <v>10</v>
      </c>
      <c r="I103" s="39"/>
      <c r="J103" s="39"/>
      <c r="K103" s="39"/>
      <c r="L103" s="39"/>
      <c r="M103" s="41"/>
      <c r="N103" s="39"/>
      <c r="O103" s="39"/>
      <c r="P103" s="39"/>
      <c r="Q103" s="39"/>
      <c r="R103" s="39"/>
      <c r="S103" s="39" t="s">
        <v>199</v>
      </c>
    </row>
    <row r="104" spans="1:19" ht="15.75" hidden="1" customHeight="1">
      <c r="A104" s="42" t="s">
        <v>200</v>
      </c>
      <c r="B104" s="35"/>
      <c r="C104" s="35"/>
      <c r="D104" s="43"/>
      <c r="E104" s="43"/>
      <c r="F104" s="43"/>
      <c r="G104" s="43" t="s">
        <v>64</v>
      </c>
      <c r="H104" s="35">
        <v>10</v>
      </c>
      <c r="I104" s="35"/>
      <c r="J104" s="35"/>
      <c r="K104" s="35"/>
      <c r="L104" s="35"/>
      <c r="M104" s="36"/>
      <c r="N104" s="35"/>
      <c r="O104" s="35"/>
      <c r="P104" s="35"/>
      <c r="Q104" s="35"/>
      <c r="R104" s="35"/>
      <c r="S104" s="35" t="s">
        <v>201</v>
      </c>
    </row>
    <row r="105" spans="1:19" ht="15.75" hidden="1" customHeight="1">
      <c r="A105" s="38" t="s">
        <v>202</v>
      </c>
      <c r="B105" s="39"/>
      <c r="C105" s="39"/>
      <c r="D105" s="40"/>
      <c r="E105" s="40"/>
      <c r="F105" s="40"/>
      <c r="G105" s="40" t="s">
        <v>68</v>
      </c>
      <c r="H105" s="39">
        <v>10</v>
      </c>
      <c r="I105" s="39"/>
      <c r="J105" s="39"/>
      <c r="K105" s="39"/>
      <c r="L105" s="39"/>
      <c r="M105" s="41"/>
      <c r="N105" s="39"/>
      <c r="O105" s="39"/>
      <c r="P105" s="39"/>
      <c r="Q105" s="39"/>
      <c r="R105" s="39"/>
      <c r="S105" s="39" t="s">
        <v>203</v>
      </c>
    </row>
    <row r="106" spans="1:19" ht="15.75" hidden="1" customHeight="1">
      <c r="A106" s="42" t="s">
        <v>204</v>
      </c>
      <c r="B106" s="35"/>
      <c r="C106" s="35"/>
      <c r="D106" s="43"/>
      <c r="E106" s="43"/>
      <c r="F106" s="43"/>
      <c r="G106" s="43"/>
      <c r="H106" s="35"/>
      <c r="I106" s="35">
        <v>30</v>
      </c>
      <c r="J106" s="35"/>
      <c r="K106" s="35"/>
      <c r="L106" s="35"/>
      <c r="M106" s="36"/>
      <c r="N106" s="35"/>
      <c r="O106" s="35"/>
      <c r="P106" s="35"/>
      <c r="Q106" s="35"/>
      <c r="R106" s="35"/>
      <c r="S106" s="35" t="s">
        <v>205</v>
      </c>
    </row>
    <row r="107" spans="1:19" ht="15.75" customHeight="1">
      <c r="A107" s="38" t="s">
        <v>206</v>
      </c>
      <c r="B107" s="39"/>
      <c r="C107" s="39"/>
      <c r="D107" s="40" t="s">
        <v>89</v>
      </c>
      <c r="E107" s="40"/>
      <c r="F107" s="40"/>
      <c r="G107" s="40"/>
      <c r="H107" s="39"/>
      <c r="I107" s="39"/>
      <c r="J107" s="39"/>
      <c r="K107" s="39">
        <v>30</v>
      </c>
      <c r="L107" s="39"/>
      <c r="M107" s="41"/>
      <c r="N107" s="39"/>
      <c r="O107" s="39"/>
      <c r="P107" s="39"/>
      <c r="Q107" s="39"/>
      <c r="R107" s="39"/>
      <c r="S107" s="39"/>
    </row>
    <row r="108" spans="1:19" ht="15.75" customHeight="1">
      <c r="A108" s="42" t="s">
        <v>207</v>
      </c>
      <c r="B108" s="35"/>
      <c r="C108" s="35"/>
      <c r="D108" s="43" t="s">
        <v>132</v>
      </c>
      <c r="E108" s="43"/>
      <c r="F108" s="43"/>
      <c r="G108" s="43"/>
      <c r="H108" s="35">
        <v>40</v>
      </c>
      <c r="I108" s="35"/>
      <c r="J108" s="35"/>
      <c r="K108" s="35"/>
      <c r="L108" s="35"/>
      <c r="M108" s="36"/>
      <c r="N108" s="35"/>
      <c r="O108" s="35"/>
      <c r="P108" s="35"/>
      <c r="Q108" s="35"/>
      <c r="R108" s="35"/>
      <c r="S108" s="35"/>
    </row>
    <row r="109" spans="1:19" ht="15.75" customHeight="1">
      <c r="A109" s="38" t="s">
        <v>208</v>
      </c>
      <c r="B109" s="39"/>
      <c r="C109" s="39"/>
      <c r="D109" s="40" t="s">
        <v>141</v>
      </c>
      <c r="E109" s="40"/>
      <c r="F109" s="40"/>
      <c r="G109" s="40"/>
      <c r="H109" s="39">
        <v>80</v>
      </c>
      <c r="I109" s="39">
        <v>100</v>
      </c>
      <c r="J109" s="39"/>
      <c r="K109" s="39"/>
      <c r="L109" s="39"/>
      <c r="M109" s="41"/>
      <c r="N109" s="39"/>
      <c r="O109" s="39"/>
      <c r="P109" s="39"/>
      <c r="Q109" s="39"/>
      <c r="R109" s="39"/>
      <c r="S109" s="39" t="s">
        <v>209</v>
      </c>
    </row>
    <row r="110" spans="1:19" ht="15.75" customHeight="1">
      <c r="A110" s="42" t="s">
        <v>210</v>
      </c>
      <c r="B110" s="35">
        <v>4</v>
      </c>
      <c r="C110" s="35"/>
      <c r="D110" s="43" t="s">
        <v>211</v>
      </c>
      <c r="E110" s="43"/>
      <c r="F110" s="43"/>
      <c r="G110" s="43"/>
      <c r="H110" s="35">
        <v>30</v>
      </c>
      <c r="I110" s="35"/>
      <c r="J110" s="35"/>
      <c r="K110" s="35"/>
      <c r="L110" s="35"/>
      <c r="M110" s="36"/>
      <c r="N110" s="35"/>
      <c r="O110" s="35"/>
      <c r="P110" s="35"/>
      <c r="Q110" s="35"/>
      <c r="R110" s="35"/>
      <c r="S110" s="35"/>
    </row>
    <row r="111" spans="1:19" ht="15.75" hidden="1" customHeight="1">
      <c r="A111" s="38" t="s">
        <v>31</v>
      </c>
      <c r="B111" s="39">
        <v>1</v>
      </c>
      <c r="C111" s="39"/>
      <c r="D111" s="40"/>
      <c r="E111" s="40"/>
      <c r="F111" s="40"/>
      <c r="G111" s="40"/>
      <c r="H111" s="39">
        <v>30</v>
      </c>
      <c r="I111" s="39"/>
      <c r="J111" s="39"/>
      <c r="K111" s="39"/>
      <c r="L111" s="39"/>
      <c r="M111" s="41"/>
      <c r="N111" s="39"/>
      <c r="O111" s="39"/>
      <c r="P111" s="39"/>
      <c r="Q111" s="39"/>
      <c r="R111" s="39"/>
      <c r="S111" s="39"/>
    </row>
    <row r="112" spans="1:19" ht="15.75" hidden="1" customHeight="1">
      <c r="A112" s="42" t="s">
        <v>212</v>
      </c>
      <c r="B112" s="35">
        <v>5</v>
      </c>
      <c r="C112" s="35"/>
      <c r="D112" s="43"/>
      <c r="E112" s="43" t="s">
        <v>103</v>
      </c>
      <c r="F112" s="43"/>
      <c r="G112" s="43"/>
      <c r="H112" s="35">
        <v>20</v>
      </c>
      <c r="I112" s="35"/>
      <c r="J112" s="35"/>
      <c r="K112" s="35"/>
      <c r="L112" s="35"/>
      <c r="M112" s="36"/>
      <c r="N112" s="35"/>
      <c r="O112" s="35"/>
      <c r="P112" s="35"/>
      <c r="Q112" s="35"/>
      <c r="R112" s="35"/>
      <c r="S112" s="35"/>
    </row>
    <row r="113" spans="1:19" ht="15.75" customHeight="1">
      <c r="A113" s="38" t="s">
        <v>213</v>
      </c>
      <c r="B113" s="39"/>
      <c r="C113" s="39"/>
      <c r="D113" s="40" t="s">
        <v>121</v>
      </c>
      <c r="E113" s="40"/>
      <c r="F113" s="40"/>
      <c r="G113" s="40"/>
      <c r="H113" s="39"/>
      <c r="I113" s="39"/>
      <c r="J113" s="39"/>
      <c r="K113" s="39"/>
      <c r="L113" s="39"/>
      <c r="M113" s="41"/>
      <c r="N113" s="39">
        <v>100</v>
      </c>
      <c r="O113" s="39"/>
      <c r="P113" s="39"/>
      <c r="Q113" s="39"/>
      <c r="R113" s="39"/>
      <c r="S113" s="39" t="s">
        <v>214</v>
      </c>
    </row>
    <row r="114" spans="1:19" ht="15.75" customHeight="1">
      <c r="A114" s="42" t="s">
        <v>215</v>
      </c>
      <c r="B114" s="35"/>
      <c r="C114" s="35"/>
      <c r="D114" s="43" t="s">
        <v>100</v>
      </c>
      <c r="E114" s="43"/>
      <c r="F114" s="43"/>
      <c r="G114" s="43"/>
      <c r="H114" s="35">
        <v>100</v>
      </c>
      <c r="I114" s="35"/>
      <c r="J114" s="35"/>
      <c r="K114" s="35"/>
      <c r="L114" s="35"/>
      <c r="M114" s="36"/>
      <c r="N114" s="35">
        <v>100</v>
      </c>
      <c r="O114" s="35"/>
      <c r="P114" s="35"/>
      <c r="Q114" s="35"/>
      <c r="R114" s="35"/>
      <c r="S114" s="35" t="s">
        <v>216</v>
      </c>
    </row>
    <row r="115" spans="1:19" ht="15.75" hidden="1" customHeight="1">
      <c r="A115" s="38" t="s">
        <v>217</v>
      </c>
      <c r="B115" s="39"/>
      <c r="C115" s="39"/>
      <c r="D115" s="40"/>
      <c r="E115" s="40"/>
      <c r="F115" s="40"/>
      <c r="G115" s="40"/>
      <c r="H115" s="39">
        <v>30</v>
      </c>
      <c r="I115" s="39"/>
      <c r="J115" s="39"/>
      <c r="K115" s="39"/>
      <c r="L115" s="39"/>
      <c r="M115" s="41"/>
      <c r="N115" s="39"/>
      <c r="O115" s="39"/>
      <c r="P115" s="39"/>
      <c r="Q115" s="39"/>
      <c r="R115" s="39"/>
      <c r="S115" s="39" t="s">
        <v>218</v>
      </c>
    </row>
    <row r="116" spans="1:19" ht="15.75" customHeight="1">
      <c r="A116" s="42" t="s">
        <v>219</v>
      </c>
      <c r="B116" s="35"/>
      <c r="C116" s="35"/>
      <c r="D116" s="43" t="s">
        <v>179</v>
      </c>
      <c r="E116" s="43"/>
      <c r="F116" s="43"/>
      <c r="G116" s="43"/>
      <c r="H116" s="35">
        <v>100</v>
      </c>
      <c r="I116" s="35"/>
      <c r="J116" s="35"/>
      <c r="K116" s="35"/>
      <c r="L116" s="35"/>
      <c r="M116" s="36"/>
      <c r="N116" s="35"/>
      <c r="O116" s="35"/>
      <c r="P116" s="35"/>
      <c r="Q116" s="35"/>
      <c r="R116" s="35"/>
      <c r="S116" s="35" t="s">
        <v>220</v>
      </c>
    </row>
    <row r="117" spans="1:19" ht="15.75" customHeight="1">
      <c r="A117" s="38" t="s">
        <v>221</v>
      </c>
      <c r="B117" s="39"/>
      <c r="C117" s="39"/>
      <c r="D117" s="40" t="s">
        <v>87</v>
      </c>
      <c r="E117" s="40"/>
      <c r="F117" s="40"/>
      <c r="G117" s="40"/>
      <c r="H117" s="39"/>
      <c r="I117" s="39"/>
      <c r="J117" s="39"/>
      <c r="K117" s="39"/>
      <c r="L117" s="39"/>
      <c r="M117" s="41"/>
      <c r="N117" s="39">
        <v>30</v>
      </c>
      <c r="O117" s="39"/>
      <c r="P117" s="39"/>
      <c r="Q117" s="39"/>
      <c r="R117" s="39"/>
      <c r="S117" s="39" t="s">
        <v>191</v>
      </c>
    </row>
    <row r="118" spans="1:19" ht="15.75" customHeight="1">
      <c r="A118" s="42" t="s">
        <v>222</v>
      </c>
      <c r="B118" s="35">
        <v>4</v>
      </c>
      <c r="C118" s="35"/>
      <c r="D118" s="43" t="s">
        <v>223</v>
      </c>
      <c r="E118" s="43"/>
      <c r="F118" s="43"/>
      <c r="G118" s="43"/>
      <c r="H118" s="35">
        <v>30</v>
      </c>
      <c r="I118" s="35"/>
      <c r="J118" s="35"/>
      <c r="K118" s="35"/>
      <c r="L118" s="35"/>
      <c r="M118" s="36"/>
      <c r="N118" s="35"/>
      <c r="O118" s="35"/>
      <c r="P118" s="35"/>
      <c r="Q118" s="35"/>
      <c r="R118" s="35"/>
      <c r="S118" s="35"/>
    </row>
    <row r="119" spans="1:19" ht="15.75" hidden="1" customHeight="1">
      <c r="A119" s="38" t="s">
        <v>224</v>
      </c>
      <c r="B119" s="39"/>
      <c r="C119" s="39"/>
      <c r="D119" s="40"/>
      <c r="E119" s="40"/>
      <c r="F119" s="40"/>
      <c r="G119" s="40"/>
      <c r="H119" s="39"/>
      <c r="I119" s="39"/>
      <c r="J119" s="39"/>
      <c r="K119" s="39">
        <v>30</v>
      </c>
      <c r="L119" s="39"/>
      <c r="M119" s="41"/>
      <c r="N119" s="39"/>
      <c r="O119" s="39"/>
      <c r="P119" s="39"/>
      <c r="Q119" s="39"/>
      <c r="R119" s="39"/>
      <c r="S119" s="39"/>
    </row>
    <row r="120" spans="1:19" ht="15.75" customHeight="1">
      <c r="A120" s="42" t="s">
        <v>225</v>
      </c>
      <c r="B120" s="35"/>
      <c r="C120" s="35"/>
      <c r="D120" s="43" t="s">
        <v>169</v>
      </c>
      <c r="E120" s="43"/>
      <c r="F120" s="43"/>
      <c r="G120" s="43"/>
      <c r="H120" s="35"/>
      <c r="I120" s="35"/>
      <c r="J120" s="35"/>
      <c r="K120" s="35"/>
      <c r="L120" s="35"/>
      <c r="M120" s="36">
        <v>30</v>
      </c>
      <c r="N120" s="35"/>
      <c r="O120" s="35"/>
      <c r="P120" s="35"/>
      <c r="Q120" s="35"/>
      <c r="R120" s="35"/>
      <c r="S120" s="35" t="s">
        <v>226</v>
      </c>
    </row>
    <row r="121" spans="1:19" ht="15.75" customHeight="1">
      <c r="A121" s="38" t="s">
        <v>227</v>
      </c>
      <c r="B121" s="39"/>
      <c r="C121" s="39"/>
      <c r="D121" s="40" t="s">
        <v>162</v>
      </c>
      <c r="E121" s="40"/>
      <c r="F121" s="40"/>
      <c r="G121" s="40"/>
      <c r="H121" s="39">
        <v>80</v>
      </c>
      <c r="I121" s="39"/>
      <c r="J121" s="39"/>
      <c r="K121" s="39"/>
      <c r="L121" s="39"/>
      <c r="M121" s="41"/>
      <c r="N121" s="39"/>
      <c r="O121" s="39"/>
      <c r="P121" s="39"/>
      <c r="Q121" s="39"/>
      <c r="R121" s="39"/>
      <c r="S121" s="39"/>
    </row>
    <row r="122" spans="1:19" ht="15.75" customHeight="1">
      <c r="A122" s="42" t="s">
        <v>228</v>
      </c>
      <c r="B122" s="35"/>
      <c r="C122" s="35"/>
      <c r="D122" s="43" t="s">
        <v>229</v>
      </c>
      <c r="E122" s="43"/>
      <c r="F122" s="43"/>
      <c r="G122" s="43"/>
      <c r="H122" s="35"/>
      <c r="I122" s="35">
        <v>200</v>
      </c>
      <c r="J122" s="35"/>
      <c r="K122" s="35"/>
      <c r="L122" s="35"/>
      <c r="M122" s="36"/>
      <c r="N122" s="35"/>
      <c r="O122" s="35"/>
      <c r="P122" s="35"/>
      <c r="Q122" s="35"/>
      <c r="R122" s="35"/>
      <c r="S122" s="35" t="s">
        <v>230</v>
      </c>
    </row>
    <row r="123" spans="1:19" ht="15.75" customHeight="1">
      <c r="A123" s="38" t="s">
        <v>231</v>
      </c>
      <c r="B123" s="39">
        <v>4</v>
      </c>
      <c r="C123" s="39"/>
      <c r="D123" s="40" t="s">
        <v>232</v>
      </c>
      <c r="E123" s="40"/>
      <c r="F123" s="40"/>
      <c r="G123" s="40"/>
      <c r="H123" s="39">
        <v>30</v>
      </c>
      <c r="I123" s="39"/>
      <c r="J123" s="39"/>
      <c r="K123" s="39"/>
      <c r="L123" s="39"/>
      <c r="M123" s="41"/>
      <c r="N123" s="39"/>
      <c r="O123" s="39"/>
      <c r="P123" s="39"/>
      <c r="Q123" s="39"/>
      <c r="R123" s="39"/>
      <c r="S123" s="39"/>
    </row>
    <row r="124" spans="1:19" ht="15.75" customHeight="1">
      <c r="A124" s="42" t="s">
        <v>233</v>
      </c>
      <c r="B124" s="35"/>
      <c r="C124" s="35"/>
      <c r="D124" s="43" t="s">
        <v>125</v>
      </c>
      <c r="E124" s="43"/>
      <c r="F124" s="43"/>
      <c r="G124" s="43"/>
      <c r="H124" s="35">
        <v>40</v>
      </c>
      <c r="I124" s="35"/>
      <c r="J124" s="35"/>
      <c r="K124" s="35"/>
      <c r="L124" s="35"/>
      <c r="M124" s="36"/>
      <c r="N124" s="35"/>
      <c r="O124" s="35"/>
      <c r="P124" s="35"/>
      <c r="Q124" s="35"/>
      <c r="R124" s="35"/>
      <c r="S124" s="35"/>
    </row>
    <row r="125" spans="1:19" ht="15.75" hidden="1" customHeight="1">
      <c r="A125" s="38" t="s">
        <v>234</v>
      </c>
      <c r="B125" s="39">
        <v>6</v>
      </c>
      <c r="C125" s="39"/>
      <c r="D125" s="40"/>
      <c r="E125" s="40"/>
      <c r="F125" s="40"/>
      <c r="G125" s="40"/>
      <c r="H125" s="39">
        <v>30</v>
      </c>
      <c r="I125" s="39"/>
      <c r="J125" s="39"/>
      <c r="K125" s="39"/>
      <c r="L125" s="39"/>
      <c r="M125" s="41"/>
      <c r="N125" s="39"/>
      <c r="O125" s="39"/>
      <c r="P125" s="39"/>
      <c r="Q125" s="39"/>
      <c r="R125" s="39"/>
      <c r="S125" s="39" t="s">
        <v>235</v>
      </c>
    </row>
    <row r="126" spans="1:19" ht="15.75" customHeight="1">
      <c r="A126" s="42" t="s">
        <v>236</v>
      </c>
      <c r="B126" s="35"/>
      <c r="C126" s="35"/>
      <c r="D126" s="43" t="s">
        <v>150</v>
      </c>
      <c r="E126" s="43"/>
      <c r="F126" s="43"/>
      <c r="G126" s="43"/>
      <c r="H126" s="35">
        <v>30</v>
      </c>
      <c r="I126" s="35"/>
      <c r="J126" s="35"/>
      <c r="K126" s="35"/>
      <c r="L126" s="35"/>
      <c r="M126" s="36"/>
      <c r="N126" s="35"/>
      <c r="O126" s="35"/>
      <c r="P126" s="35"/>
      <c r="Q126" s="35"/>
      <c r="R126" s="35"/>
      <c r="S126" s="35"/>
    </row>
    <row r="127" spans="1:19" ht="15.75" customHeight="1">
      <c r="A127" s="38" t="s">
        <v>237</v>
      </c>
      <c r="B127" s="39"/>
      <c r="C127" s="39"/>
      <c r="D127" s="40" t="s">
        <v>138</v>
      </c>
      <c r="E127" s="40"/>
      <c r="F127" s="40"/>
      <c r="G127" s="40"/>
      <c r="H127" s="39"/>
      <c r="I127" s="39">
        <v>100</v>
      </c>
      <c r="J127" s="39"/>
      <c r="K127" s="39"/>
      <c r="L127" s="39"/>
      <c r="M127" s="41"/>
      <c r="N127" s="39"/>
      <c r="O127" s="39"/>
      <c r="P127" s="39"/>
      <c r="Q127" s="39"/>
      <c r="R127" s="39"/>
      <c r="S127" s="39" t="s">
        <v>238</v>
      </c>
    </row>
    <row r="128" spans="1:19" ht="15.75" hidden="1" customHeight="1">
      <c r="A128" s="42" t="s">
        <v>239</v>
      </c>
      <c r="B128" s="35"/>
      <c r="C128" s="35"/>
      <c r="D128" s="43"/>
      <c r="E128" s="43"/>
      <c r="F128" s="43"/>
      <c r="G128" s="43"/>
      <c r="H128" s="35">
        <v>20</v>
      </c>
      <c r="I128" s="35"/>
      <c r="J128" s="35"/>
      <c r="K128" s="35"/>
      <c r="L128" s="35"/>
      <c r="M128" s="36"/>
      <c r="N128" s="35"/>
      <c r="O128" s="35"/>
      <c r="P128" s="35"/>
      <c r="Q128" s="35"/>
      <c r="R128" s="35"/>
      <c r="S128" s="35" t="s">
        <v>240</v>
      </c>
    </row>
    <row r="129" spans="1:19" ht="15.75" customHeight="1">
      <c r="A129" s="38" t="s">
        <v>241</v>
      </c>
      <c r="B129" s="39">
        <v>4</v>
      </c>
      <c r="C129" s="39"/>
      <c r="D129" s="40" t="s">
        <v>242</v>
      </c>
      <c r="E129" s="40"/>
      <c r="F129" s="40"/>
      <c r="G129" s="40"/>
      <c r="H129" s="39">
        <v>30</v>
      </c>
      <c r="I129" s="39"/>
      <c r="J129" s="39"/>
      <c r="K129" s="39"/>
      <c r="L129" s="39"/>
      <c r="M129" s="41"/>
      <c r="N129" s="39"/>
      <c r="O129" s="39"/>
      <c r="P129" s="39"/>
      <c r="Q129" s="39"/>
      <c r="R129" s="39"/>
      <c r="S129" s="39"/>
    </row>
    <row r="130" spans="1:19" ht="15.75" customHeight="1">
      <c r="A130" s="42" t="s">
        <v>243</v>
      </c>
      <c r="B130" s="35"/>
      <c r="C130" s="35"/>
      <c r="D130" s="43" t="s">
        <v>96</v>
      </c>
      <c r="E130" s="43"/>
      <c r="F130" s="43"/>
      <c r="G130" s="43"/>
      <c r="H130" s="35"/>
      <c r="I130" s="35"/>
      <c r="J130" s="35"/>
      <c r="K130" s="35">
        <v>30</v>
      </c>
      <c r="L130" s="35"/>
      <c r="M130" s="36"/>
      <c r="N130" s="35"/>
      <c r="O130" s="35"/>
      <c r="P130" s="35"/>
      <c r="Q130" s="35"/>
      <c r="R130" s="35"/>
      <c r="S130" s="35"/>
    </row>
    <row r="131" spans="1:19" ht="15.75" hidden="1" customHeight="1">
      <c r="A131" s="38" t="s">
        <v>27</v>
      </c>
      <c r="B131" s="39">
        <v>1</v>
      </c>
      <c r="C131" s="39"/>
      <c r="D131" s="40"/>
      <c r="E131" s="40"/>
      <c r="F131" s="40"/>
      <c r="G131" s="40"/>
      <c r="H131" s="39">
        <v>15</v>
      </c>
      <c r="I131" s="39"/>
      <c r="J131" s="39"/>
      <c r="K131" s="39"/>
      <c r="L131" s="39"/>
      <c r="M131" s="41"/>
      <c r="N131" s="39"/>
      <c r="O131" s="39"/>
      <c r="P131" s="39"/>
      <c r="Q131" s="39"/>
      <c r="R131" s="39"/>
      <c r="S131" s="39"/>
    </row>
    <row r="132" spans="1:19" ht="15.75" customHeight="1">
      <c r="A132" s="42" t="s">
        <v>244</v>
      </c>
      <c r="B132" s="35">
        <v>4</v>
      </c>
      <c r="C132" s="35"/>
      <c r="D132" s="43" t="s">
        <v>245</v>
      </c>
      <c r="E132" s="43"/>
      <c r="F132" s="43"/>
      <c r="G132" s="43"/>
      <c r="H132" s="35">
        <v>30</v>
      </c>
      <c r="I132" s="35"/>
      <c r="J132" s="35"/>
      <c r="K132" s="35"/>
      <c r="L132" s="35"/>
      <c r="M132" s="36"/>
      <c r="N132" s="35"/>
      <c r="O132" s="35"/>
      <c r="P132" s="35"/>
      <c r="Q132" s="35"/>
      <c r="R132" s="35"/>
      <c r="S132" s="35"/>
    </row>
    <row r="133" spans="1:19" ht="15.75" customHeight="1">
      <c r="A133" s="38" t="s">
        <v>246</v>
      </c>
      <c r="B133" s="39"/>
      <c r="C133" s="39"/>
      <c r="D133" s="40" t="s">
        <v>245</v>
      </c>
      <c r="E133" s="40"/>
      <c r="F133" s="40"/>
      <c r="G133" s="40"/>
      <c r="H133" s="39">
        <v>30</v>
      </c>
      <c r="I133" s="39"/>
      <c r="J133" s="39"/>
      <c r="K133" s="39"/>
      <c r="L133" s="39"/>
      <c r="M133" s="41"/>
      <c r="N133" s="39"/>
      <c r="O133" s="39"/>
      <c r="P133" s="39"/>
      <c r="Q133" s="39"/>
      <c r="R133" s="39"/>
      <c r="S133" s="39"/>
    </row>
    <row r="134" spans="1:19" ht="15.75" hidden="1" customHeight="1">
      <c r="A134" s="42" t="s">
        <v>26</v>
      </c>
      <c r="B134" s="35">
        <v>3</v>
      </c>
      <c r="C134" s="35"/>
      <c r="D134" s="43"/>
      <c r="E134" s="43"/>
      <c r="F134" s="43"/>
      <c r="G134" s="43"/>
      <c r="H134" s="35">
        <v>20</v>
      </c>
      <c r="I134" s="35"/>
      <c r="J134" s="35"/>
      <c r="K134" s="35">
        <v>20</v>
      </c>
      <c r="L134" s="35"/>
      <c r="M134" s="36"/>
      <c r="N134" s="35"/>
      <c r="O134" s="35"/>
      <c r="P134" s="35"/>
      <c r="Q134" s="35"/>
      <c r="R134" s="35"/>
      <c r="S134" s="35"/>
    </row>
    <row r="135" spans="1:19" ht="15.75" customHeight="1">
      <c r="A135" s="38" t="s">
        <v>247</v>
      </c>
      <c r="B135" s="39">
        <v>4</v>
      </c>
      <c r="C135" s="39"/>
      <c r="D135" s="40" t="s">
        <v>248</v>
      </c>
      <c r="E135" s="40"/>
      <c r="F135" s="40"/>
      <c r="G135" s="40"/>
      <c r="H135" s="39">
        <v>30</v>
      </c>
      <c r="I135" s="39"/>
      <c r="J135" s="39"/>
      <c r="K135" s="39"/>
      <c r="L135" s="39"/>
      <c r="M135" s="41"/>
      <c r="N135" s="39"/>
      <c r="O135" s="39"/>
      <c r="P135" s="39"/>
      <c r="Q135" s="39"/>
      <c r="R135" s="39"/>
      <c r="S135" s="39"/>
    </row>
    <row r="136" spans="1:19" ht="15.75" customHeight="1">
      <c r="A136" s="42" t="s">
        <v>249</v>
      </c>
      <c r="B136" s="35"/>
      <c r="C136" s="35">
        <v>2</v>
      </c>
      <c r="D136" s="43" t="s">
        <v>248</v>
      </c>
      <c r="E136" s="43"/>
      <c r="F136" s="43"/>
      <c r="G136" s="43"/>
      <c r="H136" s="35">
        <v>30</v>
      </c>
      <c r="I136" s="35"/>
      <c r="J136" s="35"/>
      <c r="K136" s="35"/>
      <c r="L136" s="35">
        <v>30</v>
      </c>
      <c r="M136" s="36"/>
      <c r="N136" s="35"/>
      <c r="O136" s="35"/>
      <c r="P136" s="35"/>
      <c r="Q136" s="35"/>
      <c r="R136" s="35"/>
      <c r="S136" s="35" t="s">
        <v>250</v>
      </c>
    </row>
    <row r="137" spans="1:19" ht="15.75" hidden="1" customHeight="1">
      <c r="A137" s="38" t="s">
        <v>251</v>
      </c>
      <c r="B137" s="39">
        <v>5</v>
      </c>
      <c r="C137" s="39"/>
      <c r="D137" s="40"/>
      <c r="E137" s="40" t="s">
        <v>6</v>
      </c>
      <c r="F137" s="40"/>
      <c r="G137" s="40"/>
      <c r="H137" s="39">
        <v>15</v>
      </c>
      <c r="I137" s="39"/>
      <c r="J137" s="39"/>
      <c r="K137" s="39"/>
      <c r="L137" s="39"/>
      <c r="M137" s="41"/>
      <c r="N137" s="39"/>
      <c r="O137" s="39"/>
      <c r="P137" s="39"/>
      <c r="Q137" s="39"/>
      <c r="R137" s="39"/>
      <c r="S137" s="39"/>
    </row>
    <row r="138" spans="1:19" ht="15.75" hidden="1" customHeight="1">
      <c r="A138" s="42" t="s">
        <v>252</v>
      </c>
      <c r="B138" s="35"/>
      <c r="C138" s="35">
        <v>2</v>
      </c>
      <c r="D138" s="43"/>
      <c r="E138" s="43"/>
      <c r="F138" s="43"/>
      <c r="G138" s="43"/>
      <c r="H138" s="35"/>
      <c r="I138" s="35"/>
      <c r="J138" s="35"/>
      <c r="K138" s="35">
        <v>30</v>
      </c>
      <c r="L138" s="35">
        <v>30</v>
      </c>
      <c r="M138" s="36"/>
      <c r="N138" s="35"/>
      <c r="O138" s="35"/>
      <c r="P138" s="35"/>
      <c r="Q138" s="35"/>
      <c r="R138" s="35"/>
      <c r="S138" s="35" t="s">
        <v>253</v>
      </c>
    </row>
    <row r="139" spans="1:19" ht="15.75" customHeight="1">
      <c r="A139" s="38" t="s">
        <v>254</v>
      </c>
      <c r="B139" s="39">
        <v>4</v>
      </c>
      <c r="C139" s="39"/>
      <c r="D139" s="40" t="s">
        <v>255</v>
      </c>
      <c r="E139" s="40"/>
      <c r="F139" s="40"/>
      <c r="G139" s="40"/>
      <c r="H139" s="39">
        <v>30</v>
      </c>
      <c r="I139" s="39"/>
      <c r="J139" s="39"/>
      <c r="K139" s="39"/>
      <c r="L139" s="39"/>
      <c r="M139" s="41"/>
      <c r="N139" s="39"/>
      <c r="O139" s="39"/>
      <c r="P139" s="39"/>
      <c r="Q139" s="39"/>
      <c r="R139" s="39"/>
      <c r="S139" s="39"/>
    </row>
    <row r="140" spans="1:19" ht="15.75" hidden="1" customHeight="1">
      <c r="A140" s="42" t="s">
        <v>256</v>
      </c>
      <c r="B140" s="35"/>
      <c r="C140" s="35">
        <v>2</v>
      </c>
      <c r="D140" s="43"/>
      <c r="E140" s="43"/>
      <c r="F140" s="43"/>
      <c r="G140" s="43"/>
      <c r="H140" s="35"/>
      <c r="I140" s="35"/>
      <c r="J140" s="35"/>
      <c r="K140" s="35">
        <v>20</v>
      </c>
      <c r="L140" s="35">
        <v>30</v>
      </c>
      <c r="M140" s="36"/>
      <c r="N140" s="35"/>
      <c r="O140" s="35"/>
      <c r="P140" s="35"/>
      <c r="Q140" s="35"/>
      <c r="R140" s="35"/>
      <c r="S140" s="35"/>
    </row>
    <row r="141" spans="1:19" ht="15.75" hidden="1" customHeight="1">
      <c r="A141" s="38" t="s">
        <v>257</v>
      </c>
      <c r="B141" s="39">
        <v>1</v>
      </c>
      <c r="C141" s="39"/>
      <c r="D141" s="40"/>
      <c r="E141" s="40"/>
      <c r="F141" s="40"/>
      <c r="G141" s="40"/>
      <c r="H141" s="39"/>
      <c r="I141" s="39"/>
      <c r="J141" s="39"/>
      <c r="K141" s="39"/>
      <c r="L141" s="39"/>
      <c r="M141" s="41"/>
      <c r="N141" s="39"/>
      <c r="O141" s="39"/>
      <c r="P141" s="39">
        <v>40</v>
      </c>
      <c r="Q141" s="39"/>
      <c r="R141" s="39"/>
      <c r="S141" s="39"/>
    </row>
    <row r="142" spans="1:19" ht="15.75" hidden="1" customHeight="1">
      <c r="A142" s="42" t="s">
        <v>258</v>
      </c>
      <c r="B142" s="35">
        <v>9</v>
      </c>
      <c r="C142" s="35"/>
      <c r="D142" s="43"/>
      <c r="E142" s="43"/>
      <c r="F142" s="43"/>
      <c r="G142" s="43"/>
      <c r="H142" s="35"/>
      <c r="I142" s="35">
        <v>30</v>
      </c>
      <c r="J142" s="35"/>
      <c r="K142" s="35"/>
      <c r="L142" s="35"/>
      <c r="M142" s="36"/>
      <c r="N142" s="35"/>
      <c r="O142" s="35"/>
      <c r="P142" s="35"/>
      <c r="Q142" s="35"/>
      <c r="R142" s="35"/>
      <c r="S142" s="35" t="s">
        <v>259</v>
      </c>
    </row>
    <row r="143" spans="1:19" ht="15.75" hidden="1" customHeight="1">
      <c r="A143" s="38" t="s">
        <v>260</v>
      </c>
      <c r="B143" s="39">
        <v>5</v>
      </c>
      <c r="C143" s="39"/>
      <c r="D143" s="40"/>
      <c r="E143" s="40" t="s">
        <v>6</v>
      </c>
      <c r="F143" s="40"/>
      <c r="G143" s="40"/>
      <c r="H143" s="39">
        <v>15</v>
      </c>
      <c r="I143" s="39"/>
      <c r="J143" s="39"/>
      <c r="K143" s="39"/>
      <c r="L143" s="39"/>
      <c r="M143" s="41">
        <v>100</v>
      </c>
      <c r="N143" s="39"/>
      <c r="O143" s="39"/>
      <c r="P143" s="39"/>
      <c r="Q143" s="39"/>
      <c r="R143" s="39"/>
      <c r="S143" s="39"/>
    </row>
    <row r="144" spans="1:19" ht="15.75" hidden="1" customHeight="1">
      <c r="A144" s="42" t="s">
        <v>261</v>
      </c>
      <c r="B144" s="35">
        <v>1</v>
      </c>
      <c r="C144" s="35"/>
      <c r="D144" s="43"/>
      <c r="E144" s="43"/>
      <c r="F144" s="43"/>
      <c r="G144" s="43"/>
      <c r="H144" s="35">
        <v>40</v>
      </c>
      <c r="I144" s="35"/>
      <c r="J144" s="35"/>
      <c r="K144" s="35">
        <v>10</v>
      </c>
      <c r="L144" s="35"/>
      <c r="M144" s="36"/>
      <c r="N144" s="35"/>
      <c r="O144" s="35"/>
      <c r="P144" s="35"/>
      <c r="Q144" s="35"/>
      <c r="R144" s="35"/>
      <c r="S144" s="35"/>
    </row>
    <row r="145" spans="1:19" ht="15.75" hidden="1" customHeight="1">
      <c r="A145" s="38" t="s">
        <v>262</v>
      </c>
      <c r="B145" s="39">
        <v>1</v>
      </c>
      <c r="C145" s="39"/>
      <c r="D145" s="40"/>
      <c r="E145" s="40"/>
      <c r="F145" s="40"/>
      <c r="G145" s="40"/>
      <c r="H145" s="39">
        <v>10</v>
      </c>
      <c r="I145" s="39"/>
      <c r="J145" s="39"/>
      <c r="K145" s="39"/>
      <c r="L145" s="39"/>
      <c r="M145" s="41"/>
      <c r="N145" s="39"/>
      <c r="O145" s="39"/>
      <c r="P145" s="39"/>
      <c r="Q145" s="39"/>
      <c r="R145" s="39"/>
      <c r="S145" s="39"/>
    </row>
    <row r="146" spans="1:19" ht="15.75" hidden="1" customHeight="1">
      <c r="A146" s="42" t="s">
        <v>263</v>
      </c>
      <c r="B146" s="35">
        <v>3</v>
      </c>
      <c r="C146" s="35"/>
      <c r="D146" s="43"/>
      <c r="E146" s="43"/>
      <c r="F146" s="43"/>
      <c r="G146" s="43"/>
      <c r="H146" s="35">
        <v>10</v>
      </c>
      <c r="I146" s="35"/>
      <c r="J146" s="35"/>
      <c r="K146" s="35">
        <v>20</v>
      </c>
      <c r="L146" s="35"/>
      <c r="M146" s="36"/>
      <c r="N146" s="35"/>
      <c r="O146" s="35"/>
      <c r="P146" s="35"/>
      <c r="Q146" s="35"/>
      <c r="R146" s="35"/>
      <c r="S146" s="35"/>
    </row>
    <row r="147" spans="1:19" ht="15.75" hidden="1" customHeight="1">
      <c r="A147" s="38" t="s">
        <v>264</v>
      </c>
      <c r="B147" s="39">
        <v>14</v>
      </c>
      <c r="C147" s="39"/>
      <c r="D147" s="40"/>
      <c r="E147" s="40"/>
      <c r="F147" s="40"/>
      <c r="G147" s="40"/>
      <c r="H147" s="39"/>
      <c r="I147" s="39"/>
      <c r="J147" s="39"/>
      <c r="K147" s="39"/>
      <c r="L147" s="39"/>
      <c r="M147" s="41"/>
      <c r="N147" s="39">
        <v>30</v>
      </c>
      <c r="O147" s="39"/>
      <c r="P147" s="39"/>
      <c r="Q147" s="39"/>
      <c r="R147" s="39"/>
      <c r="S147" s="39"/>
    </row>
    <row r="148" spans="1:19" ht="15.75" hidden="1" customHeight="1">
      <c r="A148" s="42" t="s">
        <v>265</v>
      </c>
      <c r="B148" s="35"/>
      <c r="C148" s="35"/>
      <c r="D148" s="43"/>
      <c r="E148" s="43"/>
      <c r="F148" s="43"/>
      <c r="G148" s="43"/>
      <c r="H148" s="35"/>
      <c r="I148" s="35"/>
      <c r="J148" s="35"/>
      <c r="K148" s="35">
        <v>15</v>
      </c>
      <c r="L148" s="35"/>
      <c r="M148" s="36"/>
      <c r="N148" s="35"/>
      <c r="O148" s="35"/>
      <c r="P148" s="35"/>
      <c r="Q148" s="35"/>
      <c r="R148" s="35"/>
      <c r="S148" s="35"/>
    </row>
    <row r="149" spans="1:19" ht="15.75" hidden="1" customHeight="1">
      <c r="A149" s="38" t="s">
        <v>266</v>
      </c>
      <c r="B149" s="39">
        <v>5</v>
      </c>
      <c r="C149" s="39"/>
      <c r="D149" s="40"/>
      <c r="E149" s="40" t="s">
        <v>267</v>
      </c>
      <c r="F149" s="40"/>
      <c r="G149" s="40"/>
      <c r="H149" s="39">
        <v>40</v>
      </c>
      <c r="I149" s="39"/>
      <c r="J149" s="39"/>
      <c r="K149" s="39"/>
      <c r="L149" s="39"/>
      <c r="M149" s="41"/>
      <c r="N149" s="39"/>
      <c r="O149" s="39"/>
      <c r="P149" s="39"/>
      <c r="Q149" s="39"/>
      <c r="R149" s="39"/>
      <c r="S149" s="39"/>
    </row>
    <row r="150" spans="1:19" ht="15.75" hidden="1" customHeight="1">
      <c r="A150" s="42" t="s">
        <v>268</v>
      </c>
      <c r="B150" s="35"/>
      <c r="C150" s="35"/>
      <c r="D150" s="43"/>
      <c r="E150" s="43"/>
      <c r="F150" s="43"/>
      <c r="G150" s="43"/>
      <c r="H150" s="35">
        <v>30</v>
      </c>
      <c r="I150" s="35"/>
      <c r="J150" s="35"/>
      <c r="K150" s="35"/>
      <c r="L150" s="35"/>
      <c r="M150" s="36"/>
      <c r="N150" s="35"/>
      <c r="O150" s="35"/>
      <c r="P150" s="35"/>
      <c r="Q150" s="35"/>
      <c r="R150" s="35"/>
      <c r="S150" s="35" t="s">
        <v>240</v>
      </c>
    </row>
    <row r="151" spans="1:19" ht="15.75" hidden="1" customHeight="1">
      <c r="A151" s="38" t="s">
        <v>269</v>
      </c>
      <c r="B151" s="39">
        <v>5</v>
      </c>
      <c r="C151" s="39"/>
      <c r="D151" s="40"/>
      <c r="E151" s="40"/>
      <c r="F151" s="40" t="s">
        <v>78</v>
      </c>
      <c r="G151" s="40"/>
      <c r="H151" s="39">
        <v>30</v>
      </c>
      <c r="I151" s="39"/>
      <c r="J151" s="39"/>
      <c r="K151" s="39"/>
      <c r="L151" s="39"/>
      <c r="M151" s="41"/>
      <c r="N151" s="39"/>
      <c r="O151" s="39"/>
      <c r="P151" s="39"/>
      <c r="Q151" s="39"/>
      <c r="R151" s="39"/>
      <c r="S151" s="39"/>
    </row>
    <row r="152" spans="1:19" ht="15.75" hidden="1" customHeight="1">
      <c r="A152" s="42" t="s">
        <v>270</v>
      </c>
      <c r="B152" s="35">
        <v>1</v>
      </c>
      <c r="C152" s="35"/>
      <c r="D152" s="43"/>
      <c r="E152" s="43"/>
      <c r="F152" s="43"/>
      <c r="G152" s="43"/>
      <c r="H152" s="35">
        <v>40</v>
      </c>
      <c r="I152" s="35"/>
      <c r="J152" s="35"/>
      <c r="K152" s="35"/>
      <c r="L152" s="35"/>
      <c r="M152" s="36"/>
      <c r="N152" s="35"/>
      <c r="O152" s="35"/>
      <c r="P152" s="35"/>
      <c r="Q152" s="35"/>
      <c r="R152" s="35"/>
      <c r="S152" s="35"/>
    </row>
    <row r="153" spans="1:19" ht="15.75" hidden="1" customHeight="1">
      <c r="A153" s="38" t="s">
        <v>271</v>
      </c>
      <c r="B153" s="39">
        <v>1</v>
      </c>
      <c r="C153" s="39">
        <v>2</v>
      </c>
      <c r="D153" s="40"/>
      <c r="E153" s="40"/>
      <c r="F153" s="40"/>
      <c r="G153" s="40"/>
      <c r="H153" s="39">
        <v>15</v>
      </c>
      <c r="I153" s="39"/>
      <c r="J153" s="39"/>
      <c r="K153" s="39"/>
      <c r="L153" s="39">
        <v>15</v>
      </c>
      <c r="M153" s="41"/>
      <c r="N153" s="39"/>
      <c r="O153" s="39"/>
      <c r="P153" s="39"/>
      <c r="Q153" s="39"/>
      <c r="R153" s="39"/>
      <c r="S153" s="39"/>
    </row>
    <row r="154" spans="1:19" ht="15.75" hidden="1" customHeight="1">
      <c r="A154" s="42" t="s">
        <v>272</v>
      </c>
      <c r="B154" s="35">
        <v>5</v>
      </c>
      <c r="C154" s="35"/>
      <c r="D154" s="43"/>
      <c r="E154" s="43"/>
      <c r="F154" s="43" t="s">
        <v>74</v>
      </c>
      <c r="G154" s="43"/>
      <c r="H154" s="35">
        <v>30</v>
      </c>
      <c r="I154" s="35"/>
      <c r="J154" s="35"/>
      <c r="K154" s="35"/>
      <c r="L154" s="35"/>
      <c r="M154" s="36"/>
      <c r="N154" s="35"/>
      <c r="O154" s="35"/>
      <c r="P154" s="35"/>
      <c r="Q154" s="35"/>
      <c r="R154" s="35"/>
      <c r="S154" s="35"/>
    </row>
    <row r="155" spans="1:19" ht="15.75" hidden="1" customHeight="1">
      <c r="A155" s="38" t="s">
        <v>273</v>
      </c>
      <c r="B155" s="39">
        <v>3</v>
      </c>
      <c r="C155" s="39"/>
      <c r="D155" s="40"/>
      <c r="E155" s="40"/>
      <c r="F155" s="40"/>
      <c r="G155" s="40" t="s">
        <v>62</v>
      </c>
      <c r="H155" s="39">
        <v>24</v>
      </c>
      <c r="I155" s="39"/>
      <c r="J155" s="39"/>
      <c r="K155" s="39"/>
      <c r="L155" s="39"/>
      <c r="M155" s="41"/>
      <c r="N155" s="39"/>
      <c r="O155" s="39"/>
      <c r="P155" s="39"/>
      <c r="Q155" s="39"/>
      <c r="R155" s="39"/>
      <c r="S155" s="39" t="s">
        <v>197</v>
      </c>
    </row>
    <row r="156" spans="1:19" ht="15.75" hidden="1" customHeight="1">
      <c r="A156" s="42" t="s">
        <v>274</v>
      </c>
      <c r="B156" s="35">
        <v>3</v>
      </c>
      <c r="C156" s="35"/>
      <c r="D156" s="43"/>
      <c r="E156" s="43"/>
      <c r="F156" s="43"/>
      <c r="G156" s="43" t="s">
        <v>64</v>
      </c>
      <c r="H156" s="35">
        <v>24</v>
      </c>
      <c r="I156" s="35"/>
      <c r="J156" s="35"/>
      <c r="K156" s="35"/>
      <c r="L156" s="35"/>
      <c r="M156" s="36"/>
      <c r="N156" s="35"/>
      <c r="O156" s="35"/>
      <c r="P156" s="35"/>
      <c r="Q156" s="35"/>
      <c r="R156" s="35"/>
      <c r="S156" s="35" t="s">
        <v>201</v>
      </c>
    </row>
    <row r="157" spans="1:19" ht="15.75" hidden="1" customHeight="1">
      <c r="A157" s="38" t="s">
        <v>275</v>
      </c>
      <c r="B157" s="39">
        <v>5</v>
      </c>
      <c r="C157" s="39"/>
      <c r="D157" s="40"/>
      <c r="E157" s="40"/>
      <c r="F157" s="40" t="s">
        <v>76</v>
      </c>
      <c r="G157" s="40"/>
      <c r="H157" s="39">
        <v>30</v>
      </c>
      <c r="I157" s="39"/>
      <c r="J157" s="39"/>
      <c r="K157" s="39"/>
      <c r="L157" s="39"/>
      <c r="M157" s="41"/>
      <c r="N157" s="39"/>
      <c r="O157" s="39"/>
      <c r="P157" s="39"/>
      <c r="Q157" s="39"/>
      <c r="R157" s="39"/>
      <c r="S157" s="39"/>
    </row>
    <row r="158" spans="1:19" ht="15.75" hidden="1" customHeight="1">
      <c r="A158" s="42" t="s">
        <v>276</v>
      </c>
      <c r="B158" s="35">
        <v>3</v>
      </c>
      <c r="C158" s="35"/>
      <c r="D158" s="43"/>
      <c r="E158" s="43"/>
      <c r="F158" s="43"/>
      <c r="G158" s="43" t="s">
        <v>66</v>
      </c>
      <c r="H158" s="35">
        <v>24</v>
      </c>
      <c r="I158" s="35"/>
      <c r="J158" s="35"/>
      <c r="K158" s="35"/>
      <c r="L158" s="35"/>
      <c r="M158" s="36"/>
      <c r="N158" s="35"/>
      <c r="O158" s="35"/>
      <c r="P158" s="35"/>
      <c r="Q158" s="35"/>
      <c r="R158" s="35"/>
      <c r="S158" s="35" t="s">
        <v>199</v>
      </c>
    </row>
    <row r="159" spans="1:19" ht="15.75" hidden="1" customHeight="1">
      <c r="A159" s="38" t="s">
        <v>277</v>
      </c>
      <c r="B159" s="39">
        <v>3</v>
      </c>
      <c r="C159" s="39"/>
      <c r="D159" s="40"/>
      <c r="E159" s="40"/>
      <c r="F159" s="40"/>
      <c r="G159" s="40"/>
      <c r="H159" s="39">
        <v>30</v>
      </c>
      <c r="I159" s="39"/>
      <c r="J159" s="39"/>
      <c r="K159" s="39">
        <v>20</v>
      </c>
      <c r="L159" s="39"/>
      <c r="M159" s="41"/>
      <c r="N159" s="39"/>
      <c r="O159" s="39"/>
      <c r="P159" s="39"/>
      <c r="Q159" s="39"/>
      <c r="R159" s="39"/>
      <c r="S159" s="39" t="s">
        <v>193</v>
      </c>
    </row>
    <row r="160" spans="1:19" ht="15.75" hidden="1" customHeight="1">
      <c r="A160" s="42" t="s">
        <v>278</v>
      </c>
      <c r="B160" s="35">
        <v>3</v>
      </c>
      <c r="C160" s="35"/>
      <c r="D160" s="43"/>
      <c r="E160" s="43"/>
      <c r="F160" s="43"/>
      <c r="G160" s="43" t="s">
        <v>68</v>
      </c>
      <c r="H160" s="35">
        <v>24</v>
      </c>
      <c r="I160" s="35"/>
      <c r="J160" s="35"/>
      <c r="K160" s="35"/>
      <c r="L160" s="35"/>
      <c r="M160" s="36"/>
      <c r="N160" s="35"/>
      <c r="O160" s="35"/>
      <c r="P160" s="35"/>
      <c r="Q160" s="35"/>
      <c r="R160" s="35"/>
      <c r="S160" s="35" t="s">
        <v>203</v>
      </c>
    </row>
    <row r="161" spans="1:19" ht="15.75" hidden="1" customHeight="1">
      <c r="A161" s="38" t="s">
        <v>279</v>
      </c>
      <c r="B161" s="39">
        <v>5</v>
      </c>
      <c r="C161" s="39">
        <v>2</v>
      </c>
      <c r="D161" s="40"/>
      <c r="E161" s="40" t="s">
        <v>267</v>
      </c>
      <c r="F161" s="40" t="s">
        <v>280</v>
      </c>
      <c r="G161" s="40"/>
      <c r="H161" s="39">
        <v>50</v>
      </c>
      <c r="I161" s="39"/>
      <c r="J161" s="39"/>
      <c r="K161" s="39"/>
      <c r="L161" s="39">
        <v>10</v>
      </c>
      <c r="M161" s="41"/>
      <c r="N161" s="39"/>
      <c r="O161" s="39"/>
      <c r="P161" s="39"/>
      <c r="Q161" s="39"/>
      <c r="R161" s="39"/>
      <c r="S161" s="39" t="s">
        <v>281</v>
      </c>
    </row>
    <row r="162" spans="1:19" ht="15.75" hidden="1" customHeight="1">
      <c r="A162" s="42"/>
      <c r="B162" s="35"/>
      <c r="C162" s="35"/>
      <c r="D162" s="43"/>
      <c r="E162" s="43"/>
      <c r="F162" s="43"/>
      <c r="G162" s="43"/>
      <c r="H162" s="35"/>
      <c r="I162" s="35"/>
      <c r="J162" s="35"/>
      <c r="K162" s="35"/>
      <c r="L162" s="35"/>
      <c r="M162" s="36"/>
      <c r="N162" s="35"/>
      <c r="O162" s="35"/>
      <c r="P162" s="35"/>
      <c r="Q162" s="35"/>
      <c r="R162" s="35"/>
      <c r="S162" s="35"/>
    </row>
    <row r="163" spans="1:19" ht="15.75" hidden="1" customHeight="1">
      <c r="A163" s="38"/>
      <c r="B163" s="39"/>
      <c r="C163" s="39"/>
      <c r="D163" s="40"/>
      <c r="E163" s="40"/>
      <c r="F163" s="40"/>
      <c r="G163" s="40"/>
      <c r="H163" s="39"/>
      <c r="I163" s="39"/>
      <c r="J163" s="39"/>
      <c r="K163" s="39"/>
      <c r="L163" s="39"/>
      <c r="M163" s="41"/>
      <c r="N163" s="39"/>
      <c r="O163" s="39"/>
      <c r="P163" s="39"/>
      <c r="Q163" s="39"/>
      <c r="R163" s="39"/>
      <c r="S163" s="39"/>
    </row>
    <row r="164" spans="1:19" ht="15.75" hidden="1" customHeight="1">
      <c r="A164" s="42"/>
      <c r="B164" s="35"/>
      <c r="C164" s="35"/>
      <c r="D164" s="43"/>
      <c r="E164" s="43"/>
      <c r="F164" s="43"/>
      <c r="G164" s="43"/>
      <c r="H164" s="35"/>
      <c r="I164" s="35"/>
      <c r="J164" s="35"/>
      <c r="K164" s="35"/>
      <c r="L164" s="35"/>
      <c r="M164" s="36"/>
      <c r="N164" s="35"/>
      <c r="O164" s="35"/>
      <c r="P164" s="35"/>
      <c r="Q164" s="35"/>
      <c r="R164" s="35"/>
      <c r="S164" s="35"/>
    </row>
    <row r="165" spans="1:19" ht="15.75" hidden="1" customHeight="1">
      <c r="A165" s="38"/>
      <c r="B165" s="39"/>
      <c r="C165" s="39"/>
      <c r="D165" s="40"/>
      <c r="E165" s="40"/>
      <c r="F165" s="40"/>
      <c r="G165" s="40"/>
      <c r="H165" s="39"/>
      <c r="I165" s="39"/>
      <c r="J165" s="39"/>
      <c r="K165" s="39"/>
      <c r="L165" s="39"/>
      <c r="M165" s="41"/>
      <c r="N165" s="39"/>
      <c r="O165" s="39"/>
      <c r="P165" s="39"/>
      <c r="Q165" s="39"/>
      <c r="R165" s="39"/>
      <c r="S165" s="39"/>
    </row>
    <row r="166" spans="1:19" ht="15.75" hidden="1" customHeight="1">
      <c r="A166" s="42"/>
      <c r="B166" s="35"/>
      <c r="C166" s="35"/>
      <c r="D166" s="43"/>
      <c r="E166" s="43"/>
      <c r="F166" s="43"/>
      <c r="G166" s="43"/>
      <c r="H166" s="35"/>
      <c r="I166" s="35"/>
      <c r="J166" s="35"/>
      <c r="K166" s="35"/>
      <c r="L166" s="35"/>
      <c r="M166" s="36"/>
      <c r="N166" s="35"/>
      <c r="O166" s="35"/>
      <c r="P166" s="35"/>
      <c r="Q166" s="35"/>
      <c r="R166" s="35"/>
      <c r="S166" s="35"/>
    </row>
    <row r="167" spans="1:19" ht="15.75" hidden="1" customHeight="1">
      <c r="A167" s="38"/>
      <c r="B167" s="39"/>
      <c r="C167" s="39"/>
      <c r="D167" s="40"/>
      <c r="E167" s="40"/>
      <c r="F167" s="40"/>
      <c r="G167" s="40"/>
      <c r="H167" s="39"/>
      <c r="I167" s="39"/>
      <c r="J167" s="39"/>
      <c r="K167" s="39"/>
      <c r="L167" s="39"/>
      <c r="M167" s="41"/>
      <c r="N167" s="39"/>
      <c r="O167" s="39"/>
      <c r="P167" s="39"/>
      <c r="Q167" s="39"/>
      <c r="R167" s="39"/>
      <c r="S167" s="39"/>
    </row>
    <row r="168" spans="1:19" ht="15.75" hidden="1" customHeight="1">
      <c r="A168" s="42"/>
      <c r="B168" s="35"/>
      <c r="C168" s="35"/>
      <c r="D168" s="43"/>
      <c r="E168" s="43"/>
      <c r="F168" s="43"/>
      <c r="G168" s="43"/>
      <c r="H168" s="35"/>
      <c r="I168" s="35"/>
      <c r="J168" s="35"/>
      <c r="K168" s="35"/>
      <c r="L168" s="35"/>
      <c r="M168" s="36"/>
      <c r="N168" s="35"/>
      <c r="O168" s="35"/>
      <c r="P168" s="35"/>
      <c r="Q168" s="35"/>
      <c r="R168" s="35"/>
      <c r="S168" s="35"/>
    </row>
    <row r="169" spans="1:19" ht="15.75" hidden="1" customHeight="1">
      <c r="A169" s="38"/>
      <c r="B169" s="39"/>
      <c r="C169" s="39"/>
      <c r="D169" s="40"/>
      <c r="E169" s="40"/>
      <c r="F169" s="40"/>
      <c r="G169" s="40"/>
      <c r="H169" s="39"/>
      <c r="I169" s="39"/>
      <c r="J169" s="39"/>
      <c r="K169" s="39"/>
      <c r="L169" s="39"/>
      <c r="M169" s="41"/>
      <c r="N169" s="39"/>
      <c r="O169" s="39"/>
      <c r="P169" s="39"/>
      <c r="Q169" s="39"/>
      <c r="R169" s="39"/>
      <c r="S169" s="39"/>
    </row>
    <row r="170" spans="1:19" ht="15.75" hidden="1" customHeight="1">
      <c r="A170" s="42"/>
      <c r="B170" s="35"/>
      <c r="C170" s="35"/>
      <c r="D170" s="43"/>
      <c r="E170" s="43"/>
      <c r="F170" s="43"/>
      <c r="G170" s="43"/>
      <c r="H170" s="35"/>
      <c r="I170" s="35"/>
      <c r="J170" s="35"/>
      <c r="K170" s="35"/>
      <c r="L170" s="35"/>
      <c r="M170" s="36"/>
      <c r="N170" s="35"/>
      <c r="O170" s="35"/>
      <c r="P170" s="35"/>
      <c r="Q170" s="35"/>
      <c r="R170" s="35"/>
      <c r="S170" s="35"/>
    </row>
    <row r="171" spans="1:19" ht="15.75" hidden="1" customHeight="1">
      <c r="A171" s="38"/>
      <c r="B171" s="39"/>
      <c r="C171" s="39"/>
      <c r="D171" s="40"/>
      <c r="E171" s="40"/>
      <c r="F171" s="40"/>
      <c r="G171" s="40"/>
      <c r="H171" s="39"/>
      <c r="I171" s="39"/>
      <c r="J171" s="39"/>
      <c r="K171" s="39"/>
      <c r="L171" s="39"/>
      <c r="M171" s="41"/>
      <c r="N171" s="39"/>
      <c r="O171" s="39"/>
      <c r="P171" s="39"/>
      <c r="Q171" s="39"/>
      <c r="R171" s="39"/>
      <c r="S171" s="39"/>
    </row>
    <row r="172" spans="1:19" ht="15.75" hidden="1" customHeight="1">
      <c r="A172" s="42"/>
      <c r="B172" s="35"/>
      <c r="C172" s="35"/>
      <c r="D172" s="43"/>
      <c r="E172" s="43"/>
      <c r="F172" s="43"/>
      <c r="G172" s="43"/>
      <c r="H172" s="35"/>
      <c r="I172" s="35"/>
      <c r="J172" s="35"/>
      <c r="K172" s="35"/>
      <c r="L172" s="35"/>
      <c r="M172" s="36"/>
      <c r="N172" s="35"/>
      <c r="O172" s="35"/>
      <c r="P172" s="35"/>
      <c r="Q172" s="35"/>
      <c r="R172" s="35"/>
      <c r="S172" s="35"/>
    </row>
    <row r="173" spans="1:19" ht="15.75" hidden="1" customHeight="1">
      <c r="A173" s="38"/>
      <c r="B173" s="39"/>
      <c r="C173" s="39"/>
      <c r="D173" s="40"/>
      <c r="E173" s="40"/>
      <c r="F173" s="40"/>
      <c r="G173" s="40"/>
      <c r="H173" s="39"/>
      <c r="I173" s="39"/>
      <c r="J173" s="39"/>
      <c r="K173" s="39"/>
      <c r="L173" s="39"/>
      <c r="M173" s="41"/>
      <c r="N173" s="39"/>
      <c r="O173" s="39"/>
      <c r="P173" s="39"/>
      <c r="Q173" s="39"/>
      <c r="R173" s="39"/>
      <c r="S173" s="39"/>
    </row>
    <row r="174" spans="1:19" ht="15.75" hidden="1" customHeight="1">
      <c r="A174" s="42"/>
      <c r="B174" s="35"/>
      <c r="C174" s="35"/>
      <c r="D174" s="43"/>
      <c r="E174" s="43"/>
      <c r="F174" s="43"/>
      <c r="G174" s="43"/>
      <c r="H174" s="35"/>
      <c r="I174" s="35"/>
      <c r="J174" s="35"/>
      <c r="K174" s="35"/>
      <c r="L174" s="35"/>
      <c r="M174" s="36"/>
      <c r="N174" s="35"/>
      <c r="O174" s="35"/>
      <c r="P174" s="35"/>
      <c r="Q174" s="35"/>
      <c r="R174" s="35"/>
      <c r="S174" s="35"/>
    </row>
    <row r="175" spans="1:19" ht="15.75" hidden="1" customHeight="1">
      <c r="A175" s="38"/>
      <c r="B175" s="39"/>
      <c r="C175" s="39"/>
      <c r="D175" s="40"/>
      <c r="E175" s="40"/>
      <c r="F175" s="40"/>
      <c r="G175" s="40"/>
      <c r="H175" s="39"/>
      <c r="I175" s="39"/>
      <c r="J175" s="39"/>
      <c r="K175" s="39"/>
      <c r="L175" s="39"/>
      <c r="M175" s="41"/>
      <c r="N175" s="39"/>
      <c r="O175" s="39"/>
      <c r="P175" s="39"/>
      <c r="Q175" s="39"/>
      <c r="R175" s="39"/>
      <c r="S175" s="39"/>
    </row>
    <row r="176" spans="1:19" ht="15.75" hidden="1" customHeight="1">
      <c r="A176" s="42"/>
      <c r="B176" s="35"/>
      <c r="C176" s="35"/>
      <c r="D176" s="43"/>
      <c r="E176" s="43"/>
      <c r="F176" s="43"/>
      <c r="G176" s="43"/>
      <c r="H176" s="35"/>
      <c r="I176" s="35"/>
      <c r="J176" s="35"/>
      <c r="K176" s="35"/>
      <c r="L176" s="35"/>
      <c r="M176" s="36"/>
      <c r="N176" s="35"/>
      <c r="O176" s="35"/>
      <c r="P176" s="35"/>
      <c r="Q176" s="35"/>
      <c r="R176" s="35"/>
      <c r="S176" s="35"/>
    </row>
    <row r="177" spans="1:19" ht="15.75" hidden="1" customHeight="1">
      <c r="A177" s="38"/>
      <c r="B177" s="39"/>
      <c r="C177" s="39"/>
      <c r="D177" s="40"/>
      <c r="E177" s="40"/>
      <c r="F177" s="40"/>
      <c r="G177" s="40"/>
      <c r="H177" s="39"/>
      <c r="I177" s="39"/>
      <c r="J177" s="39"/>
      <c r="K177" s="39"/>
      <c r="L177" s="39"/>
      <c r="M177" s="41"/>
      <c r="N177" s="39"/>
      <c r="O177" s="39"/>
      <c r="P177" s="39"/>
      <c r="Q177" s="39"/>
      <c r="R177" s="39"/>
      <c r="S177" s="39"/>
    </row>
    <row r="178" spans="1:19" ht="15.75" hidden="1" customHeight="1">
      <c r="A178" s="42"/>
      <c r="B178" s="35"/>
      <c r="C178" s="35"/>
      <c r="D178" s="43"/>
      <c r="E178" s="43"/>
      <c r="F178" s="43"/>
      <c r="G178" s="43"/>
      <c r="H178" s="35"/>
      <c r="I178" s="35"/>
      <c r="J178" s="35"/>
      <c r="K178" s="35"/>
      <c r="L178" s="35"/>
      <c r="M178" s="36"/>
      <c r="N178" s="35"/>
      <c r="O178" s="35"/>
      <c r="P178" s="35"/>
      <c r="Q178" s="35"/>
      <c r="R178" s="35"/>
      <c r="S178" s="35"/>
    </row>
    <row r="179" spans="1:19" ht="15.75" customHeight="1">
      <c r="D179" s="44"/>
      <c r="E179" s="44"/>
    </row>
    <row r="180" spans="1:19" ht="15.75" customHeight="1">
      <c r="D180" s="44"/>
      <c r="E180" s="44"/>
    </row>
    <row r="181" spans="1:19" ht="15.75" customHeight="1">
      <c r="D181" s="44"/>
      <c r="E181" s="44"/>
    </row>
    <row r="182" spans="1:19" ht="15.75" customHeight="1">
      <c r="D182" s="44"/>
      <c r="E182" s="44"/>
    </row>
    <row r="183" spans="1:19" ht="15.75" customHeight="1">
      <c r="D183" s="44"/>
      <c r="E183" s="44"/>
    </row>
    <row r="184" spans="1:19" ht="15.75" customHeight="1">
      <c r="D184" s="44"/>
      <c r="E184" s="44"/>
    </row>
    <row r="185" spans="1:19" ht="15.75" customHeight="1">
      <c r="D185" s="44"/>
      <c r="E185" s="44"/>
    </row>
    <row r="186" spans="1:19" ht="15.75" customHeight="1">
      <c r="D186" s="44"/>
      <c r="E186" s="44"/>
    </row>
    <row r="187" spans="1:19" ht="15.75" customHeight="1">
      <c r="D187" s="44"/>
      <c r="E187" s="44"/>
    </row>
    <row r="188" spans="1:19" ht="15.75" customHeight="1">
      <c r="D188" s="44"/>
      <c r="E188" s="44"/>
    </row>
    <row r="189" spans="1:19" ht="15.75" customHeight="1">
      <c r="D189" s="44"/>
      <c r="E189" s="44"/>
    </row>
    <row r="190" spans="1:19" ht="15.75" customHeight="1">
      <c r="D190" s="44"/>
      <c r="E190" s="44"/>
    </row>
    <row r="191" spans="1:19" ht="15.75" customHeight="1">
      <c r="D191" s="44"/>
      <c r="E191" s="44"/>
    </row>
    <row r="192" spans="1:19" ht="15.75" customHeight="1">
      <c r="D192" s="44"/>
      <c r="E192" s="44"/>
    </row>
    <row r="193" spans="4:5" ht="15.75" customHeight="1">
      <c r="D193" s="44"/>
      <c r="E193" s="44"/>
    </row>
    <row r="194" spans="4:5" ht="15.75" customHeight="1">
      <c r="D194" s="44"/>
      <c r="E194" s="44"/>
    </row>
    <row r="195" spans="4:5" ht="15.75" customHeight="1">
      <c r="D195" s="44"/>
      <c r="E195" s="44"/>
    </row>
    <row r="196" spans="4:5" ht="15.75" customHeight="1">
      <c r="D196" s="44"/>
      <c r="E196" s="44"/>
    </row>
    <row r="197" spans="4:5" ht="15.75" customHeight="1">
      <c r="D197" s="44"/>
      <c r="E197" s="44"/>
    </row>
    <row r="198" spans="4:5" ht="15.75" customHeight="1">
      <c r="D198" s="44"/>
      <c r="E198" s="44"/>
    </row>
    <row r="199" spans="4:5" ht="15.75" customHeight="1">
      <c r="D199" s="44"/>
      <c r="E199" s="44"/>
    </row>
    <row r="200" spans="4:5" ht="15.75" customHeight="1">
      <c r="D200" s="44"/>
      <c r="E200" s="44"/>
    </row>
    <row r="201" spans="4:5" ht="15.75" customHeight="1">
      <c r="D201" s="44"/>
      <c r="E201" s="44"/>
    </row>
    <row r="202" spans="4:5" ht="15.75" customHeight="1">
      <c r="D202" s="44"/>
      <c r="E202" s="44"/>
    </row>
    <row r="203" spans="4:5" ht="15.75" customHeight="1">
      <c r="D203" s="44"/>
      <c r="E203" s="44"/>
    </row>
    <row r="204" spans="4:5" ht="15.75" customHeight="1">
      <c r="D204" s="44"/>
      <c r="E204" s="44"/>
    </row>
    <row r="205" spans="4:5" ht="15.75" customHeight="1">
      <c r="D205" s="44"/>
      <c r="E205" s="44"/>
    </row>
    <row r="206" spans="4:5" ht="15.75" customHeight="1">
      <c r="D206" s="44"/>
      <c r="E206" s="44"/>
    </row>
    <row r="207" spans="4:5" ht="15.75" customHeight="1">
      <c r="D207" s="44"/>
      <c r="E207" s="44"/>
    </row>
    <row r="208" spans="4:5" ht="15.75" customHeight="1">
      <c r="D208" s="44"/>
      <c r="E208" s="44"/>
    </row>
    <row r="209" spans="4:5" ht="15.75" customHeight="1">
      <c r="D209" s="44"/>
      <c r="E209" s="44"/>
    </row>
    <row r="210" spans="4:5" ht="15.75" customHeight="1">
      <c r="D210" s="44"/>
      <c r="E210" s="44"/>
    </row>
    <row r="211" spans="4:5" ht="15.75" customHeight="1">
      <c r="D211" s="44"/>
      <c r="E211" s="44"/>
    </row>
    <row r="212" spans="4:5" ht="15.75" customHeight="1">
      <c r="D212" s="44"/>
      <c r="E212" s="44"/>
    </row>
    <row r="213" spans="4:5" ht="15.75" customHeight="1">
      <c r="D213" s="44"/>
      <c r="E213" s="44"/>
    </row>
    <row r="214" spans="4:5" ht="15.75" customHeight="1">
      <c r="D214" s="44"/>
      <c r="E214" s="44"/>
    </row>
    <row r="215" spans="4:5" ht="15.75" customHeight="1">
      <c r="D215" s="44"/>
      <c r="E215" s="44"/>
    </row>
    <row r="216" spans="4:5" ht="15.75" customHeight="1">
      <c r="D216" s="44"/>
      <c r="E216" s="44"/>
    </row>
    <row r="217" spans="4:5" ht="15.75" customHeight="1">
      <c r="D217" s="44"/>
      <c r="E217" s="44"/>
    </row>
    <row r="218" spans="4:5" ht="15.75" customHeight="1">
      <c r="D218" s="44"/>
      <c r="E218" s="44"/>
    </row>
    <row r="219" spans="4:5" ht="15.75" customHeight="1">
      <c r="D219" s="44"/>
      <c r="E219" s="44"/>
    </row>
    <row r="220" spans="4:5" ht="15.75" customHeight="1">
      <c r="D220" s="44"/>
      <c r="E220" s="44"/>
    </row>
    <row r="221" spans="4:5" ht="15.75" customHeight="1">
      <c r="D221" s="44"/>
      <c r="E221" s="44"/>
    </row>
    <row r="222" spans="4:5" ht="15.75" customHeight="1">
      <c r="D222" s="44"/>
      <c r="E222" s="44"/>
    </row>
    <row r="223" spans="4:5" ht="15.75" customHeight="1">
      <c r="D223" s="44"/>
      <c r="E223" s="44"/>
    </row>
    <row r="224" spans="4:5" ht="15.75" customHeight="1">
      <c r="D224" s="44"/>
      <c r="E224" s="44"/>
    </row>
    <row r="225" spans="4:5" ht="15.75" customHeight="1">
      <c r="D225" s="44"/>
      <c r="E225" s="44"/>
    </row>
    <row r="226" spans="4:5" ht="15.75" customHeight="1">
      <c r="D226" s="44"/>
      <c r="E226" s="44"/>
    </row>
    <row r="227" spans="4:5" ht="15.75" customHeight="1">
      <c r="D227" s="44"/>
      <c r="E227" s="44"/>
    </row>
    <row r="228" spans="4:5" ht="15.75" customHeight="1">
      <c r="D228" s="44"/>
      <c r="E228" s="44"/>
    </row>
    <row r="229" spans="4:5" ht="15.75" customHeight="1">
      <c r="D229" s="44"/>
      <c r="E229" s="44"/>
    </row>
    <row r="230" spans="4:5" ht="15.75" customHeight="1">
      <c r="D230" s="44"/>
      <c r="E230" s="44"/>
    </row>
    <row r="231" spans="4:5" ht="15.75" customHeight="1">
      <c r="D231" s="44"/>
      <c r="E231" s="44"/>
    </row>
    <row r="232" spans="4:5" ht="15.75" customHeight="1">
      <c r="D232" s="44"/>
      <c r="E232" s="44"/>
    </row>
    <row r="233" spans="4:5" ht="15.75" customHeight="1">
      <c r="D233" s="44"/>
      <c r="E233" s="44"/>
    </row>
    <row r="234" spans="4:5" ht="15.75" customHeight="1">
      <c r="D234" s="44"/>
      <c r="E234" s="44"/>
    </row>
    <row r="235" spans="4:5" ht="15.75" customHeight="1">
      <c r="D235" s="44"/>
      <c r="E235" s="44"/>
    </row>
    <row r="236" spans="4:5" ht="15.75" customHeight="1">
      <c r="D236" s="44"/>
      <c r="E236" s="44"/>
    </row>
    <row r="237" spans="4:5" ht="15.75" customHeight="1">
      <c r="D237" s="44"/>
      <c r="E237" s="44"/>
    </row>
    <row r="238" spans="4:5" ht="15.75" customHeight="1">
      <c r="D238" s="44"/>
      <c r="E238" s="44"/>
    </row>
    <row r="239" spans="4:5" ht="15.75" customHeight="1">
      <c r="D239" s="44"/>
      <c r="E239" s="44"/>
    </row>
    <row r="240" spans="4:5" ht="15.75" customHeight="1">
      <c r="D240" s="44"/>
      <c r="E240" s="44"/>
    </row>
    <row r="241" spans="4:5" ht="15.75" customHeight="1">
      <c r="D241" s="44"/>
      <c r="E241" s="44"/>
    </row>
    <row r="242" spans="4:5" ht="15.75" customHeight="1">
      <c r="D242" s="44"/>
      <c r="E242" s="44"/>
    </row>
    <row r="243" spans="4:5" ht="15.75" customHeight="1">
      <c r="D243" s="44"/>
      <c r="E243" s="44"/>
    </row>
    <row r="244" spans="4:5" ht="15.75" customHeight="1">
      <c r="D244" s="44"/>
      <c r="E244" s="44"/>
    </row>
    <row r="245" spans="4:5" ht="15.75" customHeight="1">
      <c r="D245" s="44"/>
      <c r="E245" s="44"/>
    </row>
    <row r="246" spans="4:5" ht="15.75" customHeight="1">
      <c r="D246" s="44"/>
      <c r="E246" s="44"/>
    </row>
    <row r="247" spans="4:5" ht="15.75" customHeight="1">
      <c r="D247" s="44"/>
      <c r="E247" s="44"/>
    </row>
    <row r="248" spans="4:5" ht="15.75" customHeight="1">
      <c r="D248" s="44"/>
      <c r="E248" s="44"/>
    </row>
    <row r="249" spans="4:5" ht="15.75" customHeight="1">
      <c r="D249" s="44"/>
      <c r="E249" s="44"/>
    </row>
    <row r="250" spans="4:5" ht="15.75" customHeight="1">
      <c r="D250" s="44"/>
      <c r="E250" s="44"/>
    </row>
    <row r="251" spans="4:5" ht="15.75" customHeight="1">
      <c r="D251" s="44"/>
      <c r="E251" s="44"/>
    </row>
    <row r="252" spans="4:5" ht="15.75" customHeight="1">
      <c r="D252" s="44"/>
      <c r="E252" s="44"/>
    </row>
    <row r="253" spans="4:5" ht="15.75" customHeight="1">
      <c r="D253" s="44"/>
      <c r="E253" s="44"/>
    </row>
    <row r="254" spans="4:5" ht="15.75" customHeight="1">
      <c r="D254" s="44"/>
      <c r="E254" s="44"/>
    </row>
    <row r="255" spans="4:5" ht="15.75" customHeight="1">
      <c r="D255" s="44"/>
      <c r="E255" s="44"/>
    </row>
    <row r="256" spans="4:5" ht="15.75" customHeight="1">
      <c r="D256" s="44"/>
      <c r="E256" s="44"/>
    </row>
    <row r="257" spans="4:5" ht="15.75" customHeight="1">
      <c r="D257" s="44"/>
      <c r="E257" s="44"/>
    </row>
    <row r="258" spans="4:5" ht="15.75" customHeight="1">
      <c r="D258" s="44"/>
      <c r="E258" s="44"/>
    </row>
    <row r="259" spans="4:5" ht="15.75" customHeight="1">
      <c r="D259" s="44"/>
      <c r="E259" s="44"/>
    </row>
    <row r="260" spans="4:5" ht="15.75" customHeight="1">
      <c r="D260" s="44"/>
      <c r="E260" s="44"/>
    </row>
    <row r="261" spans="4:5" ht="15.75" customHeight="1">
      <c r="D261" s="44"/>
      <c r="E261" s="44"/>
    </row>
    <row r="262" spans="4:5" ht="15.75" customHeight="1">
      <c r="D262" s="44"/>
      <c r="E262" s="44"/>
    </row>
    <row r="263" spans="4:5" ht="15.75" customHeight="1">
      <c r="D263" s="44"/>
      <c r="E263" s="44"/>
    </row>
    <row r="264" spans="4:5" ht="15.75" customHeight="1">
      <c r="D264" s="44"/>
      <c r="E264" s="44"/>
    </row>
    <row r="265" spans="4:5" ht="15.75" customHeight="1">
      <c r="D265" s="44"/>
      <c r="E265" s="44"/>
    </row>
    <row r="266" spans="4:5" ht="15.75" customHeight="1">
      <c r="D266" s="44"/>
      <c r="E266" s="44"/>
    </row>
    <row r="267" spans="4:5" ht="15.75" customHeight="1">
      <c r="D267" s="44"/>
      <c r="E267" s="44"/>
    </row>
    <row r="268" spans="4:5" ht="15.75" customHeight="1">
      <c r="D268" s="44"/>
      <c r="E268" s="44"/>
    </row>
    <row r="269" spans="4:5" ht="15.75" customHeight="1">
      <c r="D269" s="44"/>
      <c r="E269" s="44"/>
    </row>
    <row r="270" spans="4:5" ht="15.75" customHeight="1">
      <c r="D270" s="44"/>
      <c r="E270" s="44"/>
    </row>
    <row r="271" spans="4:5" ht="15.75" customHeight="1">
      <c r="D271" s="44"/>
      <c r="E271" s="44"/>
    </row>
    <row r="272" spans="4:5" ht="15.75" customHeight="1">
      <c r="D272" s="44"/>
      <c r="E272" s="44"/>
    </row>
    <row r="273" spans="4:5" ht="15.75" customHeight="1">
      <c r="D273" s="44"/>
      <c r="E273" s="44"/>
    </row>
    <row r="274" spans="4:5" ht="15.75" customHeight="1">
      <c r="D274" s="44"/>
      <c r="E274" s="44"/>
    </row>
    <row r="275" spans="4:5" ht="15.75" customHeight="1">
      <c r="D275" s="44"/>
      <c r="E275" s="44"/>
    </row>
    <row r="276" spans="4:5" ht="15.75" customHeight="1">
      <c r="D276" s="44"/>
      <c r="E276" s="44"/>
    </row>
    <row r="277" spans="4:5" ht="15.75" customHeight="1">
      <c r="D277" s="44"/>
      <c r="E277" s="44"/>
    </row>
    <row r="278" spans="4:5" ht="15.75" customHeight="1">
      <c r="D278" s="44"/>
      <c r="E278" s="44"/>
    </row>
    <row r="279" spans="4:5" ht="15.75" customHeight="1">
      <c r="D279" s="44"/>
      <c r="E279" s="44"/>
    </row>
    <row r="280" spans="4:5" ht="15.75" customHeight="1">
      <c r="D280" s="44"/>
      <c r="E280" s="44"/>
    </row>
    <row r="281" spans="4:5" ht="15.75" customHeight="1">
      <c r="D281" s="44"/>
      <c r="E281" s="44"/>
    </row>
    <row r="282" spans="4:5" ht="15.75" customHeight="1">
      <c r="D282" s="44"/>
      <c r="E282" s="44"/>
    </row>
    <row r="283" spans="4:5" ht="15.75" customHeight="1">
      <c r="D283" s="44"/>
      <c r="E283" s="44"/>
    </row>
    <row r="284" spans="4:5" ht="15.75" customHeight="1">
      <c r="D284" s="44"/>
      <c r="E284" s="44"/>
    </row>
    <row r="285" spans="4:5" ht="15.75" customHeight="1">
      <c r="D285" s="44"/>
      <c r="E285" s="44"/>
    </row>
    <row r="286" spans="4:5" ht="15.75" customHeight="1">
      <c r="D286" s="44"/>
      <c r="E286" s="44"/>
    </row>
    <row r="287" spans="4:5" ht="15.75" customHeight="1">
      <c r="D287" s="44"/>
      <c r="E287" s="44"/>
    </row>
    <row r="288" spans="4:5" ht="15.75" customHeight="1">
      <c r="D288" s="44"/>
      <c r="E288" s="44"/>
    </row>
    <row r="289" spans="4:5" ht="15.75" customHeight="1">
      <c r="D289" s="44"/>
      <c r="E289" s="44"/>
    </row>
    <row r="290" spans="4:5" ht="15.75" customHeight="1">
      <c r="D290" s="44"/>
      <c r="E290" s="44"/>
    </row>
    <row r="291" spans="4:5" ht="15.75" customHeight="1">
      <c r="D291" s="44"/>
      <c r="E291" s="44"/>
    </row>
    <row r="292" spans="4:5" ht="15.75" customHeight="1">
      <c r="D292" s="44"/>
      <c r="E292" s="44"/>
    </row>
    <row r="293" spans="4:5" ht="15.75" customHeight="1">
      <c r="D293" s="44"/>
      <c r="E293" s="44"/>
    </row>
    <row r="294" spans="4:5" ht="15.75" customHeight="1">
      <c r="D294" s="44"/>
      <c r="E294" s="44"/>
    </row>
    <row r="295" spans="4:5" ht="15.75" customHeight="1">
      <c r="D295" s="44"/>
      <c r="E295" s="44"/>
    </row>
    <row r="296" spans="4:5" ht="15.75" customHeight="1">
      <c r="D296" s="44"/>
      <c r="E296" s="44"/>
    </row>
    <row r="297" spans="4:5" ht="15.75" customHeight="1">
      <c r="D297" s="44"/>
      <c r="E297" s="44"/>
    </row>
    <row r="298" spans="4:5" ht="15.75" customHeight="1">
      <c r="D298" s="44"/>
      <c r="E298" s="44"/>
    </row>
    <row r="299" spans="4:5" ht="15.75" customHeight="1">
      <c r="D299" s="44"/>
      <c r="E299" s="44"/>
    </row>
    <row r="300" spans="4:5" ht="15.75" customHeight="1">
      <c r="D300" s="44"/>
      <c r="E300" s="44"/>
    </row>
    <row r="301" spans="4:5" ht="15.75" customHeight="1">
      <c r="D301" s="44"/>
      <c r="E301" s="44"/>
    </row>
    <row r="302" spans="4:5" ht="15.75" customHeight="1">
      <c r="D302" s="44"/>
      <c r="E302" s="44"/>
    </row>
    <row r="303" spans="4:5" ht="15.75" customHeight="1">
      <c r="D303" s="44"/>
      <c r="E303" s="44"/>
    </row>
    <row r="304" spans="4:5" ht="15.75" customHeight="1">
      <c r="D304" s="44"/>
      <c r="E304" s="44"/>
    </row>
    <row r="305" spans="4:5" ht="15.75" customHeight="1">
      <c r="D305" s="44"/>
      <c r="E305" s="44"/>
    </row>
    <row r="306" spans="4:5" ht="15.75" customHeight="1">
      <c r="D306" s="44"/>
      <c r="E306" s="44"/>
    </row>
    <row r="307" spans="4:5" ht="15.75" customHeight="1">
      <c r="D307" s="44"/>
      <c r="E307" s="44"/>
    </row>
    <row r="308" spans="4:5" ht="15.75" customHeight="1">
      <c r="D308" s="44"/>
      <c r="E308" s="44"/>
    </row>
    <row r="309" spans="4:5" ht="15.75" customHeight="1">
      <c r="D309" s="44"/>
      <c r="E309" s="44"/>
    </row>
    <row r="310" spans="4:5" ht="15.75" customHeight="1">
      <c r="D310" s="44"/>
      <c r="E310" s="44"/>
    </row>
    <row r="311" spans="4:5" ht="15.75" customHeight="1">
      <c r="D311" s="44"/>
      <c r="E311" s="44"/>
    </row>
    <row r="312" spans="4:5" ht="15.75" customHeight="1">
      <c r="D312" s="44"/>
      <c r="E312" s="44"/>
    </row>
    <row r="313" spans="4:5" ht="15.75" customHeight="1">
      <c r="D313" s="44"/>
      <c r="E313" s="44"/>
    </row>
    <row r="314" spans="4:5" ht="15.75" customHeight="1">
      <c r="D314" s="44"/>
      <c r="E314" s="44"/>
    </row>
    <row r="315" spans="4:5" ht="15.75" customHeight="1">
      <c r="D315" s="44"/>
      <c r="E315" s="44"/>
    </row>
    <row r="316" spans="4:5" ht="15.75" customHeight="1">
      <c r="D316" s="44"/>
      <c r="E316" s="44"/>
    </row>
    <row r="317" spans="4:5" ht="15.75" customHeight="1">
      <c r="D317" s="44"/>
      <c r="E317" s="44"/>
    </row>
    <row r="318" spans="4:5" ht="15.75" customHeight="1">
      <c r="D318" s="44"/>
      <c r="E318" s="44"/>
    </row>
    <row r="319" spans="4:5" ht="15.75" customHeight="1">
      <c r="D319" s="44"/>
      <c r="E319" s="44"/>
    </row>
    <row r="320" spans="4:5" ht="15.75" customHeight="1">
      <c r="D320" s="44"/>
      <c r="E320" s="44"/>
    </row>
    <row r="321" spans="4:5" ht="15.75" customHeight="1">
      <c r="D321" s="44"/>
      <c r="E321" s="44"/>
    </row>
    <row r="322" spans="4:5" ht="15.75" customHeight="1">
      <c r="D322" s="44"/>
      <c r="E322" s="44"/>
    </row>
    <row r="323" spans="4:5" ht="15.75" customHeight="1">
      <c r="D323" s="44"/>
      <c r="E323" s="44"/>
    </row>
    <row r="324" spans="4:5" ht="15.75" customHeight="1">
      <c r="D324" s="44"/>
      <c r="E324" s="44"/>
    </row>
    <row r="325" spans="4:5" ht="15.75" customHeight="1">
      <c r="D325" s="44"/>
      <c r="E325" s="44"/>
    </row>
    <row r="326" spans="4:5" ht="15.75" customHeight="1">
      <c r="D326" s="44"/>
      <c r="E326" s="44"/>
    </row>
    <row r="327" spans="4:5" ht="15.75" customHeight="1">
      <c r="D327" s="44"/>
      <c r="E327" s="44"/>
    </row>
    <row r="328" spans="4:5" ht="15.75" customHeight="1">
      <c r="D328" s="44"/>
      <c r="E328" s="44"/>
    </row>
    <row r="329" spans="4:5" ht="15.75" customHeight="1">
      <c r="D329" s="44"/>
      <c r="E329" s="44"/>
    </row>
    <row r="330" spans="4:5" ht="15.75" customHeight="1">
      <c r="D330" s="44"/>
      <c r="E330" s="44"/>
    </row>
    <row r="331" spans="4:5" ht="15.75" customHeight="1">
      <c r="D331" s="44"/>
      <c r="E331" s="44"/>
    </row>
    <row r="332" spans="4:5" ht="15.75" customHeight="1">
      <c r="D332" s="44"/>
      <c r="E332" s="44"/>
    </row>
    <row r="333" spans="4:5" ht="15.75" customHeight="1">
      <c r="D333" s="44"/>
      <c r="E333" s="44"/>
    </row>
    <row r="334" spans="4:5" ht="15.75" customHeight="1">
      <c r="D334" s="44"/>
      <c r="E334" s="44"/>
    </row>
    <row r="335" spans="4:5" ht="15.75" customHeight="1">
      <c r="D335" s="44"/>
      <c r="E335" s="44"/>
    </row>
    <row r="336" spans="4:5" ht="15.75" customHeight="1">
      <c r="D336" s="44"/>
      <c r="E336" s="44"/>
    </row>
    <row r="337" spans="4:5" ht="15.75" customHeight="1">
      <c r="D337" s="44"/>
      <c r="E337" s="44"/>
    </row>
    <row r="338" spans="4:5" ht="15.75" customHeight="1">
      <c r="D338" s="44"/>
      <c r="E338" s="44"/>
    </row>
    <row r="339" spans="4:5" ht="15.75" customHeight="1">
      <c r="D339" s="44"/>
      <c r="E339" s="44"/>
    </row>
    <row r="340" spans="4:5" ht="15.75" customHeight="1">
      <c r="D340" s="44"/>
      <c r="E340" s="44"/>
    </row>
    <row r="341" spans="4:5" ht="15.75" customHeight="1">
      <c r="D341" s="44"/>
      <c r="E341" s="44"/>
    </row>
    <row r="342" spans="4:5" ht="15.75" customHeight="1">
      <c r="D342" s="44"/>
      <c r="E342" s="44"/>
    </row>
    <row r="343" spans="4:5" ht="15.75" customHeight="1">
      <c r="D343" s="44"/>
      <c r="E343" s="44"/>
    </row>
    <row r="344" spans="4:5" ht="15.75" customHeight="1">
      <c r="D344" s="44"/>
      <c r="E344" s="44"/>
    </row>
    <row r="345" spans="4:5" ht="15.75" customHeight="1">
      <c r="D345" s="44"/>
      <c r="E345" s="44"/>
    </row>
    <row r="346" spans="4:5" ht="15.75" customHeight="1">
      <c r="D346" s="44"/>
      <c r="E346" s="44"/>
    </row>
    <row r="347" spans="4:5" ht="15.75" customHeight="1">
      <c r="D347" s="44"/>
      <c r="E347" s="44"/>
    </row>
    <row r="348" spans="4:5" ht="15.75" customHeight="1">
      <c r="D348" s="44"/>
      <c r="E348" s="44"/>
    </row>
    <row r="349" spans="4:5" ht="15.75" customHeight="1">
      <c r="D349" s="44"/>
      <c r="E349" s="44"/>
    </row>
    <row r="350" spans="4:5" ht="15.75" customHeight="1">
      <c r="D350" s="44"/>
      <c r="E350" s="44"/>
    </row>
    <row r="351" spans="4:5" ht="15.75" customHeight="1">
      <c r="D351" s="44"/>
      <c r="E351" s="44"/>
    </row>
    <row r="352" spans="4:5" ht="15.75" customHeight="1">
      <c r="D352" s="44"/>
      <c r="E352" s="44"/>
    </row>
    <row r="353" spans="4:5" ht="15.75" customHeight="1">
      <c r="D353" s="44"/>
      <c r="E353" s="44"/>
    </row>
    <row r="354" spans="4:5" ht="15.75" customHeight="1">
      <c r="D354" s="44"/>
      <c r="E354" s="44"/>
    </row>
    <row r="355" spans="4:5" ht="15.75" customHeight="1">
      <c r="D355" s="44"/>
      <c r="E355" s="44"/>
    </row>
    <row r="356" spans="4:5" ht="15.75" customHeight="1">
      <c r="D356" s="44"/>
      <c r="E356" s="44"/>
    </row>
    <row r="357" spans="4:5" ht="15.75" customHeight="1">
      <c r="D357" s="44"/>
      <c r="E357" s="44"/>
    </row>
    <row r="358" spans="4:5" ht="15.75" customHeight="1">
      <c r="D358" s="44"/>
      <c r="E358" s="44"/>
    </row>
    <row r="359" spans="4:5" ht="15.75" customHeight="1">
      <c r="D359" s="44"/>
      <c r="E359" s="44"/>
    </row>
    <row r="360" spans="4:5" ht="15.75" customHeight="1">
      <c r="D360" s="44"/>
      <c r="E360" s="44"/>
    </row>
    <row r="361" spans="4:5" ht="15.75" customHeight="1">
      <c r="D361" s="44"/>
      <c r="E361" s="44"/>
    </row>
    <row r="362" spans="4:5" ht="15.75" customHeight="1">
      <c r="D362" s="44"/>
      <c r="E362" s="44"/>
    </row>
    <row r="363" spans="4:5" ht="15.75" customHeight="1">
      <c r="D363" s="44"/>
      <c r="E363" s="44"/>
    </row>
    <row r="364" spans="4:5" ht="15.75" customHeight="1">
      <c r="D364" s="44"/>
      <c r="E364" s="44"/>
    </row>
    <row r="365" spans="4:5" ht="15.75" customHeight="1">
      <c r="D365" s="44"/>
      <c r="E365" s="44"/>
    </row>
    <row r="366" spans="4:5" ht="15.75" customHeight="1">
      <c r="D366" s="44"/>
      <c r="E366" s="44"/>
    </row>
    <row r="367" spans="4:5" ht="15.75" customHeight="1">
      <c r="D367" s="44"/>
      <c r="E367" s="44"/>
    </row>
    <row r="368" spans="4:5" ht="15.75" customHeight="1">
      <c r="D368" s="44"/>
      <c r="E368" s="44"/>
    </row>
    <row r="369" spans="4:5" ht="15.75" customHeight="1">
      <c r="D369" s="44"/>
      <c r="E369" s="44"/>
    </row>
    <row r="370" spans="4:5" ht="15.75" customHeight="1">
      <c r="D370" s="44"/>
      <c r="E370" s="44"/>
    </row>
    <row r="371" spans="4:5" ht="15.75" customHeight="1">
      <c r="D371" s="44"/>
      <c r="E371" s="44"/>
    </row>
    <row r="372" spans="4:5" ht="15.75" customHeight="1">
      <c r="D372" s="44"/>
      <c r="E372" s="44"/>
    </row>
    <row r="373" spans="4:5" ht="15.75" customHeight="1">
      <c r="D373" s="44"/>
      <c r="E373" s="44"/>
    </row>
    <row r="374" spans="4:5" ht="15.75" customHeight="1">
      <c r="D374" s="44"/>
      <c r="E374" s="44"/>
    </row>
    <row r="375" spans="4:5" ht="15.75" customHeight="1">
      <c r="D375" s="44"/>
      <c r="E375" s="44"/>
    </row>
    <row r="376" spans="4:5" ht="15.75" customHeight="1">
      <c r="D376" s="44"/>
      <c r="E376" s="44"/>
    </row>
    <row r="377" spans="4:5" ht="15.75" customHeight="1">
      <c r="D377" s="44"/>
      <c r="E377" s="44"/>
    </row>
    <row r="378" spans="4:5" ht="15.75" customHeight="1">
      <c r="D378" s="44"/>
      <c r="E378" s="44"/>
    </row>
    <row r="379" spans="4:5" ht="15.75" customHeight="1">
      <c r="D379" s="44"/>
      <c r="E379" s="44"/>
    </row>
    <row r="380" spans="4:5" ht="15.75" customHeight="1">
      <c r="D380" s="44"/>
      <c r="E380" s="44"/>
    </row>
    <row r="381" spans="4:5" ht="15.75" customHeight="1">
      <c r="D381" s="44"/>
      <c r="E381" s="44"/>
    </row>
    <row r="382" spans="4:5" ht="15.75" customHeight="1">
      <c r="D382" s="44"/>
      <c r="E382" s="44"/>
    </row>
    <row r="383" spans="4:5" ht="15.75" customHeight="1">
      <c r="D383" s="44"/>
      <c r="E383" s="44"/>
    </row>
    <row r="384" spans="4:5" ht="15.75" customHeight="1">
      <c r="D384" s="44"/>
      <c r="E384" s="44"/>
    </row>
    <row r="385" spans="4:5" ht="15.75" customHeight="1">
      <c r="D385" s="44"/>
      <c r="E385" s="44"/>
    </row>
    <row r="386" spans="4:5" ht="15.75" customHeight="1">
      <c r="D386" s="44"/>
      <c r="E386" s="44"/>
    </row>
    <row r="387" spans="4:5" ht="15.75" customHeight="1">
      <c r="D387" s="44"/>
      <c r="E387" s="44"/>
    </row>
    <row r="388" spans="4:5" ht="15.75" customHeight="1">
      <c r="D388" s="44"/>
      <c r="E388" s="44"/>
    </row>
    <row r="389" spans="4:5" ht="15.75" customHeight="1">
      <c r="D389" s="44"/>
      <c r="E389" s="44"/>
    </row>
    <row r="390" spans="4:5" ht="15.75" customHeight="1">
      <c r="D390" s="44"/>
      <c r="E390" s="44"/>
    </row>
    <row r="391" spans="4:5" ht="15.75" customHeight="1">
      <c r="D391" s="44"/>
      <c r="E391" s="44"/>
    </row>
    <row r="392" spans="4:5" ht="15.75" customHeight="1">
      <c r="D392" s="44"/>
      <c r="E392" s="44"/>
    </row>
    <row r="393" spans="4:5" ht="15.75" customHeight="1">
      <c r="D393" s="44"/>
      <c r="E393" s="44"/>
    </row>
    <row r="394" spans="4:5" ht="15.75" customHeight="1">
      <c r="D394" s="44"/>
      <c r="E394" s="44"/>
    </row>
    <row r="395" spans="4:5" ht="15.75" customHeight="1">
      <c r="D395" s="44"/>
      <c r="E395" s="44"/>
    </row>
    <row r="396" spans="4:5" ht="15.75" customHeight="1">
      <c r="D396" s="44"/>
      <c r="E396" s="44"/>
    </row>
    <row r="397" spans="4:5" ht="15.75" customHeight="1">
      <c r="D397" s="44"/>
      <c r="E397" s="44"/>
    </row>
    <row r="398" spans="4:5" ht="15.75" customHeight="1">
      <c r="D398" s="44"/>
      <c r="E398" s="44"/>
    </row>
    <row r="399" spans="4:5" ht="15.75" customHeight="1">
      <c r="D399" s="44"/>
      <c r="E399" s="44"/>
    </row>
    <row r="400" spans="4:5" ht="15.75" customHeight="1">
      <c r="D400" s="44"/>
      <c r="E400" s="44"/>
    </row>
    <row r="401" spans="4:5" ht="15.75" customHeight="1">
      <c r="D401" s="44"/>
      <c r="E401" s="44"/>
    </row>
    <row r="402" spans="4:5" ht="15.75" customHeight="1">
      <c r="D402" s="44"/>
      <c r="E402" s="44"/>
    </row>
    <row r="403" spans="4:5" ht="15.75" customHeight="1">
      <c r="D403" s="44"/>
      <c r="E403" s="44"/>
    </row>
    <row r="404" spans="4:5" ht="15.75" customHeight="1">
      <c r="D404" s="44"/>
      <c r="E404" s="44"/>
    </row>
    <row r="405" spans="4:5" ht="15.75" customHeight="1">
      <c r="D405" s="44"/>
      <c r="E405" s="44"/>
    </row>
    <row r="406" spans="4:5" ht="15.75" customHeight="1">
      <c r="D406" s="44"/>
      <c r="E406" s="44"/>
    </row>
    <row r="407" spans="4:5" ht="15.75" customHeight="1">
      <c r="D407" s="44"/>
      <c r="E407" s="44"/>
    </row>
    <row r="408" spans="4:5" ht="15.75" customHeight="1">
      <c r="D408" s="44"/>
      <c r="E408" s="44"/>
    </row>
    <row r="409" spans="4:5" ht="15.75" customHeight="1">
      <c r="D409" s="44"/>
      <c r="E409" s="44"/>
    </row>
    <row r="410" spans="4:5" ht="15.75" customHeight="1">
      <c r="D410" s="44"/>
      <c r="E410" s="44"/>
    </row>
    <row r="411" spans="4:5" ht="15.75" customHeight="1">
      <c r="D411" s="44"/>
      <c r="E411" s="44"/>
    </row>
    <row r="412" spans="4:5" ht="15.75" customHeight="1">
      <c r="D412" s="44"/>
      <c r="E412" s="44"/>
    </row>
    <row r="413" spans="4:5" ht="15.75" customHeight="1">
      <c r="D413" s="44"/>
      <c r="E413" s="44"/>
    </row>
    <row r="414" spans="4:5" ht="15.75" customHeight="1">
      <c r="D414" s="44"/>
      <c r="E414" s="44"/>
    </row>
    <row r="415" spans="4:5" ht="15.75" customHeight="1">
      <c r="D415" s="44"/>
      <c r="E415" s="44"/>
    </row>
    <row r="416" spans="4:5" ht="15.75" customHeight="1">
      <c r="D416" s="44"/>
      <c r="E416" s="44"/>
    </row>
    <row r="417" spans="4:5" ht="15.75" customHeight="1">
      <c r="D417" s="44"/>
      <c r="E417" s="44"/>
    </row>
    <row r="418" spans="4:5" ht="15.75" customHeight="1">
      <c r="D418" s="44"/>
      <c r="E418" s="44"/>
    </row>
    <row r="419" spans="4:5" ht="15.75" customHeight="1">
      <c r="D419" s="44"/>
      <c r="E419" s="44"/>
    </row>
    <row r="420" spans="4:5" ht="15.75" customHeight="1">
      <c r="D420" s="44"/>
      <c r="E420" s="44"/>
    </row>
    <row r="421" spans="4:5" ht="15.75" customHeight="1">
      <c r="D421" s="44"/>
      <c r="E421" s="44"/>
    </row>
    <row r="422" spans="4:5" ht="15.75" customHeight="1">
      <c r="D422" s="44"/>
      <c r="E422" s="44"/>
    </row>
    <row r="423" spans="4:5" ht="15.75" customHeight="1">
      <c r="D423" s="44"/>
      <c r="E423" s="44"/>
    </row>
    <row r="424" spans="4:5" ht="15.75" customHeight="1">
      <c r="D424" s="44"/>
      <c r="E424" s="44"/>
    </row>
    <row r="425" spans="4:5" ht="15.75" customHeight="1">
      <c r="D425" s="44"/>
      <c r="E425" s="44"/>
    </row>
    <row r="426" spans="4:5" ht="15.75" customHeight="1">
      <c r="D426" s="44"/>
      <c r="E426" s="44"/>
    </row>
    <row r="427" spans="4:5" ht="15.75" customHeight="1">
      <c r="D427" s="44"/>
      <c r="E427" s="44"/>
    </row>
    <row r="428" spans="4:5" ht="15.75" customHeight="1">
      <c r="D428" s="44"/>
      <c r="E428" s="44"/>
    </row>
    <row r="429" spans="4:5" ht="15.75" customHeight="1">
      <c r="D429" s="44"/>
      <c r="E429" s="44"/>
    </row>
    <row r="430" spans="4:5" ht="15.75" customHeight="1">
      <c r="D430" s="44"/>
      <c r="E430" s="44"/>
    </row>
    <row r="431" spans="4:5" ht="15.75" customHeight="1">
      <c r="D431" s="44"/>
      <c r="E431" s="44"/>
    </row>
    <row r="432" spans="4:5" ht="15.75" customHeight="1">
      <c r="D432" s="44"/>
      <c r="E432" s="44"/>
    </row>
    <row r="433" spans="4:5" ht="15.75" customHeight="1">
      <c r="D433" s="44"/>
      <c r="E433" s="44"/>
    </row>
    <row r="434" spans="4:5" ht="15.75" customHeight="1">
      <c r="D434" s="44"/>
      <c r="E434" s="44"/>
    </row>
    <row r="435" spans="4:5" ht="15.75" customHeight="1">
      <c r="D435" s="44"/>
      <c r="E435" s="44"/>
    </row>
    <row r="436" spans="4:5" ht="15.75" customHeight="1">
      <c r="D436" s="44"/>
      <c r="E436" s="44"/>
    </row>
    <row r="437" spans="4:5" ht="15.75" customHeight="1">
      <c r="D437" s="44"/>
      <c r="E437" s="44"/>
    </row>
    <row r="438" spans="4:5" ht="15.75" customHeight="1">
      <c r="D438" s="44"/>
      <c r="E438" s="44"/>
    </row>
    <row r="439" spans="4:5" ht="15.75" customHeight="1">
      <c r="D439" s="44"/>
      <c r="E439" s="44"/>
    </row>
    <row r="440" spans="4:5" ht="15.75" customHeight="1">
      <c r="D440" s="44"/>
      <c r="E440" s="44"/>
    </row>
    <row r="441" spans="4:5" ht="15.75" customHeight="1">
      <c r="D441" s="44"/>
      <c r="E441" s="44"/>
    </row>
    <row r="442" spans="4:5" ht="15.75" customHeight="1">
      <c r="D442" s="44"/>
      <c r="E442" s="44"/>
    </row>
    <row r="443" spans="4:5" ht="15.75" customHeight="1">
      <c r="D443" s="44"/>
      <c r="E443" s="44"/>
    </row>
    <row r="444" spans="4:5" ht="15.75" customHeight="1">
      <c r="D444" s="44"/>
      <c r="E444" s="44"/>
    </row>
    <row r="445" spans="4:5" ht="15.75" customHeight="1">
      <c r="D445" s="44"/>
      <c r="E445" s="44"/>
    </row>
    <row r="446" spans="4:5" ht="15.75" customHeight="1">
      <c r="D446" s="44"/>
      <c r="E446" s="44"/>
    </row>
    <row r="447" spans="4:5" ht="15.75" customHeight="1">
      <c r="D447" s="44"/>
      <c r="E447" s="44"/>
    </row>
    <row r="448" spans="4:5" ht="15.75" customHeight="1">
      <c r="D448" s="44"/>
      <c r="E448" s="44"/>
    </row>
    <row r="449" spans="4:5" ht="15.75" customHeight="1">
      <c r="D449" s="44"/>
      <c r="E449" s="44"/>
    </row>
    <row r="450" spans="4:5" ht="15.75" customHeight="1">
      <c r="D450" s="44"/>
      <c r="E450" s="44"/>
    </row>
    <row r="451" spans="4:5" ht="15.75" customHeight="1">
      <c r="D451" s="44"/>
      <c r="E451" s="44"/>
    </row>
    <row r="452" spans="4:5" ht="15.75" customHeight="1">
      <c r="D452" s="44"/>
      <c r="E452" s="44"/>
    </row>
    <row r="453" spans="4:5" ht="15.75" customHeight="1">
      <c r="D453" s="44"/>
      <c r="E453" s="44"/>
    </row>
    <row r="454" spans="4:5" ht="15.75" customHeight="1">
      <c r="D454" s="44"/>
      <c r="E454" s="44"/>
    </row>
    <row r="455" spans="4:5" ht="15.75" customHeight="1">
      <c r="D455" s="44"/>
      <c r="E455" s="44"/>
    </row>
    <row r="456" spans="4:5" ht="15.75" customHeight="1">
      <c r="D456" s="44"/>
      <c r="E456" s="44"/>
    </row>
    <row r="457" spans="4:5" ht="15.75" customHeight="1">
      <c r="D457" s="44"/>
      <c r="E457" s="44"/>
    </row>
    <row r="458" spans="4:5" ht="15.75" customHeight="1">
      <c r="D458" s="44"/>
      <c r="E458" s="44"/>
    </row>
    <row r="459" spans="4:5" ht="15.75" customHeight="1">
      <c r="D459" s="44"/>
      <c r="E459" s="44"/>
    </row>
    <row r="460" spans="4:5" ht="15.75" customHeight="1">
      <c r="D460" s="44"/>
      <c r="E460" s="44"/>
    </row>
    <row r="461" spans="4:5" ht="15.75" customHeight="1">
      <c r="D461" s="44"/>
      <c r="E461" s="44"/>
    </row>
    <row r="462" spans="4:5" ht="15.75" customHeight="1">
      <c r="D462" s="44"/>
      <c r="E462" s="44"/>
    </row>
    <row r="463" spans="4:5" ht="15.75" customHeight="1">
      <c r="D463" s="44"/>
      <c r="E463" s="44"/>
    </row>
    <row r="464" spans="4:5" ht="15.75" customHeight="1">
      <c r="D464" s="44"/>
      <c r="E464" s="44"/>
    </row>
    <row r="465" spans="4:5" ht="15.75" customHeight="1">
      <c r="D465" s="44"/>
      <c r="E465" s="44"/>
    </row>
    <row r="466" spans="4:5" ht="15.75" customHeight="1">
      <c r="D466" s="44"/>
      <c r="E466" s="44"/>
    </row>
    <row r="467" spans="4:5" ht="15.75" customHeight="1">
      <c r="D467" s="44"/>
      <c r="E467" s="44"/>
    </row>
    <row r="468" spans="4:5" ht="15.75" customHeight="1">
      <c r="D468" s="44"/>
      <c r="E468" s="44"/>
    </row>
    <row r="469" spans="4:5" ht="15.75" customHeight="1">
      <c r="D469" s="44"/>
      <c r="E469" s="44"/>
    </row>
    <row r="470" spans="4:5" ht="15.75" customHeight="1">
      <c r="D470" s="44"/>
      <c r="E470" s="44"/>
    </row>
    <row r="471" spans="4:5" ht="15.75" customHeight="1">
      <c r="D471" s="44"/>
      <c r="E471" s="44"/>
    </row>
    <row r="472" spans="4:5" ht="15.75" customHeight="1">
      <c r="D472" s="44"/>
      <c r="E472" s="44"/>
    </row>
    <row r="473" spans="4:5" ht="15.75" customHeight="1">
      <c r="D473" s="44"/>
      <c r="E473" s="44"/>
    </row>
    <row r="474" spans="4:5" ht="15.75" customHeight="1">
      <c r="D474" s="44"/>
      <c r="E474" s="44"/>
    </row>
    <row r="475" spans="4:5" ht="15.75" customHeight="1">
      <c r="D475" s="44"/>
      <c r="E475" s="44"/>
    </row>
    <row r="476" spans="4:5" ht="15.75" customHeight="1">
      <c r="D476" s="44"/>
      <c r="E476" s="44"/>
    </row>
    <row r="477" spans="4:5" ht="15.75" customHeight="1">
      <c r="D477" s="44"/>
      <c r="E477" s="44"/>
    </row>
    <row r="478" spans="4:5" ht="15.75" customHeight="1">
      <c r="D478" s="44"/>
      <c r="E478" s="44"/>
    </row>
    <row r="479" spans="4:5" ht="15.75" customHeight="1">
      <c r="D479" s="44"/>
      <c r="E479" s="44"/>
    </row>
    <row r="480" spans="4:5" ht="15.75" customHeight="1">
      <c r="D480" s="44"/>
      <c r="E480" s="44"/>
    </row>
    <row r="481" spans="4:5" ht="15.75" customHeight="1">
      <c r="D481" s="44"/>
      <c r="E481" s="44"/>
    </row>
    <row r="482" spans="4:5" ht="15.75" customHeight="1">
      <c r="D482" s="44"/>
      <c r="E482" s="44"/>
    </row>
    <row r="483" spans="4:5" ht="15.75" customHeight="1">
      <c r="D483" s="44"/>
      <c r="E483" s="44"/>
    </row>
    <row r="484" spans="4:5" ht="15.75" customHeight="1">
      <c r="D484" s="44"/>
      <c r="E484" s="44"/>
    </row>
    <row r="485" spans="4:5" ht="15.75" customHeight="1">
      <c r="D485" s="44"/>
      <c r="E485" s="44"/>
    </row>
    <row r="486" spans="4:5" ht="15.75" customHeight="1">
      <c r="D486" s="44"/>
      <c r="E486" s="44"/>
    </row>
    <row r="487" spans="4:5" ht="15.75" customHeight="1">
      <c r="D487" s="44"/>
      <c r="E487" s="44"/>
    </row>
    <row r="488" spans="4:5" ht="15.75" customHeight="1">
      <c r="D488" s="44"/>
      <c r="E488" s="44"/>
    </row>
    <row r="489" spans="4:5" ht="15.75" customHeight="1">
      <c r="D489" s="44"/>
      <c r="E489" s="44"/>
    </row>
    <row r="490" spans="4:5" ht="15.75" customHeight="1">
      <c r="D490" s="44"/>
      <c r="E490" s="44"/>
    </row>
    <row r="491" spans="4:5" ht="15.75" customHeight="1">
      <c r="D491" s="44"/>
      <c r="E491" s="44"/>
    </row>
    <row r="492" spans="4:5" ht="15.75" customHeight="1">
      <c r="D492" s="44"/>
      <c r="E492" s="44"/>
    </row>
    <row r="493" spans="4:5" ht="15.75" customHeight="1">
      <c r="D493" s="44"/>
      <c r="E493" s="44"/>
    </row>
    <row r="494" spans="4:5" ht="15.75" customHeight="1">
      <c r="D494" s="44"/>
      <c r="E494" s="44"/>
    </row>
    <row r="495" spans="4:5" ht="15.75" customHeight="1">
      <c r="D495" s="44"/>
      <c r="E495" s="44"/>
    </row>
    <row r="496" spans="4:5" ht="15.75" customHeight="1">
      <c r="D496" s="44"/>
      <c r="E496" s="44"/>
    </row>
    <row r="497" spans="4:5" ht="15.75" customHeight="1">
      <c r="D497" s="44"/>
      <c r="E497" s="44"/>
    </row>
    <row r="498" spans="4:5" ht="15.75" customHeight="1">
      <c r="D498" s="44"/>
      <c r="E498" s="44"/>
    </row>
    <row r="499" spans="4:5" ht="15.75" customHeight="1">
      <c r="D499" s="44"/>
      <c r="E499" s="44"/>
    </row>
    <row r="500" spans="4:5" ht="15.75" customHeight="1">
      <c r="D500" s="44"/>
      <c r="E500" s="44"/>
    </row>
    <row r="501" spans="4:5" ht="15.75" customHeight="1">
      <c r="D501" s="44"/>
      <c r="E501" s="44"/>
    </row>
    <row r="502" spans="4:5" ht="15.75" customHeight="1">
      <c r="D502" s="44"/>
      <c r="E502" s="44"/>
    </row>
    <row r="503" spans="4:5" ht="15.75" customHeight="1">
      <c r="D503" s="44"/>
      <c r="E503" s="44"/>
    </row>
    <row r="504" spans="4:5" ht="15.75" customHeight="1">
      <c r="D504" s="44"/>
      <c r="E504" s="44"/>
    </row>
    <row r="505" spans="4:5" ht="15.75" customHeight="1">
      <c r="D505" s="44"/>
      <c r="E505" s="44"/>
    </row>
    <row r="506" spans="4:5" ht="15.75" customHeight="1">
      <c r="D506" s="44"/>
      <c r="E506" s="44"/>
    </row>
    <row r="507" spans="4:5" ht="15.75" customHeight="1">
      <c r="D507" s="44"/>
      <c r="E507" s="44"/>
    </row>
    <row r="508" spans="4:5" ht="15.75" customHeight="1">
      <c r="D508" s="44"/>
      <c r="E508" s="44"/>
    </row>
    <row r="509" spans="4:5" ht="15.75" customHeight="1">
      <c r="D509" s="44"/>
      <c r="E509" s="44"/>
    </row>
    <row r="510" spans="4:5" ht="15.75" customHeight="1">
      <c r="D510" s="44"/>
      <c r="E510" s="44"/>
    </row>
    <row r="511" spans="4:5" ht="15.75" customHeight="1">
      <c r="D511" s="44"/>
      <c r="E511" s="44"/>
    </row>
    <row r="512" spans="4:5" ht="15.75" customHeight="1">
      <c r="D512" s="44"/>
      <c r="E512" s="44"/>
    </row>
    <row r="513" spans="4:5" ht="15.75" customHeight="1">
      <c r="D513" s="44"/>
      <c r="E513" s="44"/>
    </row>
    <row r="514" spans="4:5" ht="15.75" customHeight="1">
      <c r="D514" s="44"/>
      <c r="E514" s="44"/>
    </row>
    <row r="515" spans="4:5" ht="15.75" customHeight="1">
      <c r="D515" s="44"/>
      <c r="E515" s="44"/>
    </row>
    <row r="516" spans="4:5" ht="15.75" customHeight="1">
      <c r="D516" s="44"/>
      <c r="E516" s="44"/>
    </row>
    <row r="517" spans="4:5" ht="15.75" customHeight="1">
      <c r="D517" s="44"/>
      <c r="E517" s="44"/>
    </row>
    <row r="518" spans="4:5" ht="15.75" customHeight="1">
      <c r="D518" s="44"/>
      <c r="E518" s="44"/>
    </row>
    <row r="519" spans="4:5" ht="15.75" customHeight="1">
      <c r="D519" s="44"/>
      <c r="E519" s="44"/>
    </row>
    <row r="520" spans="4:5" ht="15.75" customHeight="1">
      <c r="D520" s="44"/>
      <c r="E520" s="44"/>
    </row>
    <row r="521" spans="4:5" ht="15.75" customHeight="1">
      <c r="D521" s="44"/>
      <c r="E521" s="44"/>
    </row>
    <row r="522" spans="4:5" ht="15.75" customHeight="1">
      <c r="D522" s="44"/>
      <c r="E522" s="44"/>
    </row>
    <row r="523" spans="4:5" ht="15.75" customHeight="1">
      <c r="D523" s="44"/>
      <c r="E523" s="44"/>
    </row>
    <row r="524" spans="4:5" ht="15.75" customHeight="1">
      <c r="D524" s="44"/>
      <c r="E524" s="44"/>
    </row>
    <row r="525" spans="4:5" ht="15.75" customHeight="1">
      <c r="D525" s="44"/>
      <c r="E525" s="44"/>
    </row>
    <row r="526" spans="4:5" ht="15.75" customHeight="1">
      <c r="D526" s="44"/>
      <c r="E526" s="44"/>
    </row>
    <row r="527" spans="4:5" ht="15.75" customHeight="1">
      <c r="D527" s="44"/>
      <c r="E527" s="44"/>
    </row>
    <row r="528" spans="4:5" ht="15.75" customHeight="1">
      <c r="D528" s="44"/>
      <c r="E528" s="44"/>
    </row>
    <row r="529" spans="4:5" ht="15.75" customHeight="1">
      <c r="D529" s="44"/>
      <c r="E529" s="44"/>
    </row>
    <row r="530" spans="4:5" ht="15.75" customHeight="1">
      <c r="D530" s="44"/>
      <c r="E530" s="44"/>
    </row>
    <row r="531" spans="4:5" ht="15.75" customHeight="1">
      <c r="D531" s="44"/>
      <c r="E531" s="44"/>
    </row>
    <row r="532" spans="4:5" ht="15.75" customHeight="1">
      <c r="D532" s="44"/>
      <c r="E532" s="44"/>
    </row>
    <row r="533" spans="4:5" ht="15.75" customHeight="1">
      <c r="D533" s="44"/>
      <c r="E533" s="44"/>
    </row>
    <row r="534" spans="4:5" ht="15.75" customHeight="1">
      <c r="D534" s="44"/>
      <c r="E534" s="44"/>
    </row>
    <row r="535" spans="4:5" ht="15.75" customHeight="1">
      <c r="D535" s="44"/>
      <c r="E535" s="44"/>
    </row>
    <row r="536" spans="4:5" ht="15.75" customHeight="1">
      <c r="D536" s="44"/>
      <c r="E536" s="44"/>
    </row>
    <row r="537" spans="4:5" ht="15.75" customHeight="1">
      <c r="D537" s="44"/>
      <c r="E537" s="44"/>
    </row>
    <row r="538" spans="4:5" ht="15.75" customHeight="1">
      <c r="D538" s="44"/>
      <c r="E538" s="44"/>
    </row>
    <row r="539" spans="4:5" ht="15.75" customHeight="1">
      <c r="D539" s="44"/>
      <c r="E539" s="44"/>
    </row>
    <row r="540" spans="4:5" ht="15.75" customHeight="1">
      <c r="D540" s="44"/>
      <c r="E540" s="44"/>
    </row>
    <row r="541" spans="4:5" ht="15.75" customHeight="1">
      <c r="D541" s="44"/>
      <c r="E541" s="44"/>
    </row>
    <row r="542" spans="4:5" ht="15.75" customHeight="1">
      <c r="D542" s="44"/>
      <c r="E542" s="44"/>
    </row>
    <row r="543" spans="4:5" ht="15.75" customHeight="1">
      <c r="D543" s="44"/>
      <c r="E543" s="44"/>
    </row>
    <row r="544" spans="4:5" ht="15.75" customHeight="1">
      <c r="D544" s="44"/>
      <c r="E544" s="44"/>
    </row>
    <row r="545" spans="4:5" ht="15.75" customHeight="1">
      <c r="D545" s="44"/>
      <c r="E545" s="44"/>
    </row>
    <row r="546" spans="4:5" ht="15.75" customHeight="1">
      <c r="D546" s="44"/>
      <c r="E546" s="44"/>
    </row>
    <row r="547" spans="4:5" ht="15.75" customHeight="1">
      <c r="D547" s="44"/>
      <c r="E547" s="44"/>
    </row>
    <row r="548" spans="4:5" ht="15.75" customHeight="1">
      <c r="D548" s="44"/>
      <c r="E548" s="44"/>
    </row>
    <row r="549" spans="4:5" ht="15.75" customHeight="1">
      <c r="D549" s="44"/>
      <c r="E549" s="44"/>
    </row>
    <row r="550" spans="4:5" ht="15.75" customHeight="1">
      <c r="D550" s="44"/>
      <c r="E550" s="44"/>
    </row>
    <row r="551" spans="4:5" ht="15.75" customHeight="1">
      <c r="D551" s="44"/>
      <c r="E551" s="44"/>
    </row>
    <row r="552" spans="4:5" ht="15.75" customHeight="1">
      <c r="D552" s="44"/>
      <c r="E552" s="44"/>
    </row>
    <row r="553" spans="4:5" ht="15.75" customHeight="1">
      <c r="D553" s="44"/>
      <c r="E553" s="44"/>
    </row>
    <row r="554" spans="4:5" ht="15.75" customHeight="1">
      <c r="D554" s="44"/>
      <c r="E554" s="44"/>
    </row>
    <row r="555" spans="4:5" ht="15.75" customHeight="1">
      <c r="D555" s="44"/>
      <c r="E555" s="44"/>
    </row>
    <row r="556" spans="4:5" ht="15.75" customHeight="1">
      <c r="D556" s="44"/>
      <c r="E556" s="44"/>
    </row>
    <row r="557" spans="4:5" ht="15.75" customHeight="1">
      <c r="D557" s="44"/>
      <c r="E557" s="44"/>
    </row>
    <row r="558" spans="4:5" ht="15.75" customHeight="1">
      <c r="D558" s="44"/>
      <c r="E558" s="44"/>
    </row>
    <row r="559" spans="4:5" ht="15.75" customHeight="1">
      <c r="D559" s="44"/>
      <c r="E559" s="44"/>
    </row>
    <row r="560" spans="4:5" ht="15.75" customHeight="1">
      <c r="D560" s="44"/>
      <c r="E560" s="44"/>
    </row>
    <row r="561" spans="4:5" ht="15.75" customHeight="1">
      <c r="D561" s="44"/>
      <c r="E561" s="44"/>
    </row>
    <row r="562" spans="4:5" ht="15.75" customHeight="1">
      <c r="D562" s="44"/>
      <c r="E562" s="44"/>
    </row>
    <row r="563" spans="4:5" ht="15.75" customHeight="1">
      <c r="D563" s="44"/>
      <c r="E563" s="44"/>
    </row>
    <row r="564" spans="4:5" ht="15.75" customHeight="1">
      <c r="D564" s="44"/>
      <c r="E564" s="44"/>
    </row>
    <row r="565" spans="4:5" ht="15.75" customHeight="1">
      <c r="D565" s="44"/>
      <c r="E565" s="44"/>
    </row>
    <row r="566" spans="4:5" ht="15.75" customHeight="1">
      <c r="D566" s="44"/>
      <c r="E566" s="44"/>
    </row>
    <row r="567" spans="4:5" ht="15.75" customHeight="1">
      <c r="D567" s="44"/>
      <c r="E567" s="44"/>
    </row>
    <row r="568" spans="4:5" ht="15.75" customHeight="1">
      <c r="D568" s="44"/>
      <c r="E568" s="44"/>
    </row>
    <row r="569" spans="4:5" ht="15.75" customHeight="1">
      <c r="D569" s="44"/>
      <c r="E569" s="44"/>
    </row>
    <row r="570" spans="4:5" ht="15.75" customHeight="1">
      <c r="D570" s="44"/>
      <c r="E570" s="44"/>
    </row>
    <row r="571" spans="4:5" ht="15.75" customHeight="1">
      <c r="D571" s="44"/>
      <c r="E571" s="44"/>
    </row>
    <row r="572" spans="4:5" ht="15.75" customHeight="1">
      <c r="D572" s="44"/>
      <c r="E572" s="44"/>
    </row>
    <row r="573" spans="4:5" ht="15.75" customHeight="1">
      <c r="D573" s="44"/>
      <c r="E573" s="44"/>
    </row>
    <row r="574" spans="4:5" ht="15.75" customHeight="1">
      <c r="D574" s="44"/>
      <c r="E574" s="44"/>
    </row>
    <row r="575" spans="4:5" ht="15.75" customHeight="1">
      <c r="D575" s="44"/>
      <c r="E575" s="44"/>
    </row>
    <row r="576" spans="4:5" ht="15.75" customHeight="1">
      <c r="D576" s="44"/>
      <c r="E576" s="44"/>
    </row>
    <row r="577" spans="4:5" ht="15.75" customHeight="1">
      <c r="D577" s="44"/>
      <c r="E577" s="44"/>
    </row>
    <row r="578" spans="4:5" ht="15.75" customHeight="1">
      <c r="D578" s="44"/>
      <c r="E578" s="44"/>
    </row>
    <row r="579" spans="4:5" ht="15.75" customHeight="1">
      <c r="D579" s="44"/>
      <c r="E579" s="44"/>
    </row>
    <row r="580" spans="4:5" ht="15.75" customHeight="1">
      <c r="D580" s="44"/>
      <c r="E580" s="44"/>
    </row>
    <row r="581" spans="4:5" ht="15.75" customHeight="1">
      <c r="D581" s="44"/>
      <c r="E581" s="44"/>
    </row>
    <row r="582" spans="4:5" ht="15.75" customHeight="1">
      <c r="D582" s="44"/>
      <c r="E582" s="44"/>
    </row>
    <row r="583" spans="4:5" ht="15.75" customHeight="1">
      <c r="D583" s="44"/>
      <c r="E583" s="44"/>
    </row>
    <row r="584" spans="4:5" ht="15.75" customHeight="1">
      <c r="D584" s="44"/>
      <c r="E584" s="44"/>
    </row>
    <row r="585" spans="4:5" ht="15.75" customHeight="1">
      <c r="D585" s="44"/>
      <c r="E585" s="44"/>
    </row>
    <row r="586" spans="4:5" ht="15.75" customHeight="1">
      <c r="D586" s="44"/>
      <c r="E586" s="44"/>
    </row>
    <row r="587" spans="4:5" ht="15.75" customHeight="1">
      <c r="D587" s="44"/>
      <c r="E587" s="44"/>
    </row>
    <row r="588" spans="4:5" ht="15.75" customHeight="1">
      <c r="D588" s="44"/>
      <c r="E588" s="44"/>
    </row>
    <row r="589" spans="4:5" ht="15.75" customHeight="1">
      <c r="D589" s="44"/>
      <c r="E589" s="44"/>
    </row>
    <row r="590" spans="4:5" ht="15.75" customHeight="1">
      <c r="D590" s="44"/>
      <c r="E590" s="44"/>
    </row>
    <row r="591" spans="4:5" ht="15.75" customHeight="1">
      <c r="D591" s="44"/>
      <c r="E591" s="44"/>
    </row>
    <row r="592" spans="4:5" ht="15.75" customHeight="1">
      <c r="D592" s="44"/>
      <c r="E592" s="44"/>
    </row>
    <row r="593" spans="4:5" ht="15.75" customHeight="1">
      <c r="D593" s="44"/>
      <c r="E593" s="44"/>
    </row>
    <row r="594" spans="4:5" ht="15.75" customHeight="1">
      <c r="D594" s="44"/>
      <c r="E594" s="44"/>
    </row>
    <row r="595" spans="4:5" ht="15.75" customHeight="1">
      <c r="D595" s="44"/>
      <c r="E595" s="44"/>
    </row>
    <row r="596" spans="4:5" ht="15.75" customHeight="1">
      <c r="D596" s="44"/>
      <c r="E596" s="44"/>
    </row>
    <row r="597" spans="4:5" ht="15.75" customHeight="1">
      <c r="D597" s="44"/>
      <c r="E597" s="44"/>
    </row>
    <row r="598" spans="4:5" ht="15.75" customHeight="1">
      <c r="D598" s="44"/>
      <c r="E598" s="44"/>
    </row>
    <row r="599" spans="4:5" ht="15.75" customHeight="1">
      <c r="D599" s="44"/>
      <c r="E599" s="44"/>
    </row>
    <row r="600" spans="4:5" ht="15.75" customHeight="1">
      <c r="D600" s="44"/>
      <c r="E600" s="44"/>
    </row>
    <row r="601" spans="4:5" ht="15.75" customHeight="1">
      <c r="D601" s="44"/>
      <c r="E601" s="44"/>
    </row>
    <row r="602" spans="4:5" ht="15.75" customHeight="1">
      <c r="D602" s="44"/>
      <c r="E602" s="44"/>
    </row>
    <row r="603" spans="4:5" ht="15.75" customHeight="1">
      <c r="D603" s="44"/>
      <c r="E603" s="44"/>
    </row>
    <row r="604" spans="4:5" ht="15.75" customHeight="1">
      <c r="D604" s="44"/>
      <c r="E604" s="44"/>
    </row>
    <row r="605" spans="4:5" ht="15.75" customHeight="1">
      <c r="D605" s="44"/>
      <c r="E605" s="44"/>
    </row>
    <row r="606" spans="4:5" ht="15.75" customHeight="1">
      <c r="D606" s="44"/>
      <c r="E606" s="44"/>
    </row>
    <row r="607" spans="4:5" ht="15.75" customHeight="1">
      <c r="D607" s="44"/>
      <c r="E607" s="44"/>
    </row>
    <row r="608" spans="4:5" ht="15.75" customHeight="1">
      <c r="D608" s="44"/>
      <c r="E608" s="44"/>
    </row>
    <row r="609" spans="4:5" ht="15.75" customHeight="1">
      <c r="D609" s="44"/>
      <c r="E609" s="44"/>
    </row>
    <row r="610" spans="4:5" ht="15.75" customHeight="1">
      <c r="D610" s="44"/>
      <c r="E610" s="44"/>
    </row>
    <row r="611" spans="4:5" ht="15.75" customHeight="1">
      <c r="D611" s="44"/>
      <c r="E611" s="44"/>
    </row>
    <row r="612" spans="4:5" ht="15.75" customHeight="1">
      <c r="D612" s="44"/>
      <c r="E612" s="44"/>
    </row>
    <row r="613" spans="4:5" ht="15.75" customHeight="1">
      <c r="D613" s="44"/>
      <c r="E613" s="44"/>
    </row>
    <row r="614" spans="4:5" ht="15.75" customHeight="1">
      <c r="D614" s="44"/>
      <c r="E614" s="44"/>
    </row>
    <row r="615" spans="4:5" ht="15.75" customHeight="1">
      <c r="D615" s="44"/>
      <c r="E615" s="44"/>
    </row>
    <row r="616" spans="4:5" ht="15.75" customHeight="1">
      <c r="D616" s="44"/>
      <c r="E616" s="44"/>
    </row>
    <row r="617" spans="4:5" ht="15.75" customHeight="1">
      <c r="D617" s="44"/>
      <c r="E617" s="44"/>
    </row>
    <row r="618" spans="4:5" ht="15.75" customHeight="1">
      <c r="D618" s="44"/>
      <c r="E618" s="44"/>
    </row>
    <row r="619" spans="4:5" ht="15.75" customHeight="1">
      <c r="D619" s="44"/>
      <c r="E619" s="44"/>
    </row>
    <row r="620" spans="4:5" ht="15.75" customHeight="1">
      <c r="D620" s="44"/>
      <c r="E620" s="44"/>
    </row>
    <row r="621" spans="4:5" ht="15.75" customHeight="1">
      <c r="D621" s="44"/>
      <c r="E621" s="44"/>
    </row>
    <row r="622" spans="4:5" ht="15.75" customHeight="1">
      <c r="D622" s="44"/>
      <c r="E622" s="44"/>
    </row>
    <row r="623" spans="4:5" ht="15.75" customHeight="1">
      <c r="D623" s="44"/>
      <c r="E623" s="44"/>
    </row>
    <row r="624" spans="4:5" ht="15.75" customHeight="1">
      <c r="D624" s="44"/>
      <c r="E624" s="44"/>
    </row>
    <row r="625" spans="4:5" ht="15.75" customHeight="1">
      <c r="D625" s="44"/>
      <c r="E625" s="44"/>
    </row>
    <row r="626" spans="4:5" ht="15.75" customHeight="1">
      <c r="D626" s="44"/>
      <c r="E626" s="44"/>
    </row>
    <row r="627" spans="4:5" ht="15.75" customHeight="1">
      <c r="D627" s="44"/>
      <c r="E627" s="44"/>
    </row>
    <row r="628" spans="4:5" ht="15.75" customHeight="1">
      <c r="D628" s="44"/>
      <c r="E628" s="44"/>
    </row>
    <row r="629" spans="4:5" ht="15.75" customHeight="1">
      <c r="D629" s="44"/>
      <c r="E629" s="44"/>
    </row>
    <row r="630" spans="4:5" ht="15.75" customHeight="1">
      <c r="D630" s="44"/>
      <c r="E630" s="44"/>
    </row>
    <row r="631" spans="4:5" ht="15.75" customHeight="1">
      <c r="D631" s="44"/>
      <c r="E631" s="44"/>
    </row>
    <row r="632" spans="4:5" ht="15.75" customHeight="1">
      <c r="D632" s="44"/>
      <c r="E632" s="44"/>
    </row>
    <row r="633" spans="4:5" ht="15.75" customHeight="1">
      <c r="D633" s="44"/>
      <c r="E633" s="44"/>
    </row>
    <row r="634" spans="4:5" ht="15.75" customHeight="1">
      <c r="D634" s="44"/>
      <c r="E634" s="44"/>
    </row>
    <row r="635" spans="4:5" ht="15.75" customHeight="1">
      <c r="D635" s="44"/>
      <c r="E635" s="44"/>
    </row>
    <row r="636" spans="4:5" ht="15.75" customHeight="1">
      <c r="D636" s="44"/>
      <c r="E636" s="44"/>
    </row>
    <row r="637" spans="4:5" ht="15.75" customHeight="1">
      <c r="D637" s="44"/>
      <c r="E637" s="44"/>
    </row>
    <row r="638" spans="4:5" ht="15.75" customHeight="1">
      <c r="D638" s="44"/>
      <c r="E638" s="44"/>
    </row>
    <row r="639" spans="4:5" ht="15.75" customHeight="1">
      <c r="D639" s="44"/>
      <c r="E639" s="44"/>
    </row>
    <row r="640" spans="4:5" ht="15.75" customHeight="1">
      <c r="D640" s="44"/>
      <c r="E640" s="44"/>
    </row>
    <row r="641" spans="4:5" ht="15.75" customHeight="1">
      <c r="D641" s="44"/>
      <c r="E641" s="44"/>
    </row>
    <row r="642" spans="4:5" ht="15.75" customHeight="1">
      <c r="D642" s="44"/>
      <c r="E642" s="44"/>
    </row>
    <row r="643" spans="4:5" ht="15.75" customHeight="1">
      <c r="D643" s="44"/>
      <c r="E643" s="44"/>
    </row>
    <row r="644" spans="4:5" ht="15.75" customHeight="1">
      <c r="D644" s="44"/>
      <c r="E644" s="44"/>
    </row>
    <row r="645" spans="4:5" ht="15.75" customHeight="1">
      <c r="D645" s="44"/>
      <c r="E645" s="44"/>
    </row>
    <row r="646" spans="4:5" ht="15.75" customHeight="1">
      <c r="D646" s="44"/>
      <c r="E646" s="44"/>
    </row>
    <row r="647" spans="4:5" ht="15.75" customHeight="1">
      <c r="D647" s="44"/>
      <c r="E647" s="44"/>
    </row>
    <row r="648" spans="4:5" ht="15.75" customHeight="1">
      <c r="D648" s="44"/>
      <c r="E648" s="44"/>
    </row>
    <row r="649" spans="4:5" ht="15.75" customHeight="1">
      <c r="D649" s="44"/>
      <c r="E649" s="44"/>
    </row>
    <row r="650" spans="4:5" ht="15.75" customHeight="1">
      <c r="D650" s="44"/>
      <c r="E650" s="44"/>
    </row>
    <row r="651" spans="4:5" ht="15.75" customHeight="1">
      <c r="D651" s="44"/>
      <c r="E651" s="44"/>
    </row>
    <row r="652" spans="4:5" ht="15.75" customHeight="1">
      <c r="D652" s="44"/>
      <c r="E652" s="44"/>
    </row>
    <row r="653" spans="4:5" ht="15.75" customHeight="1">
      <c r="D653" s="44"/>
      <c r="E653" s="44"/>
    </row>
    <row r="654" spans="4:5" ht="15.75" customHeight="1">
      <c r="D654" s="44"/>
      <c r="E654" s="44"/>
    </row>
    <row r="655" spans="4:5" ht="15.75" customHeight="1">
      <c r="D655" s="44"/>
      <c r="E655" s="44"/>
    </row>
    <row r="656" spans="4:5" ht="15.75" customHeight="1">
      <c r="D656" s="44"/>
      <c r="E656" s="44"/>
    </row>
    <row r="657" spans="4:5" ht="15.75" customHeight="1">
      <c r="D657" s="44"/>
      <c r="E657" s="44"/>
    </row>
    <row r="658" spans="4:5" ht="15.75" customHeight="1">
      <c r="D658" s="44"/>
      <c r="E658" s="44"/>
    </row>
    <row r="659" spans="4:5" ht="15.75" customHeight="1">
      <c r="D659" s="44"/>
      <c r="E659" s="44"/>
    </row>
    <row r="660" spans="4:5" ht="15.75" customHeight="1">
      <c r="D660" s="44"/>
      <c r="E660" s="44"/>
    </row>
    <row r="661" spans="4:5" ht="15.75" customHeight="1">
      <c r="D661" s="44"/>
      <c r="E661" s="44"/>
    </row>
    <row r="662" spans="4:5" ht="15.75" customHeight="1">
      <c r="D662" s="44"/>
      <c r="E662" s="44"/>
    </row>
    <row r="663" spans="4:5" ht="15.75" customHeight="1">
      <c r="D663" s="44"/>
      <c r="E663" s="44"/>
    </row>
    <row r="664" spans="4:5" ht="15.75" customHeight="1">
      <c r="D664" s="44"/>
      <c r="E664" s="44"/>
    </row>
    <row r="665" spans="4:5" ht="15.75" customHeight="1">
      <c r="D665" s="44"/>
      <c r="E665" s="44"/>
    </row>
    <row r="666" spans="4:5" ht="15.75" customHeight="1">
      <c r="D666" s="44"/>
      <c r="E666" s="44"/>
    </row>
    <row r="667" spans="4:5" ht="15.75" customHeight="1">
      <c r="D667" s="44"/>
      <c r="E667" s="44"/>
    </row>
    <row r="668" spans="4:5" ht="15.75" customHeight="1">
      <c r="D668" s="44"/>
      <c r="E668" s="44"/>
    </row>
    <row r="669" spans="4:5" ht="15.75" customHeight="1">
      <c r="D669" s="44"/>
      <c r="E669" s="44"/>
    </row>
    <row r="670" spans="4:5" ht="15.75" customHeight="1">
      <c r="D670" s="44"/>
      <c r="E670" s="44"/>
    </row>
    <row r="671" spans="4:5" ht="15.75" customHeight="1">
      <c r="D671" s="44"/>
      <c r="E671" s="44"/>
    </row>
    <row r="672" spans="4:5" ht="15.75" customHeight="1">
      <c r="D672" s="44"/>
      <c r="E672" s="44"/>
    </row>
    <row r="673" spans="4:5" ht="15.75" customHeight="1">
      <c r="D673" s="44"/>
      <c r="E673" s="44"/>
    </row>
    <row r="674" spans="4:5" ht="15.75" customHeight="1">
      <c r="D674" s="44"/>
      <c r="E674" s="44"/>
    </row>
    <row r="675" spans="4:5" ht="15.75" customHeight="1">
      <c r="D675" s="44"/>
      <c r="E675" s="44"/>
    </row>
    <row r="676" spans="4:5" ht="15.75" customHeight="1">
      <c r="D676" s="44"/>
      <c r="E676" s="44"/>
    </row>
    <row r="677" spans="4:5" ht="15.75" customHeight="1">
      <c r="D677" s="44"/>
      <c r="E677" s="44"/>
    </row>
    <row r="678" spans="4:5" ht="15.75" customHeight="1">
      <c r="D678" s="44"/>
      <c r="E678" s="44"/>
    </row>
    <row r="679" spans="4:5" ht="15.75" customHeight="1">
      <c r="D679" s="44"/>
      <c r="E679" s="44"/>
    </row>
    <row r="680" spans="4:5" ht="15.75" customHeight="1">
      <c r="D680" s="44"/>
      <c r="E680" s="44"/>
    </row>
    <row r="681" spans="4:5" ht="15.75" customHeight="1">
      <c r="D681" s="44"/>
      <c r="E681" s="44"/>
    </row>
    <row r="682" spans="4:5" ht="15.75" customHeight="1">
      <c r="D682" s="44"/>
      <c r="E682" s="44"/>
    </row>
    <row r="683" spans="4:5" ht="15.75" customHeight="1">
      <c r="D683" s="44"/>
      <c r="E683" s="44"/>
    </row>
    <row r="684" spans="4:5" ht="15.75" customHeight="1">
      <c r="D684" s="44"/>
      <c r="E684" s="44"/>
    </row>
    <row r="685" spans="4:5" ht="15.75" customHeight="1">
      <c r="D685" s="44"/>
      <c r="E685" s="44"/>
    </row>
    <row r="686" spans="4:5" ht="15.75" customHeight="1">
      <c r="D686" s="44"/>
      <c r="E686" s="44"/>
    </row>
    <row r="687" spans="4:5" ht="15.75" customHeight="1">
      <c r="D687" s="44"/>
      <c r="E687" s="44"/>
    </row>
    <row r="688" spans="4:5" ht="15.75" customHeight="1">
      <c r="D688" s="44"/>
      <c r="E688" s="44"/>
    </row>
    <row r="689" spans="4:5" ht="15.75" customHeight="1">
      <c r="D689" s="44"/>
      <c r="E689" s="44"/>
    </row>
    <row r="690" spans="4:5" ht="15.75" customHeight="1">
      <c r="D690" s="44"/>
      <c r="E690" s="44"/>
    </row>
    <row r="691" spans="4:5" ht="15.75" customHeight="1">
      <c r="D691" s="44"/>
      <c r="E691" s="44"/>
    </row>
    <row r="692" spans="4:5" ht="15.75" customHeight="1">
      <c r="D692" s="44"/>
      <c r="E692" s="44"/>
    </row>
    <row r="693" spans="4:5" ht="15.75" customHeight="1">
      <c r="D693" s="44"/>
      <c r="E693" s="44"/>
    </row>
    <row r="694" spans="4:5" ht="15.75" customHeight="1">
      <c r="D694" s="44"/>
      <c r="E694" s="44"/>
    </row>
    <row r="695" spans="4:5" ht="15.75" customHeight="1">
      <c r="D695" s="44"/>
      <c r="E695" s="44"/>
    </row>
    <row r="696" spans="4:5" ht="15.75" customHeight="1">
      <c r="D696" s="44"/>
      <c r="E696" s="44"/>
    </row>
    <row r="697" spans="4:5" ht="15.75" customHeight="1">
      <c r="D697" s="44"/>
      <c r="E697" s="44"/>
    </row>
    <row r="698" spans="4:5" ht="15.75" customHeight="1">
      <c r="D698" s="44"/>
      <c r="E698" s="44"/>
    </row>
    <row r="699" spans="4:5" ht="15.75" customHeight="1">
      <c r="D699" s="44"/>
      <c r="E699" s="44"/>
    </row>
    <row r="700" spans="4:5" ht="15.75" customHeight="1">
      <c r="D700" s="44"/>
      <c r="E700" s="44"/>
    </row>
    <row r="701" spans="4:5" ht="15.75" customHeight="1">
      <c r="D701" s="44"/>
      <c r="E701" s="44"/>
    </row>
    <row r="702" spans="4:5" ht="15.75" customHeight="1">
      <c r="D702" s="44"/>
      <c r="E702" s="44"/>
    </row>
    <row r="703" spans="4:5" ht="15.75" customHeight="1">
      <c r="D703" s="44"/>
      <c r="E703" s="44"/>
    </row>
    <row r="704" spans="4:5" ht="15.75" customHeight="1">
      <c r="D704" s="44"/>
      <c r="E704" s="44"/>
    </row>
    <row r="705" spans="4:5" ht="15.75" customHeight="1">
      <c r="D705" s="44"/>
      <c r="E705" s="44"/>
    </row>
    <row r="706" spans="4:5" ht="15.75" customHeight="1">
      <c r="D706" s="44"/>
      <c r="E706" s="44"/>
    </row>
    <row r="707" spans="4:5" ht="15.75" customHeight="1">
      <c r="D707" s="44"/>
      <c r="E707" s="44"/>
    </row>
    <row r="708" spans="4:5" ht="15.75" customHeight="1">
      <c r="D708" s="44"/>
      <c r="E708" s="44"/>
    </row>
    <row r="709" spans="4:5" ht="15.75" customHeight="1">
      <c r="D709" s="44"/>
      <c r="E709" s="44"/>
    </row>
    <row r="710" spans="4:5" ht="15.75" customHeight="1">
      <c r="D710" s="44"/>
      <c r="E710" s="44"/>
    </row>
    <row r="711" spans="4:5" ht="15.75" customHeight="1">
      <c r="D711" s="44"/>
      <c r="E711" s="44"/>
    </row>
    <row r="712" spans="4:5" ht="15.75" customHeight="1">
      <c r="D712" s="44"/>
      <c r="E712" s="44"/>
    </row>
    <row r="713" spans="4:5" ht="15.75" customHeight="1">
      <c r="D713" s="44"/>
      <c r="E713" s="44"/>
    </row>
    <row r="714" spans="4:5" ht="15.75" customHeight="1">
      <c r="D714" s="44"/>
      <c r="E714" s="44"/>
    </row>
    <row r="715" spans="4:5" ht="15.75" customHeight="1">
      <c r="D715" s="44"/>
      <c r="E715" s="44"/>
    </row>
    <row r="716" spans="4:5" ht="15.75" customHeight="1">
      <c r="D716" s="44"/>
      <c r="E716" s="44"/>
    </row>
    <row r="717" spans="4:5" ht="15.75" customHeight="1">
      <c r="D717" s="44"/>
      <c r="E717" s="44"/>
    </row>
    <row r="718" spans="4:5" ht="15.75" customHeight="1">
      <c r="D718" s="44"/>
      <c r="E718" s="44"/>
    </row>
    <row r="719" spans="4:5" ht="15.75" customHeight="1">
      <c r="D719" s="44"/>
      <c r="E719" s="44"/>
    </row>
    <row r="720" spans="4:5" ht="15.75" customHeight="1">
      <c r="D720" s="44"/>
      <c r="E720" s="44"/>
    </row>
    <row r="721" spans="4:5" ht="15.75" customHeight="1">
      <c r="D721" s="44"/>
      <c r="E721" s="44"/>
    </row>
    <row r="722" spans="4:5" ht="15.75" customHeight="1">
      <c r="D722" s="44"/>
      <c r="E722" s="44"/>
    </row>
    <row r="723" spans="4:5" ht="15.75" customHeight="1">
      <c r="D723" s="44"/>
      <c r="E723" s="44"/>
    </row>
    <row r="724" spans="4:5" ht="15.75" customHeight="1">
      <c r="D724" s="44"/>
      <c r="E724" s="44"/>
    </row>
    <row r="725" spans="4:5" ht="15.75" customHeight="1">
      <c r="D725" s="44"/>
      <c r="E725" s="44"/>
    </row>
    <row r="726" spans="4:5" ht="15.75" customHeight="1">
      <c r="D726" s="44"/>
      <c r="E726" s="44"/>
    </row>
    <row r="727" spans="4:5" ht="15.75" customHeight="1">
      <c r="D727" s="44"/>
      <c r="E727" s="44"/>
    </row>
    <row r="728" spans="4:5" ht="15.75" customHeight="1">
      <c r="D728" s="44"/>
      <c r="E728" s="44"/>
    </row>
    <row r="729" spans="4:5" ht="15.75" customHeight="1">
      <c r="D729" s="44"/>
      <c r="E729" s="44"/>
    </row>
    <row r="730" spans="4:5" ht="15.75" customHeight="1">
      <c r="D730" s="44"/>
      <c r="E730" s="44"/>
    </row>
    <row r="731" spans="4:5" ht="15.75" customHeight="1">
      <c r="D731" s="44"/>
      <c r="E731" s="44"/>
    </row>
    <row r="732" spans="4:5" ht="15.75" customHeight="1">
      <c r="D732" s="44"/>
      <c r="E732" s="44"/>
    </row>
    <row r="733" spans="4:5" ht="15.75" customHeight="1">
      <c r="D733" s="44"/>
      <c r="E733" s="44"/>
    </row>
    <row r="734" spans="4:5" ht="15.75" customHeight="1">
      <c r="D734" s="44"/>
      <c r="E734" s="44"/>
    </row>
    <row r="735" spans="4:5" ht="15.75" customHeight="1">
      <c r="D735" s="44"/>
      <c r="E735" s="44"/>
    </row>
    <row r="736" spans="4:5" ht="15.75" customHeight="1">
      <c r="D736" s="44"/>
      <c r="E736" s="44"/>
    </row>
    <row r="737" spans="4:5" ht="15.75" customHeight="1">
      <c r="D737" s="44"/>
      <c r="E737" s="44"/>
    </row>
    <row r="738" spans="4:5" ht="15.75" customHeight="1">
      <c r="D738" s="44"/>
      <c r="E738" s="44"/>
    </row>
    <row r="739" spans="4:5" ht="15.75" customHeight="1">
      <c r="D739" s="44"/>
      <c r="E739" s="44"/>
    </row>
    <row r="740" spans="4:5" ht="15.75" customHeight="1">
      <c r="D740" s="44"/>
      <c r="E740" s="44"/>
    </row>
    <row r="741" spans="4:5" ht="15.75" customHeight="1">
      <c r="D741" s="44"/>
      <c r="E741" s="44"/>
    </row>
    <row r="742" spans="4:5" ht="15.75" customHeight="1">
      <c r="D742" s="44"/>
      <c r="E742" s="44"/>
    </row>
    <row r="743" spans="4:5" ht="15.75" customHeight="1">
      <c r="D743" s="44"/>
      <c r="E743" s="44"/>
    </row>
    <row r="744" spans="4:5" ht="15.75" customHeight="1">
      <c r="D744" s="44"/>
      <c r="E744" s="44"/>
    </row>
    <row r="745" spans="4:5" ht="15.75" customHeight="1">
      <c r="D745" s="44"/>
      <c r="E745" s="44"/>
    </row>
    <row r="746" spans="4:5" ht="15.75" customHeight="1">
      <c r="D746" s="44"/>
      <c r="E746" s="44"/>
    </row>
    <row r="747" spans="4:5" ht="15.75" customHeight="1">
      <c r="D747" s="44"/>
      <c r="E747" s="44"/>
    </row>
    <row r="748" spans="4:5" ht="15.75" customHeight="1">
      <c r="D748" s="44"/>
      <c r="E748" s="44"/>
    </row>
    <row r="749" spans="4:5" ht="15.75" customHeight="1">
      <c r="D749" s="44"/>
      <c r="E749" s="44"/>
    </row>
    <row r="750" spans="4:5" ht="15.75" customHeight="1">
      <c r="D750" s="44"/>
      <c r="E750" s="44"/>
    </row>
    <row r="751" spans="4:5" ht="15.75" customHeight="1">
      <c r="D751" s="44"/>
      <c r="E751" s="44"/>
    </row>
    <row r="752" spans="4:5" ht="15.75" customHeight="1">
      <c r="D752" s="44"/>
      <c r="E752" s="44"/>
    </row>
    <row r="753" spans="4:5" ht="15.75" customHeight="1">
      <c r="D753" s="44"/>
      <c r="E753" s="44"/>
    </row>
    <row r="754" spans="4:5" ht="15.75" customHeight="1">
      <c r="D754" s="44"/>
      <c r="E754" s="44"/>
    </row>
    <row r="755" spans="4:5" ht="15.75" customHeight="1">
      <c r="D755" s="44"/>
      <c r="E755" s="44"/>
    </row>
    <row r="756" spans="4:5" ht="15.75" customHeight="1">
      <c r="D756" s="44"/>
      <c r="E756" s="44"/>
    </row>
    <row r="757" spans="4:5" ht="15.75" customHeight="1">
      <c r="D757" s="44"/>
      <c r="E757" s="44"/>
    </row>
    <row r="758" spans="4:5" ht="15.75" customHeight="1">
      <c r="D758" s="44"/>
      <c r="E758" s="44"/>
    </row>
    <row r="759" spans="4:5" ht="15.75" customHeight="1">
      <c r="D759" s="44"/>
      <c r="E759" s="44"/>
    </row>
    <row r="760" spans="4:5" ht="15.75" customHeight="1">
      <c r="D760" s="44"/>
      <c r="E760" s="44"/>
    </row>
    <row r="761" spans="4:5" ht="15.75" customHeight="1">
      <c r="D761" s="44"/>
      <c r="E761" s="44"/>
    </row>
    <row r="762" spans="4:5" ht="15.75" customHeight="1">
      <c r="D762" s="44"/>
      <c r="E762" s="44"/>
    </row>
    <row r="763" spans="4:5" ht="15.75" customHeight="1">
      <c r="D763" s="44"/>
      <c r="E763" s="44"/>
    </row>
    <row r="764" spans="4:5" ht="15.75" customHeight="1">
      <c r="D764" s="44"/>
      <c r="E764" s="44"/>
    </row>
    <row r="765" spans="4:5" ht="15.75" customHeight="1">
      <c r="D765" s="44"/>
      <c r="E765" s="44"/>
    </row>
    <row r="766" spans="4:5" ht="15.75" customHeight="1">
      <c r="D766" s="44"/>
      <c r="E766" s="44"/>
    </row>
    <row r="767" spans="4:5" ht="15.75" customHeight="1">
      <c r="D767" s="44"/>
      <c r="E767" s="44"/>
    </row>
    <row r="768" spans="4:5" ht="15.75" customHeight="1">
      <c r="D768" s="44"/>
      <c r="E768" s="44"/>
    </row>
    <row r="769" spans="4:5" ht="15.75" customHeight="1">
      <c r="D769" s="44"/>
      <c r="E769" s="44"/>
    </row>
    <row r="770" spans="4:5" ht="15.75" customHeight="1">
      <c r="D770" s="44"/>
      <c r="E770" s="44"/>
    </row>
    <row r="771" spans="4:5" ht="15.75" customHeight="1">
      <c r="D771" s="44"/>
      <c r="E771" s="44"/>
    </row>
    <row r="772" spans="4:5" ht="15.75" customHeight="1">
      <c r="D772" s="44"/>
      <c r="E772" s="44"/>
    </row>
    <row r="773" spans="4:5" ht="15.75" customHeight="1">
      <c r="D773" s="44"/>
      <c r="E773" s="44"/>
    </row>
    <row r="774" spans="4:5" ht="15.75" customHeight="1">
      <c r="D774" s="44"/>
      <c r="E774" s="44"/>
    </row>
    <row r="775" spans="4:5" ht="15.75" customHeight="1">
      <c r="D775" s="44"/>
      <c r="E775" s="44"/>
    </row>
    <row r="776" spans="4:5" ht="15.75" customHeight="1">
      <c r="D776" s="44"/>
      <c r="E776" s="44"/>
    </row>
    <row r="777" spans="4:5" ht="15.75" customHeight="1">
      <c r="D777" s="44"/>
      <c r="E777" s="44"/>
    </row>
    <row r="778" spans="4:5" ht="15.75" customHeight="1">
      <c r="D778" s="44"/>
      <c r="E778" s="44"/>
    </row>
    <row r="779" spans="4:5" ht="15.75" customHeight="1">
      <c r="D779" s="44"/>
      <c r="E779" s="44"/>
    </row>
    <row r="780" spans="4:5" ht="15.75" customHeight="1">
      <c r="D780" s="44"/>
      <c r="E780" s="44"/>
    </row>
    <row r="781" spans="4:5" ht="15.75" customHeight="1">
      <c r="D781" s="44"/>
      <c r="E781" s="44"/>
    </row>
    <row r="782" spans="4:5" ht="15.75" customHeight="1">
      <c r="D782" s="44"/>
      <c r="E782" s="44"/>
    </row>
    <row r="783" spans="4:5" ht="15.75" customHeight="1">
      <c r="D783" s="44"/>
      <c r="E783" s="44"/>
    </row>
    <row r="784" spans="4:5" ht="15.75" customHeight="1">
      <c r="D784" s="44"/>
      <c r="E784" s="44"/>
    </row>
    <row r="785" spans="4:5" ht="15.75" customHeight="1">
      <c r="D785" s="44"/>
      <c r="E785" s="44"/>
    </row>
    <row r="786" spans="4:5" ht="15.75" customHeight="1">
      <c r="D786" s="44"/>
      <c r="E786" s="44"/>
    </row>
    <row r="787" spans="4:5" ht="15.75" customHeight="1">
      <c r="D787" s="44"/>
      <c r="E787" s="44"/>
    </row>
    <row r="788" spans="4:5" ht="15.75" customHeight="1">
      <c r="D788" s="44"/>
      <c r="E788" s="44"/>
    </row>
    <row r="789" spans="4:5" ht="15.75" customHeight="1">
      <c r="D789" s="44"/>
      <c r="E789" s="44"/>
    </row>
    <row r="790" spans="4:5" ht="15.75" customHeight="1">
      <c r="D790" s="44"/>
      <c r="E790" s="44"/>
    </row>
    <row r="791" spans="4:5" ht="15.75" customHeight="1">
      <c r="D791" s="44"/>
      <c r="E791" s="44"/>
    </row>
    <row r="792" spans="4:5" ht="15.75" customHeight="1">
      <c r="D792" s="44"/>
      <c r="E792" s="44"/>
    </row>
    <row r="793" spans="4:5" ht="15.75" customHeight="1">
      <c r="D793" s="44"/>
      <c r="E793" s="44"/>
    </row>
    <row r="794" spans="4:5" ht="15.75" customHeight="1">
      <c r="D794" s="44"/>
      <c r="E794" s="44"/>
    </row>
    <row r="795" spans="4:5" ht="15.75" customHeight="1">
      <c r="D795" s="44"/>
      <c r="E795" s="44"/>
    </row>
    <row r="796" spans="4:5" ht="15.75" customHeight="1">
      <c r="D796" s="44"/>
      <c r="E796" s="44"/>
    </row>
    <row r="797" spans="4:5" ht="15.75" customHeight="1">
      <c r="D797" s="44"/>
      <c r="E797" s="44"/>
    </row>
    <row r="798" spans="4:5" ht="15.75" customHeight="1">
      <c r="D798" s="44"/>
      <c r="E798" s="44"/>
    </row>
    <row r="799" spans="4:5" ht="15.75" customHeight="1">
      <c r="D799" s="44"/>
      <c r="E799" s="44"/>
    </row>
    <row r="800" spans="4:5" ht="15.75" customHeight="1">
      <c r="D800" s="44"/>
      <c r="E800" s="44"/>
    </row>
    <row r="801" spans="4:5" ht="15.75" customHeight="1">
      <c r="D801" s="44"/>
      <c r="E801" s="44"/>
    </row>
    <row r="802" spans="4:5" ht="15.75" customHeight="1">
      <c r="D802" s="44"/>
      <c r="E802" s="44"/>
    </row>
    <row r="803" spans="4:5" ht="15.75" customHeight="1">
      <c r="D803" s="44"/>
      <c r="E803" s="44"/>
    </row>
    <row r="804" spans="4:5" ht="15.75" customHeight="1">
      <c r="D804" s="44"/>
      <c r="E804" s="44"/>
    </row>
    <row r="805" spans="4:5" ht="15.75" customHeight="1">
      <c r="D805" s="44"/>
      <c r="E805" s="44"/>
    </row>
    <row r="806" spans="4:5" ht="15.75" customHeight="1">
      <c r="D806" s="44"/>
      <c r="E806" s="44"/>
    </row>
    <row r="807" spans="4:5" ht="15.75" customHeight="1">
      <c r="D807" s="44"/>
      <c r="E807" s="44"/>
    </row>
    <row r="808" spans="4:5" ht="15.75" customHeight="1">
      <c r="D808" s="44"/>
      <c r="E808" s="44"/>
    </row>
    <row r="809" spans="4:5" ht="15.75" customHeight="1">
      <c r="D809" s="44"/>
      <c r="E809" s="44"/>
    </row>
    <row r="810" spans="4:5" ht="15.75" customHeight="1">
      <c r="D810" s="44"/>
      <c r="E810" s="44"/>
    </row>
    <row r="811" spans="4:5" ht="15.75" customHeight="1">
      <c r="D811" s="44"/>
      <c r="E811" s="44"/>
    </row>
    <row r="812" spans="4:5" ht="15.75" customHeight="1">
      <c r="D812" s="44"/>
      <c r="E812" s="44"/>
    </row>
    <row r="813" spans="4:5" ht="15.75" customHeight="1">
      <c r="D813" s="44"/>
      <c r="E813" s="44"/>
    </row>
    <row r="814" spans="4:5" ht="15.75" customHeight="1">
      <c r="D814" s="44"/>
      <c r="E814" s="44"/>
    </row>
    <row r="815" spans="4:5" ht="15.75" customHeight="1">
      <c r="D815" s="44"/>
      <c r="E815" s="44"/>
    </row>
    <row r="816" spans="4:5" ht="15.75" customHeight="1">
      <c r="D816" s="44"/>
      <c r="E816" s="44"/>
    </row>
    <row r="817" spans="4:5" ht="15.75" customHeight="1">
      <c r="D817" s="44"/>
      <c r="E817" s="44"/>
    </row>
    <row r="818" spans="4:5" ht="15.75" customHeight="1">
      <c r="D818" s="44"/>
      <c r="E818" s="44"/>
    </row>
    <row r="819" spans="4:5" ht="15.75" customHeight="1">
      <c r="D819" s="44"/>
      <c r="E819" s="44"/>
    </row>
    <row r="820" spans="4:5" ht="15.75" customHeight="1">
      <c r="D820" s="44"/>
      <c r="E820" s="44"/>
    </row>
    <row r="821" spans="4:5" ht="15.75" customHeight="1">
      <c r="D821" s="44"/>
      <c r="E821" s="44"/>
    </row>
    <row r="822" spans="4:5" ht="15.75" customHeight="1">
      <c r="D822" s="44"/>
      <c r="E822" s="44"/>
    </row>
    <row r="823" spans="4:5" ht="15.75" customHeight="1">
      <c r="D823" s="44"/>
      <c r="E823" s="44"/>
    </row>
    <row r="824" spans="4:5" ht="15.75" customHeight="1">
      <c r="D824" s="44"/>
      <c r="E824" s="44"/>
    </row>
    <row r="825" spans="4:5" ht="15.75" customHeight="1">
      <c r="D825" s="44"/>
      <c r="E825" s="44"/>
    </row>
    <row r="826" spans="4:5" ht="15.75" customHeight="1">
      <c r="D826" s="44"/>
      <c r="E826" s="44"/>
    </row>
    <row r="827" spans="4:5" ht="15.75" customHeight="1">
      <c r="D827" s="44"/>
      <c r="E827" s="44"/>
    </row>
    <row r="828" spans="4:5" ht="15.75" customHeight="1">
      <c r="D828" s="44"/>
      <c r="E828" s="44"/>
    </row>
    <row r="829" spans="4:5" ht="15.75" customHeight="1">
      <c r="D829" s="44"/>
      <c r="E829" s="44"/>
    </row>
    <row r="830" spans="4:5" ht="15.75" customHeight="1">
      <c r="D830" s="44"/>
      <c r="E830" s="44"/>
    </row>
    <row r="831" spans="4:5" ht="15.75" customHeight="1">
      <c r="D831" s="44"/>
      <c r="E831" s="44"/>
    </row>
    <row r="832" spans="4:5" ht="15.75" customHeight="1">
      <c r="D832" s="44"/>
      <c r="E832" s="44"/>
    </row>
    <row r="833" spans="4:5" ht="15.75" customHeight="1">
      <c r="D833" s="44"/>
      <c r="E833" s="44"/>
    </row>
    <row r="834" spans="4:5" ht="15.75" customHeight="1">
      <c r="D834" s="44"/>
      <c r="E834" s="44"/>
    </row>
    <row r="835" spans="4:5" ht="15.75" customHeight="1">
      <c r="D835" s="44"/>
      <c r="E835" s="44"/>
    </row>
    <row r="836" spans="4:5" ht="15.75" customHeight="1">
      <c r="D836" s="44"/>
      <c r="E836" s="44"/>
    </row>
    <row r="837" spans="4:5" ht="15.75" customHeight="1">
      <c r="D837" s="44"/>
      <c r="E837" s="44"/>
    </row>
    <row r="838" spans="4:5" ht="15.75" customHeight="1">
      <c r="D838" s="44"/>
      <c r="E838" s="44"/>
    </row>
    <row r="839" spans="4:5" ht="15.75" customHeight="1">
      <c r="D839" s="44"/>
      <c r="E839" s="44"/>
    </row>
    <row r="840" spans="4:5" ht="15.75" customHeight="1">
      <c r="D840" s="44"/>
      <c r="E840" s="44"/>
    </row>
    <row r="841" spans="4:5" ht="15.75" customHeight="1">
      <c r="D841" s="44"/>
      <c r="E841" s="44"/>
    </row>
    <row r="842" spans="4:5" ht="15.75" customHeight="1">
      <c r="D842" s="44"/>
      <c r="E842" s="44"/>
    </row>
    <row r="843" spans="4:5" ht="15.75" customHeight="1">
      <c r="D843" s="44"/>
      <c r="E843" s="44"/>
    </row>
    <row r="844" spans="4:5" ht="15.75" customHeight="1">
      <c r="D844" s="44"/>
      <c r="E844" s="44"/>
    </row>
    <row r="845" spans="4:5" ht="15.75" customHeight="1">
      <c r="D845" s="44"/>
      <c r="E845" s="44"/>
    </row>
    <row r="846" spans="4:5" ht="15.75" customHeight="1">
      <c r="D846" s="44"/>
      <c r="E846" s="44"/>
    </row>
    <row r="847" spans="4:5" ht="15.75" customHeight="1">
      <c r="D847" s="44"/>
      <c r="E847" s="44"/>
    </row>
    <row r="848" spans="4:5" ht="15.75" customHeight="1">
      <c r="D848" s="44"/>
      <c r="E848" s="44"/>
    </row>
    <row r="849" spans="4:5" ht="15.75" customHeight="1">
      <c r="D849" s="44"/>
      <c r="E849" s="44"/>
    </row>
    <row r="850" spans="4:5" ht="15.75" customHeight="1">
      <c r="D850" s="44"/>
      <c r="E850" s="44"/>
    </row>
    <row r="851" spans="4:5" ht="15.75" customHeight="1">
      <c r="D851" s="44"/>
      <c r="E851" s="44"/>
    </row>
    <row r="852" spans="4:5" ht="15.75" customHeight="1">
      <c r="D852" s="44"/>
      <c r="E852" s="44"/>
    </row>
    <row r="853" spans="4:5" ht="15.75" customHeight="1">
      <c r="D853" s="44"/>
      <c r="E853" s="44"/>
    </row>
    <row r="854" spans="4:5" ht="15.75" customHeight="1">
      <c r="D854" s="44"/>
      <c r="E854" s="44"/>
    </row>
    <row r="855" spans="4:5" ht="15.75" customHeight="1">
      <c r="D855" s="44"/>
      <c r="E855" s="44"/>
    </row>
    <row r="856" spans="4:5" ht="15.75" customHeight="1">
      <c r="D856" s="44"/>
      <c r="E856" s="44"/>
    </row>
    <row r="857" spans="4:5" ht="15.75" customHeight="1">
      <c r="D857" s="44"/>
      <c r="E857" s="44"/>
    </row>
    <row r="858" spans="4:5" ht="15.75" customHeight="1">
      <c r="D858" s="44"/>
      <c r="E858" s="44"/>
    </row>
    <row r="859" spans="4:5" ht="15.75" customHeight="1">
      <c r="D859" s="44"/>
      <c r="E859" s="44"/>
    </row>
    <row r="860" spans="4:5" ht="15.75" customHeight="1">
      <c r="D860" s="44"/>
      <c r="E860" s="44"/>
    </row>
    <row r="861" spans="4:5" ht="15.75" customHeight="1">
      <c r="D861" s="44"/>
      <c r="E861" s="44"/>
    </row>
    <row r="862" spans="4:5" ht="15.75" customHeight="1">
      <c r="D862" s="44"/>
      <c r="E862" s="44"/>
    </row>
    <row r="863" spans="4:5" ht="15.75" customHeight="1">
      <c r="D863" s="44"/>
      <c r="E863" s="44"/>
    </row>
    <row r="864" spans="4:5" ht="15.75" customHeight="1">
      <c r="D864" s="44"/>
      <c r="E864" s="44"/>
    </row>
    <row r="865" spans="4:5" ht="15.75" customHeight="1">
      <c r="D865" s="44"/>
      <c r="E865" s="44"/>
    </row>
    <row r="866" spans="4:5" ht="15.75" customHeight="1">
      <c r="D866" s="44"/>
      <c r="E866" s="44"/>
    </row>
    <row r="867" spans="4:5" ht="15.75" customHeight="1">
      <c r="D867" s="44"/>
      <c r="E867" s="44"/>
    </row>
    <row r="868" spans="4:5" ht="15.75" customHeight="1">
      <c r="D868" s="44"/>
      <c r="E868" s="44"/>
    </row>
    <row r="869" spans="4:5" ht="15.75" customHeight="1">
      <c r="D869" s="44"/>
      <c r="E869" s="44"/>
    </row>
    <row r="870" spans="4:5" ht="15.75" customHeight="1">
      <c r="D870" s="44"/>
      <c r="E870" s="44"/>
    </row>
    <row r="871" spans="4:5" ht="15.75" customHeight="1">
      <c r="D871" s="44"/>
      <c r="E871" s="44"/>
    </row>
    <row r="872" spans="4:5" ht="15.75" customHeight="1">
      <c r="D872" s="44"/>
      <c r="E872" s="44"/>
    </row>
    <row r="873" spans="4:5" ht="15.75" customHeight="1">
      <c r="D873" s="44"/>
      <c r="E873" s="44"/>
    </row>
    <row r="874" spans="4:5" ht="15.75" customHeight="1">
      <c r="D874" s="44"/>
      <c r="E874" s="44"/>
    </row>
    <row r="875" spans="4:5" ht="15.75" customHeight="1">
      <c r="D875" s="44"/>
      <c r="E875" s="44"/>
    </row>
    <row r="876" spans="4:5" ht="15.75" customHeight="1">
      <c r="D876" s="44"/>
      <c r="E876" s="44"/>
    </row>
    <row r="877" spans="4:5" ht="15.75" customHeight="1">
      <c r="D877" s="44"/>
      <c r="E877" s="44"/>
    </row>
    <row r="878" spans="4:5" ht="15.75" customHeight="1">
      <c r="D878" s="44"/>
      <c r="E878" s="44"/>
    </row>
    <row r="879" spans="4:5" ht="15.75" customHeight="1">
      <c r="D879" s="44"/>
      <c r="E879" s="44"/>
    </row>
    <row r="880" spans="4:5" ht="15.75" customHeight="1">
      <c r="D880" s="44"/>
      <c r="E880" s="44"/>
    </row>
    <row r="881" spans="4:5" ht="15.75" customHeight="1">
      <c r="D881" s="44"/>
      <c r="E881" s="44"/>
    </row>
    <row r="882" spans="4:5" ht="15.75" customHeight="1">
      <c r="D882" s="44"/>
      <c r="E882" s="44"/>
    </row>
    <row r="883" spans="4:5" ht="15.75" customHeight="1">
      <c r="D883" s="44"/>
      <c r="E883" s="44"/>
    </row>
    <row r="884" spans="4:5" ht="15.75" customHeight="1">
      <c r="D884" s="44"/>
      <c r="E884" s="44"/>
    </row>
    <row r="885" spans="4:5" ht="15.75" customHeight="1">
      <c r="D885" s="44"/>
      <c r="E885" s="44"/>
    </row>
    <row r="886" spans="4:5" ht="15.75" customHeight="1">
      <c r="D886" s="44"/>
      <c r="E886" s="44"/>
    </row>
    <row r="887" spans="4:5" ht="15.75" customHeight="1">
      <c r="D887" s="44"/>
      <c r="E887" s="44"/>
    </row>
    <row r="888" spans="4:5" ht="15.75" customHeight="1">
      <c r="D888" s="44"/>
      <c r="E888" s="44"/>
    </row>
    <row r="889" spans="4:5" ht="15.75" customHeight="1">
      <c r="D889" s="44"/>
      <c r="E889" s="44"/>
    </row>
    <row r="890" spans="4:5" ht="15.75" customHeight="1">
      <c r="D890" s="44"/>
      <c r="E890" s="44"/>
    </row>
    <row r="891" spans="4:5" ht="15.75" customHeight="1">
      <c r="D891" s="44"/>
      <c r="E891" s="44"/>
    </row>
    <row r="892" spans="4:5" ht="15.75" customHeight="1">
      <c r="D892" s="44"/>
      <c r="E892" s="44"/>
    </row>
    <row r="893" spans="4:5" ht="15.75" customHeight="1">
      <c r="D893" s="44"/>
      <c r="E893" s="44"/>
    </row>
    <row r="894" spans="4:5" ht="15.75" customHeight="1">
      <c r="D894" s="44"/>
      <c r="E894" s="44"/>
    </row>
    <row r="895" spans="4:5" ht="15.75" customHeight="1">
      <c r="D895" s="44"/>
      <c r="E895" s="44"/>
    </row>
    <row r="896" spans="4:5" ht="15.75" customHeight="1">
      <c r="D896" s="44"/>
      <c r="E896" s="44"/>
    </row>
    <row r="897" spans="4:5" ht="15.75" customHeight="1">
      <c r="D897" s="44"/>
      <c r="E897" s="44"/>
    </row>
    <row r="898" spans="4:5" ht="15.75" customHeight="1">
      <c r="D898" s="44"/>
      <c r="E898" s="44"/>
    </row>
    <row r="899" spans="4:5" ht="15.75" customHeight="1">
      <c r="D899" s="44"/>
      <c r="E899" s="44"/>
    </row>
    <row r="900" spans="4:5" ht="15.75" customHeight="1">
      <c r="D900" s="44"/>
      <c r="E900" s="44"/>
    </row>
    <row r="901" spans="4:5" ht="15.75" customHeight="1">
      <c r="D901" s="44"/>
      <c r="E901" s="44"/>
    </row>
    <row r="902" spans="4:5" ht="15.75" customHeight="1">
      <c r="D902" s="44"/>
      <c r="E902" s="44"/>
    </row>
    <row r="903" spans="4:5" ht="15.75" customHeight="1">
      <c r="D903" s="44"/>
      <c r="E903" s="44"/>
    </row>
    <row r="904" spans="4:5" ht="15.75" customHeight="1">
      <c r="D904" s="44"/>
      <c r="E904" s="44"/>
    </row>
    <row r="905" spans="4:5" ht="15.75" customHeight="1">
      <c r="D905" s="44"/>
      <c r="E905" s="44"/>
    </row>
    <row r="906" spans="4:5" ht="15.75" customHeight="1">
      <c r="D906" s="44"/>
      <c r="E906" s="44"/>
    </row>
    <row r="907" spans="4:5" ht="15.75" customHeight="1">
      <c r="D907" s="44"/>
      <c r="E907" s="44"/>
    </row>
    <row r="908" spans="4:5" ht="15.75" customHeight="1">
      <c r="D908" s="44"/>
      <c r="E908" s="44"/>
    </row>
    <row r="909" spans="4:5" ht="15.75" customHeight="1">
      <c r="D909" s="44"/>
      <c r="E909" s="44"/>
    </row>
    <row r="910" spans="4:5" ht="15.75" customHeight="1">
      <c r="D910" s="44"/>
      <c r="E910" s="44"/>
    </row>
    <row r="911" spans="4:5" ht="15.75" customHeight="1">
      <c r="D911" s="44"/>
      <c r="E911" s="44"/>
    </row>
    <row r="912" spans="4:5" ht="15.75" customHeight="1">
      <c r="D912" s="44"/>
      <c r="E912" s="44"/>
    </row>
    <row r="913" spans="4:5" ht="15.75" customHeight="1">
      <c r="D913" s="44"/>
      <c r="E913" s="44"/>
    </row>
    <row r="914" spans="4:5" ht="15.75" customHeight="1">
      <c r="D914" s="44"/>
      <c r="E914" s="44"/>
    </row>
    <row r="915" spans="4:5" ht="15.75" customHeight="1">
      <c r="D915" s="44"/>
      <c r="E915" s="44"/>
    </row>
    <row r="916" spans="4:5" ht="15.75" customHeight="1">
      <c r="D916" s="44"/>
      <c r="E916" s="44"/>
    </row>
    <row r="917" spans="4:5" ht="15.75" customHeight="1">
      <c r="D917" s="44"/>
      <c r="E917" s="44"/>
    </row>
    <row r="918" spans="4:5" ht="15.75" customHeight="1">
      <c r="D918" s="44"/>
      <c r="E918" s="44"/>
    </row>
    <row r="919" spans="4:5" ht="15.75" customHeight="1">
      <c r="D919" s="44"/>
      <c r="E919" s="44"/>
    </row>
    <row r="920" spans="4:5" ht="15.75" customHeight="1">
      <c r="D920" s="44"/>
      <c r="E920" s="44"/>
    </row>
    <row r="921" spans="4:5" ht="15.75" customHeight="1">
      <c r="D921" s="44"/>
      <c r="E921" s="44"/>
    </row>
    <row r="922" spans="4:5" ht="15.75" customHeight="1">
      <c r="D922" s="44"/>
      <c r="E922" s="44"/>
    </row>
    <row r="923" spans="4:5" ht="15.75" customHeight="1">
      <c r="D923" s="44"/>
      <c r="E923" s="44"/>
    </row>
    <row r="924" spans="4:5" ht="15.75" customHeight="1">
      <c r="D924" s="44"/>
      <c r="E924" s="44"/>
    </row>
    <row r="925" spans="4:5" ht="15.75" customHeight="1">
      <c r="D925" s="44"/>
      <c r="E925" s="44"/>
    </row>
    <row r="926" spans="4:5" ht="15.75" customHeight="1">
      <c r="D926" s="44"/>
      <c r="E926" s="44"/>
    </row>
    <row r="927" spans="4:5" ht="15.75" customHeight="1">
      <c r="D927" s="44"/>
      <c r="E927" s="44"/>
    </row>
    <row r="928" spans="4:5" ht="15.75" customHeight="1">
      <c r="D928" s="44"/>
      <c r="E928" s="44"/>
    </row>
    <row r="929" spans="4:5" ht="15.75" customHeight="1">
      <c r="D929" s="44"/>
      <c r="E929" s="44"/>
    </row>
    <row r="930" spans="4:5" ht="15.75" customHeight="1">
      <c r="D930" s="44"/>
      <c r="E930" s="44"/>
    </row>
    <row r="931" spans="4:5" ht="15.75" customHeight="1">
      <c r="D931" s="44"/>
      <c r="E931" s="44"/>
    </row>
    <row r="932" spans="4:5" ht="15.75" customHeight="1">
      <c r="D932" s="44"/>
      <c r="E932" s="44"/>
    </row>
    <row r="933" spans="4:5" ht="15.75" customHeight="1">
      <c r="D933" s="44"/>
      <c r="E933" s="44"/>
    </row>
    <row r="934" spans="4:5" ht="15.75" customHeight="1">
      <c r="D934" s="44"/>
      <c r="E934" s="44"/>
    </row>
    <row r="935" spans="4:5" ht="15.75" customHeight="1">
      <c r="D935" s="44"/>
      <c r="E935" s="44"/>
    </row>
    <row r="936" spans="4:5" ht="15.75" customHeight="1">
      <c r="D936" s="44"/>
      <c r="E936" s="44"/>
    </row>
    <row r="937" spans="4:5" ht="15.75" customHeight="1">
      <c r="D937" s="44"/>
      <c r="E937" s="44"/>
    </row>
    <row r="938" spans="4:5" ht="15.75" customHeight="1">
      <c r="D938" s="44"/>
      <c r="E938" s="44"/>
    </row>
    <row r="939" spans="4:5" ht="15.75" customHeight="1">
      <c r="D939" s="44"/>
      <c r="E939" s="44"/>
    </row>
    <row r="940" spans="4:5" ht="15.75" customHeight="1">
      <c r="D940" s="44"/>
      <c r="E940" s="44"/>
    </row>
    <row r="941" spans="4:5" ht="15.75" customHeight="1">
      <c r="D941" s="44"/>
      <c r="E941" s="44"/>
    </row>
    <row r="942" spans="4:5" ht="15.75" customHeight="1">
      <c r="D942" s="44"/>
      <c r="E942" s="44"/>
    </row>
    <row r="943" spans="4:5" ht="15.75" customHeight="1">
      <c r="D943" s="44"/>
      <c r="E943" s="44"/>
    </row>
    <row r="944" spans="4:5" ht="15.75" customHeight="1">
      <c r="D944" s="44"/>
      <c r="E944" s="44"/>
    </row>
    <row r="945" spans="4:5" ht="15.75" customHeight="1">
      <c r="D945" s="44"/>
      <c r="E945" s="44"/>
    </row>
    <row r="946" spans="4:5" ht="15.75" customHeight="1">
      <c r="D946" s="44"/>
      <c r="E946" s="44"/>
    </row>
    <row r="947" spans="4:5" ht="15.75" customHeight="1">
      <c r="D947" s="44"/>
      <c r="E947" s="44"/>
    </row>
    <row r="948" spans="4:5" ht="15.75" customHeight="1">
      <c r="D948" s="44"/>
      <c r="E948" s="44"/>
    </row>
    <row r="949" spans="4:5" ht="15.75" customHeight="1">
      <c r="D949" s="44"/>
      <c r="E949" s="44"/>
    </row>
    <row r="950" spans="4:5" ht="15.75" customHeight="1">
      <c r="D950" s="44"/>
      <c r="E950" s="44"/>
    </row>
    <row r="951" spans="4:5" ht="15.75" customHeight="1">
      <c r="D951" s="44"/>
      <c r="E951" s="44"/>
    </row>
    <row r="952" spans="4:5" ht="15.75" customHeight="1">
      <c r="D952" s="44"/>
      <c r="E952" s="44"/>
    </row>
    <row r="953" spans="4:5" ht="15.75" customHeight="1">
      <c r="D953" s="44"/>
      <c r="E953" s="44"/>
    </row>
    <row r="954" spans="4:5" ht="15.75" customHeight="1">
      <c r="D954" s="44"/>
      <c r="E954" s="44"/>
    </row>
    <row r="955" spans="4:5" ht="15.75" customHeight="1">
      <c r="D955" s="44"/>
      <c r="E955" s="44"/>
    </row>
    <row r="956" spans="4:5" ht="15.75" customHeight="1">
      <c r="D956" s="44"/>
      <c r="E956" s="44"/>
    </row>
    <row r="957" spans="4:5" ht="15.75" customHeight="1">
      <c r="D957" s="44"/>
      <c r="E957" s="44"/>
    </row>
    <row r="958" spans="4:5" ht="15.75" customHeight="1">
      <c r="D958" s="44"/>
      <c r="E958" s="44"/>
    </row>
    <row r="959" spans="4:5" ht="15.75" customHeight="1">
      <c r="D959" s="44"/>
      <c r="E959" s="44"/>
    </row>
    <row r="960" spans="4:5" ht="15.75" customHeight="1">
      <c r="D960" s="44"/>
      <c r="E960" s="44"/>
    </row>
    <row r="961" spans="4:5" ht="15.75" customHeight="1">
      <c r="D961" s="44"/>
      <c r="E961" s="44"/>
    </row>
    <row r="962" spans="4:5" ht="15.75" customHeight="1">
      <c r="D962" s="44"/>
      <c r="E962" s="44"/>
    </row>
    <row r="963" spans="4:5" ht="15.75" customHeight="1">
      <c r="D963" s="44"/>
      <c r="E963" s="44"/>
    </row>
    <row r="964" spans="4:5" ht="15.75" customHeight="1">
      <c r="D964" s="44"/>
      <c r="E964" s="44"/>
    </row>
    <row r="965" spans="4:5" ht="15.75" customHeight="1">
      <c r="D965" s="44"/>
      <c r="E965" s="44"/>
    </row>
    <row r="966" spans="4:5" ht="15.75" customHeight="1">
      <c r="D966" s="44"/>
      <c r="E966" s="44"/>
    </row>
    <row r="967" spans="4:5" ht="15.75" customHeight="1">
      <c r="D967" s="44"/>
      <c r="E967" s="44"/>
    </row>
    <row r="968" spans="4:5" ht="15.75" customHeight="1">
      <c r="D968" s="44"/>
      <c r="E968" s="44"/>
    </row>
    <row r="969" spans="4:5" ht="15.75" customHeight="1">
      <c r="D969" s="44"/>
      <c r="E969" s="44"/>
    </row>
    <row r="970" spans="4:5" ht="15.75" customHeight="1">
      <c r="D970" s="44"/>
      <c r="E970" s="44"/>
    </row>
    <row r="971" spans="4:5" ht="15.75" customHeight="1">
      <c r="D971" s="44"/>
      <c r="E971" s="44"/>
    </row>
    <row r="972" spans="4:5" ht="15.75" customHeight="1">
      <c r="D972" s="44"/>
      <c r="E972" s="44"/>
    </row>
    <row r="973" spans="4:5" ht="15.75" customHeight="1">
      <c r="D973" s="44"/>
      <c r="E973" s="44"/>
    </row>
    <row r="974" spans="4:5" ht="15.75" customHeight="1">
      <c r="D974" s="44"/>
      <c r="E974" s="44"/>
    </row>
    <row r="975" spans="4:5" ht="15.75" customHeight="1">
      <c r="D975" s="44"/>
      <c r="E975" s="44"/>
    </row>
    <row r="976" spans="4:5" ht="15.75" customHeight="1">
      <c r="D976" s="44"/>
      <c r="E976" s="44"/>
    </row>
    <row r="977" spans="4:5" ht="15.75" customHeight="1">
      <c r="D977" s="44"/>
      <c r="E977" s="44"/>
    </row>
    <row r="978" spans="4:5" ht="15.75" customHeight="1">
      <c r="D978" s="44"/>
      <c r="E978" s="44"/>
    </row>
    <row r="979" spans="4:5" ht="15.75" customHeight="1">
      <c r="D979" s="44"/>
      <c r="E979" s="44"/>
    </row>
    <row r="980" spans="4:5" ht="15.75" customHeight="1">
      <c r="D980" s="44"/>
      <c r="E980" s="44"/>
    </row>
    <row r="981" spans="4:5" ht="15.75" customHeight="1">
      <c r="D981" s="44"/>
      <c r="E981" s="44"/>
    </row>
    <row r="982" spans="4:5" ht="15.75" customHeight="1">
      <c r="D982" s="44"/>
      <c r="E982" s="44"/>
    </row>
    <row r="983" spans="4:5" ht="15.75" customHeight="1">
      <c r="D983" s="44"/>
      <c r="E983" s="44"/>
    </row>
    <row r="984" spans="4:5" ht="15.75" customHeight="1">
      <c r="D984" s="44"/>
      <c r="E984" s="44"/>
    </row>
    <row r="985" spans="4:5" ht="15.75" customHeight="1">
      <c r="D985" s="44"/>
      <c r="E985" s="44"/>
    </row>
    <row r="986" spans="4:5" ht="15.75" customHeight="1">
      <c r="D986" s="44"/>
      <c r="E986" s="44"/>
    </row>
    <row r="987" spans="4:5" ht="15.75" customHeight="1">
      <c r="D987" s="44"/>
      <c r="E987" s="44"/>
    </row>
    <row r="988" spans="4:5" ht="15.75" customHeight="1">
      <c r="D988" s="44"/>
      <c r="E988" s="44"/>
    </row>
    <row r="989" spans="4:5" ht="15.75" customHeight="1">
      <c r="D989" s="44"/>
      <c r="E989" s="44"/>
    </row>
    <row r="990" spans="4:5" ht="15.75" customHeight="1">
      <c r="D990" s="44"/>
      <c r="E990" s="44"/>
    </row>
    <row r="991" spans="4:5" ht="15.75" customHeight="1">
      <c r="D991" s="44"/>
      <c r="E991" s="44"/>
    </row>
    <row r="992" spans="4:5" ht="15.75" customHeight="1">
      <c r="D992" s="44"/>
      <c r="E992" s="44"/>
    </row>
    <row r="993" spans="4:5" ht="15.75" customHeight="1">
      <c r="D993" s="44"/>
      <c r="E993" s="44"/>
    </row>
    <row r="994" spans="4:5" ht="15.75" customHeight="1">
      <c r="D994" s="44"/>
      <c r="E994" s="44"/>
    </row>
    <row r="995" spans="4:5" ht="15.75" customHeight="1">
      <c r="D995" s="44"/>
      <c r="E995" s="44"/>
    </row>
    <row r="996" spans="4:5" ht="15.75" customHeight="1">
      <c r="D996" s="44"/>
      <c r="E996" s="44"/>
    </row>
    <row r="997" spans="4:5" ht="15.75" customHeight="1">
      <c r="D997" s="44"/>
      <c r="E997" s="44"/>
    </row>
    <row r="998" spans="4:5" ht="15.75" customHeight="1">
      <c r="D998" s="44"/>
      <c r="E998" s="44"/>
    </row>
    <row r="999" spans="4:5" ht="15.75" customHeight="1">
      <c r="D999" s="44"/>
      <c r="E999" s="44"/>
    </row>
    <row r="1000" spans="4:5" ht="15.75" customHeight="1">
      <c r="D1000" s="44"/>
      <c r="E1000" s="44"/>
    </row>
  </sheetData>
  <autoFilter ref="A1:S178" xr:uid="{00000000-0009-0000-0000-000001000000}">
    <filterColumn colId="3">
      <filters>
        <filter val="Archer's Bow"/>
        <filter val="Assault Rifle"/>
        <filter val="Axe"/>
        <filter val="Bat"/>
        <filter val="Bowling Ball"/>
        <filter val="Boxing Gloves"/>
        <filter val="Buzzsaw"/>
        <filter val="Chainsaw"/>
        <filter val="Chopper"/>
        <filter val="Claw"/>
        <filter val="Crossbow"/>
        <filter val="Drill"/>
        <filter val="Fire Baton"/>
        <filter val="Fire Rod"/>
        <filter val="Fireworks"/>
        <filter val="Flail"/>
        <filter val="Flamethrower"/>
        <filter val="Hammer"/>
        <filter val="Hockey Stick"/>
        <filter val="Iron"/>
        <filter val="Katana"/>
        <filter val="Knife"/>
        <filter val="Lion Dance Knuckle"/>
        <filter val="Machete"/>
        <filter val="Magnum"/>
        <filter val="Motorcycle"/>
        <filter val="Nail Gun"/>
        <filter val="Pickaxe"/>
        <filter val="Pitching"/>
        <filter val="Pitching Machine"/>
        <filter val="Rocket Launcher"/>
        <filter val="Saber"/>
        <filter val="Shotgun"/>
        <filter val="Shovel"/>
        <filter val="Shuriken"/>
        <filter val="Sniper Rifle"/>
        <filter val="Spear"/>
        <filter val="Stun Gun"/>
        <filter val="Stun Rod"/>
        <filter val="Sword"/>
        <filter val="Thunder Rod"/>
        <filter val="Timber"/>
        <filter val="Welding Gun"/>
        <filter val="Yo-Yo"/>
      </filters>
    </filterColumn>
  </autoFilter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66"/>
  <sheetViews>
    <sheetView workbookViewId="0"/>
  </sheetViews>
  <sheetFormatPr defaultColWidth="12.5703125" defaultRowHeight="15" customHeight="1"/>
  <cols>
    <col min="1" max="1" width="18.28515625" customWidth="1"/>
    <col min="2" max="2" width="10.5703125" customWidth="1"/>
    <col min="3" max="3" width="15" customWidth="1"/>
  </cols>
  <sheetData>
    <row r="1" spans="1:11">
      <c r="A1" s="45" t="s">
        <v>282</v>
      </c>
      <c r="B1" s="46" t="s">
        <v>5</v>
      </c>
      <c r="C1" s="46" t="s">
        <v>8</v>
      </c>
      <c r="D1" s="47" t="s">
        <v>283</v>
      </c>
      <c r="E1" s="47" t="s">
        <v>284</v>
      </c>
    </row>
    <row r="2" spans="1:11">
      <c r="A2" s="48" t="s">
        <v>232</v>
      </c>
      <c r="B2" s="49" t="s">
        <v>70</v>
      </c>
      <c r="C2" s="49" t="s">
        <v>9</v>
      </c>
      <c r="D2" s="47">
        <v>10</v>
      </c>
      <c r="E2" s="50">
        <v>6.8000000000000005E-2</v>
      </c>
      <c r="F2" s="47">
        <v>39</v>
      </c>
      <c r="G2" s="50">
        <v>0.30199999999999999</v>
      </c>
      <c r="H2" s="51">
        <v>68</v>
      </c>
      <c r="I2" s="52">
        <v>0.39800000000000002</v>
      </c>
      <c r="J2" s="47">
        <v>97</v>
      </c>
      <c r="K2" s="50">
        <v>0.45900000000000002</v>
      </c>
    </row>
    <row r="3" spans="1:11">
      <c r="A3" s="48" t="s">
        <v>4</v>
      </c>
      <c r="B3" s="49" t="s">
        <v>72</v>
      </c>
      <c r="C3" s="49" t="s">
        <v>74</v>
      </c>
      <c r="D3" s="47">
        <v>11</v>
      </c>
      <c r="E3" s="50">
        <v>8.4000000000000005E-2</v>
      </c>
      <c r="F3" s="47">
        <v>40</v>
      </c>
      <c r="G3" s="50">
        <v>0.30599999999999999</v>
      </c>
      <c r="H3" s="47">
        <v>69</v>
      </c>
      <c r="I3" s="50">
        <v>0.4</v>
      </c>
      <c r="J3" s="47">
        <v>98</v>
      </c>
      <c r="K3" s="50">
        <v>0.46100000000000002</v>
      </c>
    </row>
    <row r="4" spans="1:11">
      <c r="A4" s="48" t="s">
        <v>152</v>
      </c>
      <c r="B4" s="49" t="s">
        <v>6</v>
      </c>
      <c r="C4" s="49" t="s">
        <v>76</v>
      </c>
      <c r="D4" s="47">
        <v>12</v>
      </c>
      <c r="E4" s="50">
        <v>9.9000000000000005E-2</v>
      </c>
      <c r="F4" s="47">
        <v>41</v>
      </c>
      <c r="G4" s="50">
        <v>0.311</v>
      </c>
      <c r="H4" s="47">
        <v>70</v>
      </c>
      <c r="I4" s="50">
        <v>0.40300000000000002</v>
      </c>
      <c r="J4" s="47">
        <v>99</v>
      </c>
      <c r="K4" s="50">
        <v>0.46200000000000002</v>
      </c>
    </row>
    <row r="5" spans="1:11">
      <c r="A5" s="48" t="s">
        <v>136</v>
      </c>
      <c r="B5" s="53"/>
      <c r="C5" s="49" t="s">
        <v>78</v>
      </c>
      <c r="D5" s="47">
        <v>13</v>
      </c>
      <c r="E5" s="50">
        <v>0.113</v>
      </c>
      <c r="F5" s="47">
        <v>42</v>
      </c>
      <c r="G5" s="50">
        <v>0.315</v>
      </c>
      <c r="H5" s="47">
        <v>71</v>
      </c>
      <c r="I5" s="50">
        <v>0.40500000000000003</v>
      </c>
      <c r="J5" s="47">
        <v>100</v>
      </c>
      <c r="K5" s="50">
        <v>0.46400000000000002</v>
      </c>
    </row>
    <row r="6" spans="1:11">
      <c r="A6" s="48" t="s">
        <v>138</v>
      </c>
      <c r="B6" s="53"/>
      <c r="C6" s="53"/>
      <c r="D6" s="47">
        <v>14</v>
      </c>
      <c r="E6" s="50">
        <v>0.126</v>
      </c>
      <c r="F6" s="51">
        <v>43</v>
      </c>
      <c r="G6" s="52">
        <v>0.31900000000000001</v>
      </c>
      <c r="H6" s="47">
        <v>72</v>
      </c>
      <c r="I6" s="50">
        <v>0.40799999999999997</v>
      </c>
      <c r="J6" s="47">
        <v>101</v>
      </c>
      <c r="K6" s="50">
        <v>0.46600000000000003</v>
      </c>
    </row>
    <row r="7" spans="1:11">
      <c r="A7" s="48" t="s">
        <v>159</v>
      </c>
      <c r="B7" s="53"/>
      <c r="C7" s="53"/>
      <c r="D7" s="47">
        <v>15</v>
      </c>
      <c r="E7" s="50">
        <v>0.13800000000000001</v>
      </c>
      <c r="F7" s="47">
        <v>44</v>
      </c>
      <c r="G7" s="50">
        <v>0.32300000000000001</v>
      </c>
      <c r="H7" s="47">
        <v>73</v>
      </c>
      <c r="I7" s="50">
        <v>0.41</v>
      </c>
      <c r="J7" s="47">
        <v>102</v>
      </c>
      <c r="K7" s="50">
        <v>0.46700000000000003</v>
      </c>
    </row>
    <row r="8" spans="1:11">
      <c r="A8" s="48" t="s">
        <v>117</v>
      </c>
      <c r="B8" s="53"/>
      <c r="C8" s="53"/>
      <c r="D8" s="47">
        <v>16</v>
      </c>
      <c r="E8" s="50">
        <v>0.14899999999999999</v>
      </c>
      <c r="F8" s="47">
        <v>45</v>
      </c>
      <c r="G8" s="50">
        <v>0.32700000000000001</v>
      </c>
      <c r="H8" s="47">
        <v>74</v>
      </c>
      <c r="I8" s="50">
        <v>0.41199999999999998</v>
      </c>
      <c r="J8" s="47">
        <v>103</v>
      </c>
      <c r="K8" s="50">
        <v>0.46899999999999997</v>
      </c>
    </row>
    <row r="9" spans="1:11">
      <c r="A9" s="48" t="s">
        <v>132</v>
      </c>
      <c r="B9" s="53"/>
      <c r="C9" s="53"/>
      <c r="D9" s="47">
        <v>17</v>
      </c>
      <c r="E9" s="50">
        <v>0.159</v>
      </c>
      <c r="F9" s="47">
        <v>46</v>
      </c>
      <c r="G9" s="50">
        <v>0.33100000000000002</v>
      </c>
      <c r="H9" s="47">
        <v>75</v>
      </c>
      <c r="I9" s="50">
        <v>0.41499999999999998</v>
      </c>
      <c r="J9" s="47">
        <v>104</v>
      </c>
      <c r="K9" s="50">
        <v>0.47099999999999997</v>
      </c>
    </row>
    <row r="10" spans="1:11">
      <c r="A10" s="48" t="s">
        <v>125</v>
      </c>
      <c r="B10" s="53"/>
      <c r="C10" s="53"/>
      <c r="D10" s="47">
        <v>18</v>
      </c>
      <c r="E10" s="50">
        <v>0.16900000000000001</v>
      </c>
      <c r="F10" s="47">
        <v>47</v>
      </c>
      <c r="G10" s="50">
        <v>0.33400000000000002</v>
      </c>
      <c r="H10" s="47">
        <v>76</v>
      </c>
      <c r="I10" s="50">
        <v>0.41699999999999998</v>
      </c>
      <c r="J10" s="47">
        <v>105</v>
      </c>
      <c r="K10" s="50">
        <v>0.47199999999999998</v>
      </c>
    </row>
    <row r="11" spans="1:11">
      <c r="A11" s="48" t="s">
        <v>127</v>
      </c>
      <c r="B11" s="53"/>
      <c r="C11" s="53"/>
      <c r="D11" s="47">
        <v>19</v>
      </c>
      <c r="E11" s="50">
        <v>0.17799999999999999</v>
      </c>
      <c r="F11" s="51">
        <v>48</v>
      </c>
      <c r="G11" s="52">
        <v>0.33800000000000002</v>
      </c>
      <c r="H11" s="47">
        <v>77</v>
      </c>
      <c r="I11" s="50">
        <v>0.41899999999999998</v>
      </c>
      <c r="J11" s="47">
        <v>106</v>
      </c>
      <c r="K11" s="50">
        <v>0.47399999999999998</v>
      </c>
    </row>
    <row r="12" spans="1:11">
      <c r="A12" s="48" t="s">
        <v>96</v>
      </c>
      <c r="B12" s="53"/>
      <c r="C12" s="53"/>
      <c r="D12" s="47">
        <v>20</v>
      </c>
      <c r="E12" s="50">
        <v>0.187</v>
      </c>
      <c r="F12" s="47">
        <v>49</v>
      </c>
      <c r="G12" s="50">
        <v>0.34100000000000003</v>
      </c>
      <c r="H12" s="51">
        <v>78</v>
      </c>
      <c r="I12" s="52">
        <v>0.42099999999999999</v>
      </c>
      <c r="J12" s="47">
        <v>107</v>
      </c>
      <c r="K12" s="50">
        <v>0.47599999999999998</v>
      </c>
    </row>
    <row r="13" spans="1:11">
      <c r="A13" s="48" t="s">
        <v>164</v>
      </c>
      <c r="B13" s="53"/>
      <c r="C13" s="53"/>
      <c r="D13" s="47">
        <v>21</v>
      </c>
      <c r="E13" s="50">
        <v>0.19600000000000001</v>
      </c>
      <c r="F13" s="47">
        <v>50</v>
      </c>
      <c r="G13" s="50">
        <v>0.34499999999999997</v>
      </c>
      <c r="H13" s="47">
        <v>79</v>
      </c>
      <c r="I13" s="50">
        <v>0.42399999999999999</v>
      </c>
      <c r="J13" s="47">
        <v>108</v>
      </c>
      <c r="K13" s="50">
        <v>0.47699999999999998</v>
      </c>
    </row>
    <row r="14" spans="1:11">
      <c r="A14" s="48" t="s">
        <v>162</v>
      </c>
      <c r="B14" s="53"/>
      <c r="C14" s="53"/>
      <c r="D14" s="47">
        <v>22</v>
      </c>
      <c r="E14" s="50">
        <v>0.20399999999999999</v>
      </c>
      <c r="F14" s="47">
        <v>51</v>
      </c>
      <c r="G14" s="50">
        <v>0.34799999999999998</v>
      </c>
      <c r="H14" s="47">
        <v>80</v>
      </c>
      <c r="I14" s="50">
        <v>0.42599999999999999</v>
      </c>
      <c r="J14" s="47">
        <v>109</v>
      </c>
      <c r="K14" s="50">
        <v>0.47899999999999998</v>
      </c>
    </row>
    <row r="15" spans="1:11">
      <c r="A15" s="48" t="s">
        <v>169</v>
      </c>
      <c r="B15" s="53"/>
      <c r="C15" s="53"/>
      <c r="D15" s="47">
        <v>23</v>
      </c>
      <c r="E15" s="50">
        <v>0.21099999999999999</v>
      </c>
      <c r="F15" s="47">
        <v>52</v>
      </c>
      <c r="G15" s="50">
        <v>0.35199999999999998</v>
      </c>
      <c r="H15" s="47">
        <v>81</v>
      </c>
      <c r="I15" s="50">
        <v>0.42799999999999999</v>
      </c>
      <c r="J15" s="51">
        <v>110</v>
      </c>
      <c r="K15" s="52">
        <v>0.48</v>
      </c>
    </row>
    <row r="16" spans="1:11">
      <c r="A16" s="48" t="s">
        <v>91</v>
      </c>
      <c r="B16" s="53"/>
      <c r="C16" s="53"/>
      <c r="D16" s="47">
        <v>24</v>
      </c>
      <c r="E16" s="50">
        <v>0.219</v>
      </c>
      <c r="F16" s="51">
        <v>53</v>
      </c>
      <c r="G16" s="52">
        <v>0.35499999999999998</v>
      </c>
      <c r="H16" s="47">
        <v>82</v>
      </c>
      <c r="I16" s="50">
        <v>0.43</v>
      </c>
      <c r="J16" s="47">
        <v>111</v>
      </c>
      <c r="K16" s="50">
        <v>0.48199999999999998</v>
      </c>
    </row>
    <row r="17" spans="1:11">
      <c r="A17" s="48" t="s">
        <v>223</v>
      </c>
      <c r="B17" s="53"/>
      <c r="C17" s="53"/>
      <c r="D17" s="47">
        <v>25</v>
      </c>
      <c r="E17" s="50">
        <v>0.22600000000000001</v>
      </c>
      <c r="F17" s="47">
        <v>54</v>
      </c>
      <c r="G17" s="50">
        <v>0.35799999999999998</v>
      </c>
      <c r="H17" s="47">
        <v>83</v>
      </c>
      <c r="I17" s="50">
        <v>0.432</v>
      </c>
      <c r="J17" s="47">
        <v>112</v>
      </c>
      <c r="K17" s="50">
        <v>0.48399999999999999</v>
      </c>
    </row>
    <row r="18" spans="1:11">
      <c r="A18" s="48" t="s">
        <v>179</v>
      </c>
      <c r="B18" s="53"/>
      <c r="C18" s="53"/>
      <c r="D18" s="47">
        <v>26</v>
      </c>
      <c r="E18" s="50">
        <v>0.23200000000000001</v>
      </c>
      <c r="F18" s="47">
        <v>55</v>
      </c>
      <c r="G18" s="50">
        <v>0.36099999999999999</v>
      </c>
      <c r="H18" s="47">
        <v>84</v>
      </c>
      <c r="I18" s="50">
        <v>0.434</v>
      </c>
      <c r="J18" s="47">
        <v>113</v>
      </c>
      <c r="K18" s="50">
        <v>0.48499999999999999</v>
      </c>
    </row>
    <row r="19" spans="1:11">
      <c r="A19" s="48" t="s">
        <v>85</v>
      </c>
      <c r="B19" s="53"/>
      <c r="C19" s="53"/>
      <c r="D19" s="47">
        <v>27</v>
      </c>
      <c r="E19" s="50">
        <v>0.23899999999999999</v>
      </c>
      <c r="F19" s="47">
        <v>56</v>
      </c>
      <c r="G19" s="50">
        <v>0.36399999999999999</v>
      </c>
      <c r="H19" s="47">
        <v>85</v>
      </c>
      <c r="I19" s="50">
        <v>0.436</v>
      </c>
      <c r="J19" s="47">
        <v>114</v>
      </c>
      <c r="K19" s="50">
        <v>0.48699999999999999</v>
      </c>
    </row>
    <row r="20" spans="1:11">
      <c r="A20" s="48" t="s">
        <v>100</v>
      </c>
      <c r="B20" s="53"/>
      <c r="C20" s="53"/>
      <c r="D20" s="47">
        <v>28</v>
      </c>
      <c r="E20" s="50">
        <v>0.245</v>
      </c>
      <c r="F20" s="47">
        <v>57</v>
      </c>
      <c r="G20" s="50">
        <v>0.36699999999999999</v>
      </c>
      <c r="H20" s="47">
        <v>86</v>
      </c>
      <c r="I20" s="50">
        <v>0.438</v>
      </c>
      <c r="J20" s="47">
        <v>115</v>
      </c>
      <c r="K20" s="50">
        <v>0.48799999999999999</v>
      </c>
    </row>
    <row r="21" spans="1:11">
      <c r="A21" s="48" t="s">
        <v>94</v>
      </c>
      <c r="B21" s="53"/>
      <c r="C21" s="53"/>
      <c r="D21" s="47">
        <v>29</v>
      </c>
      <c r="E21" s="50">
        <v>0.251</v>
      </c>
      <c r="F21" s="47">
        <v>58</v>
      </c>
      <c r="G21" s="50">
        <v>0.37</v>
      </c>
      <c r="H21" s="47">
        <v>87</v>
      </c>
      <c r="I21" s="50">
        <v>0.44</v>
      </c>
      <c r="J21" s="47">
        <v>116</v>
      </c>
      <c r="K21" s="50">
        <v>0.49</v>
      </c>
    </row>
    <row r="22" spans="1:11">
      <c r="A22" s="48" t="s">
        <v>98</v>
      </c>
      <c r="B22" s="53"/>
      <c r="C22" s="53"/>
      <c r="D22" s="47">
        <v>30</v>
      </c>
      <c r="E22" s="50">
        <v>0.25700000000000001</v>
      </c>
      <c r="F22" s="47">
        <v>59</v>
      </c>
      <c r="G22" s="50">
        <v>0.373</v>
      </c>
      <c r="H22" s="51">
        <v>88</v>
      </c>
      <c r="I22" s="52">
        <v>0.442</v>
      </c>
      <c r="J22" s="47">
        <v>117</v>
      </c>
      <c r="K22" s="50">
        <v>0.49099999999999999</v>
      </c>
    </row>
    <row r="23" spans="1:11">
      <c r="A23" s="48" t="s">
        <v>129</v>
      </c>
      <c r="B23" s="53"/>
      <c r="C23" s="53"/>
      <c r="D23" s="47">
        <v>31</v>
      </c>
      <c r="E23" s="50">
        <v>0.26300000000000001</v>
      </c>
      <c r="F23" s="47">
        <v>60</v>
      </c>
      <c r="G23" s="50">
        <v>0.376</v>
      </c>
      <c r="H23" s="47">
        <v>89</v>
      </c>
      <c r="I23" s="50">
        <v>0.44400000000000001</v>
      </c>
      <c r="J23" s="47">
        <v>118</v>
      </c>
      <c r="K23" s="50">
        <v>0.49299999999999999</v>
      </c>
    </row>
    <row r="24" spans="1:11">
      <c r="A24" s="48" t="s">
        <v>248</v>
      </c>
      <c r="B24" s="53"/>
      <c r="C24" s="53"/>
      <c r="D24" s="47">
        <v>32</v>
      </c>
      <c r="E24" s="50">
        <v>0.26800000000000002</v>
      </c>
      <c r="F24" s="47">
        <v>61</v>
      </c>
      <c r="G24" s="50">
        <v>0.379</v>
      </c>
      <c r="H24" s="47">
        <v>90</v>
      </c>
      <c r="I24" s="50">
        <v>0.44600000000000001</v>
      </c>
      <c r="J24" s="47">
        <v>119</v>
      </c>
      <c r="K24" s="50">
        <v>0.49399999999999999</v>
      </c>
    </row>
    <row r="25" spans="1:11">
      <c r="A25" s="48" t="s">
        <v>87</v>
      </c>
      <c r="B25" s="53"/>
      <c r="C25" s="53"/>
      <c r="D25" s="47">
        <v>33</v>
      </c>
      <c r="E25" s="50">
        <v>0.27300000000000002</v>
      </c>
      <c r="F25" s="47">
        <v>62</v>
      </c>
      <c r="G25" s="50">
        <v>0.38200000000000001</v>
      </c>
      <c r="H25" s="47">
        <v>91</v>
      </c>
      <c r="I25" s="50">
        <v>0.44800000000000001</v>
      </c>
      <c r="J25" s="51">
        <v>120</v>
      </c>
      <c r="K25" s="52">
        <v>0.495</v>
      </c>
    </row>
    <row r="26" spans="1:11">
      <c r="A26" s="48" t="s">
        <v>119</v>
      </c>
      <c r="B26" s="53"/>
      <c r="C26" s="53"/>
      <c r="D26" s="47">
        <v>34</v>
      </c>
      <c r="E26" s="50">
        <v>0.27900000000000003</v>
      </c>
      <c r="F26" s="47">
        <v>63</v>
      </c>
      <c r="G26" s="50">
        <v>0.38500000000000001</v>
      </c>
      <c r="H26" s="47">
        <v>92</v>
      </c>
      <c r="I26" s="50">
        <v>0.45</v>
      </c>
      <c r="J26" s="47">
        <v>121</v>
      </c>
      <c r="K26" s="50">
        <v>0.497</v>
      </c>
    </row>
    <row r="27" spans="1:11">
      <c r="A27" s="48" t="s">
        <v>166</v>
      </c>
      <c r="B27" s="53"/>
      <c r="C27" s="53"/>
      <c r="D27" s="47">
        <v>35</v>
      </c>
      <c r="E27" s="50">
        <v>0.28399999999999997</v>
      </c>
      <c r="F27" s="47">
        <v>64</v>
      </c>
      <c r="G27" s="50">
        <v>0.38700000000000001</v>
      </c>
      <c r="H27" s="47">
        <v>93</v>
      </c>
      <c r="I27" s="50">
        <v>0.45200000000000001</v>
      </c>
      <c r="J27" s="47">
        <v>122</v>
      </c>
      <c r="K27" s="50">
        <v>0.498</v>
      </c>
    </row>
    <row r="28" spans="1:11">
      <c r="A28" s="48" t="s">
        <v>176</v>
      </c>
      <c r="B28" s="53"/>
      <c r="C28" s="53"/>
      <c r="D28" s="47">
        <v>36</v>
      </c>
      <c r="E28" s="50">
        <v>0.28799999999999998</v>
      </c>
      <c r="F28" s="47">
        <v>65</v>
      </c>
      <c r="G28" s="50">
        <v>0.39</v>
      </c>
      <c r="H28" s="47">
        <v>94</v>
      </c>
      <c r="I28" s="50">
        <v>0.45300000000000001</v>
      </c>
      <c r="J28" s="51" t="s">
        <v>285</v>
      </c>
      <c r="K28" s="54">
        <v>0.5</v>
      </c>
    </row>
    <row r="29" spans="1:11">
      <c r="A29" s="48" t="s">
        <v>150</v>
      </c>
      <c r="B29" s="53"/>
      <c r="C29" s="53"/>
      <c r="D29" s="47">
        <v>37</v>
      </c>
      <c r="E29" s="50">
        <v>0.29299999999999998</v>
      </c>
      <c r="F29" s="51">
        <v>66</v>
      </c>
      <c r="G29" s="52">
        <v>0.39300000000000002</v>
      </c>
      <c r="H29" s="47">
        <v>95</v>
      </c>
      <c r="I29" s="50">
        <v>0.45500000000000002</v>
      </c>
      <c r="J29" s="55"/>
      <c r="K29" s="55"/>
    </row>
    <row r="30" spans="1:11">
      <c r="A30" s="48" t="s">
        <v>134</v>
      </c>
      <c r="B30" s="53"/>
      <c r="C30" s="53"/>
      <c r="D30" s="51">
        <v>38</v>
      </c>
      <c r="E30" s="52">
        <v>0.29799999999999999</v>
      </c>
      <c r="F30" s="47">
        <v>67</v>
      </c>
      <c r="G30" s="50">
        <v>0.39500000000000002</v>
      </c>
      <c r="H30" s="47">
        <v>96</v>
      </c>
      <c r="I30" s="50">
        <v>0.45700000000000002</v>
      </c>
      <c r="J30" s="55"/>
      <c r="K30" s="55"/>
    </row>
    <row r="31" spans="1:11">
      <c r="A31" s="48" t="s">
        <v>229</v>
      </c>
      <c r="B31" s="53"/>
      <c r="C31" s="53"/>
    </row>
    <row r="32" spans="1:11">
      <c r="A32" s="48" t="s">
        <v>141</v>
      </c>
      <c r="B32" s="53"/>
      <c r="C32" s="53"/>
      <c r="D32" s="55"/>
      <c r="E32" s="56"/>
      <c r="F32" s="56"/>
      <c r="G32" s="56"/>
      <c r="H32" s="56"/>
      <c r="I32" s="56"/>
      <c r="J32" s="56"/>
      <c r="K32" s="56"/>
    </row>
    <row r="33" spans="1:11">
      <c r="A33" s="48" t="s">
        <v>89</v>
      </c>
      <c r="B33" s="53"/>
      <c r="C33" s="53"/>
      <c r="D33" s="56"/>
      <c r="E33" s="56"/>
      <c r="F33" s="56"/>
      <c r="G33" s="56"/>
      <c r="H33" s="56"/>
      <c r="I33" s="56"/>
      <c r="J33" s="56"/>
      <c r="K33" s="56"/>
    </row>
    <row r="34" spans="1:11">
      <c r="A34" s="48" t="s">
        <v>154</v>
      </c>
      <c r="B34" s="53"/>
      <c r="C34" s="53"/>
      <c r="D34" s="56"/>
      <c r="E34" s="56"/>
      <c r="F34" s="56"/>
      <c r="G34" s="56"/>
      <c r="H34" s="56"/>
      <c r="I34" s="56"/>
      <c r="J34" s="56"/>
      <c r="K34" s="56"/>
    </row>
    <row r="35" spans="1:11">
      <c r="A35" s="48" t="s">
        <v>157</v>
      </c>
      <c r="B35" s="53"/>
      <c r="C35" s="53"/>
      <c r="D35" s="56"/>
      <c r="E35" s="56"/>
      <c r="F35" s="56"/>
      <c r="G35" s="56"/>
      <c r="H35" s="56"/>
      <c r="I35" s="56"/>
      <c r="J35" s="56"/>
      <c r="K35" s="56"/>
    </row>
    <row r="36" spans="1:11">
      <c r="A36" s="48" t="s">
        <v>187</v>
      </c>
      <c r="B36" s="53"/>
      <c r="C36" s="53"/>
      <c r="D36" s="56"/>
      <c r="E36" s="56"/>
      <c r="F36" s="56"/>
      <c r="G36" s="56"/>
      <c r="H36" s="56"/>
      <c r="I36" s="56"/>
      <c r="J36" s="56"/>
      <c r="K36" s="56"/>
    </row>
    <row r="37" spans="1:11">
      <c r="A37" s="48" t="s">
        <v>114</v>
      </c>
      <c r="B37" s="53"/>
      <c r="C37" s="53"/>
      <c r="D37" s="56"/>
      <c r="E37" s="56"/>
      <c r="F37" s="56"/>
      <c r="G37" s="56"/>
      <c r="H37" s="56"/>
      <c r="I37" s="56"/>
      <c r="J37" s="56"/>
      <c r="K37" s="56"/>
    </row>
    <row r="38" spans="1:11">
      <c r="A38" s="48" t="s">
        <v>211</v>
      </c>
      <c r="B38" s="53"/>
      <c r="C38" s="53"/>
      <c r="D38" s="56"/>
      <c r="E38" s="56"/>
      <c r="F38" s="56"/>
      <c r="G38" s="56"/>
      <c r="H38" s="56"/>
      <c r="I38" s="56"/>
      <c r="J38" s="56"/>
      <c r="K38" s="56"/>
    </row>
    <row r="39" spans="1:11">
      <c r="A39" s="48" t="s">
        <v>245</v>
      </c>
      <c r="B39" s="53"/>
      <c r="C39" s="53"/>
      <c r="D39" s="56"/>
      <c r="E39" s="56"/>
      <c r="F39" s="56"/>
      <c r="G39" s="56"/>
      <c r="H39" s="56"/>
      <c r="I39" s="56"/>
      <c r="J39" s="56"/>
      <c r="K39" s="56"/>
    </row>
    <row r="40" spans="1:11">
      <c r="A40" s="48" t="s">
        <v>185</v>
      </c>
      <c r="B40" s="53"/>
      <c r="C40" s="53"/>
      <c r="D40" s="56"/>
      <c r="E40" s="56"/>
      <c r="F40" s="56"/>
      <c r="G40" s="56"/>
      <c r="H40" s="56"/>
      <c r="I40" s="56"/>
      <c r="J40" s="56"/>
      <c r="K40" s="56"/>
    </row>
    <row r="41" spans="1:11">
      <c r="A41" s="48" t="s">
        <v>121</v>
      </c>
      <c r="B41" s="53"/>
      <c r="C41" s="53"/>
      <c r="D41" s="56"/>
      <c r="E41" s="56"/>
      <c r="F41" s="56"/>
      <c r="G41" s="56"/>
      <c r="H41" s="56"/>
      <c r="I41" s="56"/>
      <c r="J41" s="56"/>
      <c r="K41" s="56"/>
    </row>
    <row r="42" spans="1:11">
      <c r="A42" s="48" t="s">
        <v>189</v>
      </c>
      <c r="B42" s="53"/>
      <c r="C42" s="53"/>
      <c r="D42" s="56"/>
      <c r="E42" s="56"/>
      <c r="F42" s="56"/>
      <c r="G42" s="56"/>
      <c r="H42" s="56"/>
      <c r="I42" s="56"/>
      <c r="J42" s="56"/>
      <c r="K42" s="56"/>
    </row>
    <row r="43" spans="1:11">
      <c r="A43" s="48" t="s">
        <v>242</v>
      </c>
      <c r="B43" s="53"/>
      <c r="C43" s="53"/>
      <c r="D43" s="56"/>
      <c r="E43" s="56"/>
      <c r="F43" s="56"/>
      <c r="G43" s="56"/>
      <c r="H43" s="56"/>
      <c r="I43" s="56"/>
      <c r="J43" s="56"/>
      <c r="K43" s="56"/>
    </row>
    <row r="44" spans="1:11">
      <c r="A44" s="48" t="s">
        <v>172</v>
      </c>
      <c r="B44" s="53"/>
      <c r="C44" s="53"/>
      <c r="D44" s="53"/>
      <c r="E44" s="53"/>
      <c r="F44" s="53"/>
      <c r="G44" s="53"/>
      <c r="H44" s="53"/>
      <c r="I44" s="53"/>
      <c r="J44" s="53"/>
      <c r="K44" s="53"/>
    </row>
    <row r="45" spans="1:11">
      <c r="A45" s="48" t="s">
        <v>255</v>
      </c>
      <c r="B45" s="53"/>
      <c r="C45" s="53"/>
      <c r="D45" s="53"/>
      <c r="E45" s="53"/>
      <c r="F45" s="53"/>
      <c r="G45" s="53"/>
      <c r="H45" s="53"/>
      <c r="I45" s="53"/>
      <c r="J45" s="53"/>
      <c r="K45" s="53"/>
    </row>
    <row r="46" spans="1:11">
      <c r="B46" s="57"/>
      <c r="C46" s="57"/>
    </row>
    <row r="47" spans="1:11">
      <c r="B47" s="57"/>
      <c r="C47" s="57"/>
    </row>
    <row r="48" spans="1:11">
      <c r="B48" s="57"/>
      <c r="C48" s="57"/>
    </row>
    <row r="49" spans="2:3">
      <c r="B49" s="57"/>
      <c r="C49" s="57"/>
    </row>
    <row r="50" spans="2:3">
      <c r="B50" s="57"/>
      <c r="C50" s="57"/>
    </row>
    <row r="51" spans="2:3">
      <c r="B51" s="57"/>
      <c r="C51" s="57"/>
    </row>
    <row r="52" spans="2:3">
      <c r="B52" s="57"/>
      <c r="C52" s="57"/>
    </row>
    <row r="53" spans="2:3">
      <c r="B53" s="57"/>
      <c r="C53" s="57"/>
    </row>
    <row r="54" spans="2:3">
      <c r="B54" s="57"/>
      <c r="C54" s="57"/>
    </row>
    <row r="55" spans="2:3">
      <c r="B55" s="57"/>
      <c r="C55" s="57"/>
    </row>
    <row r="56" spans="2:3">
      <c r="B56" s="57"/>
      <c r="C56" s="57"/>
    </row>
    <row r="57" spans="2:3">
      <c r="B57" s="57"/>
      <c r="C57" s="57"/>
    </row>
    <row r="58" spans="2:3">
      <c r="B58" s="57"/>
      <c r="C58" s="57"/>
    </row>
    <row r="59" spans="2:3">
      <c r="B59" s="57"/>
      <c r="C59" s="57"/>
    </row>
    <row r="60" spans="2:3">
      <c r="B60" s="57"/>
      <c r="C60" s="57"/>
    </row>
    <row r="61" spans="2:3">
      <c r="B61" s="57"/>
      <c r="C61" s="57"/>
    </row>
    <row r="62" spans="2:3">
      <c r="B62" s="57"/>
      <c r="C62" s="57"/>
    </row>
    <row r="63" spans="2:3">
      <c r="B63" s="57"/>
      <c r="C63" s="57"/>
    </row>
    <row r="64" spans="2:3">
      <c r="B64" s="57"/>
      <c r="C64" s="57"/>
    </row>
    <row r="65" spans="2:3">
      <c r="B65" s="57"/>
      <c r="C65" s="57"/>
    </row>
    <row r="66" spans="2:3">
      <c r="B66" s="57"/>
      <c r="C66" s="57"/>
    </row>
    <row r="67" spans="2:3">
      <c r="B67" s="57"/>
      <c r="C67" s="57"/>
    </row>
    <row r="68" spans="2:3">
      <c r="B68" s="57"/>
      <c r="C68" s="57"/>
    </row>
    <row r="69" spans="2:3">
      <c r="B69" s="57"/>
      <c r="C69" s="57"/>
    </row>
    <row r="70" spans="2:3">
      <c r="B70" s="57"/>
      <c r="C70" s="57"/>
    </row>
    <row r="71" spans="2:3">
      <c r="B71" s="57"/>
      <c r="C71" s="57"/>
    </row>
    <row r="72" spans="2:3">
      <c r="B72" s="57"/>
      <c r="C72" s="57"/>
    </row>
    <row r="73" spans="2:3">
      <c r="B73" s="57"/>
      <c r="C73" s="57"/>
    </row>
    <row r="74" spans="2:3">
      <c r="B74" s="57"/>
      <c r="C74" s="57"/>
    </row>
    <row r="75" spans="2:3">
      <c r="B75" s="57"/>
      <c r="C75" s="57"/>
    </row>
    <row r="76" spans="2:3">
      <c r="B76" s="57"/>
      <c r="C76" s="57"/>
    </row>
    <row r="77" spans="2:3">
      <c r="B77" s="57"/>
      <c r="C77" s="57"/>
    </row>
    <row r="78" spans="2:3">
      <c r="B78" s="57"/>
      <c r="C78" s="57"/>
    </row>
    <row r="79" spans="2:3">
      <c r="B79" s="57"/>
      <c r="C79" s="57"/>
    </row>
    <row r="80" spans="2:3">
      <c r="B80" s="57"/>
      <c r="C80" s="57"/>
    </row>
    <row r="81" spans="2:3">
      <c r="B81" s="57"/>
      <c r="C81" s="57"/>
    </row>
    <row r="82" spans="2:3">
      <c r="B82" s="57"/>
      <c r="C82" s="57"/>
    </row>
    <row r="83" spans="2:3">
      <c r="B83" s="57"/>
      <c r="C83" s="57"/>
    </row>
    <row r="84" spans="2:3">
      <c r="B84" s="57"/>
      <c r="C84" s="57"/>
    </row>
    <row r="85" spans="2:3">
      <c r="B85" s="57"/>
      <c r="C85" s="57"/>
    </row>
    <row r="86" spans="2:3">
      <c r="B86" s="57"/>
      <c r="C86" s="57"/>
    </row>
    <row r="87" spans="2:3">
      <c r="B87" s="57"/>
      <c r="C87" s="57"/>
    </row>
    <row r="88" spans="2:3">
      <c r="B88" s="57"/>
      <c r="C88" s="57"/>
    </row>
    <row r="89" spans="2:3">
      <c r="B89" s="57"/>
      <c r="C89" s="57"/>
    </row>
    <row r="90" spans="2:3">
      <c r="B90" s="57"/>
      <c r="C90" s="57"/>
    </row>
    <row r="91" spans="2:3">
      <c r="B91" s="57"/>
      <c r="C91" s="57"/>
    </row>
    <row r="92" spans="2:3">
      <c r="B92" s="57"/>
      <c r="C92" s="57"/>
    </row>
    <row r="93" spans="2:3">
      <c r="B93" s="57"/>
      <c r="C93" s="57"/>
    </row>
    <row r="94" spans="2:3">
      <c r="B94" s="57"/>
      <c r="C94" s="57"/>
    </row>
    <row r="95" spans="2:3">
      <c r="B95" s="57"/>
      <c r="C95" s="57"/>
    </row>
    <row r="96" spans="2:3">
      <c r="B96" s="57"/>
      <c r="C96" s="57"/>
    </row>
    <row r="97" spans="2:3">
      <c r="B97" s="57"/>
      <c r="C97" s="57"/>
    </row>
    <row r="98" spans="2:3">
      <c r="B98" s="57"/>
      <c r="C98" s="57"/>
    </row>
    <row r="99" spans="2:3">
      <c r="B99" s="57"/>
      <c r="C99" s="57"/>
    </row>
    <row r="100" spans="2:3">
      <c r="B100" s="57"/>
      <c r="C100" s="57"/>
    </row>
    <row r="101" spans="2:3">
      <c r="B101" s="57"/>
      <c r="C101" s="57"/>
    </row>
    <row r="102" spans="2:3">
      <c r="B102" s="57"/>
      <c r="C102" s="57"/>
    </row>
    <row r="103" spans="2:3">
      <c r="B103" s="57"/>
      <c r="C103" s="57"/>
    </row>
    <row r="104" spans="2:3">
      <c r="B104" s="57"/>
      <c r="C104" s="57"/>
    </row>
    <row r="105" spans="2:3">
      <c r="B105" s="57"/>
      <c r="C105" s="57"/>
    </row>
    <row r="106" spans="2:3">
      <c r="B106" s="57"/>
      <c r="C106" s="57"/>
    </row>
    <row r="107" spans="2:3">
      <c r="B107" s="57"/>
      <c r="C107" s="57"/>
    </row>
    <row r="108" spans="2:3">
      <c r="B108" s="57"/>
      <c r="C108" s="57"/>
    </row>
    <row r="109" spans="2:3">
      <c r="B109" s="57"/>
      <c r="C109" s="57"/>
    </row>
    <row r="110" spans="2:3">
      <c r="B110" s="57"/>
      <c r="C110" s="57"/>
    </row>
    <row r="111" spans="2:3">
      <c r="B111" s="57"/>
      <c r="C111" s="57"/>
    </row>
    <row r="112" spans="2:3">
      <c r="B112" s="57"/>
      <c r="C112" s="57"/>
    </row>
    <row r="113" spans="2:3">
      <c r="B113" s="57"/>
      <c r="C113" s="57"/>
    </row>
    <row r="114" spans="2:3">
      <c r="B114" s="57"/>
      <c r="C114" s="57"/>
    </row>
    <row r="115" spans="2:3">
      <c r="B115" s="57"/>
      <c r="C115" s="57"/>
    </row>
    <row r="116" spans="2:3">
      <c r="B116" s="57"/>
      <c r="C116" s="57"/>
    </row>
    <row r="117" spans="2:3">
      <c r="B117" s="57"/>
      <c r="C117" s="57"/>
    </row>
    <row r="118" spans="2:3">
      <c r="B118" s="57"/>
      <c r="C118" s="57"/>
    </row>
    <row r="119" spans="2:3">
      <c r="B119" s="57"/>
      <c r="C119" s="57"/>
    </row>
    <row r="120" spans="2:3">
      <c r="B120" s="57"/>
      <c r="C120" s="57"/>
    </row>
    <row r="121" spans="2:3">
      <c r="B121" s="57"/>
      <c r="C121" s="57"/>
    </row>
    <row r="122" spans="2:3">
      <c r="B122" s="57"/>
      <c r="C122" s="57"/>
    </row>
    <row r="123" spans="2:3">
      <c r="B123" s="57"/>
      <c r="C123" s="57"/>
    </row>
    <row r="124" spans="2:3">
      <c r="B124" s="57"/>
      <c r="C124" s="57"/>
    </row>
    <row r="125" spans="2:3">
      <c r="B125" s="57"/>
      <c r="C125" s="57"/>
    </row>
    <row r="126" spans="2:3">
      <c r="B126" s="57"/>
      <c r="C126" s="57"/>
    </row>
    <row r="127" spans="2:3">
      <c r="B127" s="57"/>
      <c r="C127" s="57"/>
    </row>
    <row r="128" spans="2:3">
      <c r="B128" s="57"/>
      <c r="C128" s="57"/>
    </row>
    <row r="129" spans="2:3">
      <c r="B129" s="57"/>
      <c r="C129" s="57"/>
    </row>
    <row r="130" spans="2:3">
      <c r="B130" s="57"/>
      <c r="C130" s="57"/>
    </row>
    <row r="131" spans="2:3">
      <c r="B131" s="57"/>
      <c r="C131" s="57"/>
    </row>
    <row r="132" spans="2:3">
      <c r="B132" s="57"/>
      <c r="C132" s="57"/>
    </row>
    <row r="133" spans="2:3">
      <c r="B133" s="57"/>
      <c r="C133" s="57"/>
    </row>
    <row r="134" spans="2:3">
      <c r="B134" s="57"/>
      <c r="C134" s="57"/>
    </row>
    <row r="135" spans="2:3">
      <c r="B135" s="57"/>
      <c r="C135" s="57"/>
    </row>
    <row r="136" spans="2:3">
      <c r="B136" s="57"/>
      <c r="C136" s="57"/>
    </row>
    <row r="137" spans="2:3">
      <c r="B137" s="57"/>
      <c r="C137" s="57"/>
    </row>
    <row r="138" spans="2:3">
      <c r="B138" s="57"/>
      <c r="C138" s="57"/>
    </row>
    <row r="139" spans="2:3">
      <c r="B139" s="57"/>
      <c r="C139" s="57"/>
    </row>
    <row r="140" spans="2:3">
      <c r="B140" s="57"/>
      <c r="C140" s="57"/>
    </row>
    <row r="141" spans="2:3">
      <c r="B141" s="57"/>
      <c r="C141" s="57"/>
    </row>
    <row r="142" spans="2:3">
      <c r="B142" s="57"/>
      <c r="C142" s="57"/>
    </row>
    <row r="143" spans="2:3">
      <c r="B143" s="57"/>
      <c r="C143" s="57"/>
    </row>
    <row r="144" spans="2:3">
      <c r="B144" s="57"/>
      <c r="C144" s="57"/>
    </row>
    <row r="145" spans="2:3">
      <c r="B145" s="57"/>
      <c r="C145" s="57"/>
    </row>
    <row r="146" spans="2:3">
      <c r="B146" s="57"/>
      <c r="C146" s="57"/>
    </row>
    <row r="147" spans="2:3">
      <c r="B147" s="57"/>
      <c r="C147" s="57"/>
    </row>
    <row r="148" spans="2:3">
      <c r="B148" s="57"/>
      <c r="C148" s="57"/>
    </row>
    <row r="149" spans="2:3">
      <c r="B149" s="57"/>
      <c r="C149" s="57"/>
    </row>
    <row r="150" spans="2:3">
      <c r="B150" s="57"/>
      <c r="C150" s="57"/>
    </row>
    <row r="151" spans="2:3">
      <c r="B151" s="57"/>
      <c r="C151" s="57"/>
    </row>
    <row r="152" spans="2:3">
      <c r="B152" s="57"/>
      <c r="C152" s="57"/>
    </row>
    <row r="153" spans="2:3">
      <c r="B153" s="57"/>
      <c r="C153" s="57"/>
    </row>
    <row r="154" spans="2:3">
      <c r="B154" s="57"/>
      <c r="C154" s="57"/>
    </row>
    <row r="155" spans="2:3">
      <c r="B155" s="57"/>
      <c r="C155" s="57"/>
    </row>
    <row r="156" spans="2:3">
      <c r="B156" s="57"/>
      <c r="C156" s="57"/>
    </row>
    <row r="157" spans="2:3">
      <c r="B157" s="57"/>
      <c r="C157" s="57"/>
    </row>
    <row r="158" spans="2:3">
      <c r="B158" s="57"/>
      <c r="C158" s="57"/>
    </row>
    <row r="159" spans="2:3">
      <c r="B159" s="57"/>
      <c r="C159" s="57"/>
    </row>
    <row r="160" spans="2:3">
      <c r="B160" s="57"/>
      <c r="C160" s="57"/>
    </row>
    <row r="161" spans="2:3">
      <c r="B161" s="57"/>
      <c r="C161" s="57"/>
    </row>
    <row r="162" spans="2:3">
      <c r="B162" s="57"/>
      <c r="C162" s="57"/>
    </row>
    <row r="163" spans="2:3">
      <c r="B163" s="57"/>
      <c r="C163" s="57"/>
    </row>
    <row r="164" spans="2:3">
      <c r="B164" s="57"/>
      <c r="C164" s="57"/>
    </row>
    <row r="165" spans="2:3">
      <c r="B165" s="57"/>
      <c r="C165" s="57"/>
    </row>
    <row r="166" spans="2:3">
      <c r="B166" s="57"/>
      <c r="C166" s="57"/>
    </row>
    <row r="167" spans="2:3">
      <c r="B167" s="57"/>
      <c r="C167" s="57"/>
    </row>
    <row r="168" spans="2:3">
      <c r="B168" s="57"/>
      <c r="C168" s="57"/>
    </row>
    <row r="169" spans="2:3">
      <c r="B169" s="57"/>
      <c r="C169" s="57"/>
    </row>
    <row r="170" spans="2:3">
      <c r="B170" s="57"/>
      <c r="C170" s="57"/>
    </row>
    <row r="171" spans="2:3">
      <c r="B171" s="57"/>
      <c r="C171" s="57"/>
    </row>
    <row r="172" spans="2:3">
      <c r="B172" s="57"/>
      <c r="C172" s="57"/>
    </row>
    <row r="173" spans="2:3">
      <c r="B173" s="57"/>
      <c r="C173" s="57"/>
    </row>
    <row r="174" spans="2:3">
      <c r="B174" s="57"/>
      <c r="C174" s="57"/>
    </row>
    <row r="175" spans="2:3">
      <c r="B175" s="57"/>
      <c r="C175" s="57"/>
    </row>
    <row r="176" spans="2:3">
      <c r="B176" s="57"/>
      <c r="C176" s="57"/>
    </row>
    <row r="177" spans="2:3">
      <c r="B177" s="57"/>
      <c r="C177" s="57"/>
    </row>
    <row r="178" spans="2:3">
      <c r="B178" s="57"/>
      <c r="C178" s="57"/>
    </row>
    <row r="179" spans="2:3">
      <c r="B179" s="57"/>
      <c r="C179" s="57"/>
    </row>
    <row r="180" spans="2:3">
      <c r="B180" s="57"/>
      <c r="C180" s="57"/>
    </row>
    <row r="181" spans="2:3">
      <c r="B181" s="57"/>
      <c r="C181" s="57"/>
    </row>
    <row r="182" spans="2:3">
      <c r="B182" s="57"/>
      <c r="C182" s="57"/>
    </row>
    <row r="183" spans="2:3">
      <c r="B183" s="57"/>
      <c r="C183" s="57"/>
    </row>
    <row r="184" spans="2:3">
      <c r="B184" s="57"/>
      <c r="C184" s="57"/>
    </row>
    <row r="185" spans="2:3">
      <c r="B185" s="57"/>
      <c r="C185" s="57"/>
    </row>
    <row r="186" spans="2:3">
      <c r="B186" s="57"/>
      <c r="C186" s="57"/>
    </row>
    <row r="187" spans="2:3">
      <c r="B187" s="57"/>
      <c r="C187" s="57"/>
    </row>
    <row r="188" spans="2:3">
      <c r="B188" s="57"/>
      <c r="C188" s="57"/>
    </row>
    <row r="189" spans="2:3">
      <c r="B189" s="57"/>
      <c r="C189" s="57"/>
    </row>
    <row r="190" spans="2:3">
      <c r="B190" s="57"/>
      <c r="C190" s="57"/>
    </row>
    <row r="191" spans="2:3">
      <c r="B191" s="57"/>
      <c r="C191" s="57"/>
    </row>
    <row r="192" spans="2:3">
      <c r="B192" s="57"/>
      <c r="C192" s="57"/>
    </row>
    <row r="193" spans="2:3">
      <c r="B193" s="57"/>
      <c r="C193" s="57"/>
    </row>
    <row r="194" spans="2:3">
      <c r="B194" s="57"/>
      <c r="C194" s="57"/>
    </row>
    <row r="195" spans="2:3">
      <c r="B195" s="57"/>
      <c r="C195" s="57"/>
    </row>
    <row r="196" spans="2:3">
      <c r="B196" s="57"/>
      <c r="C196" s="57"/>
    </row>
    <row r="197" spans="2:3">
      <c r="B197" s="57"/>
      <c r="C197" s="57"/>
    </row>
    <row r="198" spans="2:3">
      <c r="B198" s="57"/>
      <c r="C198" s="57"/>
    </row>
    <row r="199" spans="2:3">
      <c r="B199" s="57"/>
      <c r="C199" s="57"/>
    </row>
    <row r="200" spans="2:3">
      <c r="B200" s="57"/>
      <c r="C200" s="57"/>
    </row>
    <row r="201" spans="2:3">
      <c r="B201" s="57"/>
      <c r="C201" s="57"/>
    </row>
    <row r="202" spans="2:3">
      <c r="B202" s="57"/>
      <c r="C202" s="57"/>
    </row>
    <row r="203" spans="2:3">
      <c r="B203" s="57"/>
      <c r="C203" s="57"/>
    </row>
    <row r="204" spans="2:3">
      <c r="B204" s="57"/>
      <c r="C204" s="57"/>
    </row>
    <row r="205" spans="2:3">
      <c r="B205" s="57"/>
      <c r="C205" s="57"/>
    </row>
    <row r="206" spans="2:3">
      <c r="B206" s="57"/>
      <c r="C206" s="57"/>
    </row>
    <row r="207" spans="2:3">
      <c r="B207" s="57"/>
      <c r="C207" s="57"/>
    </row>
    <row r="208" spans="2:3">
      <c r="B208" s="57"/>
      <c r="C208" s="57"/>
    </row>
    <row r="209" spans="2:3">
      <c r="B209" s="57"/>
      <c r="C209" s="57"/>
    </row>
    <row r="210" spans="2:3">
      <c r="B210" s="57"/>
      <c r="C210" s="57"/>
    </row>
    <row r="211" spans="2:3">
      <c r="B211" s="57"/>
      <c r="C211" s="57"/>
    </row>
    <row r="212" spans="2:3">
      <c r="B212" s="57"/>
      <c r="C212" s="57"/>
    </row>
    <row r="213" spans="2:3">
      <c r="B213" s="57"/>
      <c r="C213" s="57"/>
    </row>
    <row r="214" spans="2:3">
      <c r="B214" s="57"/>
      <c r="C214" s="57"/>
    </row>
    <row r="215" spans="2:3">
      <c r="B215" s="57"/>
      <c r="C215" s="57"/>
    </row>
    <row r="216" spans="2:3">
      <c r="B216" s="57"/>
      <c r="C216" s="57"/>
    </row>
    <row r="217" spans="2:3">
      <c r="B217" s="57"/>
      <c r="C217" s="57"/>
    </row>
    <row r="218" spans="2:3">
      <c r="B218" s="57"/>
      <c r="C218" s="57"/>
    </row>
    <row r="219" spans="2:3">
      <c r="B219" s="57"/>
      <c r="C219" s="57"/>
    </row>
    <row r="220" spans="2:3">
      <c r="B220" s="57"/>
      <c r="C220" s="57"/>
    </row>
    <row r="221" spans="2:3">
      <c r="B221" s="57"/>
      <c r="C221" s="57"/>
    </row>
    <row r="222" spans="2:3">
      <c r="B222" s="57"/>
      <c r="C222" s="57"/>
    </row>
    <row r="223" spans="2:3">
      <c r="B223" s="57"/>
      <c r="C223" s="57"/>
    </row>
    <row r="224" spans="2:3">
      <c r="B224" s="57"/>
      <c r="C224" s="57"/>
    </row>
    <row r="225" spans="2:3">
      <c r="B225" s="57"/>
      <c r="C225" s="57"/>
    </row>
    <row r="226" spans="2:3">
      <c r="B226" s="57"/>
      <c r="C226" s="57"/>
    </row>
    <row r="227" spans="2:3">
      <c r="B227" s="57"/>
      <c r="C227" s="57"/>
    </row>
    <row r="228" spans="2:3">
      <c r="B228" s="57"/>
      <c r="C228" s="57"/>
    </row>
    <row r="229" spans="2:3">
      <c r="B229" s="57"/>
      <c r="C229" s="57"/>
    </row>
    <row r="230" spans="2:3">
      <c r="B230" s="57"/>
      <c r="C230" s="57"/>
    </row>
    <row r="231" spans="2:3">
      <c r="B231" s="57"/>
      <c r="C231" s="57"/>
    </row>
    <row r="232" spans="2:3">
      <c r="B232" s="57"/>
      <c r="C232" s="57"/>
    </row>
    <row r="233" spans="2:3">
      <c r="B233" s="57"/>
      <c r="C233" s="57"/>
    </row>
    <row r="234" spans="2:3">
      <c r="B234" s="57"/>
      <c r="C234" s="57"/>
    </row>
    <row r="235" spans="2:3">
      <c r="B235" s="57"/>
      <c r="C235" s="57"/>
    </row>
    <row r="236" spans="2:3">
      <c r="B236" s="57"/>
      <c r="C236" s="57"/>
    </row>
    <row r="237" spans="2:3">
      <c r="B237" s="57"/>
      <c r="C237" s="57"/>
    </row>
    <row r="238" spans="2:3">
      <c r="B238" s="57"/>
      <c r="C238" s="57"/>
    </row>
    <row r="239" spans="2:3">
      <c r="B239" s="57"/>
      <c r="C239" s="57"/>
    </row>
    <row r="240" spans="2:3">
      <c r="B240" s="57"/>
      <c r="C240" s="57"/>
    </row>
    <row r="241" spans="2:3">
      <c r="B241" s="57"/>
      <c r="C241" s="57"/>
    </row>
    <row r="242" spans="2:3">
      <c r="B242" s="57"/>
      <c r="C242" s="57"/>
    </row>
    <row r="243" spans="2:3">
      <c r="B243" s="57"/>
      <c r="C243" s="57"/>
    </row>
    <row r="244" spans="2:3">
      <c r="B244" s="57"/>
      <c r="C244" s="57"/>
    </row>
    <row r="245" spans="2:3">
      <c r="B245" s="57"/>
      <c r="C245" s="57"/>
    </row>
    <row r="246" spans="2:3">
      <c r="B246" s="57"/>
      <c r="C246" s="57"/>
    </row>
    <row r="247" spans="2:3">
      <c r="B247" s="57"/>
      <c r="C247" s="57"/>
    </row>
    <row r="248" spans="2:3">
      <c r="B248" s="57"/>
      <c r="C248" s="57"/>
    </row>
    <row r="249" spans="2:3">
      <c r="B249" s="57"/>
      <c r="C249" s="57"/>
    </row>
    <row r="250" spans="2:3">
      <c r="B250" s="57"/>
      <c r="C250" s="57"/>
    </row>
    <row r="251" spans="2:3">
      <c r="B251" s="57"/>
      <c r="C251" s="57"/>
    </row>
    <row r="252" spans="2:3">
      <c r="B252" s="57"/>
      <c r="C252" s="57"/>
    </row>
    <row r="253" spans="2:3">
      <c r="B253" s="57"/>
      <c r="C253" s="57"/>
    </row>
    <row r="254" spans="2:3">
      <c r="B254" s="57"/>
      <c r="C254" s="57"/>
    </row>
    <row r="255" spans="2:3">
      <c r="B255" s="57"/>
      <c r="C255" s="57"/>
    </row>
    <row r="256" spans="2:3">
      <c r="B256" s="57"/>
      <c r="C256" s="57"/>
    </row>
    <row r="257" spans="2:3">
      <c r="B257" s="57"/>
      <c r="C257" s="57"/>
    </row>
    <row r="258" spans="2:3">
      <c r="B258" s="57"/>
      <c r="C258" s="57"/>
    </row>
    <row r="259" spans="2:3">
      <c r="B259" s="57"/>
      <c r="C259" s="57"/>
    </row>
    <row r="260" spans="2:3">
      <c r="B260" s="57"/>
      <c r="C260" s="57"/>
    </row>
    <row r="261" spans="2:3">
      <c r="B261" s="57"/>
      <c r="C261" s="57"/>
    </row>
    <row r="262" spans="2:3">
      <c r="B262" s="57"/>
      <c r="C262" s="57"/>
    </row>
    <row r="263" spans="2:3">
      <c r="B263" s="57"/>
      <c r="C263" s="57"/>
    </row>
    <row r="264" spans="2:3">
      <c r="B264" s="57"/>
      <c r="C264" s="57"/>
    </row>
    <row r="265" spans="2:3">
      <c r="B265" s="57"/>
      <c r="C265" s="57"/>
    </row>
    <row r="266" spans="2:3">
      <c r="B266" s="57"/>
      <c r="C266" s="57"/>
    </row>
    <row r="267" spans="2:3">
      <c r="B267" s="57"/>
      <c r="C267" s="57"/>
    </row>
    <row r="268" spans="2:3">
      <c r="B268" s="57"/>
      <c r="C268" s="57"/>
    </row>
    <row r="269" spans="2:3">
      <c r="B269" s="57"/>
      <c r="C269" s="57"/>
    </row>
    <row r="270" spans="2:3">
      <c r="B270" s="57"/>
      <c r="C270" s="57"/>
    </row>
    <row r="271" spans="2:3">
      <c r="B271" s="57"/>
      <c r="C271" s="57"/>
    </row>
    <row r="272" spans="2:3">
      <c r="B272" s="57"/>
      <c r="C272" s="57"/>
    </row>
    <row r="273" spans="2:3">
      <c r="B273" s="57"/>
      <c r="C273" s="57"/>
    </row>
    <row r="274" spans="2:3">
      <c r="B274" s="57"/>
      <c r="C274" s="57"/>
    </row>
    <row r="275" spans="2:3">
      <c r="B275" s="57"/>
      <c r="C275" s="57"/>
    </row>
    <row r="276" spans="2:3">
      <c r="B276" s="57"/>
      <c r="C276" s="57"/>
    </row>
    <row r="277" spans="2:3">
      <c r="B277" s="57"/>
      <c r="C277" s="57"/>
    </row>
    <row r="278" spans="2:3">
      <c r="B278" s="57"/>
      <c r="C278" s="57"/>
    </row>
    <row r="279" spans="2:3">
      <c r="B279" s="57"/>
      <c r="C279" s="57"/>
    </row>
    <row r="280" spans="2:3">
      <c r="B280" s="57"/>
      <c r="C280" s="57"/>
    </row>
    <row r="281" spans="2:3">
      <c r="B281" s="57"/>
      <c r="C281" s="57"/>
    </row>
    <row r="282" spans="2:3">
      <c r="B282" s="57"/>
      <c r="C282" s="57"/>
    </row>
    <row r="283" spans="2:3">
      <c r="B283" s="57"/>
      <c r="C283" s="57"/>
    </row>
    <row r="284" spans="2:3">
      <c r="B284" s="57"/>
      <c r="C284" s="57"/>
    </row>
    <row r="285" spans="2:3">
      <c r="B285" s="57"/>
      <c r="C285" s="57"/>
    </row>
    <row r="286" spans="2:3">
      <c r="B286" s="57"/>
      <c r="C286" s="57"/>
    </row>
    <row r="287" spans="2:3">
      <c r="B287" s="57"/>
      <c r="C287" s="57"/>
    </row>
    <row r="288" spans="2:3">
      <c r="B288" s="57"/>
      <c r="C288" s="57"/>
    </row>
    <row r="289" spans="2:3">
      <c r="B289" s="57"/>
      <c r="C289" s="57"/>
    </row>
    <row r="290" spans="2:3">
      <c r="B290" s="57"/>
      <c r="C290" s="57"/>
    </row>
    <row r="291" spans="2:3">
      <c r="B291" s="57"/>
      <c r="C291" s="57"/>
    </row>
    <row r="292" spans="2:3">
      <c r="B292" s="57"/>
      <c r="C292" s="57"/>
    </row>
    <row r="293" spans="2:3">
      <c r="B293" s="57"/>
      <c r="C293" s="57"/>
    </row>
    <row r="294" spans="2:3">
      <c r="B294" s="57"/>
      <c r="C294" s="57"/>
    </row>
    <row r="295" spans="2:3">
      <c r="B295" s="57"/>
      <c r="C295" s="57"/>
    </row>
    <row r="296" spans="2:3">
      <c r="B296" s="57"/>
      <c r="C296" s="57"/>
    </row>
    <row r="297" spans="2:3">
      <c r="B297" s="57"/>
      <c r="C297" s="57"/>
    </row>
    <row r="298" spans="2:3">
      <c r="B298" s="57"/>
      <c r="C298" s="57"/>
    </row>
    <row r="299" spans="2:3">
      <c r="B299" s="57"/>
      <c r="C299" s="57"/>
    </row>
    <row r="300" spans="2:3">
      <c r="B300" s="57"/>
      <c r="C300" s="57"/>
    </row>
    <row r="301" spans="2:3">
      <c r="B301" s="57"/>
      <c r="C301" s="57"/>
    </row>
    <row r="302" spans="2:3">
      <c r="B302" s="57"/>
      <c r="C302" s="57"/>
    </row>
    <row r="303" spans="2:3">
      <c r="B303" s="57"/>
      <c r="C303" s="57"/>
    </row>
    <row r="304" spans="2:3">
      <c r="B304" s="57"/>
      <c r="C304" s="57"/>
    </row>
    <row r="305" spans="2:3">
      <c r="B305" s="57"/>
      <c r="C305" s="57"/>
    </row>
    <row r="306" spans="2:3">
      <c r="B306" s="57"/>
      <c r="C306" s="57"/>
    </row>
    <row r="307" spans="2:3">
      <c r="B307" s="57"/>
      <c r="C307" s="57"/>
    </row>
    <row r="308" spans="2:3">
      <c r="B308" s="57"/>
      <c r="C308" s="57"/>
    </row>
    <row r="309" spans="2:3">
      <c r="B309" s="57"/>
      <c r="C309" s="57"/>
    </row>
    <row r="310" spans="2:3">
      <c r="B310" s="57"/>
      <c r="C310" s="57"/>
    </row>
    <row r="311" spans="2:3">
      <c r="B311" s="57"/>
      <c r="C311" s="57"/>
    </row>
    <row r="312" spans="2:3">
      <c r="B312" s="57"/>
      <c r="C312" s="57"/>
    </row>
    <row r="313" spans="2:3">
      <c r="B313" s="57"/>
      <c r="C313" s="57"/>
    </row>
    <row r="314" spans="2:3">
      <c r="B314" s="57"/>
      <c r="C314" s="57"/>
    </row>
    <row r="315" spans="2:3">
      <c r="B315" s="57"/>
      <c r="C315" s="57"/>
    </row>
    <row r="316" spans="2:3">
      <c r="B316" s="57"/>
      <c r="C316" s="57"/>
    </row>
    <row r="317" spans="2:3">
      <c r="B317" s="57"/>
      <c r="C317" s="57"/>
    </row>
    <row r="318" spans="2:3">
      <c r="B318" s="57"/>
      <c r="C318" s="57"/>
    </row>
    <row r="319" spans="2:3">
      <c r="B319" s="57"/>
      <c r="C319" s="57"/>
    </row>
    <row r="320" spans="2:3">
      <c r="B320" s="57"/>
      <c r="C320" s="57"/>
    </row>
    <row r="321" spans="2:3">
      <c r="B321" s="57"/>
      <c r="C321" s="57"/>
    </row>
    <row r="322" spans="2:3">
      <c r="B322" s="57"/>
      <c r="C322" s="57"/>
    </row>
    <row r="323" spans="2:3">
      <c r="B323" s="57"/>
      <c r="C323" s="57"/>
    </row>
    <row r="324" spans="2:3">
      <c r="B324" s="57"/>
      <c r="C324" s="57"/>
    </row>
    <row r="325" spans="2:3">
      <c r="B325" s="57"/>
      <c r="C325" s="57"/>
    </row>
    <row r="326" spans="2:3">
      <c r="B326" s="57"/>
      <c r="C326" s="57"/>
    </row>
    <row r="327" spans="2:3">
      <c r="B327" s="57"/>
      <c r="C327" s="57"/>
    </row>
    <row r="328" spans="2:3">
      <c r="B328" s="57"/>
      <c r="C328" s="57"/>
    </row>
    <row r="329" spans="2:3">
      <c r="B329" s="57"/>
      <c r="C329" s="57"/>
    </row>
    <row r="330" spans="2:3">
      <c r="B330" s="57"/>
      <c r="C330" s="57"/>
    </row>
    <row r="331" spans="2:3">
      <c r="B331" s="57"/>
      <c r="C331" s="57"/>
    </row>
    <row r="332" spans="2:3">
      <c r="B332" s="57"/>
      <c r="C332" s="57"/>
    </row>
    <row r="333" spans="2:3">
      <c r="B333" s="57"/>
      <c r="C333" s="57"/>
    </row>
    <row r="334" spans="2:3">
      <c r="B334" s="57"/>
      <c r="C334" s="57"/>
    </row>
    <row r="335" spans="2:3">
      <c r="B335" s="57"/>
      <c r="C335" s="57"/>
    </row>
    <row r="336" spans="2:3">
      <c r="B336" s="57"/>
      <c r="C336" s="57"/>
    </row>
    <row r="337" spans="2:3">
      <c r="B337" s="57"/>
      <c r="C337" s="57"/>
    </row>
    <row r="338" spans="2:3">
      <c r="B338" s="57"/>
      <c r="C338" s="57"/>
    </row>
    <row r="339" spans="2:3">
      <c r="B339" s="57"/>
      <c r="C339" s="57"/>
    </row>
    <row r="340" spans="2:3">
      <c r="B340" s="57"/>
      <c r="C340" s="57"/>
    </row>
    <row r="341" spans="2:3">
      <c r="B341" s="57"/>
      <c r="C341" s="57"/>
    </row>
    <row r="342" spans="2:3">
      <c r="B342" s="57"/>
      <c r="C342" s="57"/>
    </row>
    <row r="343" spans="2:3">
      <c r="B343" s="57"/>
      <c r="C343" s="57"/>
    </row>
    <row r="344" spans="2:3">
      <c r="B344" s="57"/>
      <c r="C344" s="57"/>
    </row>
    <row r="345" spans="2:3">
      <c r="B345" s="57"/>
      <c r="C345" s="57"/>
    </row>
    <row r="346" spans="2:3">
      <c r="B346" s="57"/>
      <c r="C346" s="57"/>
    </row>
    <row r="347" spans="2:3">
      <c r="B347" s="57"/>
      <c r="C347" s="57"/>
    </row>
    <row r="348" spans="2:3">
      <c r="B348" s="57"/>
      <c r="C348" s="57"/>
    </row>
    <row r="349" spans="2:3">
      <c r="B349" s="57"/>
      <c r="C349" s="57"/>
    </row>
    <row r="350" spans="2:3">
      <c r="B350" s="57"/>
      <c r="C350" s="57"/>
    </row>
    <row r="351" spans="2:3">
      <c r="B351" s="57"/>
      <c r="C351" s="57"/>
    </row>
    <row r="352" spans="2:3">
      <c r="B352" s="57"/>
      <c r="C352" s="57"/>
    </row>
    <row r="353" spans="2:3">
      <c r="B353" s="57"/>
      <c r="C353" s="57"/>
    </row>
    <row r="354" spans="2:3">
      <c r="B354" s="57"/>
      <c r="C354" s="57"/>
    </row>
    <row r="355" spans="2:3">
      <c r="B355" s="57"/>
      <c r="C355" s="57"/>
    </row>
    <row r="356" spans="2:3">
      <c r="B356" s="57"/>
      <c r="C356" s="57"/>
    </row>
    <row r="357" spans="2:3">
      <c r="B357" s="57"/>
      <c r="C357" s="57"/>
    </row>
    <row r="358" spans="2:3">
      <c r="B358" s="57"/>
      <c r="C358" s="57"/>
    </row>
    <row r="359" spans="2:3">
      <c r="B359" s="57"/>
      <c r="C359" s="57"/>
    </row>
    <row r="360" spans="2:3">
      <c r="B360" s="57"/>
      <c r="C360" s="57"/>
    </row>
    <row r="361" spans="2:3">
      <c r="B361" s="57"/>
      <c r="C361" s="57"/>
    </row>
    <row r="362" spans="2:3">
      <c r="B362" s="57"/>
      <c r="C362" s="57"/>
    </row>
    <row r="363" spans="2:3">
      <c r="B363" s="57"/>
      <c r="C363" s="57"/>
    </row>
    <row r="364" spans="2:3">
      <c r="B364" s="57"/>
      <c r="C364" s="57"/>
    </row>
    <row r="365" spans="2:3">
      <c r="B365" s="57"/>
      <c r="C365" s="57"/>
    </row>
    <row r="366" spans="2:3">
      <c r="B366" s="57"/>
      <c r="C366" s="57"/>
    </row>
    <row r="367" spans="2:3">
      <c r="B367" s="57"/>
      <c r="C367" s="57"/>
    </row>
    <row r="368" spans="2:3">
      <c r="B368" s="57"/>
      <c r="C368" s="57"/>
    </row>
    <row r="369" spans="2:3">
      <c r="B369" s="57"/>
      <c r="C369" s="57"/>
    </row>
    <row r="370" spans="2:3">
      <c r="B370" s="57"/>
      <c r="C370" s="57"/>
    </row>
    <row r="371" spans="2:3">
      <c r="B371" s="57"/>
      <c r="C371" s="57"/>
    </row>
    <row r="372" spans="2:3">
      <c r="B372" s="57"/>
      <c r="C372" s="57"/>
    </row>
    <row r="373" spans="2:3">
      <c r="B373" s="57"/>
      <c r="C373" s="57"/>
    </row>
    <row r="374" spans="2:3">
      <c r="B374" s="57"/>
      <c r="C374" s="57"/>
    </row>
    <row r="375" spans="2:3">
      <c r="B375" s="57"/>
      <c r="C375" s="57"/>
    </row>
    <row r="376" spans="2:3">
      <c r="B376" s="57"/>
      <c r="C376" s="57"/>
    </row>
    <row r="377" spans="2:3">
      <c r="B377" s="57"/>
      <c r="C377" s="57"/>
    </row>
    <row r="378" spans="2:3">
      <c r="B378" s="57"/>
      <c r="C378" s="57"/>
    </row>
    <row r="379" spans="2:3">
      <c r="B379" s="57"/>
      <c r="C379" s="57"/>
    </row>
    <row r="380" spans="2:3">
      <c r="B380" s="57"/>
      <c r="C380" s="57"/>
    </row>
    <row r="381" spans="2:3">
      <c r="B381" s="57"/>
      <c r="C381" s="57"/>
    </row>
    <row r="382" spans="2:3">
      <c r="B382" s="57"/>
      <c r="C382" s="57"/>
    </row>
    <row r="383" spans="2:3">
      <c r="B383" s="57"/>
      <c r="C383" s="57"/>
    </row>
    <row r="384" spans="2:3">
      <c r="B384" s="57"/>
      <c r="C384" s="57"/>
    </row>
    <row r="385" spans="2:3">
      <c r="B385" s="57"/>
      <c r="C385" s="57"/>
    </row>
    <row r="386" spans="2:3">
      <c r="B386" s="57"/>
      <c r="C386" s="57"/>
    </row>
    <row r="387" spans="2:3">
      <c r="B387" s="57"/>
      <c r="C387" s="57"/>
    </row>
    <row r="388" spans="2:3">
      <c r="B388" s="57"/>
      <c r="C388" s="57"/>
    </row>
    <row r="389" spans="2:3">
      <c r="B389" s="57"/>
      <c r="C389" s="57"/>
    </row>
    <row r="390" spans="2:3">
      <c r="B390" s="57"/>
      <c r="C390" s="57"/>
    </row>
    <row r="391" spans="2:3">
      <c r="B391" s="57"/>
      <c r="C391" s="57"/>
    </row>
    <row r="392" spans="2:3">
      <c r="B392" s="57"/>
      <c r="C392" s="57"/>
    </row>
    <row r="393" spans="2:3">
      <c r="B393" s="57"/>
      <c r="C393" s="57"/>
    </row>
    <row r="394" spans="2:3">
      <c r="B394" s="57"/>
      <c r="C394" s="57"/>
    </row>
    <row r="395" spans="2:3">
      <c r="B395" s="57"/>
      <c r="C395" s="57"/>
    </row>
    <row r="396" spans="2:3">
      <c r="B396" s="57"/>
      <c r="C396" s="57"/>
    </row>
    <row r="397" spans="2:3">
      <c r="B397" s="57"/>
      <c r="C397" s="57"/>
    </row>
    <row r="398" spans="2:3">
      <c r="B398" s="57"/>
      <c r="C398" s="57"/>
    </row>
    <row r="399" spans="2:3">
      <c r="B399" s="57"/>
      <c r="C399" s="57"/>
    </row>
    <row r="400" spans="2:3">
      <c r="B400" s="57"/>
      <c r="C400" s="57"/>
    </row>
    <row r="401" spans="2:3">
      <c r="B401" s="57"/>
      <c r="C401" s="57"/>
    </row>
    <row r="402" spans="2:3">
      <c r="B402" s="57"/>
      <c r="C402" s="57"/>
    </row>
    <row r="403" spans="2:3">
      <c r="B403" s="57"/>
      <c r="C403" s="57"/>
    </row>
    <row r="404" spans="2:3">
      <c r="B404" s="57"/>
      <c r="C404" s="57"/>
    </row>
    <row r="405" spans="2:3">
      <c r="B405" s="57"/>
      <c r="C405" s="57"/>
    </row>
    <row r="406" spans="2:3">
      <c r="B406" s="57"/>
      <c r="C406" s="57"/>
    </row>
    <row r="407" spans="2:3">
      <c r="B407" s="57"/>
      <c r="C407" s="57"/>
    </row>
    <row r="408" spans="2:3">
      <c r="B408" s="57"/>
      <c r="C408" s="57"/>
    </row>
    <row r="409" spans="2:3">
      <c r="B409" s="57"/>
      <c r="C409" s="57"/>
    </row>
    <row r="410" spans="2:3">
      <c r="B410" s="57"/>
      <c r="C410" s="57"/>
    </row>
    <row r="411" spans="2:3">
      <c r="B411" s="57"/>
      <c r="C411" s="57"/>
    </row>
    <row r="412" spans="2:3">
      <c r="B412" s="57"/>
      <c r="C412" s="57"/>
    </row>
    <row r="413" spans="2:3">
      <c r="B413" s="57"/>
      <c r="C413" s="57"/>
    </row>
    <row r="414" spans="2:3">
      <c r="B414" s="57"/>
      <c r="C414" s="57"/>
    </row>
    <row r="415" spans="2:3">
      <c r="B415" s="57"/>
      <c r="C415" s="57"/>
    </row>
    <row r="416" spans="2:3">
      <c r="B416" s="57"/>
      <c r="C416" s="57"/>
    </row>
    <row r="417" spans="2:3">
      <c r="B417" s="57"/>
      <c r="C417" s="57"/>
    </row>
    <row r="418" spans="2:3">
      <c r="B418" s="57"/>
      <c r="C418" s="57"/>
    </row>
    <row r="419" spans="2:3">
      <c r="B419" s="57"/>
      <c r="C419" s="57"/>
    </row>
    <row r="420" spans="2:3">
      <c r="B420" s="57"/>
      <c r="C420" s="57"/>
    </row>
    <row r="421" spans="2:3">
      <c r="B421" s="57"/>
      <c r="C421" s="57"/>
    </row>
    <row r="422" spans="2:3">
      <c r="B422" s="57"/>
      <c r="C422" s="57"/>
    </row>
    <row r="423" spans="2:3">
      <c r="B423" s="57"/>
      <c r="C423" s="57"/>
    </row>
    <row r="424" spans="2:3">
      <c r="B424" s="57"/>
      <c r="C424" s="57"/>
    </row>
    <row r="425" spans="2:3">
      <c r="B425" s="57"/>
      <c r="C425" s="57"/>
    </row>
    <row r="426" spans="2:3">
      <c r="B426" s="57"/>
      <c r="C426" s="57"/>
    </row>
    <row r="427" spans="2:3">
      <c r="B427" s="57"/>
      <c r="C427" s="57"/>
    </row>
    <row r="428" spans="2:3">
      <c r="B428" s="57"/>
      <c r="C428" s="57"/>
    </row>
    <row r="429" spans="2:3">
      <c r="B429" s="57"/>
      <c r="C429" s="57"/>
    </row>
    <row r="430" spans="2:3">
      <c r="B430" s="57"/>
      <c r="C430" s="57"/>
    </row>
    <row r="431" spans="2:3">
      <c r="B431" s="57"/>
      <c r="C431" s="57"/>
    </row>
    <row r="432" spans="2:3">
      <c r="B432" s="57"/>
      <c r="C432" s="57"/>
    </row>
    <row r="433" spans="2:3">
      <c r="B433" s="57"/>
      <c r="C433" s="57"/>
    </row>
    <row r="434" spans="2:3">
      <c r="B434" s="57"/>
      <c r="C434" s="57"/>
    </row>
    <row r="435" spans="2:3">
      <c r="B435" s="57"/>
      <c r="C435" s="57"/>
    </row>
    <row r="436" spans="2:3">
      <c r="B436" s="57"/>
      <c r="C436" s="57"/>
    </row>
    <row r="437" spans="2:3">
      <c r="B437" s="57"/>
      <c r="C437" s="57"/>
    </row>
    <row r="438" spans="2:3">
      <c r="B438" s="57"/>
      <c r="C438" s="57"/>
    </row>
    <row r="439" spans="2:3">
      <c r="B439" s="57"/>
      <c r="C439" s="57"/>
    </row>
    <row r="440" spans="2:3">
      <c r="B440" s="57"/>
      <c r="C440" s="57"/>
    </row>
    <row r="441" spans="2:3">
      <c r="B441" s="57"/>
      <c r="C441" s="57"/>
    </row>
    <row r="442" spans="2:3">
      <c r="B442" s="57"/>
      <c r="C442" s="57"/>
    </row>
    <row r="443" spans="2:3">
      <c r="B443" s="57"/>
      <c r="C443" s="57"/>
    </row>
    <row r="444" spans="2:3">
      <c r="B444" s="57"/>
      <c r="C444" s="57"/>
    </row>
    <row r="445" spans="2:3">
      <c r="B445" s="57"/>
      <c r="C445" s="57"/>
    </row>
    <row r="446" spans="2:3">
      <c r="B446" s="57"/>
      <c r="C446" s="57"/>
    </row>
    <row r="447" spans="2:3">
      <c r="B447" s="57"/>
      <c r="C447" s="57"/>
    </row>
    <row r="448" spans="2:3">
      <c r="B448" s="57"/>
      <c r="C448" s="57"/>
    </row>
    <row r="449" spans="2:3">
      <c r="B449" s="57"/>
      <c r="C449" s="57"/>
    </row>
    <row r="450" spans="2:3">
      <c r="B450" s="57"/>
      <c r="C450" s="57"/>
    </row>
    <row r="451" spans="2:3">
      <c r="B451" s="57"/>
      <c r="C451" s="57"/>
    </row>
    <row r="452" spans="2:3">
      <c r="B452" s="57"/>
      <c r="C452" s="57"/>
    </row>
    <row r="453" spans="2:3">
      <c r="B453" s="57"/>
      <c r="C453" s="57"/>
    </row>
    <row r="454" spans="2:3">
      <c r="B454" s="57"/>
      <c r="C454" s="57"/>
    </row>
    <row r="455" spans="2:3">
      <c r="B455" s="57"/>
      <c r="C455" s="57"/>
    </row>
    <row r="456" spans="2:3">
      <c r="B456" s="57"/>
      <c r="C456" s="57"/>
    </row>
    <row r="457" spans="2:3">
      <c r="B457" s="57"/>
      <c r="C457" s="57"/>
    </row>
    <row r="458" spans="2:3">
      <c r="B458" s="57"/>
      <c r="C458" s="57"/>
    </row>
    <row r="459" spans="2:3">
      <c r="B459" s="57"/>
      <c r="C459" s="57"/>
    </row>
    <row r="460" spans="2:3">
      <c r="B460" s="57"/>
      <c r="C460" s="57"/>
    </row>
    <row r="461" spans="2:3">
      <c r="B461" s="57"/>
      <c r="C461" s="57"/>
    </row>
    <row r="462" spans="2:3">
      <c r="B462" s="57"/>
      <c r="C462" s="57"/>
    </row>
    <row r="463" spans="2:3">
      <c r="B463" s="57"/>
      <c r="C463" s="57"/>
    </row>
    <row r="464" spans="2:3">
      <c r="B464" s="57"/>
      <c r="C464" s="57"/>
    </row>
    <row r="465" spans="2:3">
      <c r="B465" s="57"/>
      <c r="C465" s="57"/>
    </row>
    <row r="466" spans="2:3">
      <c r="B466" s="57"/>
      <c r="C466" s="57"/>
    </row>
    <row r="467" spans="2:3">
      <c r="B467" s="57"/>
      <c r="C467" s="57"/>
    </row>
    <row r="468" spans="2:3">
      <c r="B468" s="57"/>
      <c r="C468" s="57"/>
    </row>
    <row r="469" spans="2:3">
      <c r="B469" s="57"/>
      <c r="C469" s="57"/>
    </row>
    <row r="470" spans="2:3">
      <c r="B470" s="57"/>
      <c r="C470" s="57"/>
    </row>
    <row r="471" spans="2:3">
      <c r="B471" s="57"/>
      <c r="C471" s="57"/>
    </row>
    <row r="472" spans="2:3">
      <c r="B472" s="57"/>
      <c r="C472" s="57"/>
    </row>
    <row r="473" spans="2:3">
      <c r="B473" s="57"/>
      <c r="C473" s="57"/>
    </row>
    <row r="474" spans="2:3">
      <c r="B474" s="57"/>
      <c r="C474" s="57"/>
    </row>
    <row r="475" spans="2:3">
      <c r="B475" s="57"/>
      <c r="C475" s="57"/>
    </row>
    <row r="476" spans="2:3">
      <c r="B476" s="57"/>
      <c r="C476" s="57"/>
    </row>
    <row r="477" spans="2:3">
      <c r="B477" s="57"/>
      <c r="C477" s="57"/>
    </row>
    <row r="478" spans="2:3">
      <c r="B478" s="57"/>
      <c r="C478" s="57"/>
    </row>
    <row r="479" spans="2:3">
      <c r="B479" s="57"/>
      <c r="C479" s="57"/>
    </row>
    <row r="480" spans="2:3">
      <c r="B480" s="57"/>
      <c r="C480" s="57"/>
    </row>
    <row r="481" spans="2:3">
      <c r="B481" s="57"/>
      <c r="C481" s="57"/>
    </row>
    <row r="482" spans="2:3">
      <c r="B482" s="57"/>
      <c r="C482" s="57"/>
    </row>
    <row r="483" spans="2:3">
      <c r="B483" s="57"/>
      <c r="C483" s="57"/>
    </row>
    <row r="484" spans="2:3">
      <c r="B484" s="57"/>
      <c r="C484" s="57"/>
    </row>
    <row r="485" spans="2:3">
      <c r="B485" s="57"/>
      <c r="C485" s="57"/>
    </row>
    <row r="486" spans="2:3">
      <c r="B486" s="57"/>
      <c r="C486" s="57"/>
    </row>
    <row r="487" spans="2:3">
      <c r="B487" s="57"/>
      <c r="C487" s="57"/>
    </row>
    <row r="488" spans="2:3">
      <c r="B488" s="57"/>
      <c r="C488" s="57"/>
    </row>
    <row r="489" spans="2:3">
      <c r="B489" s="57"/>
      <c r="C489" s="57"/>
    </row>
    <row r="490" spans="2:3">
      <c r="B490" s="57"/>
      <c r="C490" s="57"/>
    </row>
    <row r="491" spans="2:3">
      <c r="B491" s="57"/>
      <c r="C491" s="57"/>
    </row>
    <row r="492" spans="2:3">
      <c r="B492" s="57"/>
      <c r="C492" s="57"/>
    </row>
    <row r="493" spans="2:3">
      <c r="B493" s="57"/>
      <c r="C493" s="57"/>
    </row>
    <row r="494" spans="2:3">
      <c r="B494" s="57"/>
      <c r="C494" s="57"/>
    </row>
    <row r="495" spans="2:3">
      <c r="B495" s="57"/>
      <c r="C495" s="57"/>
    </row>
    <row r="496" spans="2:3">
      <c r="B496" s="57"/>
      <c r="C496" s="57"/>
    </row>
    <row r="497" spans="2:3">
      <c r="B497" s="57"/>
      <c r="C497" s="57"/>
    </row>
    <row r="498" spans="2:3">
      <c r="B498" s="57"/>
      <c r="C498" s="57"/>
    </row>
    <row r="499" spans="2:3">
      <c r="B499" s="57"/>
      <c r="C499" s="57"/>
    </row>
    <row r="500" spans="2:3">
      <c r="B500" s="57"/>
      <c r="C500" s="57"/>
    </row>
    <row r="501" spans="2:3">
      <c r="B501" s="57"/>
      <c r="C501" s="57"/>
    </row>
    <row r="502" spans="2:3">
      <c r="B502" s="57"/>
      <c r="C502" s="57"/>
    </row>
    <row r="503" spans="2:3">
      <c r="B503" s="57"/>
      <c r="C503" s="57"/>
    </row>
    <row r="504" spans="2:3">
      <c r="B504" s="57"/>
      <c r="C504" s="57"/>
    </row>
    <row r="505" spans="2:3">
      <c r="B505" s="57"/>
      <c r="C505" s="57"/>
    </row>
    <row r="506" spans="2:3">
      <c r="B506" s="57"/>
      <c r="C506" s="57"/>
    </row>
    <row r="507" spans="2:3">
      <c r="B507" s="57"/>
      <c r="C507" s="57"/>
    </row>
    <row r="508" spans="2:3">
      <c r="B508" s="57"/>
      <c r="C508" s="57"/>
    </row>
    <row r="509" spans="2:3">
      <c r="B509" s="57"/>
      <c r="C509" s="57"/>
    </row>
    <row r="510" spans="2:3">
      <c r="B510" s="57"/>
      <c r="C510" s="57"/>
    </row>
    <row r="511" spans="2:3">
      <c r="B511" s="57"/>
      <c r="C511" s="57"/>
    </row>
    <row r="512" spans="2:3">
      <c r="B512" s="57"/>
      <c r="C512" s="57"/>
    </row>
    <row r="513" spans="2:3">
      <c r="B513" s="57"/>
      <c r="C513" s="57"/>
    </row>
    <row r="514" spans="2:3">
      <c r="B514" s="57"/>
      <c r="C514" s="57"/>
    </row>
    <row r="515" spans="2:3">
      <c r="B515" s="57"/>
      <c r="C515" s="57"/>
    </row>
    <row r="516" spans="2:3">
      <c r="B516" s="57"/>
      <c r="C516" s="57"/>
    </row>
    <row r="517" spans="2:3">
      <c r="B517" s="57"/>
      <c r="C517" s="57"/>
    </row>
    <row r="518" spans="2:3">
      <c r="B518" s="57"/>
      <c r="C518" s="57"/>
    </row>
    <row r="519" spans="2:3">
      <c r="B519" s="57"/>
      <c r="C519" s="57"/>
    </row>
    <row r="520" spans="2:3">
      <c r="B520" s="57"/>
      <c r="C520" s="57"/>
    </row>
    <row r="521" spans="2:3">
      <c r="B521" s="57"/>
      <c r="C521" s="57"/>
    </row>
    <row r="522" spans="2:3">
      <c r="B522" s="57"/>
      <c r="C522" s="57"/>
    </row>
    <row r="523" spans="2:3">
      <c r="B523" s="57"/>
      <c r="C523" s="57"/>
    </row>
    <row r="524" spans="2:3">
      <c r="B524" s="57"/>
      <c r="C524" s="57"/>
    </row>
    <row r="525" spans="2:3">
      <c r="B525" s="57"/>
      <c r="C525" s="57"/>
    </row>
    <row r="526" spans="2:3">
      <c r="B526" s="57"/>
      <c r="C526" s="57"/>
    </row>
    <row r="527" spans="2:3">
      <c r="B527" s="57"/>
      <c r="C527" s="57"/>
    </row>
    <row r="528" spans="2:3">
      <c r="B528" s="57"/>
      <c r="C528" s="57"/>
    </row>
    <row r="529" spans="2:3">
      <c r="B529" s="57"/>
      <c r="C529" s="57"/>
    </row>
    <row r="530" spans="2:3">
      <c r="B530" s="57"/>
      <c r="C530" s="57"/>
    </row>
    <row r="531" spans="2:3">
      <c r="B531" s="57"/>
      <c r="C531" s="57"/>
    </row>
    <row r="532" spans="2:3">
      <c r="B532" s="57"/>
      <c r="C532" s="57"/>
    </row>
    <row r="533" spans="2:3">
      <c r="B533" s="57"/>
      <c r="C533" s="57"/>
    </row>
    <row r="534" spans="2:3">
      <c r="B534" s="57"/>
      <c r="C534" s="57"/>
    </row>
    <row r="535" spans="2:3">
      <c r="B535" s="57"/>
      <c r="C535" s="57"/>
    </row>
    <row r="536" spans="2:3">
      <c r="B536" s="57"/>
      <c r="C536" s="57"/>
    </row>
    <row r="537" spans="2:3">
      <c r="B537" s="57"/>
      <c r="C537" s="57"/>
    </row>
    <row r="538" spans="2:3">
      <c r="B538" s="57"/>
      <c r="C538" s="57"/>
    </row>
    <row r="539" spans="2:3">
      <c r="B539" s="57"/>
      <c r="C539" s="57"/>
    </row>
    <row r="540" spans="2:3">
      <c r="B540" s="57"/>
      <c r="C540" s="57"/>
    </row>
    <row r="541" spans="2:3">
      <c r="B541" s="57"/>
      <c r="C541" s="57"/>
    </row>
    <row r="542" spans="2:3">
      <c r="B542" s="57"/>
      <c r="C542" s="57"/>
    </row>
    <row r="543" spans="2:3">
      <c r="B543" s="57"/>
      <c r="C543" s="57"/>
    </row>
    <row r="544" spans="2:3">
      <c r="B544" s="57"/>
      <c r="C544" s="57"/>
    </row>
    <row r="545" spans="2:3">
      <c r="B545" s="57"/>
      <c r="C545" s="57"/>
    </row>
    <row r="546" spans="2:3">
      <c r="B546" s="57"/>
      <c r="C546" s="57"/>
    </row>
    <row r="547" spans="2:3">
      <c r="B547" s="57"/>
      <c r="C547" s="57"/>
    </row>
    <row r="548" spans="2:3">
      <c r="B548" s="57"/>
      <c r="C548" s="57"/>
    </row>
    <row r="549" spans="2:3">
      <c r="B549" s="57"/>
      <c r="C549" s="57"/>
    </row>
    <row r="550" spans="2:3">
      <c r="B550" s="57"/>
      <c r="C550" s="57"/>
    </row>
    <row r="551" spans="2:3">
      <c r="B551" s="57"/>
      <c r="C551" s="57"/>
    </row>
    <row r="552" spans="2:3">
      <c r="B552" s="57"/>
      <c r="C552" s="57"/>
    </row>
    <row r="553" spans="2:3">
      <c r="B553" s="57"/>
      <c r="C553" s="57"/>
    </row>
    <row r="554" spans="2:3">
      <c r="B554" s="57"/>
      <c r="C554" s="57"/>
    </row>
    <row r="555" spans="2:3">
      <c r="B555" s="57"/>
      <c r="C555" s="57"/>
    </row>
    <row r="556" spans="2:3">
      <c r="B556" s="57"/>
      <c r="C556" s="57"/>
    </row>
    <row r="557" spans="2:3">
      <c r="B557" s="57"/>
      <c r="C557" s="57"/>
    </row>
    <row r="558" spans="2:3">
      <c r="B558" s="57"/>
      <c r="C558" s="57"/>
    </row>
    <row r="559" spans="2:3">
      <c r="B559" s="57"/>
      <c r="C559" s="57"/>
    </row>
    <row r="560" spans="2:3">
      <c r="B560" s="57"/>
      <c r="C560" s="57"/>
    </row>
    <row r="561" spans="2:3">
      <c r="B561" s="57"/>
      <c r="C561" s="57"/>
    </row>
    <row r="562" spans="2:3">
      <c r="B562" s="57"/>
      <c r="C562" s="57"/>
    </row>
    <row r="563" spans="2:3">
      <c r="B563" s="57"/>
      <c r="C563" s="57"/>
    </row>
    <row r="564" spans="2:3">
      <c r="B564" s="57"/>
      <c r="C564" s="57"/>
    </row>
    <row r="565" spans="2:3">
      <c r="B565" s="57"/>
      <c r="C565" s="57"/>
    </row>
    <row r="566" spans="2:3">
      <c r="B566" s="57"/>
      <c r="C566" s="57"/>
    </row>
    <row r="567" spans="2:3">
      <c r="B567" s="57"/>
      <c r="C567" s="57"/>
    </row>
    <row r="568" spans="2:3">
      <c r="B568" s="57"/>
      <c r="C568" s="57"/>
    </row>
    <row r="569" spans="2:3">
      <c r="B569" s="57"/>
      <c r="C569" s="57"/>
    </row>
    <row r="570" spans="2:3">
      <c r="B570" s="57"/>
      <c r="C570" s="57"/>
    </row>
    <row r="571" spans="2:3">
      <c r="B571" s="57"/>
      <c r="C571" s="57"/>
    </row>
    <row r="572" spans="2:3">
      <c r="B572" s="57"/>
      <c r="C572" s="57"/>
    </row>
    <row r="573" spans="2:3">
      <c r="B573" s="57"/>
      <c r="C573" s="57"/>
    </row>
    <row r="574" spans="2:3">
      <c r="B574" s="57"/>
      <c r="C574" s="57"/>
    </row>
    <row r="575" spans="2:3">
      <c r="B575" s="57"/>
      <c r="C575" s="57"/>
    </row>
    <row r="576" spans="2:3">
      <c r="B576" s="57"/>
      <c r="C576" s="57"/>
    </row>
    <row r="577" spans="2:3">
      <c r="B577" s="57"/>
      <c r="C577" s="57"/>
    </row>
    <row r="578" spans="2:3">
      <c r="B578" s="57"/>
      <c r="C578" s="57"/>
    </row>
    <row r="579" spans="2:3">
      <c r="B579" s="57"/>
      <c r="C579" s="57"/>
    </row>
    <row r="580" spans="2:3">
      <c r="B580" s="57"/>
      <c r="C580" s="57"/>
    </row>
    <row r="581" spans="2:3">
      <c r="B581" s="57"/>
      <c r="C581" s="57"/>
    </row>
    <row r="582" spans="2:3">
      <c r="B582" s="57"/>
      <c r="C582" s="57"/>
    </row>
    <row r="583" spans="2:3">
      <c r="B583" s="57"/>
      <c r="C583" s="57"/>
    </row>
    <row r="584" spans="2:3">
      <c r="B584" s="57"/>
      <c r="C584" s="57"/>
    </row>
    <row r="585" spans="2:3">
      <c r="B585" s="57"/>
      <c r="C585" s="57"/>
    </row>
    <row r="586" spans="2:3">
      <c r="B586" s="57"/>
      <c r="C586" s="57"/>
    </row>
    <row r="587" spans="2:3">
      <c r="B587" s="57"/>
      <c r="C587" s="57"/>
    </row>
    <row r="588" spans="2:3">
      <c r="B588" s="57"/>
      <c r="C588" s="57"/>
    </row>
    <row r="589" spans="2:3">
      <c r="B589" s="57"/>
      <c r="C589" s="57"/>
    </row>
    <row r="590" spans="2:3">
      <c r="B590" s="57"/>
      <c r="C590" s="57"/>
    </row>
    <row r="591" spans="2:3">
      <c r="B591" s="57"/>
      <c r="C591" s="57"/>
    </row>
    <row r="592" spans="2:3">
      <c r="B592" s="57"/>
      <c r="C592" s="57"/>
    </row>
    <row r="593" spans="2:3">
      <c r="B593" s="57"/>
      <c r="C593" s="57"/>
    </row>
    <row r="594" spans="2:3">
      <c r="B594" s="57"/>
      <c r="C594" s="57"/>
    </row>
    <row r="595" spans="2:3">
      <c r="B595" s="57"/>
      <c r="C595" s="57"/>
    </row>
    <row r="596" spans="2:3">
      <c r="B596" s="57"/>
      <c r="C596" s="57"/>
    </row>
    <row r="597" spans="2:3">
      <c r="B597" s="57"/>
      <c r="C597" s="57"/>
    </row>
    <row r="598" spans="2:3">
      <c r="B598" s="57"/>
      <c r="C598" s="57"/>
    </row>
    <row r="599" spans="2:3">
      <c r="B599" s="57"/>
      <c r="C599" s="57"/>
    </row>
    <row r="600" spans="2:3">
      <c r="B600" s="57"/>
      <c r="C600" s="57"/>
    </row>
    <row r="601" spans="2:3">
      <c r="B601" s="57"/>
      <c r="C601" s="57"/>
    </row>
    <row r="602" spans="2:3">
      <c r="B602" s="57"/>
      <c r="C602" s="57"/>
    </row>
    <row r="603" spans="2:3">
      <c r="B603" s="57"/>
      <c r="C603" s="57"/>
    </row>
    <row r="604" spans="2:3">
      <c r="B604" s="57"/>
      <c r="C604" s="57"/>
    </row>
    <row r="605" spans="2:3">
      <c r="B605" s="57"/>
      <c r="C605" s="57"/>
    </row>
    <row r="606" spans="2:3">
      <c r="B606" s="57"/>
      <c r="C606" s="57"/>
    </row>
    <row r="607" spans="2:3">
      <c r="B607" s="57"/>
      <c r="C607" s="57"/>
    </row>
    <row r="608" spans="2:3">
      <c r="B608" s="57"/>
      <c r="C608" s="57"/>
    </row>
    <row r="609" spans="2:3">
      <c r="B609" s="57"/>
      <c r="C609" s="57"/>
    </row>
    <row r="610" spans="2:3">
      <c r="B610" s="57"/>
      <c r="C610" s="57"/>
    </row>
    <row r="611" spans="2:3">
      <c r="B611" s="57"/>
      <c r="C611" s="57"/>
    </row>
    <row r="612" spans="2:3">
      <c r="B612" s="57"/>
      <c r="C612" s="57"/>
    </row>
    <row r="613" spans="2:3">
      <c r="B613" s="57"/>
      <c r="C613" s="57"/>
    </row>
    <row r="614" spans="2:3">
      <c r="B614" s="57"/>
      <c r="C614" s="57"/>
    </row>
    <row r="615" spans="2:3">
      <c r="B615" s="57"/>
      <c r="C615" s="57"/>
    </row>
    <row r="616" spans="2:3">
      <c r="B616" s="57"/>
      <c r="C616" s="57"/>
    </row>
    <row r="617" spans="2:3">
      <c r="B617" s="57"/>
      <c r="C617" s="57"/>
    </row>
    <row r="618" spans="2:3">
      <c r="B618" s="57"/>
      <c r="C618" s="57"/>
    </row>
    <row r="619" spans="2:3">
      <c r="B619" s="57"/>
      <c r="C619" s="57"/>
    </row>
    <row r="620" spans="2:3">
      <c r="B620" s="57"/>
      <c r="C620" s="57"/>
    </row>
    <row r="621" spans="2:3">
      <c r="B621" s="57"/>
      <c r="C621" s="57"/>
    </row>
    <row r="622" spans="2:3">
      <c r="B622" s="57"/>
      <c r="C622" s="57"/>
    </row>
    <row r="623" spans="2:3">
      <c r="B623" s="57"/>
      <c r="C623" s="57"/>
    </row>
    <row r="624" spans="2:3">
      <c r="B624" s="57"/>
      <c r="C624" s="57"/>
    </row>
    <row r="625" spans="2:3">
      <c r="B625" s="57"/>
      <c r="C625" s="57"/>
    </row>
    <row r="626" spans="2:3">
      <c r="B626" s="57"/>
      <c r="C626" s="57"/>
    </row>
    <row r="627" spans="2:3">
      <c r="B627" s="57"/>
      <c r="C627" s="57"/>
    </row>
    <row r="628" spans="2:3">
      <c r="B628" s="57"/>
      <c r="C628" s="57"/>
    </row>
    <row r="629" spans="2:3">
      <c r="B629" s="57"/>
      <c r="C629" s="57"/>
    </row>
    <row r="630" spans="2:3">
      <c r="B630" s="57"/>
      <c r="C630" s="57"/>
    </row>
    <row r="631" spans="2:3">
      <c r="B631" s="57"/>
      <c r="C631" s="57"/>
    </row>
    <row r="632" spans="2:3">
      <c r="B632" s="57"/>
      <c r="C632" s="57"/>
    </row>
    <row r="633" spans="2:3">
      <c r="B633" s="57"/>
      <c r="C633" s="57"/>
    </row>
    <row r="634" spans="2:3">
      <c r="B634" s="57"/>
      <c r="C634" s="57"/>
    </row>
    <row r="635" spans="2:3">
      <c r="B635" s="57"/>
      <c r="C635" s="57"/>
    </row>
    <row r="636" spans="2:3">
      <c r="B636" s="57"/>
      <c r="C636" s="57"/>
    </row>
    <row r="637" spans="2:3">
      <c r="B637" s="57"/>
      <c r="C637" s="57"/>
    </row>
    <row r="638" spans="2:3">
      <c r="B638" s="57"/>
      <c r="C638" s="57"/>
    </row>
    <row r="639" spans="2:3">
      <c r="B639" s="57"/>
      <c r="C639" s="57"/>
    </row>
    <row r="640" spans="2:3">
      <c r="B640" s="57"/>
      <c r="C640" s="57"/>
    </row>
    <row r="641" spans="2:3">
      <c r="B641" s="57"/>
      <c r="C641" s="57"/>
    </row>
    <row r="642" spans="2:3">
      <c r="B642" s="57"/>
      <c r="C642" s="57"/>
    </row>
    <row r="643" spans="2:3">
      <c r="B643" s="57"/>
      <c r="C643" s="57"/>
    </row>
    <row r="644" spans="2:3">
      <c r="B644" s="57"/>
      <c r="C644" s="57"/>
    </row>
    <row r="645" spans="2:3">
      <c r="B645" s="57"/>
      <c r="C645" s="57"/>
    </row>
    <row r="646" spans="2:3">
      <c r="B646" s="57"/>
      <c r="C646" s="57"/>
    </row>
    <row r="647" spans="2:3">
      <c r="B647" s="57"/>
      <c r="C647" s="57"/>
    </row>
    <row r="648" spans="2:3">
      <c r="B648" s="57"/>
      <c r="C648" s="57"/>
    </row>
    <row r="649" spans="2:3">
      <c r="B649" s="57"/>
      <c r="C649" s="57"/>
    </row>
    <row r="650" spans="2:3">
      <c r="B650" s="57"/>
      <c r="C650" s="57"/>
    </row>
    <row r="651" spans="2:3">
      <c r="B651" s="57"/>
      <c r="C651" s="57"/>
    </row>
    <row r="652" spans="2:3">
      <c r="B652" s="57"/>
      <c r="C652" s="57"/>
    </row>
    <row r="653" spans="2:3">
      <c r="B653" s="57"/>
      <c r="C653" s="57"/>
    </row>
    <row r="654" spans="2:3">
      <c r="B654" s="57"/>
      <c r="C654" s="57"/>
    </row>
    <row r="655" spans="2:3">
      <c r="B655" s="57"/>
      <c r="C655" s="57"/>
    </row>
    <row r="656" spans="2:3">
      <c r="B656" s="57"/>
      <c r="C656" s="57"/>
    </row>
    <row r="657" spans="2:3">
      <c r="B657" s="57"/>
      <c r="C657" s="57"/>
    </row>
    <row r="658" spans="2:3">
      <c r="B658" s="57"/>
      <c r="C658" s="57"/>
    </row>
    <row r="659" spans="2:3">
      <c r="B659" s="57"/>
      <c r="C659" s="57"/>
    </row>
    <row r="660" spans="2:3">
      <c r="B660" s="57"/>
      <c r="C660" s="57"/>
    </row>
    <row r="661" spans="2:3">
      <c r="B661" s="57"/>
      <c r="C661" s="57"/>
    </row>
    <row r="662" spans="2:3">
      <c r="B662" s="57"/>
      <c r="C662" s="57"/>
    </row>
    <row r="663" spans="2:3">
      <c r="B663" s="57"/>
      <c r="C663" s="57"/>
    </row>
    <row r="664" spans="2:3">
      <c r="B664" s="57"/>
      <c r="C664" s="57"/>
    </row>
    <row r="665" spans="2:3">
      <c r="B665" s="57"/>
      <c r="C665" s="57"/>
    </row>
    <row r="666" spans="2:3">
      <c r="B666" s="57"/>
      <c r="C666" s="57"/>
    </row>
    <row r="667" spans="2:3">
      <c r="B667" s="57"/>
      <c r="C667" s="57"/>
    </row>
    <row r="668" spans="2:3">
      <c r="B668" s="57"/>
      <c r="C668" s="57"/>
    </row>
    <row r="669" spans="2:3">
      <c r="B669" s="57"/>
      <c r="C669" s="57"/>
    </row>
    <row r="670" spans="2:3">
      <c r="B670" s="57"/>
      <c r="C670" s="57"/>
    </row>
    <row r="671" spans="2:3">
      <c r="B671" s="57"/>
      <c r="C671" s="57"/>
    </row>
    <row r="672" spans="2:3">
      <c r="B672" s="57"/>
      <c r="C672" s="57"/>
    </row>
    <row r="673" spans="2:3">
      <c r="B673" s="57"/>
      <c r="C673" s="57"/>
    </row>
    <row r="674" spans="2:3">
      <c r="B674" s="57"/>
      <c r="C674" s="57"/>
    </row>
    <row r="675" spans="2:3">
      <c r="B675" s="57"/>
      <c r="C675" s="57"/>
    </row>
    <row r="676" spans="2:3">
      <c r="B676" s="57"/>
      <c r="C676" s="57"/>
    </row>
    <row r="677" spans="2:3">
      <c r="B677" s="57"/>
      <c r="C677" s="57"/>
    </row>
    <row r="678" spans="2:3">
      <c r="B678" s="57"/>
      <c r="C678" s="57"/>
    </row>
    <row r="679" spans="2:3">
      <c r="B679" s="57"/>
      <c r="C679" s="57"/>
    </row>
    <row r="680" spans="2:3">
      <c r="B680" s="57"/>
      <c r="C680" s="57"/>
    </row>
    <row r="681" spans="2:3">
      <c r="B681" s="57"/>
      <c r="C681" s="57"/>
    </row>
    <row r="682" spans="2:3">
      <c r="B682" s="57"/>
      <c r="C682" s="57"/>
    </row>
    <row r="683" spans="2:3">
      <c r="B683" s="57"/>
      <c r="C683" s="57"/>
    </row>
    <row r="684" spans="2:3">
      <c r="B684" s="57"/>
      <c r="C684" s="57"/>
    </row>
    <row r="685" spans="2:3">
      <c r="B685" s="57"/>
      <c r="C685" s="57"/>
    </row>
    <row r="686" spans="2:3">
      <c r="B686" s="57"/>
      <c r="C686" s="57"/>
    </row>
    <row r="687" spans="2:3">
      <c r="B687" s="57"/>
      <c r="C687" s="57"/>
    </row>
    <row r="688" spans="2:3">
      <c r="B688" s="57"/>
      <c r="C688" s="57"/>
    </row>
    <row r="689" spans="2:3">
      <c r="B689" s="57"/>
      <c r="C689" s="57"/>
    </row>
    <row r="690" spans="2:3">
      <c r="B690" s="57"/>
      <c r="C690" s="57"/>
    </row>
    <row r="691" spans="2:3">
      <c r="B691" s="57"/>
      <c r="C691" s="57"/>
    </row>
    <row r="692" spans="2:3">
      <c r="B692" s="57"/>
      <c r="C692" s="57"/>
    </row>
    <row r="693" spans="2:3">
      <c r="B693" s="57"/>
      <c r="C693" s="57"/>
    </row>
    <row r="694" spans="2:3">
      <c r="B694" s="57"/>
      <c r="C694" s="57"/>
    </row>
    <row r="695" spans="2:3">
      <c r="B695" s="57"/>
      <c r="C695" s="57"/>
    </row>
    <row r="696" spans="2:3">
      <c r="B696" s="57"/>
      <c r="C696" s="57"/>
    </row>
    <row r="697" spans="2:3">
      <c r="B697" s="57"/>
      <c r="C697" s="57"/>
    </row>
    <row r="698" spans="2:3">
      <c r="B698" s="57"/>
      <c r="C698" s="57"/>
    </row>
    <row r="699" spans="2:3">
      <c r="B699" s="57"/>
      <c r="C699" s="57"/>
    </row>
    <row r="700" spans="2:3">
      <c r="B700" s="57"/>
      <c r="C700" s="57"/>
    </row>
    <row r="701" spans="2:3">
      <c r="B701" s="57"/>
      <c r="C701" s="57"/>
    </row>
    <row r="702" spans="2:3">
      <c r="B702" s="57"/>
      <c r="C702" s="57"/>
    </row>
    <row r="703" spans="2:3">
      <c r="B703" s="57"/>
      <c r="C703" s="57"/>
    </row>
    <row r="704" spans="2:3">
      <c r="B704" s="57"/>
      <c r="C704" s="57"/>
    </row>
    <row r="705" spans="2:3">
      <c r="B705" s="57"/>
      <c r="C705" s="57"/>
    </row>
    <row r="706" spans="2:3">
      <c r="B706" s="57"/>
      <c r="C706" s="57"/>
    </row>
    <row r="707" spans="2:3">
      <c r="B707" s="57"/>
      <c r="C707" s="57"/>
    </row>
    <row r="708" spans="2:3">
      <c r="B708" s="57"/>
      <c r="C708" s="57"/>
    </row>
    <row r="709" spans="2:3">
      <c r="B709" s="57"/>
      <c r="C709" s="57"/>
    </row>
    <row r="710" spans="2:3">
      <c r="B710" s="57"/>
      <c r="C710" s="57"/>
    </row>
    <row r="711" spans="2:3">
      <c r="B711" s="57"/>
      <c r="C711" s="57"/>
    </row>
    <row r="712" spans="2:3">
      <c r="B712" s="57"/>
      <c r="C712" s="57"/>
    </row>
    <row r="713" spans="2:3">
      <c r="B713" s="57"/>
      <c r="C713" s="57"/>
    </row>
    <row r="714" spans="2:3">
      <c r="B714" s="57"/>
      <c r="C714" s="57"/>
    </row>
    <row r="715" spans="2:3">
      <c r="B715" s="57"/>
      <c r="C715" s="57"/>
    </row>
    <row r="716" spans="2:3">
      <c r="B716" s="57"/>
      <c r="C716" s="57"/>
    </row>
    <row r="717" spans="2:3">
      <c r="B717" s="57"/>
      <c r="C717" s="57"/>
    </row>
    <row r="718" spans="2:3">
      <c r="B718" s="57"/>
      <c r="C718" s="57"/>
    </row>
    <row r="719" spans="2:3">
      <c r="B719" s="57"/>
      <c r="C719" s="57"/>
    </row>
    <row r="720" spans="2:3">
      <c r="B720" s="57"/>
      <c r="C720" s="57"/>
    </row>
    <row r="721" spans="2:3">
      <c r="B721" s="57"/>
      <c r="C721" s="57"/>
    </row>
    <row r="722" spans="2:3">
      <c r="B722" s="57"/>
      <c r="C722" s="57"/>
    </row>
    <row r="723" spans="2:3">
      <c r="B723" s="57"/>
      <c r="C723" s="57"/>
    </row>
    <row r="724" spans="2:3">
      <c r="B724" s="57"/>
      <c r="C724" s="57"/>
    </row>
    <row r="725" spans="2:3">
      <c r="B725" s="57"/>
      <c r="C725" s="57"/>
    </row>
    <row r="726" spans="2:3">
      <c r="B726" s="57"/>
      <c r="C726" s="57"/>
    </row>
    <row r="727" spans="2:3">
      <c r="B727" s="57"/>
      <c r="C727" s="57"/>
    </row>
    <row r="728" spans="2:3">
      <c r="B728" s="57"/>
      <c r="C728" s="57"/>
    </row>
    <row r="729" spans="2:3">
      <c r="B729" s="57"/>
      <c r="C729" s="57"/>
    </row>
    <row r="730" spans="2:3">
      <c r="B730" s="57"/>
      <c r="C730" s="57"/>
    </row>
    <row r="731" spans="2:3">
      <c r="B731" s="57"/>
      <c r="C731" s="57"/>
    </row>
    <row r="732" spans="2:3">
      <c r="B732" s="57"/>
      <c r="C732" s="57"/>
    </row>
    <row r="733" spans="2:3">
      <c r="B733" s="57"/>
      <c r="C733" s="57"/>
    </row>
    <row r="734" spans="2:3">
      <c r="B734" s="57"/>
      <c r="C734" s="57"/>
    </row>
    <row r="735" spans="2:3">
      <c r="B735" s="57"/>
      <c r="C735" s="57"/>
    </row>
    <row r="736" spans="2:3">
      <c r="B736" s="57"/>
      <c r="C736" s="57"/>
    </row>
    <row r="737" spans="2:3">
      <c r="B737" s="57"/>
      <c r="C737" s="57"/>
    </row>
    <row r="738" spans="2:3">
      <c r="B738" s="57"/>
      <c r="C738" s="57"/>
    </row>
    <row r="739" spans="2:3">
      <c r="B739" s="57"/>
      <c r="C739" s="57"/>
    </row>
    <row r="740" spans="2:3">
      <c r="B740" s="57"/>
      <c r="C740" s="57"/>
    </row>
    <row r="741" spans="2:3">
      <c r="B741" s="57"/>
      <c r="C741" s="57"/>
    </row>
    <row r="742" spans="2:3">
      <c r="B742" s="57"/>
      <c r="C742" s="57"/>
    </row>
    <row r="743" spans="2:3">
      <c r="B743" s="57"/>
      <c r="C743" s="57"/>
    </row>
    <row r="744" spans="2:3">
      <c r="B744" s="57"/>
      <c r="C744" s="57"/>
    </row>
    <row r="745" spans="2:3">
      <c r="B745" s="57"/>
      <c r="C745" s="57"/>
    </row>
    <row r="746" spans="2:3">
      <c r="B746" s="57"/>
      <c r="C746" s="57"/>
    </row>
    <row r="747" spans="2:3">
      <c r="B747" s="57"/>
      <c r="C747" s="57"/>
    </row>
    <row r="748" spans="2:3">
      <c r="B748" s="57"/>
      <c r="C748" s="57"/>
    </row>
    <row r="749" spans="2:3">
      <c r="B749" s="57"/>
      <c r="C749" s="57"/>
    </row>
    <row r="750" spans="2:3">
      <c r="B750" s="57"/>
      <c r="C750" s="57"/>
    </row>
    <row r="751" spans="2:3">
      <c r="B751" s="57"/>
      <c r="C751" s="57"/>
    </row>
    <row r="752" spans="2:3">
      <c r="B752" s="57"/>
      <c r="C752" s="57"/>
    </row>
    <row r="753" spans="2:3">
      <c r="B753" s="57"/>
      <c r="C753" s="57"/>
    </row>
    <row r="754" spans="2:3">
      <c r="B754" s="57"/>
      <c r="C754" s="57"/>
    </row>
    <row r="755" spans="2:3">
      <c r="B755" s="57"/>
      <c r="C755" s="57"/>
    </row>
    <row r="756" spans="2:3">
      <c r="B756" s="57"/>
      <c r="C756" s="57"/>
    </row>
    <row r="757" spans="2:3">
      <c r="B757" s="57"/>
      <c r="C757" s="57"/>
    </row>
    <row r="758" spans="2:3">
      <c r="B758" s="57"/>
      <c r="C758" s="57"/>
    </row>
    <row r="759" spans="2:3">
      <c r="B759" s="57"/>
      <c r="C759" s="57"/>
    </row>
    <row r="760" spans="2:3">
      <c r="B760" s="57"/>
      <c r="C760" s="57"/>
    </row>
    <row r="761" spans="2:3">
      <c r="B761" s="57"/>
      <c r="C761" s="57"/>
    </row>
    <row r="762" spans="2:3">
      <c r="B762" s="57"/>
      <c r="C762" s="57"/>
    </row>
    <row r="763" spans="2:3">
      <c r="B763" s="57"/>
      <c r="C763" s="57"/>
    </row>
    <row r="764" spans="2:3">
      <c r="B764" s="57"/>
      <c r="C764" s="57"/>
    </row>
    <row r="765" spans="2:3">
      <c r="B765" s="57"/>
      <c r="C765" s="57"/>
    </row>
    <row r="766" spans="2:3">
      <c r="B766" s="57"/>
      <c r="C766" s="57"/>
    </row>
    <row r="767" spans="2:3">
      <c r="B767" s="57"/>
      <c r="C767" s="57"/>
    </row>
    <row r="768" spans="2:3">
      <c r="B768" s="57"/>
      <c r="C768" s="57"/>
    </row>
    <row r="769" spans="2:3">
      <c r="B769" s="57"/>
      <c r="C769" s="57"/>
    </row>
    <row r="770" spans="2:3">
      <c r="B770" s="57"/>
      <c r="C770" s="57"/>
    </row>
    <row r="771" spans="2:3">
      <c r="B771" s="57"/>
      <c r="C771" s="57"/>
    </row>
    <row r="772" spans="2:3">
      <c r="B772" s="57"/>
      <c r="C772" s="57"/>
    </row>
    <row r="773" spans="2:3">
      <c r="B773" s="57"/>
      <c r="C773" s="57"/>
    </row>
    <row r="774" spans="2:3">
      <c r="B774" s="57"/>
      <c r="C774" s="57"/>
    </row>
    <row r="775" spans="2:3">
      <c r="B775" s="57"/>
      <c r="C775" s="57"/>
    </row>
    <row r="776" spans="2:3">
      <c r="B776" s="57"/>
      <c r="C776" s="57"/>
    </row>
    <row r="777" spans="2:3">
      <c r="B777" s="57"/>
      <c r="C777" s="57"/>
    </row>
    <row r="778" spans="2:3">
      <c r="B778" s="57"/>
      <c r="C778" s="57"/>
    </row>
    <row r="779" spans="2:3">
      <c r="B779" s="57"/>
      <c r="C779" s="57"/>
    </row>
    <row r="780" spans="2:3">
      <c r="B780" s="57"/>
      <c r="C780" s="57"/>
    </row>
    <row r="781" spans="2:3">
      <c r="B781" s="57"/>
      <c r="C781" s="57"/>
    </row>
    <row r="782" spans="2:3">
      <c r="B782" s="57"/>
      <c r="C782" s="57"/>
    </row>
    <row r="783" spans="2:3">
      <c r="B783" s="57"/>
      <c r="C783" s="57"/>
    </row>
    <row r="784" spans="2:3">
      <c r="B784" s="57"/>
      <c r="C784" s="57"/>
    </row>
    <row r="785" spans="2:3">
      <c r="B785" s="57"/>
      <c r="C785" s="57"/>
    </row>
    <row r="786" spans="2:3">
      <c r="B786" s="57"/>
      <c r="C786" s="57"/>
    </row>
    <row r="787" spans="2:3">
      <c r="B787" s="57"/>
      <c r="C787" s="57"/>
    </row>
    <row r="788" spans="2:3">
      <c r="B788" s="57"/>
      <c r="C788" s="57"/>
    </row>
    <row r="789" spans="2:3">
      <c r="B789" s="57"/>
      <c r="C789" s="57"/>
    </row>
    <row r="790" spans="2:3">
      <c r="B790" s="57"/>
      <c r="C790" s="57"/>
    </row>
    <row r="791" spans="2:3">
      <c r="B791" s="57"/>
      <c r="C791" s="57"/>
    </row>
    <row r="792" spans="2:3">
      <c r="B792" s="57"/>
      <c r="C792" s="57"/>
    </row>
    <row r="793" spans="2:3">
      <c r="B793" s="57"/>
      <c r="C793" s="57"/>
    </row>
    <row r="794" spans="2:3">
      <c r="B794" s="57"/>
      <c r="C794" s="57"/>
    </row>
    <row r="795" spans="2:3">
      <c r="B795" s="57"/>
      <c r="C795" s="57"/>
    </row>
    <row r="796" spans="2:3">
      <c r="B796" s="57"/>
      <c r="C796" s="57"/>
    </row>
    <row r="797" spans="2:3">
      <c r="B797" s="57"/>
      <c r="C797" s="57"/>
    </row>
    <row r="798" spans="2:3">
      <c r="B798" s="57"/>
      <c r="C798" s="57"/>
    </row>
    <row r="799" spans="2:3">
      <c r="B799" s="57"/>
      <c r="C799" s="57"/>
    </row>
    <row r="800" spans="2:3">
      <c r="B800" s="57"/>
      <c r="C800" s="57"/>
    </row>
    <row r="801" spans="2:3">
      <c r="B801" s="57"/>
      <c r="C801" s="57"/>
    </row>
    <row r="802" spans="2:3">
      <c r="B802" s="57"/>
      <c r="C802" s="57"/>
    </row>
    <row r="803" spans="2:3">
      <c r="B803" s="57"/>
      <c r="C803" s="57"/>
    </row>
    <row r="804" spans="2:3">
      <c r="B804" s="57"/>
      <c r="C804" s="57"/>
    </row>
    <row r="805" spans="2:3">
      <c r="B805" s="57"/>
      <c r="C805" s="57"/>
    </row>
    <row r="806" spans="2:3">
      <c r="B806" s="57"/>
      <c r="C806" s="57"/>
    </row>
    <row r="807" spans="2:3">
      <c r="B807" s="57"/>
      <c r="C807" s="57"/>
    </row>
    <row r="808" spans="2:3">
      <c r="B808" s="57"/>
      <c r="C808" s="57"/>
    </row>
    <row r="809" spans="2:3">
      <c r="B809" s="57"/>
      <c r="C809" s="57"/>
    </row>
    <row r="810" spans="2:3">
      <c r="B810" s="57"/>
      <c r="C810" s="57"/>
    </row>
    <row r="811" spans="2:3">
      <c r="B811" s="57"/>
      <c r="C811" s="57"/>
    </row>
    <row r="812" spans="2:3">
      <c r="B812" s="57"/>
      <c r="C812" s="57"/>
    </row>
    <row r="813" spans="2:3">
      <c r="B813" s="57"/>
      <c r="C813" s="57"/>
    </row>
    <row r="814" spans="2:3">
      <c r="B814" s="57"/>
      <c r="C814" s="57"/>
    </row>
    <row r="815" spans="2:3">
      <c r="B815" s="57"/>
      <c r="C815" s="57"/>
    </row>
    <row r="816" spans="2:3">
      <c r="B816" s="57"/>
      <c r="C816" s="57"/>
    </row>
    <row r="817" spans="2:3">
      <c r="B817" s="57"/>
      <c r="C817" s="57"/>
    </row>
    <row r="818" spans="2:3">
      <c r="B818" s="57"/>
      <c r="C818" s="57"/>
    </row>
    <row r="819" spans="2:3">
      <c r="B819" s="57"/>
      <c r="C819" s="57"/>
    </row>
    <row r="820" spans="2:3">
      <c r="B820" s="57"/>
      <c r="C820" s="57"/>
    </row>
    <row r="821" spans="2:3">
      <c r="B821" s="57"/>
      <c r="C821" s="57"/>
    </row>
    <row r="822" spans="2:3">
      <c r="B822" s="57"/>
      <c r="C822" s="57"/>
    </row>
    <row r="823" spans="2:3">
      <c r="B823" s="57"/>
      <c r="C823" s="57"/>
    </row>
    <row r="824" spans="2:3">
      <c r="B824" s="57"/>
      <c r="C824" s="57"/>
    </row>
    <row r="825" spans="2:3">
      <c r="B825" s="57"/>
      <c r="C825" s="57"/>
    </row>
    <row r="826" spans="2:3">
      <c r="B826" s="57"/>
      <c r="C826" s="57"/>
    </row>
    <row r="827" spans="2:3">
      <c r="B827" s="57"/>
      <c r="C827" s="57"/>
    </row>
    <row r="828" spans="2:3">
      <c r="B828" s="57"/>
      <c r="C828" s="57"/>
    </row>
    <row r="829" spans="2:3">
      <c r="B829" s="57"/>
      <c r="C829" s="57"/>
    </row>
    <row r="830" spans="2:3">
      <c r="B830" s="57"/>
      <c r="C830" s="57"/>
    </row>
    <row r="831" spans="2:3">
      <c r="B831" s="57"/>
      <c r="C831" s="57"/>
    </row>
    <row r="832" spans="2:3">
      <c r="B832" s="57"/>
      <c r="C832" s="57"/>
    </row>
    <row r="833" spans="2:3">
      <c r="B833" s="57"/>
      <c r="C833" s="57"/>
    </row>
    <row r="834" spans="2:3">
      <c r="B834" s="57"/>
      <c r="C834" s="57"/>
    </row>
    <row r="835" spans="2:3">
      <c r="B835" s="57"/>
      <c r="C835" s="57"/>
    </row>
    <row r="836" spans="2:3">
      <c r="B836" s="57"/>
      <c r="C836" s="57"/>
    </row>
    <row r="837" spans="2:3">
      <c r="B837" s="57"/>
      <c r="C837" s="57"/>
    </row>
    <row r="838" spans="2:3">
      <c r="B838" s="57"/>
      <c r="C838" s="57"/>
    </row>
    <row r="839" spans="2:3">
      <c r="B839" s="57"/>
      <c r="C839" s="57"/>
    </row>
    <row r="840" spans="2:3">
      <c r="B840" s="57"/>
      <c r="C840" s="57"/>
    </row>
    <row r="841" spans="2:3">
      <c r="B841" s="57"/>
      <c r="C841" s="57"/>
    </row>
    <row r="842" spans="2:3">
      <c r="B842" s="57"/>
      <c r="C842" s="57"/>
    </row>
    <row r="843" spans="2:3">
      <c r="B843" s="57"/>
      <c r="C843" s="57"/>
    </row>
    <row r="844" spans="2:3">
      <c r="B844" s="57"/>
      <c r="C844" s="57"/>
    </row>
    <row r="845" spans="2:3">
      <c r="B845" s="57"/>
      <c r="C845" s="57"/>
    </row>
    <row r="846" spans="2:3">
      <c r="B846" s="57"/>
      <c r="C846" s="57"/>
    </row>
    <row r="847" spans="2:3">
      <c r="B847" s="57"/>
      <c r="C847" s="57"/>
    </row>
    <row r="848" spans="2:3">
      <c r="B848" s="57"/>
      <c r="C848" s="57"/>
    </row>
    <row r="849" spans="2:3">
      <c r="B849" s="57"/>
      <c r="C849" s="57"/>
    </row>
    <row r="850" spans="2:3">
      <c r="B850" s="57"/>
      <c r="C850" s="57"/>
    </row>
    <row r="851" spans="2:3">
      <c r="B851" s="57"/>
      <c r="C851" s="57"/>
    </row>
    <row r="852" spans="2:3">
      <c r="B852" s="57"/>
      <c r="C852" s="57"/>
    </row>
    <row r="853" spans="2:3">
      <c r="B853" s="57"/>
      <c r="C853" s="57"/>
    </row>
    <row r="854" spans="2:3">
      <c r="B854" s="57"/>
      <c r="C854" s="57"/>
    </row>
    <row r="855" spans="2:3">
      <c r="B855" s="57"/>
      <c r="C855" s="57"/>
    </row>
    <row r="856" spans="2:3">
      <c r="B856" s="57"/>
      <c r="C856" s="57"/>
    </row>
    <row r="857" spans="2:3">
      <c r="B857" s="57"/>
      <c r="C857" s="57"/>
    </row>
    <row r="858" spans="2:3">
      <c r="B858" s="57"/>
      <c r="C858" s="57"/>
    </row>
    <row r="859" spans="2:3">
      <c r="B859" s="57"/>
      <c r="C859" s="57"/>
    </row>
    <row r="860" spans="2:3">
      <c r="B860" s="57"/>
      <c r="C860" s="57"/>
    </row>
    <row r="861" spans="2:3">
      <c r="B861" s="57"/>
      <c r="C861" s="57"/>
    </row>
    <row r="862" spans="2:3">
      <c r="B862" s="57"/>
      <c r="C862" s="57"/>
    </row>
    <row r="863" spans="2:3">
      <c r="B863" s="57"/>
      <c r="C863" s="57"/>
    </row>
    <row r="864" spans="2:3">
      <c r="B864" s="57"/>
      <c r="C864" s="57"/>
    </row>
    <row r="865" spans="2:3">
      <c r="B865" s="57"/>
      <c r="C865" s="57"/>
    </row>
    <row r="866" spans="2:3">
      <c r="B866" s="57"/>
      <c r="C866" s="57"/>
    </row>
    <row r="867" spans="2:3">
      <c r="B867" s="57"/>
      <c r="C867" s="57"/>
    </row>
    <row r="868" spans="2:3">
      <c r="B868" s="57"/>
      <c r="C868" s="57"/>
    </row>
    <row r="869" spans="2:3">
      <c r="B869" s="57"/>
      <c r="C869" s="57"/>
    </row>
    <row r="870" spans="2:3">
      <c r="B870" s="57"/>
      <c r="C870" s="57"/>
    </row>
    <row r="871" spans="2:3">
      <c r="B871" s="57"/>
      <c r="C871" s="57"/>
    </row>
    <row r="872" spans="2:3">
      <c r="B872" s="57"/>
      <c r="C872" s="57"/>
    </row>
    <row r="873" spans="2:3">
      <c r="B873" s="57"/>
      <c r="C873" s="57"/>
    </row>
    <row r="874" spans="2:3">
      <c r="B874" s="57"/>
      <c r="C874" s="57"/>
    </row>
    <row r="875" spans="2:3">
      <c r="B875" s="57"/>
      <c r="C875" s="57"/>
    </row>
    <row r="876" spans="2:3">
      <c r="B876" s="57"/>
      <c r="C876" s="57"/>
    </row>
    <row r="877" spans="2:3">
      <c r="B877" s="57"/>
      <c r="C877" s="57"/>
    </row>
    <row r="878" spans="2:3">
      <c r="B878" s="57"/>
      <c r="C878" s="57"/>
    </row>
    <row r="879" spans="2:3">
      <c r="B879" s="57"/>
      <c r="C879" s="57"/>
    </row>
    <row r="880" spans="2:3">
      <c r="B880" s="57"/>
      <c r="C880" s="57"/>
    </row>
    <row r="881" spans="2:3">
      <c r="B881" s="57"/>
      <c r="C881" s="57"/>
    </row>
    <row r="882" spans="2:3">
      <c r="B882" s="57"/>
      <c r="C882" s="57"/>
    </row>
    <row r="883" spans="2:3">
      <c r="B883" s="57"/>
      <c r="C883" s="57"/>
    </row>
    <row r="884" spans="2:3">
      <c r="B884" s="57"/>
      <c r="C884" s="57"/>
    </row>
    <row r="885" spans="2:3">
      <c r="B885" s="57"/>
      <c r="C885" s="57"/>
    </row>
    <row r="886" spans="2:3">
      <c r="B886" s="57"/>
      <c r="C886" s="57"/>
    </row>
    <row r="887" spans="2:3">
      <c r="B887" s="57"/>
      <c r="C887" s="57"/>
    </row>
    <row r="888" spans="2:3">
      <c r="B888" s="57"/>
      <c r="C888" s="57"/>
    </row>
    <row r="889" spans="2:3">
      <c r="B889" s="57"/>
      <c r="C889" s="57"/>
    </row>
    <row r="890" spans="2:3">
      <c r="B890" s="57"/>
      <c r="C890" s="57"/>
    </row>
    <row r="891" spans="2:3">
      <c r="B891" s="57"/>
      <c r="C891" s="57"/>
    </row>
    <row r="892" spans="2:3">
      <c r="B892" s="57"/>
      <c r="C892" s="57"/>
    </row>
    <row r="893" spans="2:3">
      <c r="B893" s="57"/>
      <c r="C893" s="57"/>
    </row>
    <row r="894" spans="2:3">
      <c r="B894" s="57"/>
      <c r="C894" s="57"/>
    </row>
    <row r="895" spans="2:3">
      <c r="B895" s="57"/>
      <c r="C895" s="57"/>
    </row>
    <row r="896" spans="2:3">
      <c r="B896" s="57"/>
      <c r="C896" s="57"/>
    </row>
    <row r="897" spans="2:3">
      <c r="B897" s="57"/>
      <c r="C897" s="57"/>
    </row>
    <row r="898" spans="2:3">
      <c r="B898" s="57"/>
      <c r="C898" s="57"/>
    </row>
    <row r="899" spans="2:3">
      <c r="B899" s="57"/>
      <c r="C899" s="57"/>
    </row>
    <row r="900" spans="2:3">
      <c r="B900" s="57"/>
      <c r="C900" s="57"/>
    </row>
    <row r="901" spans="2:3">
      <c r="B901" s="57"/>
      <c r="C901" s="57"/>
    </row>
    <row r="902" spans="2:3">
      <c r="B902" s="57"/>
      <c r="C902" s="57"/>
    </row>
    <row r="903" spans="2:3">
      <c r="B903" s="57"/>
      <c r="C903" s="57"/>
    </row>
    <row r="904" spans="2:3">
      <c r="B904" s="57"/>
      <c r="C904" s="57"/>
    </row>
    <row r="905" spans="2:3">
      <c r="B905" s="57"/>
      <c r="C905" s="57"/>
    </row>
    <row r="906" spans="2:3">
      <c r="B906" s="57"/>
      <c r="C906" s="57"/>
    </row>
    <row r="907" spans="2:3">
      <c r="B907" s="57"/>
      <c r="C907" s="57"/>
    </row>
    <row r="908" spans="2:3">
      <c r="B908" s="57"/>
      <c r="C908" s="57"/>
    </row>
    <row r="909" spans="2:3">
      <c r="B909" s="57"/>
      <c r="C909" s="57"/>
    </row>
    <row r="910" spans="2:3">
      <c r="B910" s="57"/>
      <c r="C910" s="57"/>
    </row>
    <row r="911" spans="2:3">
      <c r="B911" s="57"/>
      <c r="C911" s="57"/>
    </row>
    <row r="912" spans="2:3">
      <c r="B912" s="57"/>
      <c r="C912" s="57"/>
    </row>
    <row r="913" spans="2:3">
      <c r="B913" s="57"/>
      <c r="C913" s="57"/>
    </row>
    <row r="914" spans="2:3">
      <c r="B914" s="57"/>
      <c r="C914" s="57"/>
    </row>
    <row r="915" spans="2:3">
      <c r="B915" s="57"/>
      <c r="C915" s="57"/>
    </row>
    <row r="916" spans="2:3">
      <c r="B916" s="57"/>
      <c r="C916" s="57"/>
    </row>
    <row r="917" spans="2:3">
      <c r="B917" s="57"/>
      <c r="C917" s="57"/>
    </row>
    <row r="918" spans="2:3">
      <c r="B918" s="57"/>
      <c r="C918" s="57"/>
    </row>
    <row r="919" spans="2:3">
      <c r="B919" s="57"/>
      <c r="C919" s="57"/>
    </row>
    <row r="920" spans="2:3">
      <c r="B920" s="57"/>
      <c r="C920" s="57"/>
    </row>
    <row r="921" spans="2:3">
      <c r="B921" s="57"/>
      <c r="C921" s="57"/>
    </row>
    <row r="922" spans="2:3">
      <c r="B922" s="57"/>
      <c r="C922" s="57"/>
    </row>
    <row r="923" spans="2:3">
      <c r="B923" s="57"/>
      <c r="C923" s="57"/>
    </row>
    <row r="924" spans="2:3">
      <c r="B924" s="57"/>
      <c r="C924" s="57"/>
    </row>
    <row r="925" spans="2:3">
      <c r="B925" s="57"/>
      <c r="C925" s="57"/>
    </row>
    <row r="926" spans="2:3">
      <c r="B926" s="57"/>
      <c r="C926" s="57"/>
    </row>
    <row r="927" spans="2:3">
      <c r="B927" s="57"/>
      <c r="C927" s="57"/>
    </row>
    <row r="928" spans="2:3">
      <c r="B928" s="57"/>
      <c r="C928" s="57"/>
    </row>
    <row r="929" spans="2:3">
      <c r="B929" s="57"/>
      <c r="C929" s="57"/>
    </row>
    <row r="930" spans="2:3">
      <c r="B930" s="57"/>
      <c r="C930" s="57"/>
    </row>
    <row r="931" spans="2:3">
      <c r="B931" s="57"/>
      <c r="C931" s="57"/>
    </row>
    <row r="932" spans="2:3">
      <c r="B932" s="57"/>
      <c r="C932" s="57"/>
    </row>
    <row r="933" spans="2:3">
      <c r="B933" s="57"/>
      <c r="C933" s="57"/>
    </row>
    <row r="934" spans="2:3">
      <c r="B934" s="57"/>
      <c r="C934" s="57"/>
    </row>
    <row r="935" spans="2:3">
      <c r="B935" s="57"/>
      <c r="C935" s="57"/>
    </row>
    <row r="936" spans="2:3">
      <c r="B936" s="57"/>
      <c r="C936" s="57"/>
    </row>
    <row r="937" spans="2:3">
      <c r="B937" s="57"/>
      <c r="C937" s="57"/>
    </row>
    <row r="938" spans="2:3">
      <c r="B938" s="57"/>
      <c r="C938" s="57"/>
    </row>
    <row r="939" spans="2:3">
      <c r="B939" s="57"/>
      <c r="C939" s="57"/>
    </row>
    <row r="940" spans="2:3">
      <c r="B940" s="57"/>
      <c r="C940" s="57"/>
    </row>
    <row r="941" spans="2:3">
      <c r="B941" s="57"/>
      <c r="C941" s="57"/>
    </row>
    <row r="942" spans="2:3">
      <c r="B942" s="57"/>
      <c r="C942" s="57"/>
    </row>
    <row r="943" spans="2:3">
      <c r="B943" s="57"/>
      <c r="C943" s="57"/>
    </row>
    <row r="944" spans="2:3">
      <c r="B944" s="57"/>
      <c r="C944" s="57"/>
    </row>
    <row r="945" spans="2:3">
      <c r="B945" s="57"/>
      <c r="C945" s="57"/>
    </row>
    <row r="946" spans="2:3">
      <c r="B946" s="57"/>
      <c r="C946" s="57"/>
    </row>
    <row r="947" spans="2:3">
      <c r="B947" s="57"/>
      <c r="C947" s="57"/>
    </row>
    <row r="948" spans="2:3">
      <c r="B948" s="57"/>
      <c r="C948" s="57"/>
    </row>
    <row r="949" spans="2:3">
      <c r="B949" s="57"/>
      <c r="C949" s="57"/>
    </row>
    <row r="950" spans="2:3">
      <c r="B950" s="57"/>
      <c r="C950" s="57"/>
    </row>
    <row r="951" spans="2:3">
      <c r="B951" s="57"/>
      <c r="C951" s="57"/>
    </row>
    <row r="952" spans="2:3">
      <c r="B952" s="57"/>
      <c r="C952" s="57"/>
    </row>
    <row r="953" spans="2:3">
      <c r="B953" s="57"/>
      <c r="C953" s="57"/>
    </row>
    <row r="954" spans="2:3">
      <c r="B954" s="57"/>
      <c r="C954" s="57"/>
    </row>
    <row r="955" spans="2:3">
      <c r="B955" s="57"/>
      <c r="C955" s="57"/>
    </row>
    <row r="956" spans="2:3">
      <c r="B956" s="57"/>
      <c r="C956" s="57"/>
    </row>
    <row r="957" spans="2:3">
      <c r="B957" s="57"/>
      <c r="C957" s="57"/>
    </row>
    <row r="958" spans="2:3">
      <c r="B958" s="57"/>
      <c r="C958" s="57"/>
    </row>
    <row r="959" spans="2:3">
      <c r="B959" s="57"/>
      <c r="C959" s="57"/>
    </row>
    <row r="960" spans="2:3">
      <c r="B960" s="57"/>
      <c r="C960" s="57"/>
    </row>
    <row r="961" spans="2:3">
      <c r="B961" s="57"/>
      <c r="C961" s="57"/>
    </row>
    <row r="962" spans="2:3">
      <c r="B962" s="57"/>
      <c r="C962" s="57"/>
    </row>
    <row r="963" spans="2:3">
      <c r="B963" s="57"/>
      <c r="C963" s="57"/>
    </row>
    <row r="964" spans="2:3">
      <c r="B964" s="57"/>
      <c r="C964" s="57"/>
    </row>
    <row r="965" spans="2:3">
      <c r="B965" s="57"/>
      <c r="C965" s="57"/>
    </row>
    <row r="966" spans="2:3">
      <c r="B966" s="57"/>
      <c r="C966" s="5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28"/>
  <sheetViews>
    <sheetView tabSelected="1" workbookViewId="0">
      <selection activeCell="F27" sqref="F27"/>
    </sheetView>
  </sheetViews>
  <sheetFormatPr defaultColWidth="12.5703125" defaultRowHeight="15" customHeight="1"/>
  <sheetData>
    <row r="1" spans="1:13">
      <c r="A1" s="58" t="s">
        <v>286</v>
      </c>
      <c r="C1" s="59" t="s">
        <v>287</v>
      </c>
      <c r="J1" s="58"/>
      <c r="M1" s="60"/>
    </row>
    <row r="2" spans="1:13">
      <c r="A2" s="59"/>
      <c r="J2" s="61"/>
    </row>
    <row r="3" spans="1:13">
      <c r="A3" s="59" t="s">
        <v>288</v>
      </c>
    </row>
    <row r="4" spans="1:13">
      <c r="A4" s="62"/>
      <c r="B4" s="61"/>
      <c r="J4" s="62"/>
    </row>
    <row r="5" spans="1:13">
      <c r="B5" s="61"/>
      <c r="K5" s="61"/>
    </row>
    <row r="6" spans="1:13">
      <c r="B6" s="61"/>
      <c r="K6" s="61"/>
    </row>
    <row r="7" spans="1:13">
      <c r="B7" s="61"/>
    </row>
    <row r="8" spans="1:13">
      <c r="B8" s="61"/>
    </row>
    <row r="9" spans="1:13">
      <c r="B9" s="61"/>
    </row>
    <row r="10" spans="1:13">
      <c r="B10" s="61"/>
    </row>
    <row r="12" spans="1:13">
      <c r="A12" s="62"/>
      <c r="J12" s="62"/>
    </row>
    <row r="13" spans="1:13">
      <c r="A13" s="63"/>
      <c r="B13" s="61"/>
      <c r="K13" s="61"/>
    </row>
    <row r="14" spans="1:13">
      <c r="B14" s="61"/>
      <c r="K14" s="61"/>
    </row>
    <row r="15" spans="1:13">
      <c r="B15" s="61"/>
      <c r="K15" s="61"/>
    </row>
    <row r="16" spans="1:13">
      <c r="B16" s="61"/>
      <c r="K16" s="61"/>
    </row>
    <row r="17" spans="2:11">
      <c r="B17" s="61"/>
      <c r="K17" s="61"/>
    </row>
    <row r="18" spans="2:11">
      <c r="K18" s="61"/>
    </row>
    <row r="19" spans="2:11">
      <c r="B19" s="61"/>
    </row>
    <row r="20" spans="2:11">
      <c r="K20" s="61"/>
    </row>
    <row r="22" spans="2:11">
      <c r="B22" s="61"/>
    </row>
    <row r="23" spans="2:11">
      <c r="B23" s="61"/>
    </row>
    <row r="24" spans="2:11">
      <c r="B24" s="61"/>
    </row>
    <row r="25" spans="2:11">
      <c r="B25" s="61"/>
    </row>
    <row r="26" spans="2:11">
      <c r="B26" s="61"/>
    </row>
    <row r="28" spans="2:11">
      <c r="B28" s="6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2"/>
  <sheetViews>
    <sheetView workbookViewId="0"/>
  </sheetViews>
  <sheetFormatPr defaultColWidth="12.5703125" defaultRowHeight="15" customHeight="1"/>
  <sheetData>
    <row r="1" spans="1:1">
      <c r="A1" s="61" t="s">
        <v>289</v>
      </c>
    </row>
    <row r="2" spans="1:1">
      <c r="A2" s="64" t="s">
        <v>290</v>
      </c>
    </row>
  </sheetData>
  <hyperlinks>
    <hyperlink ref="A2" r:id="rId1" xr:uid="{00000000-0004-0000-04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LiD Calculator</vt:lpstr>
      <vt:lpstr>Decals</vt:lpstr>
      <vt:lpstr>Lists</vt:lpstr>
      <vt:lpstr>Notes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Mascoutah Yard</dc:creator>
  <cp:lastModifiedBy>Mascoutah Yard</cp:lastModifiedBy>
  <dcterms:created xsi:type="dcterms:W3CDTF">2025-11-12T13:57:32Z</dcterms:created>
  <dcterms:modified xsi:type="dcterms:W3CDTF">2025-11-20T17:41:17Z</dcterms:modified>
</cp:coreProperties>
</file>