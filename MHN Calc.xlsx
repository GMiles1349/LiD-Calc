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urmeier-my.sharepoint.com/personal/mascoutah_surmeier_com/Documents/Desktop/Useful Documents/Projects/"/>
    </mc:Choice>
  </mc:AlternateContent>
  <xr:revisionPtr revIDLastSave="3650" documentId="8_{8DEBD19A-E5C3-41F0-BFE4-F09CA2CFCCC6}" xr6:coauthVersionLast="47" xr6:coauthVersionMax="47" xr10:uidLastSave="{C78DD88A-5184-4CDE-B585-E05D249E128E}"/>
  <bookViews>
    <workbookView xWindow="-120" yWindow="-120" windowWidth="29040" windowHeight="15840" xr2:uid="{A8156483-9D7C-41A0-ACC0-EDCED4AA7B90}"/>
  </bookViews>
  <sheets>
    <sheet name="Build" sheetId="2" r:id="rId1"/>
    <sheet name="Skills" sheetId="1" r:id="rId2"/>
    <sheet name="Helmets" sheetId="8" r:id="rId3"/>
    <sheet name="Bodies" sheetId="9" r:id="rId4"/>
    <sheet name="Arms" sheetId="10" r:id="rId5"/>
    <sheet name="Waists" sheetId="11" r:id="rId6"/>
    <sheet name="Legs" sheetId="12" r:id="rId7"/>
    <sheet name="Gunlance" sheetId="5" r:id="rId8"/>
    <sheet name="Lists" sheetId="6" r:id="rId9"/>
    <sheet name="Utility" sheetId="7" r:id="rId10"/>
  </sheets>
  <definedNames>
    <definedName name="Arms_List">Arms!$A$1:$A$542</definedName>
    <definedName name="Bodies_List">Bodies!$A$1:$A$542</definedName>
    <definedName name="Gunlance_List">Gunlance!$A$19:$A$394</definedName>
    <definedName name="Helmets_List">Helmets!$A$1:$A$542</definedName>
    <definedName name="Legs_List">Legs!$A$1:$A$542</definedName>
    <definedName name="Waists_List">Waists!$A$1:$A$542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 a="1"/>
  <c r="I9" i="2" s="1"/>
  <c r="I8" i="2" a="1"/>
  <c r="I8" i="2" s="1"/>
  <c r="I7" i="2" a="1"/>
  <c r="I7" i="2" s="1"/>
  <c r="L9" i="2" a="1"/>
  <c r="L9" i="2" s="1"/>
  <c r="L8" i="2" a="1"/>
  <c r="L8" i="2" s="1"/>
  <c r="L7" i="2" a="1"/>
  <c r="L7" i="2" s="1"/>
  <c r="L10" i="2"/>
  <c r="L11" i="2"/>
  <c r="L39" i="2"/>
  <c r="L38" i="2"/>
  <c r="L32" i="2"/>
  <c r="L31" i="2"/>
  <c r="L25" i="2"/>
  <c r="L24" i="2"/>
  <c r="L18" i="2"/>
  <c r="L17" i="2"/>
  <c r="A20" i="6" a="1"/>
  <c r="A20" i="6" s="1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A2" i="7" a="1"/>
  <c r="R8" i="1"/>
  <c r="R5" i="1"/>
  <c r="R6" i="1"/>
  <c r="R7" i="1"/>
  <c r="R9" i="1"/>
  <c r="R10" i="1"/>
  <c r="R11" i="1"/>
  <c r="R12" i="1"/>
  <c r="P3" i="1"/>
  <c r="P4" i="1"/>
  <c r="P10" i="1"/>
  <c r="P12" i="1"/>
  <c r="I2" i="2" a="1"/>
  <c r="L4" i="2" a="1"/>
  <c r="L3" i="2" a="1"/>
  <c r="L2" i="2" a="1"/>
  <c r="I4" i="2" a="1"/>
  <c r="I3" i="2" a="1"/>
  <c r="C8" i="2"/>
  <c r="C7" i="2" a="1"/>
  <c r="C6" i="2" a="1"/>
  <c r="I2" i="2" l="1"/>
  <c r="L4" i="2"/>
  <c r="L3" i="2"/>
  <c r="L2" i="2"/>
  <c r="I4" i="2"/>
  <c r="I3" i="2"/>
  <c r="O2" i="2" s="1" a="1"/>
  <c r="O2" i="2" s="1"/>
  <c r="C7" i="2"/>
  <c r="C6" i="2"/>
  <c r="A2" i="7"/>
  <c r="B2" i="7" s="1"/>
  <c r="B8" i="7"/>
  <c r="B7" i="7"/>
  <c r="B6" i="7"/>
  <c r="B5" i="7"/>
  <c r="B4" i="7"/>
  <c r="B3" i="7"/>
  <c r="R10" i="2" l="1"/>
  <c r="R16" i="2"/>
  <c r="R22" i="2"/>
  <c r="R21" i="2"/>
  <c r="R11" i="2"/>
  <c r="R17" i="2"/>
  <c r="R23" i="2"/>
  <c r="R12" i="2"/>
  <c r="R18" i="2"/>
  <c r="R24" i="2"/>
  <c r="R9" i="2"/>
  <c r="R13" i="2"/>
  <c r="R19" i="2"/>
  <c r="R25" i="2"/>
  <c r="R8" i="2"/>
  <c r="R14" i="2"/>
  <c r="R20" i="2"/>
  <c r="R15" i="2"/>
  <c r="R6" i="2"/>
  <c r="E7" i="2" a="1"/>
  <c r="R7" i="2" l="1"/>
  <c r="R5" i="2"/>
  <c r="R4" i="2"/>
  <c r="R3" i="2"/>
  <c r="C18" i="2"/>
  <c r="E7" i="2"/>
  <c r="E17" i="2" s="1"/>
  <c r="K3" i="1" l="1"/>
  <c r="K9" i="1"/>
  <c r="L9" i="1" s="1" a="1"/>
  <c r="L9" i="1" s="1"/>
  <c r="K15" i="1"/>
  <c r="L15" i="1" s="1" a="1"/>
  <c r="L15" i="1" s="1"/>
  <c r="P9" i="1" s="1"/>
  <c r="K21" i="1"/>
  <c r="L21" i="1" s="1" a="1"/>
  <c r="L21" i="1" s="1"/>
  <c r="K27" i="1"/>
  <c r="K33" i="1"/>
  <c r="L33" i="1" s="1" a="1"/>
  <c r="L33" i="1" s="1"/>
  <c r="K39" i="1"/>
  <c r="L39" i="1" s="1" a="1"/>
  <c r="L39" i="1" s="1"/>
  <c r="K45" i="1"/>
  <c r="L45" i="1" s="1" a="1"/>
  <c r="L45" i="1" s="1"/>
  <c r="K51" i="1"/>
  <c r="L51" i="1" s="1" a="1"/>
  <c r="L51" i="1" s="1"/>
  <c r="K57" i="1"/>
  <c r="L57" i="1" s="1" a="1"/>
  <c r="L57" i="1" s="1"/>
  <c r="K63" i="1"/>
  <c r="L63" i="1" s="1" a="1"/>
  <c r="L63" i="1" s="1"/>
  <c r="K69" i="1"/>
  <c r="L69" i="1" s="1" a="1"/>
  <c r="L69" i="1" s="1"/>
  <c r="K75" i="1"/>
  <c r="L75" i="1" s="1" a="1"/>
  <c r="L75" i="1" s="1"/>
  <c r="K81" i="1"/>
  <c r="K87" i="1"/>
  <c r="L87" i="1" s="1" a="1"/>
  <c r="L87" i="1" s="1"/>
  <c r="K99" i="1"/>
  <c r="L99" i="1" s="1" a="1"/>
  <c r="L99" i="1" s="1"/>
  <c r="K105" i="1"/>
  <c r="L105" i="1" s="1" a="1"/>
  <c r="L105" i="1" s="1"/>
  <c r="K111" i="1"/>
  <c r="L111" i="1" s="1" a="1"/>
  <c r="L111" i="1" s="1"/>
  <c r="K19" i="1"/>
  <c r="L19" i="1" s="1" a="1"/>
  <c r="L19" i="1" s="1"/>
  <c r="P7" i="1" s="1"/>
  <c r="K43" i="1"/>
  <c r="L43" i="1" s="1" a="1"/>
  <c r="L43" i="1" s="1"/>
  <c r="K67" i="1"/>
  <c r="L67" i="1" s="1" a="1"/>
  <c r="L67" i="1" s="1"/>
  <c r="K85" i="1"/>
  <c r="L85" i="1" s="1" a="1"/>
  <c r="L85" i="1" s="1"/>
  <c r="K109" i="1"/>
  <c r="L109" i="1" s="1" a="1"/>
  <c r="L109" i="1" s="1"/>
  <c r="K20" i="1"/>
  <c r="L20" i="1" s="1" a="1"/>
  <c r="L20" i="1" s="1"/>
  <c r="K44" i="1"/>
  <c r="L44" i="1" s="1" a="1"/>
  <c r="L44" i="1" s="1"/>
  <c r="K68" i="1"/>
  <c r="L68" i="1" s="1" a="1"/>
  <c r="L68" i="1" s="1"/>
  <c r="K92" i="1"/>
  <c r="L92" i="1" s="1" a="1"/>
  <c r="L92" i="1" s="1"/>
  <c r="K4" i="1"/>
  <c r="K10" i="1"/>
  <c r="K16" i="1"/>
  <c r="L16" i="1" s="1" a="1"/>
  <c r="L16" i="1" s="1"/>
  <c r="P5" i="1" s="1"/>
  <c r="K22" i="1"/>
  <c r="L22" i="1" s="1" a="1"/>
  <c r="L22" i="1" s="1"/>
  <c r="K28" i="1"/>
  <c r="L28" i="1" s="1" a="1"/>
  <c r="L28" i="1" s="1"/>
  <c r="K34" i="1"/>
  <c r="L34" i="1" s="1" a="1"/>
  <c r="L34" i="1" s="1"/>
  <c r="K40" i="1"/>
  <c r="L40" i="1" s="1" a="1"/>
  <c r="L40" i="1" s="1"/>
  <c r="K46" i="1"/>
  <c r="L46" i="1" s="1" a="1"/>
  <c r="L46" i="1" s="1"/>
  <c r="K52" i="1"/>
  <c r="L52" i="1" s="1" a="1"/>
  <c r="L52" i="1" s="1"/>
  <c r="K58" i="1"/>
  <c r="L58" i="1" s="1" a="1"/>
  <c r="L58" i="1" s="1"/>
  <c r="K64" i="1"/>
  <c r="L64" i="1" s="1" a="1"/>
  <c r="L64" i="1" s="1"/>
  <c r="K70" i="1"/>
  <c r="K76" i="1"/>
  <c r="L76" i="1" s="1" a="1"/>
  <c r="L76" i="1" s="1"/>
  <c r="K82" i="1"/>
  <c r="L82" i="1" s="1" a="1"/>
  <c r="L82" i="1" s="1"/>
  <c r="K88" i="1"/>
  <c r="L88" i="1" s="1" a="1"/>
  <c r="L88" i="1" s="1"/>
  <c r="K94" i="1"/>
  <c r="L94" i="1" s="1" a="1"/>
  <c r="L94" i="1" s="1"/>
  <c r="K100" i="1"/>
  <c r="K106" i="1"/>
  <c r="L106" i="1" s="1" a="1"/>
  <c r="L106" i="1" s="1"/>
  <c r="K112" i="1"/>
  <c r="L112" i="1" s="1" a="1"/>
  <c r="L112" i="1" s="1"/>
  <c r="K25" i="1"/>
  <c r="L25" i="1" s="1" a="1"/>
  <c r="L25" i="1" s="1"/>
  <c r="K49" i="1"/>
  <c r="L49" i="1" s="1" a="1"/>
  <c r="L49" i="1" s="1"/>
  <c r="K73" i="1"/>
  <c r="L73" i="1" s="1" a="1"/>
  <c r="L73" i="1" s="1"/>
  <c r="K97" i="1"/>
  <c r="L97" i="1" s="1" a="1"/>
  <c r="L97" i="1" s="1"/>
  <c r="K115" i="1"/>
  <c r="L115" i="1" s="1" a="1"/>
  <c r="L115" i="1" s="1"/>
  <c r="K26" i="1"/>
  <c r="L26" i="1" s="1" a="1"/>
  <c r="L26" i="1" s="1"/>
  <c r="K56" i="1"/>
  <c r="L56" i="1" s="1" a="1"/>
  <c r="L56" i="1" s="1"/>
  <c r="K80" i="1"/>
  <c r="L80" i="1" s="1" a="1"/>
  <c r="L80" i="1" s="1"/>
  <c r="K104" i="1"/>
  <c r="L104" i="1" s="1" a="1"/>
  <c r="L104" i="1" s="1"/>
  <c r="K5" i="1"/>
  <c r="K11" i="1"/>
  <c r="K17" i="1"/>
  <c r="L17" i="1" s="1" a="1"/>
  <c r="L17" i="1" s="1"/>
  <c r="P6" i="1" s="1"/>
  <c r="K23" i="1"/>
  <c r="L23" i="1" s="1" a="1"/>
  <c r="L23" i="1" s="1"/>
  <c r="K29" i="1"/>
  <c r="L29" i="1" s="1" a="1"/>
  <c r="L29" i="1" s="1"/>
  <c r="K35" i="1"/>
  <c r="L35" i="1" s="1" a="1"/>
  <c r="L35" i="1" s="1"/>
  <c r="K41" i="1"/>
  <c r="L41" i="1" s="1" a="1"/>
  <c r="L41" i="1" s="1"/>
  <c r="K47" i="1"/>
  <c r="L47" i="1" s="1" a="1"/>
  <c r="L47" i="1" s="1"/>
  <c r="K53" i="1"/>
  <c r="L53" i="1" s="1" a="1"/>
  <c r="L53" i="1" s="1"/>
  <c r="K59" i="1"/>
  <c r="L59" i="1" s="1" a="1"/>
  <c r="L59" i="1" s="1"/>
  <c r="K65" i="1"/>
  <c r="L65" i="1" s="1" a="1"/>
  <c r="L65" i="1" s="1"/>
  <c r="K71" i="1"/>
  <c r="L71" i="1" s="1" a="1"/>
  <c r="L71" i="1" s="1"/>
  <c r="K77" i="1"/>
  <c r="L77" i="1" s="1" a="1"/>
  <c r="L77" i="1" s="1"/>
  <c r="K83" i="1"/>
  <c r="L83" i="1" s="1" a="1"/>
  <c r="L83" i="1" s="1"/>
  <c r="K89" i="1"/>
  <c r="L89" i="1" s="1" a="1"/>
  <c r="L89" i="1" s="1"/>
  <c r="K95" i="1"/>
  <c r="L95" i="1" s="1" a="1"/>
  <c r="L95" i="1" s="1"/>
  <c r="K101" i="1"/>
  <c r="K107" i="1"/>
  <c r="L107" i="1" s="1" a="1"/>
  <c r="L107" i="1" s="1"/>
  <c r="K113" i="1"/>
  <c r="L113" i="1" s="1" a="1"/>
  <c r="L113" i="1" s="1"/>
  <c r="K13" i="1"/>
  <c r="K37" i="1"/>
  <c r="L37" i="1" s="1" a="1"/>
  <c r="L37" i="1" s="1"/>
  <c r="K61" i="1"/>
  <c r="L61" i="1" s="1" a="1"/>
  <c r="L61" i="1" s="1"/>
  <c r="K91" i="1"/>
  <c r="L91" i="1" s="1" a="1"/>
  <c r="L91" i="1" s="1"/>
  <c r="K8" i="1"/>
  <c r="K32" i="1"/>
  <c r="L32" i="1" s="1" a="1"/>
  <c r="L32" i="1" s="1"/>
  <c r="K50" i="1"/>
  <c r="L50" i="1" s="1" a="1"/>
  <c r="L50" i="1" s="1"/>
  <c r="K74" i="1"/>
  <c r="L74" i="1" s="1" a="1"/>
  <c r="L74" i="1" s="1"/>
  <c r="K98" i="1"/>
  <c r="L98" i="1" s="1" a="1"/>
  <c r="L98" i="1" s="1"/>
  <c r="K6" i="1"/>
  <c r="K12" i="1"/>
  <c r="K18" i="1"/>
  <c r="L18" i="1" s="1" a="1"/>
  <c r="L18" i="1" s="1"/>
  <c r="P8" i="1" s="1"/>
  <c r="K24" i="1"/>
  <c r="L24" i="1" s="1" a="1"/>
  <c r="L24" i="1" s="1"/>
  <c r="K30" i="1"/>
  <c r="K36" i="1"/>
  <c r="L36" i="1" s="1" a="1"/>
  <c r="L36" i="1" s="1"/>
  <c r="K42" i="1"/>
  <c r="L42" i="1" s="1" a="1"/>
  <c r="L42" i="1" s="1"/>
  <c r="K48" i="1"/>
  <c r="L48" i="1" s="1" a="1"/>
  <c r="L48" i="1" s="1"/>
  <c r="K54" i="1"/>
  <c r="L54" i="1" s="1" a="1"/>
  <c r="L54" i="1" s="1"/>
  <c r="K60" i="1"/>
  <c r="L60" i="1" s="1" a="1"/>
  <c r="L60" i="1" s="1"/>
  <c r="K66" i="1"/>
  <c r="L66" i="1" s="1" a="1"/>
  <c r="L66" i="1" s="1"/>
  <c r="K72" i="1"/>
  <c r="L72" i="1" s="1" a="1"/>
  <c r="L72" i="1" s="1"/>
  <c r="K78" i="1"/>
  <c r="L78" i="1" s="1" a="1"/>
  <c r="L78" i="1" s="1"/>
  <c r="K84" i="1"/>
  <c r="L84" i="1" s="1" a="1"/>
  <c r="L84" i="1" s="1"/>
  <c r="K90" i="1"/>
  <c r="L90" i="1" s="1" a="1"/>
  <c r="L90" i="1" s="1"/>
  <c r="K96" i="1"/>
  <c r="L96" i="1" s="1" a="1"/>
  <c r="L96" i="1" s="1"/>
  <c r="K102" i="1"/>
  <c r="L102" i="1" s="1" a="1"/>
  <c r="L102" i="1" s="1"/>
  <c r="K108" i="1"/>
  <c r="L108" i="1" s="1" a="1"/>
  <c r="L108" i="1" s="1"/>
  <c r="K114" i="1"/>
  <c r="L114" i="1" s="1" a="1"/>
  <c r="L114" i="1" s="1"/>
  <c r="K7" i="1"/>
  <c r="L7" i="1" s="1" a="1"/>
  <c r="L7" i="1" s="1"/>
  <c r="K31" i="1"/>
  <c r="L31" i="1" s="1" a="1"/>
  <c r="L31" i="1" s="1"/>
  <c r="K55" i="1"/>
  <c r="L55" i="1" s="1" a="1"/>
  <c r="L55" i="1" s="1"/>
  <c r="K79" i="1"/>
  <c r="L79" i="1" s="1" a="1"/>
  <c r="L79" i="1" s="1"/>
  <c r="K103" i="1"/>
  <c r="L103" i="1" s="1" a="1"/>
  <c r="L103" i="1" s="1"/>
  <c r="K14" i="1"/>
  <c r="L14" i="1" s="1" a="1"/>
  <c r="L14" i="1" s="1"/>
  <c r="P11" i="1" s="1"/>
  <c r="K38" i="1"/>
  <c r="L38" i="1" s="1" a="1"/>
  <c r="L38" i="1" s="1"/>
  <c r="K62" i="1"/>
  <c r="L62" i="1" s="1" a="1"/>
  <c r="L62" i="1" s="1"/>
  <c r="K86" i="1"/>
  <c r="L86" i="1" s="1" a="1"/>
  <c r="L86" i="1" s="1"/>
  <c r="K110" i="1"/>
  <c r="L110" i="1" s="1" a="1"/>
  <c r="L110" i="1" s="1"/>
  <c r="R2" i="2"/>
  <c r="K93" i="1" s="1"/>
  <c r="K2" i="1"/>
  <c r="C17" i="2"/>
  <c r="C12" i="2"/>
  <c r="C11" i="2"/>
  <c r="C10" i="2"/>
  <c r="C9" i="2"/>
  <c r="L3" i="1" a="1"/>
  <c r="L27" i="1" a="1"/>
  <c r="L101" i="1" a="1"/>
  <c r="L100" i="1" a="1"/>
  <c r="L30" i="1" a="1"/>
  <c r="L8" i="1" a="1"/>
  <c r="L70" i="1" a="1"/>
  <c r="L5" i="1" a="1"/>
  <c r="L81" i="1" a="1"/>
  <c r="L4" i="1" a="1"/>
  <c r="L11" i="1" a="1"/>
  <c r="L6" i="1" a="1"/>
  <c r="L10" i="1" a="1"/>
  <c r="L12" i="1" a="1"/>
  <c r="L13" i="1" a="1"/>
  <c r="L93" i="1" a="1"/>
  <c r="L2" i="1" a="1"/>
  <c r="L3" i="1" l="1"/>
  <c r="R2" i="1"/>
  <c r="L93" i="1"/>
  <c r="L13" i="1"/>
  <c r="L12" i="1"/>
  <c r="L10" i="1"/>
  <c r="L6" i="1"/>
  <c r="L11" i="1"/>
  <c r="L4" i="1"/>
  <c r="R4" i="1" s="1"/>
  <c r="L81" i="1"/>
  <c r="L5" i="1"/>
  <c r="L70" i="1"/>
  <c r="L8" i="1"/>
  <c r="L30" i="1"/>
  <c r="L100" i="1"/>
  <c r="L101" i="1"/>
  <c r="L27" i="1"/>
  <c r="L2" i="1"/>
  <c r="C19" i="2"/>
  <c r="C13" i="2"/>
  <c r="P2" i="1" l="1"/>
  <c r="C16" i="2" s="1"/>
  <c r="R3" i="1"/>
  <c r="C22" i="2" s="1"/>
  <c r="C23" i="2" s="1"/>
  <c r="C21" i="2" l="1"/>
  <c r="C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<sst xmlns="http://schemas.openxmlformats.org/spreadsheetml/2006/main" count="5948" uniqueCount="276">
  <si>
    <t>NAME</t>
  </si>
  <si>
    <t>L1</t>
  </si>
  <si>
    <t>L2</t>
  </si>
  <si>
    <t>L3</t>
  </si>
  <si>
    <t>L4</t>
  </si>
  <si>
    <t>L5</t>
  </si>
  <si>
    <t>Attack Boost</t>
  </si>
  <si>
    <t>Advanced Attack Boost</t>
  </si>
  <si>
    <t>Artillery</t>
  </si>
  <si>
    <t>Reckless</t>
  </si>
  <si>
    <t>Nergigante Avidity</t>
  </si>
  <si>
    <t>Offensive Guard</t>
  </si>
  <si>
    <t>TYPE</t>
  </si>
  <si>
    <t>DMG BOOST TYPES</t>
  </si>
  <si>
    <t>ATK</t>
  </si>
  <si>
    <t>SHELL</t>
  </si>
  <si>
    <t>DMG</t>
  </si>
  <si>
    <t>Fighting Spirit</t>
  </si>
  <si>
    <t>Pursuit</t>
  </si>
  <si>
    <t>ELE</t>
  </si>
  <si>
    <t>CONDITIONAL</t>
  </si>
  <si>
    <t>NO</t>
  </si>
  <si>
    <t>YES</t>
  </si>
  <si>
    <t>BUFF TYPE</t>
  </si>
  <si>
    <t>FLAT</t>
  </si>
  <si>
    <t>%</t>
  </si>
  <si>
    <t>BARROTH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</si>
  <si>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</si>
  <si>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</si>
  <si>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</si>
  <si>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</si>
  <si>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</si>
  <si>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</si>
  <si>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</si>
  <si>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</si>
  <si>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</si>
  <si>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</si>
  <si>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SKILL</t>
  </si>
  <si>
    <t>WEAPON TYPE</t>
  </si>
  <si>
    <t>MONSTER</t>
  </si>
  <si>
    <t>GRADE</t>
  </si>
  <si>
    <t>Weapon Types</t>
  </si>
  <si>
    <t>Greadsword</t>
  </si>
  <si>
    <t>Hammer</t>
  </si>
  <si>
    <t>Longsword</t>
  </si>
  <si>
    <t>Light Bowgun</t>
  </si>
  <si>
    <t>Bow</t>
  </si>
  <si>
    <t>Heavy Bowgun</t>
  </si>
  <si>
    <t>Dual Blades</t>
  </si>
  <si>
    <t>Lance</t>
  </si>
  <si>
    <t>Switchaxe</t>
  </si>
  <si>
    <t>Gunlance</t>
  </si>
  <si>
    <t>Chargeblade</t>
  </si>
  <si>
    <t>Hunting Horn</t>
  </si>
  <si>
    <t>Sword and Shield</t>
  </si>
  <si>
    <t>NONE</t>
  </si>
  <si>
    <t>GREAT JAGRAS</t>
  </si>
  <si>
    <t>WATER</t>
  </si>
  <si>
    <t>CHARGED SHELL</t>
  </si>
  <si>
    <t>BURST SHELL</t>
  </si>
  <si>
    <t>Element Colors</t>
  </si>
  <si>
    <t>FIRE</t>
  </si>
  <si>
    <t>THUNDER</t>
  </si>
  <si>
    <t>DRAGON</t>
  </si>
  <si>
    <t>POISON</t>
  </si>
  <si>
    <t>PARALYSIS</t>
  </si>
  <si>
    <t>SHELLING</t>
  </si>
  <si>
    <t>CHARGED SHELLING</t>
  </si>
  <si>
    <t>BURST</t>
  </si>
  <si>
    <t>SHELL #</t>
  </si>
  <si>
    <t>SHELL COUNT</t>
  </si>
  <si>
    <t>WIDE</t>
  </si>
  <si>
    <t>NORMAL</t>
  </si>
  <si>
    <t>SHELL TYPE</t>
  </si>
  <si>
    <t>LONG</t>
  </si>
  <si>
    <t>FULL BURST</t>
  </si>
  <si>
    <t>AFN</t>
  </si>
  <si>
    <t>GREAT GIRROS</t>
  </si>
  <si>
    <t>TOBI-KADACHI</t>
  </si>
  <si>
    <t>JYURATODUS</t>
  </si>
  <si>
    <t>ANJANATH</t>
  </si>
  <si>
    <t>FULGUR ANJANATH</t>
  </si>
  <si>
    <t>RATHIAN</t>
  </si>
  <si>
    <t>RATHALOS</t>
  </si>
  <si>
    <t>GOLD RATHIAN</t>
  </si>
  <si>
    <t>LEGIANA</t>
  </si>
  <si>
    <t>PINK RATHIAN</t>
  </si>
  <si>
    <t>AZURE RATHALOS</t>
  </si>
  <si>
    <t>SILVER RATHALOS</t>
  </si>
  <si>
    <t>BANBARO</t>
  </si>
  <si>
    <t>BARIOTH</t>
  </si>
  <si>
    <t>ZINOGRE</t>
  </si>
  <si>
    <t>DEVILJHO</t>
  </si>
  <si>
    <t>KHEZU</t>
  </si>
  <si>
    <t>KUSHALA DAORA</t>
  </si>
  <si>
    <t>MIZUTSUNE</t>
  </si>
  <si>
    <t>AKNOSOM</t>
  </si>
  <si>
    <t>MAGNAMALO</t>
  </si>
  <si>
    <t>RAJANG</t>
  </si>
  <si>
    <t>NERGIGANTE</t>
  </si>
  <si>
    <t>LAGOMBI</t>
  </si>
  <si>
    <t>VOLVIDON</t>
  </si>
  <si>
    <t>TIGREX</t>
  </si>
  <si>
    <t>BRUTE TIGREX</t>
  </si>
  <si>
    <t>BAZELGEUSE</t>
  </si>
  <si>
    <t>GLAVENUS</t>
  </si>
  <si>
    <t>CHAMELEOS</t>
  </si>
  <si>
    <t>NARGACUGA</t>
  </si>
  <si>
    <t>NAMIELLE</t>
  </si>
  <si>
    <t>LUNAGARON</t>
  </si>
  <si>
    <t>GARANGOLM</t>
  </si>
  <si>
    <t>ESPINAS</t>
  </si>
  <si>
    <t>MALZENO</t>
  </si>
  <si>
    <t>Headstrong</t>
  </si>
  <si>
    <t>Focus</t>
  </si>
  <si>
    <t>Guard</t>
  </si>
  <si>
    <t>LEVELS</t>
  </si>
  <si>
    <t>IN BUILD</t>
  </si>
  <si>
    <t>APPLIED VALUE</t>
  </si>
  <si>
    <t>BLAST</t>
  </si>
  <si>
    <t>TOTAL FLAT</t>
  </si>
  <si>
    <t>TOTAL %</t>
  </si>
  <si>
    <t>ORIGINAL</t>
  </si>
  <si>
    <t>AFTER SKILLS</t>
  </si>
  <si>
    <t>Lock On</t>
  </si>
  <si>
    <t>Blast Attack</t>
  </si>
  <si>
    <t>Dragon Attack</t>
  </si>
  <si>
    <t>Fire Attack</t>
  </si>
  <si>
    <t>Water Attack</t>
  </si>
  <si>
    <t>Ice Attack</t>
  </si>
  <si>
    <t>Thunder Attack</t>
  </si>
  <si>
    <t>Aggressive Dodger</t>
  </si>
  <si>
    <t>Ailment Opportunist</t>
  </si>
  <si>
    <t>Burst</t>
  </si>
  <si>
    <t>Charge Master</t>
  </si>
  <si>
    <t>Coalescence</t>
  </si>
  <si>
    <t>Critical Boost</t>
  </si>
  <si>
    <t>Critical Eye</t>
  </si>
  <si>
    <t>Dauntless</t>
  </si>
  <si>
    <t>Latent Power</t>
  </si>
  <si>
    <t>Offensive Dodger</t>
  </si>
  <si>
    <t>Partbreaker</t>
  </si>
  <si>
    <t>Raw Power</t>
  </si>
  <si>
    <t>Resuscitate</t>
  </si>
  <si>
    <t>Special Boost</t>
  </si>
  <si>
    <t>Special Partbreaker</t>
  </si>
  <si>
    <t>Status Sneak Attack</t>
  </si>
  <si>
    <t>Timed Charger</t>
  </si>
  <si>
    <t>Weakness Exploit</t>
  </si>
  <si>
    <t>Poison Attack</t>
  </si>
  <si>
    <t>Paralysis Attack</t>
  </si>
  <si>
    <t>Sleep Attack</t>
  </si>
  <si>
    <t>Ballistics</t>
  </si>
  <si>
    <t>Bleeding Edge</t>
  </si>
  <si>
    <t>Blood Cloak</t>
  </si>
  <si>
    <t>Blunt Force</t>
  </si>
  <si>
    <t>Buildup Boost</t>
  </si>
  <si>
    <t>Chameleos Venomist</t>
  </si>
  <si>
    <t>Concentration</t>
  </si>
  <si>
    <t>Critical Element</t>
  </si>
  <si>
    <t>Critical Ferocity</t>
  </si>
  <si>
    <t>Eggsplosive</t>
  </si>
  <si>
    <t>Evading Reload</t>
  </si>
  <si>
    <t>Evasive Concentration</t>
  </si>
  <si>
    <t>Final Shot</t>
  </si>
  <si>
    <t>Fortify</t>
  </si>
  <si>
    <t>Hellfire Cloak</t>
  </si>
  <si>
    <t>Heroics</t>
  </si>
  <si>
    <t>Hunter's Unity</t>
  </si>
  <si>
    <t>Kirin Flashstorm</t>
  </si>
  <si>
    <t>Kushala Frostwind</t>
  </si>
  <si>
    <t>Malzeno Crimsonblood</t>
  </si>
  <si>
    <t>Morph Boost</t>
  </si>
  <si>
    <t>Namielle Electrowave</t>
  </si>
  <si>
    <t>Paralysis Exploit</t>
  </si>
  <si>
    <t>Peak Performance</t>
  </si>
  <si>
    <t>Poison Exploit</t>
  </si>
  <si>
    <t>Power Prolonger</t>
  </si>
  <si>
    <t>Quick Work</t>
  </si>
  <si>
    <t>Recoil Down</t>
  </si>
  <si>
    <t>Reload Speed</t>
  </si>
  <si>
    <t>Resentment</t>
  </si>
  <si>
    <t>Rising Tide</t>
  </si>
  <si>
    <t>Rude Awakener</t>
  </si>
  <si>
    <t>Shared Sword</t>
  </si>
  <si>
    <t>Skyward Striker</t>
  </si>
  <si>
    <t>Slugger</t>
  </si>
  <si>
    <t>Sneak Attack</t>
  </si>
  <si>
    <t>Solidarity</t>
  </si>
  <si>
    <t>Super Swimmer 2025</t>
  </si>
  <si>
    <t>Sweltering Summer 2025</t>
  </si>
  <si>
    <t>Teostra Blastpowder</t>
  </si>
  <si>
    <t>Valor</t>
  </si>
  <si>
    <t>Vital Dragon</t>
  </si>
  <si>
    <t>Vital Fire</t>
  </si>
  <si>
    <t>Vital Ice</t>
  </si>
  <si>
    <t>Vital Thunder</t>
  </si>
  <si>
    <t>Artful Dodger</t>
  </si>
  <si>
    <t>Blast Resistance</t>
  </si>
  <si>
    <t>Bleeding Resistance</t>
  </si>
  <si>
    <t>Bubbly Dance</t>
  </si>
  <si>
    <t>Defense Boost</t>
  </si>
  <si>
    <t>Defensive Loading</t>
  </si>
  <si>
    <t>Divine Blessing</t>
  </si>
  <si>
    <t>Earplugs</t>
  </si>
  <si>
    <t>Evade Extender</t>
  </si>
  <si>
    <t>Fire Resistance</t>
  </si>
  <si>
    <t>Firm Foothold</t>
  </si>
  <si>
    <t>Guard Up</t>
  </si>
  <si>
    <t>Guts</t>
  </si>
  <si>
    <t>Health Boost</t>
  </si>
  <si>
    <t>Ice Resistance</t>
  </si>
  <si>
    <t>Last Stand</t>
  </si>
  <si>
    <t>Litheness</t>
  </si>
  <si>
    <t>Paralysis Restistance</t>
  </si>
  <si>
    <t>Poison Resistance</t>
  </si>
  <si>
    <t>Shared Shield</t>
  </si>
  <si>
    <t>Sleep Resistance</t>
  </si>
  <si>
    <t>Special Insurance</t>
  </si>
  <si>
    <t>Thunder Resistance</t>
  </si>
  <si>
    <t>Tremor Resistance</t>
  </si>
  <si>
    <t>Water Resistance</t>
  </si>
  <si>
    <t>Windproof</t>
  </si>
  <si>
    <t>Balloon Charge</t>
  </si>
  <si>
    <t>ICE</t>
  </si>
  <si>
    <t>EQUIPMENT SKILLS</t>
  </si>
  <si>
    <t>WEAPON</t>
  </si>
  <si>
    <t>HEAD</t>
  </si>
  <si>
    <t>ARMS</t>
  </si>
  <si>
    <t>WAIST</t>
  </si>
  <si>
    <t>LEGS</t>
  </si>
  <si>
    <t>For Build Current Skills</t>
  </si>
  <si>
    <t>DRIFTS</t>
  </si>
  <si>
    <t>W</t>
  </si>
  <si>
    <t>IRON</t>
  </si>
  <si>
    <t>BONE</t>
  </si>
  <si>
    <t>WEAPON LISTS</t>
  </si>
  <si>
    <t>GL</t>
  </si>
  <si>
    <t>QUEMATRICE</t>
  </si>
  <si>
    <t>ASTALOS</t>
  </si>
  <si>
    <t>CARNIVAL 24</t>
  </si>
  <si>
    <t>HOPE</t>
  </si>
  <si>
    <t>ALL SKILLS</t>
  </si>
  <si>
    <t>DEF</t>
  </si>
  <si>
    <t>DRIFT</t>
  </si>
  <si>
    <t>ALLOY</t>
  </si>
  <si>
    <t>LEATHER</t>
  </si>
  <si>
    <t>KULU-YA-KU</t>
  </si>
  <si>
    <t>PUKEI-PUKEI</t>
  </si>
  <si>
    <t>CORAL PUKEI-PUKEI</t>
  </si>
  <si>
    <t>PAOLUMU</t>
  </si>
  <si>
    <t>NIGHTSHADE PAOLUMU</t>
  </si>
  <si>
    <t>JYRUATODUS</t>
  </si>
  <si>
    <t>DIABLOS</t>
  </si>
  <si>
    <t>BLACK DIABLOS</t>
  </si>
  <si>
    <t>RATHOLOS</t>
  </si>
  <si>
    <t>RADOBAAN</t>
  </si>
  <si>
    <t>TZITZI-YA-KU</t>
  </si>
  <si>
    <t>ODOGARON</t>
  </si>
  <si>
    <t>EBONY ODOGARON</t>
  </si>
  <si>
    <t>BASARIOS</t>
  </si>
  <si>
    <t>TEOSTRA</t>
  </si>
  <si>
    <t>SOMNACANTH</t>
  </si>
  <si>
    <t>KIRIN</t>
  </si>
  <si>
    <t>CHATACABRA</t>
  </si>
  <si>
    <t>AZUROS</t>
  </si>
  <si>
    <t>GREAT WROGGI</t>
  </si>
  <si>
    <t>BISHATEN</t>
  </si>
  <si>
    <t>BEOTODUS</t>
  </si>
  <si>
    <t>GOSS HARAG</t>
  </si>
  <si>
    <t>LUNAR NEWYEAR 24</t>
  </si>
  <si>
    <t>HALLOWEEN 23</t>
  </si>
  <si>
    <t>NEW YEAR HELMET</t>
  </si>
  <si>
    <t>EASTER 25</t>
  </si>
  <si>
    <t>SWIMMER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</si>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</sst>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5" xfId="0" applyBorder="1"/>
    <xf numFmtId="0" fontId="0" fillId="0" borderId="1" xfId="0" applyBorder="1"/>
    <xf numFmtId="0" fontId="4" fillId="0" borderId="1" xfId="0" applyFont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8" borderId="13" xfId="0" applyFill="1" applyBorder="1"/>
    <xf numFmtId="0" fontId="0" fillId="10" borderId="13" xfId="0" applyFill="1" applyBorder="1"/>
    <xf numFmtId="0" fontId="0" fillId="11" borderId="13" xfId="0" applyFill="1" applyBorder="1"/>
    <xf numFmtId="0" fontId="0" fillId="0" borderId="14" xfId="0" applyBorder="1"/>
    <xf numFmtId="0" fontId="4" fillId="0" borderId="14" xfId="0" applyFont="1" applyBorder="1"/>
    <xf numFmtId="0" fontId="4" fillId="0" borderId="13" xfId="0" applyFont="1" applyBorder="1"/>
    <xf numFmtId="0" fontId="0" fillId="0" borderId="15" xfId="0" applyBorder="1"/>
    <xf numFmtId="0" fontId="1" fillId="0" borderId="1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0" fontId="3" fillId="18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7" xfId="0" applyFont="1" applyBorder="1" applyAlignment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0" borderId="0" xfId="0" applyFont="1" applyBorder="1"/>
    <xf numFmtId="0" fontId="3" fillId="4" borderId="1" xfId="0" applyFont="1" applyFill="1" applyBorder="1" applyAlignment="1">
      <alignment horizontal="right"/>
    </xf>
    <xf numFmtId="0" fontId="3" fillId="12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5" borderId="27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28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7" borderId="33" xfId="0" applyFill="1" applyBorder="1" applyAlignment="1">
      <alignment horizontal="left"/>
    </xf>
    <xf numFmtId="0" fontId="0" fillId="19" borderId="34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7" borderId="33" xfId="0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3" fillId="3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10" xfId="0" applyBorder="1"/>
    <xf numFmtId="0" fontId="0" fillId="0" borderId="4" xfId="0" applyBorder="1"/>
    <xf numFmtId="0" fontId="0" fillId="0" borderId="25" xfId="0" applyBorder="1"/>
    <xf numFmtId="0" fontId="0" fillId="0" borderId="11" xfId="0" applyBorder="1"/>
    <xf numFmtId="0" fontId="0" fillId="0" borderId="6" xfId="0" applyBorder="1"/>
    <xf numFmtId="0" fontId="3" fillId="18" borderId="10" xfId="0" applyFont="1" applyFill="1" applyBorder="1" applyAlignment="1">
      <alignment horizontal="center"/>
    </xf>
    <xf numFmtId="0" fontId="3" fillId="18" borderId="24" xfId="0" applyFont="1" applyFill="1" applyBorder="1" applyAlignment="1">
      <alignment horizontal="center"/>
    </xf>
    <xf numFmtId="0" fontId="0" fillId="3" borderId="1" xfId="0" applyFill="1" applyBorder="1"/>
    <xf numFmtId="0" fontId="0" fillId="17" borderId="12" xfId="0" applyFill="1" applyBorder="1" applyAlignment="1">
      <alignment horizontal="left"/>
    </xf>
    <xf numFmtId="0" fontId="1" fillId="13" borderId="1" xfId="0" applyFont="1" applyFill="1" applyBorder="1"/>
    <xf numFmtId="0" fontId="1" fillId="7" borderId="1" xfId="0" applyFont="1" applyFill="1" applyBorder="1"/>
    <xf numFmtId="0" fontId="1" fillId="20" borderId="1" xfId="0" applyFont="1" applyFill="1" applyBorder="1"/>
    <xf numFmtId="0" fontId="3" fillId="0" borderId="0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/>
        <i/>
      </font>
      <numFmt numFmtId="0" formatCode="General"/>
      <alignment horizontal="center" vertical="bottom" textRotation="0" wrapText="0" indent="0" justifyLastLine="0" shrinkToFit="0" readingOrder="0"/>
    </dxf>
    <dxf>
      <font>
        <b/>
        <i/>
      </font>
      <numFmt numFmtId="0" formatCode="General"/>
      <alignment horizontal="left" vertical="bottom" textRotation="0" wrapText="0" indent="0" justifyLastLine="0" shrinkToFit="0" readingOrder="0"/>
    </dxf>
    <dxf>
      <font>
        <b/>
        <i/>
      </font>
      <numFmt numFmtId="0" formatCode="General"/>
      <alignment horizontal="left" vertical="bottom" textRotation="0" wrapText="0" indent="0" justifyLastLine="0" shrinkToFit="0" readingOrder="0"/>
    </dxf>
    <dxf>
      <font>
        <b/>
        <i/>
      </font>
      <numFmt numFmtId="0" formatCode="General"/>
      <alignment horizontal="left" vertical="bottom" textRotation="0" wrapText="0" indent="0" justifyLastLine="0" shrinkToFit="0" readingOrder="0"/>
    </dxf>
    <dxf>
      <font>
        <b/>
        <i/>
      </font>
      <numFmt numFmtId="0" formatCode="General"/>
      <alignment horizontal="left" vertical="bottom" textRotation="0" wrapText="0" indent="0" justifyLastLine="0" shrinkToFit="0" readingOrder="0"/>
    </dxf>
    <dxf>
      <font>
        <b/>
        <i/>
      </font>
      <numFmt numFmtId="0" formatCode="General"/>
      <alignment horizontal="left" vertical="bottom" textRotation="0" wrapText="0" indent="0" justifyLastLine="0" shrinkToFit="0" readingOrder="0"/>
    </dxf>
    <dxf>
      <font>
        <b/>
        <i/>
      </font>
      <numFmt numFmtId="0" formatCode="General"/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  <color rgb="FFFFFF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5CA3A-3F1F-4C4C-BF60-03C5043E0398}" name="Table1" displayName="Table1" ref="A1:L115" totalsRowShown="0" headerRowDxfId="26" headerRowBorderDxfId="25" tableBorderDxfId="24">
  <autoFilter ref="A1:L115" xr:uid="{EDA5CA3A-3F1F-4C4C-BF60-03C5043E0398}"/>
  <tableColumns count="12">
    <tableColumn id="1" xr3:uid="{87663159-C530-47A6-AB92-09EE6335D341}" name="NAME" dataDxfId="23"/>
    <tableColumn id="4" xr3:uid="{808000AA-A6AA-4EF0-9B78-05F8DB34EACA}" name="LEVELS" dataDxfId="22"/>
    <tableColumn id="2" xr3:uid="{B88ADB9D-E290-43FA-A8C8-1AD0DC3F2DC0}" name="TYPE" dataDxfId="21"/>
    <tableColumn id="12" xr3:uid="{E1C8F5D8-5B76-404B-85AB-D34CE4FEA9C4}" name="CONDITIONAL" dataDxfId="20"/>
    <tableColumn id="13" xr3:uid="{D3E6265D-13B2-4996-A2B4-DF2849C50DFE}" name="BUFF TYPE" dataDxfId="19"/>
    <tableColumn id="3" xr3:uid="{9C75A156-2C63-4356-BEFC-2570CCC5A160}" name="L1" dataDxfId="18"/>
    <tableColumn id="5" xr3:uid="{DDEB58D7-4E1E-420A-9161-24E9FD94E663}" name="L2" dataDxfId="17"/>
    <tableColumn id="7" xr3:uid="{9FB65295-0629-4165-8527-5805678ACC69}" name="L3" dataDxfId="16"/>
    <tableColumn id="9" xr3:uid="{1A85C81A-9567-4F4A-BEEE-BB8786C7D969}" name="L4" dataDxfId="15"/>
    <tableColumn id="11" xr3:uid="{5D825557-8242-4CBA-99F7-A65D85AA52D5}" name="L5" dataDxfId="14"/>
    <tableColumn id="6" xr3:uid="{8D784082-E154-46CD-8F46-65ADAD9B138F}" name="IN BUILD" dataDxfId="12">
      <calculatedColumnFormula>SUMIF(Build!$O$2:$O$25, Table1[[#This Row],[NAME]],Build!$R$2:$R$25)</calculatedColumnFormula>
    </tableColumn>
    <tableColumn id="8" xr3:uid="{828B6416-BA3E-4C9C-8C87-5215001819D7}" name="APPLIED VALUE" dataDxfId="13">
      <calculatedColumnFormula array="1">_xlfn.LET(
  _xlpm.val, IF(Table1[[#This Row],[IN BUILD]]&gt;Table1[[#This Row],[LEVELS]],Table1[[#This Row],[LEVELS]],Table1[[#This Row],[IN BUILD]]),
  IF(_xlpm.val = 0,0, INDIRECT(ADDRESS(ROW(), 6 + (_xlpm.val -1))))
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2645-5080-49D6-B538-087E2D073DFD}">
  <sheetPr codeName="Sheet1"/>
  <dimension ref="A1:R39"/>
  <sheetViews>
    <sheetView tabSelected="1" workbookViewId="0">
      <selection activeCell="V12" sqref="V12"/>
    </sheetView>
  </sheetViews>
  <sheetFormatPr defaultRowHeight="15" x14ac:dyDescent="0.25"/>
  <cols>
    <col min="1" max="1" width="9.140625" customWidth="1"/>
  </cols>
  <sheetData>
    <row r="1" spans="1:18" ht="15.75" thickBot="1" x14ac:dyDescent="0.3">
      <c r="A1" s="35" t="s">
        <v>38</v>
      </c>
      <c r="B1" s="36"/>
      <c r="C1" s="36"/>
      <c r="D1" s="37" t="s">
        <v>51</v>
      </c>
      <c r="E1" s="37"/>
      <c r="F1" s="37"/>
      <c r="H1" s="34" t="s">
        <v>225</v>
      </c>
      <c r="I1" s="34"/>
      <c r="J1" s="34"/>
      <c r="K1" s="34"/>
      <c r="L1" s="34"/>
      <c r="O1" s="101" t="s">
        <v>242</v>
      </c>
      <c r="P1" s="102"/>
      <c r="Q1" s="102"/>
      <c r="R1" s="50"/>
    </row>
    <row r="2" spans="1:18" ht="15.75" thickBot="1" x14ac:dyDescent="0.3">
      <c r="A2" s="35" t="s">
        <v>39</v>
      </c>
      <c r="B2" s="36"/>
      <c r="C2" s="36"/>
      <c r="D2" s="37" t="s">
        <v>92</v>
      </c>
      <c r="E2" s="37"/>
      <c r="F2" s="37"/>
      <c r="H2" s="65" t="s">
        <v>226</v>
      </c>
      <c r="I2" s="33" t="str" cm="1">
        <f t="array" aca="1" ref="I2" ca="1">_xlfn.LET(
  _xlpm.ind,INDEX(
  INDIRECT("'" &amp; $D$1 &amp; "'!A1:BA500"),
  MATCH($D$2, INDIRECT($D$1 &amp; "_List"), 0) +4,
  MATCH($D$3, INDIRECT("'" &amp; $D$1 &amp; "'!A1:BA1"), 0)
  ),
  IF(_xlpm.ind&lt;&gt;0, _xlpm.ind, "")
)</f>
        <v>Defense Boost</v>
      </c>
      <c r="J2" s="33"/>
      <c r="K2" s="33"/>
      <c r="L2" s="31" cm="1">
        <f t="array" aca="1" ref="L2" ca="1">_xlfn.LET(
  _xlpm.ind,INDEX(
  INDIRECT("'" &amp; $D$1 &amp; "'!A1:BA500"),
  MATCH($D$2, INDIRECT($D$1 &amp; "_List"), 0) + 4,
  MATCH($D$3, INDIRECT("'" &amp; $D$1 &amp; "'!A1:BA1"), 0) + 2
  ),
  IF(_xlpm.ind&lt;&gt;0, _xlpm.ind, "")
)</f>
        <v>2</v>
      </c>
      <c r="O2" s="58" t="str" cm="1">
        <f t="array" aca="1" ref="O2:O4" ca="1">_xlfn.LET(
  _xlpm.range, _xlfn.VSTACK(I2:I4,I7:I11,I14:I18,I21:I25,I28:I32,I35:I39),
  _xlpm.fr, _xlfn._xlws.FILTER(_xlpm.range, _xlpm.range&lt;&gt;0),
  _xlfn.UNIQUE(_xlfn._xlws.FILTER(_xlpm.fr,_xlpm.fr&lt;&gt;"",""))
)</f>
        <v>Defense Boost</v>
      </c>
      <c r="P2" s="59"/>
      <c r="Q2" s="60"/>
      <c r="R2" s="57">
        <f ca="1">_xlfn.LET(
  _xlpm.c, SUMIF($I$2:$I$39,O2,$L$2:$L$39),
  IF(_xlpm.c&lt;&gt;0, _xlpm.c, "")
)</f>
        <v>2</v>
      </c>
    </row>
    <row r="3" spans="1:18" ht="15.75" thickBot="1" x14ac:dyDescent="0.3">
      <c r="A3" s="35" t="s">
        <v>40</v>
      </c>
      <c r="B3" s="36"/>
      <c r="C3" s="36"/>
      <c r="D3" s="37" t="s">
        <v>36</v>
      </c>
      <c r="E3" s="37"/>
      <c r="F3" s="37"/>
      <c r="H3" s="2"/>
      <c r="I3" s="33" t="str" cm="1">
        <f t="array" aca="1" ref="I3" ca="1">_xlfn.LET(
  _xlpm.ind,INDEX(
  INDIRECT("'" &amp; $D$1 &amp; "'!A1:BA500"),
  MATCH($D$2, INDIRECT($D$1 &amp; "_List"), 0) + 5,
  MATCH($D$3, INDIRECT("'" &amp; $D$1 &amp; "'!A1:BA1"), 0)
  ),
  IF(_xlpm.ind&lt;&gt;0, _xlpm.ind, "")
)</f>
        <v/>
      </c>
      <c r="J3" s="33"/>
      <c r="K3" s="33"/>
      <c r="L3" s="31" t="str" cm="1">
        <f t="array" aca="1" ref="L3" ca="1">_xlfn.LET(
  _xlpm.ind,INDEX(
  INDIRECT("'" &amp; $D$1 &amp; "'!A1:BA500"),
  MATCH($D$2, INDIRECT($D$1 &amp; "_List"), 0) + 5,
  MATCH($D$3, INDIRECT("'" &amp; $D$1 &amp; "'!A1:BA1"), 0) + 2
  ),
  IF(_xlpm.ind&lt;&gt;0, _xlpm.ind, "")
)</f>
        <v/>
      </c>
      <c r="O3" s="58" t="str">
        <f ca="1"/>
        <v>Advanced Attack Boost</v>
      </c>
      <c r="P3" s="59"/>
      <c r="Q3" s="60"/>
      <c r="R3" s="57">
        <f ca="1">_xlfn.LET(
  _xlpm.c, SUMIF($I$2:$I$39,O3,$L$2:$L$39),
  IF(_xlpm.c&lt;&gt;0, _xlpm.c, "")
)</f>
        <v>1</v>
      </c>
    </row>
    <row r="4" spans="1:18" ht="15.75" thickBot="1" x14ac:dyDescent="0.3">
      <c r="A4" s="6"/>
      <c r="H4" s="2"/>
      <c r="I4" s="33" t="str" cm="1">
        <f t="array" aca="1" ref="I4" ca="1">_xlfn.LET(
  _xlpm.ind,INDEX(
  INDIRECT("'" &amp; $D$1 &amp; "'!A1:BA500"),
  MATCH($D$2, INDIRECT($D$1 &amp; "_List"), 0) + 5,
  MATCH($D$3, INDIRECT("'" &amp; $D$1 &amp; "'!A1:BA1"), 0)
  ),
  IF(_xlpm.ind&lt;&gt;0, _xlpm.ind, "")
)</f>
        <v/>
      </c>
      <c r="J4" s="33"/>
      <c r="K4" s="33"/>
      <c r="L4" s="31" t="str" cm="1">
        <f t="array" aca="1" ref="L4" ca="1">_xlfn.LET(
  _xlpm.ind,INDEX(
  INDIRECT("'" &amp; $D$1 &amp; "'!A1:BA500"),
  MATCH($D$2, INDIRECT($D$1 &amp; "_List"), 0) + 6,
  MATCH($D$3, INDIRECT("'" &amp; $D$1 &amp; "'!A1:BA1"), 0) + 2
  ),
  IF(_xlpm.ind&lt;&gt;0, _xlpm.ind, "")
)</f>
        <v/>
      </c>
      <c r="O4" s="58" t="str">
        <f ca="1"/>
        <v>Reckless</v>
      </c>
      <c r="P4" s="59"/>
      <c r="Q4" s="60"/>
      <c r="R4" s="57">
        <f ca="1">_xlfn.LET(
  _xlpm.c, SUMIF($I$2:$I$39,O4,$L$2:$L$39),
  IF(_xlpm.c&lt;&gt;0, _xlpm.c, "")
)</f>
        <v>2</v>
      </c>
    </row>
    <row r="5" spans="1:18" ht="15.75" thickBot="1" x14ac:dyDescent="0.3">
      <c r="A5" s="34" t="s">
        <v>122</v>
      </c>
      <c r="B5" s="34"/>
      <c r="C5" s="34"/>
      <c r="D5" s="34"/>
      <c r="E5" s="34"/>
      <c r="F5" s="34"/>
      <c r="H5" s="2"/>
      <c r="L5" s="56"/>
      <c r="O5" s="58"/>
      <c r="P5" s="59"/>
      <c r="Q5" s="60"/>
      <c r="R5" s="57" t="str">
        <f ca="1">_xlfn.LET(
  _xlpm.c, SUMIF($I$2:$I$39,O5,$L$2:$L$39),
  IF(_xlpm.c&lt;&gt;0, _xlpm.c, "")
)</f>
        <v/>
      </c>
    </row>
    <row r="6" spans="1:18" ht="15.75" thickBot="1" x14ac:dyDescent="0.3">
      <c r="A6" s="47" t="s">
        <v>14</v>
      </c>
      <c r="B6" s="47"/>
      <c r="C6" s="40" cm="1">
        <f t="array" aca="1" ref="C6" ca="1">INDEX(
  INDIRECT("'" &amp; $D$1 &amp; "'!A1:BA500"),
  MATCH($D$2, INDIRECT($D$1 &amp; "_List"), 0) + 1,
  MATCH($D$3, INDIRECT("'" &amp; $D$1 &amp; "'!A1:BA1"), 0)
)</f>
        <v>2103</v>
      </c>
      <c r="D6" s="41"/>
      <c r="H6" s="65" t="s">
        <v>227</v>
      </c>
      <c r="I6" s="110" t="s">
        <v>103</v>
      </c>
      <c r="J6" s="111"/>
      <c r="K6" s="112"/>
      <c r="L6" s="109" t="s">
        <v>34</v>
      </c>
      <c r="O6" s="58"/>
      <c r="P6" s="59"/>
      <c r="Q6" s="60"/>
      <c r="R6" s="57" t="str">
        <f ca="1">_xlfn.LET(
  _xlpm.c, SUMIF($I$2:$I$39,O6,$L$2:$L$39),
  IF(_xlpm.c&lt;&gt;0, _xlpm.c, "")
)</f>
        <v/>
      </c>
    </row>
    <row r="7" spans="1:18" ht="15.75" thickBot="1" x14ac:dyDescent="0.3">
      <c r="A7" s="38" t="s">
        <v>19</v>
      </c>
      <c r="B7" s="38"/>
      <c r="C7" s="39" cm="1">
        <f t="array" aca="1" ref="C7" ca="1">INDEX(
  INDIRECT("'" &amp; $D$1 &amp; "'!A1:BA500"),
  MATCH($D$2, INDIRECT($D$1 &amp; "_List"), 0) + 2,
  MATCH($D$3, INDIRECT("'" &amp; $D$1 &amp; "'!A1:BA1"), 0)
)</f>
        <v>0</v>
      </c>
      <c r="D7" s="33"/>
      <c r="E7" s="42" t="str" cm="1">
        <f t="array" aca="1" ref="E7" ca="1">INDEX(
  INDIRECT("'" &amp; $D$1 &amp; "'!A1:AZ200"),
  MATCH($D$2, INDIRECT($D$1 &amp; "_List"), 0) + 1,
  3
)</f>
        <v>ATK</v>
      </c>
      <c r="F7" s="43"/>
      <c r="I7" s="33" t="str" cm="1">
        <f t="array" ref="I7">INDEX(Helmets!A1:BA500,
  MATCH(I6, Helmets_List, 0) + 3,
  MATCH(Build!L6,Helmets!A1:AG1,0)
)</f>
        <v>Advanced Attack Boost</v>
      </c>
      <c r="J7" s="33"/>
      <c r="K7" s="33"/>
      <c r="L7" s="31" cm="1">
        <f t="array" ref="L7">INDEX(Helmets!A1:BA500,
  MATCH(I6, Helmets_List, 0) + 3,
  MATCH(Build!L6,Helmets!A1:AG1,0) + 2
)</f>
        <v>1</v>
      </c>
      <c r="O7" s="58"/>
      <c r="P7" s="59"/>
      <c r="Q7" s="60"/>
      <c r="R7" s="57" t="str">
        <f ca="1">_xlfn.LET(
  _xlpm.c, SUMIF($I$2:$I$39,O7,$L$2:$L$39),
  IF(_xlpm.c&lt;&gt;0, _xlpm.c, "")
)</f>
        <v/>
      </c>
    </row>
    <row r="8" spans="1:18" ht="15.75" thickBot="1" x14ac:dyDescent="0.3">
      <c r="A8" s="38" t="s">
        <v>73</v>
      </c>
      <c r="B8" s="38"/>
      <c r="C8" s="33" t="str">
        <f ca="1">IF(D1="Gunlance",
 INDEX(
   INDIRECT("'" &amp; $D$1 &amp; "'!A1:BA500"),
   MATCH($D$2, INDIRECT($D$1 &amp; "_List"), 0),
   3
 ),
 "NONE"
)</f>
        <v>WIDE</v>
      </c>
      <c r="D8" s="33"/>
      <c r="H8" s="2"/>
      <c r="I8" s="33" t="str" cm="1">
        <f t="array" ref="I8">INDEX(Helmets!A1:BA500,
  MATCH(I6, Helmets_List, 0) + 4,
  MATCH(Build!L6,Helmets!A1:AG1,0)
)</f>
        <v>Reckless</v>
      </c>
      <c r="J8" s="33"/>
      <c r="K8" s="33"/>
      <c r="L8" s="31" cm="1">
        <f t="array" ref="L8">INDEX(Helmets!A1:BA500,
  MATCH(I6, Helmets_List, 0) + 4,
  MATCH(Build!L6,Helmets!A1:AG1,0) + 2
)</f>
        <v>2</v>
      </c>
      <c r="O8" s="58"/>
      <c r="P8" s="59"/>
      <c r="Q8" s="60"/>
      <c r="R8" s="57" t="str">
        <f ca="1">_xlfn.LET(
  _xlpm.c, SUMIF($I$2:$I$39,O8,$L$2:$L$39),
  IF(_xlpm.c&lt;&gt;0, _xlpm.c, "")
)</f>
        <v/>
      </c>
    </row>
    <row r="9" spans="1:18" ht="15.75" thickBot="1" x14ac:dyDescent="0.3">
      <c r="A9" s="38" t="s">
        <v>70</v>
      </c>
      <c r="B9" s="38"/>
      <c r="C9" s="33">
        <f ca="1">IF(D1="Gunlance",
  _xlfn.XLOOKUP(C8,Lists!T3:T5,Lists!U3:U5),
  0)</f>
        <v>2</v>
      </c>
      <c r="D9" s="33"/>
      <c r="H9" s="2"/>
      <c r="I9" s="33" cm="1">
        <f t="array" ref="I9">INDEX(Helmets!A1:BA500,
  MATCH(I6, Helmets_List, 0) + 5,
  MATCH(Build!L6,Helmets!A1:AG1,0)
)</f>
        <v>0</v>
      </c>
      <c r="J9" s="33"/>
      <c r="K9" s="33"/>
      <c r="L9" s="32" cm="1">
        <f t="array" ref="L9">INDEX(Helmets!A1:BA500,
  MATCH(I6, Helmets_List, 0) + 5,
  MATCH(Build!L6,Helmets!A1:AG1,0) + 2
)</f>
        <v>0</v>
      </c>
      <c r="O9" s="58"/>
      <c r="P9" s="59"/>
      <c r="Q9" s="60"/>
      <c r="R9" s="57" t="str">
        <f ca="1">_xlfn.LET(
  _xlpm.c, SUMIF($I$2:$I$39,O9,$L$2:$L$39),
  IF(_xlpm.c&lt;&gt;0, _xlpm.c, "")
)</f>
        <v/>
      </c>
    </row>
    <row r="10" spans="1:18" ht="15.75" thickBot="1" x14ac:dyDescent="0.3">
      <c r="A10" s="38" t="s">
        <v>15</v>
      </c>
      <c r="B10" s="38"/>
      <c r="C10" s="44">
        <f ca="1">IF(D1="Gunlance",
  INDEX(Lists!I4:R6,
    MATCH(Build!C8,Lists!H4:H6,0),
    MATCH(Build!D3,Lists!I2:R2, 0)
  ),
  0
)</f>
        <v>1309</v>
      </c>
      <c r="D10" s="45"/>
      <c r="H10" s="66" t="s">
        <v>232</v>
      </c>
      <c r="I10" s="67"/>
      <c r="J10" s="67"/>
      <c r="K10" s="67"/>
      <c r="L10" s="103" t="str">
        <f>IF(I10&lt;&gt;"", 1, "")</f>
        <v/>
      </c>
      <c r="O10" s="58"/>
      <c r="P10" s="59"/>
      <c r="Q10" s="60"/>
      <c r="R10" s="57" t="str">
        <f ca="1">_xlfn.LET(
  _xlpm.c, SUMIF($I$2:$I$39,O10,$L$2:$L$39),
  IF(_xlpm.c&lt;&gt;0, _xlpm.c, "")
)</f>
        <v/>
      </c>
    </row>
    <row r="11" spans="1:18" ht="15.75" thickBot="1" x14ac:dyDescent="0.3">
      <c r="A11" s="38" t="s">
        <v>58</v>
      </c>
      <c r="B11" s="38"/>
      <c r="C11" s="33">
        <f ca="1">IF(D1="Gunlance",
  INDEX(Lists!I8:R10,
    MATCH(Build!C8,Lists!H8:H10,0),
    MATCH(Build!D3,Lists!I2:R2, 0)
  ),
  0
)</f>
        <v>1820</v>
      </c>
      <c r="D11" s="33"/>
      <c r="I11" s="67"/>
      <c r="J11" s="67"/>
      <c r="K11" s="67"/>
      <c r="L11" s="103" t="str">
        <f>IF(I11&lt;&gt;"", 1, "")</f>
        <v/>
      </c>
      <c r="O11" s="58"/>
      <c r="P11" s="59"/>
      <c r="Q11" s="60"/>
      <c r="R11" s="57" t="str">
        <f ca="1">_xlfn.LET(
  _xlpm.c, SUMIF($I$2:$I$39,O11,$L$2:$L$39),
  IF(_xlpm.c&lt;&gt;0, _xlpm.c, "")
)</f>
        <v/>
      </c>
    </row>
    <row r="12" spans="1:18" ht="15.75" thickBot="1" x14ac:dyDescent="0.3">
      <c r="A12" s="38" t="s">
        <v>59</v>
      </c>
      <c r="B12" s="38"/>
      <c r="C12" s="33">
        <f ca="1">IF(D1="Gunlance",
  INDEX(Lists!I12:R14,
    MATCH(Build!C8,Lists!H12:H14,0),
    MATCH(Build!D3,Lists!I2:R2, 0)
  ),
  0
)</f>
        <v>1150</v>
      </c>
      <c r="D12" s="33"/>
      <c r="O12" s="58"/>
      <c r="P12" s="59"/>
      <c r="Q12" s="60"/>
      <c r="R12" s="57" t="str">
        <f ca="1">_xlfn.LET(
  _xlpm.c, SUMIF($I$2:$I$39,O12,$L$2:$L$39),
  IF(_xlpm.c&lt;&gt;0, _xlpm.c, "")
)</f>
        <v/>
      </c>
    </row>
    <row r="13" spans="1:18" ht="15.75" thickBot="1" x14ac:dyDescent="0.3">
      <c r="A13" s="38" t="s">
        <v>75</v>
      </c>
      <c r="B13" s="38"/>
      <c r="C13" s="33">
        <f ca="1">IF(D1="Gunlance", C9 * C12, 0)</f>
        <v>2300</v>
      </c>
      <c r="D13" s="33"/>
      <c r="H13" s="65" t="s">
        <v>275</v>
      </c>
      <c r="I13" s="110" t="s">
        <v>247</v>
      </c>
      <c r="J13" s="111"/>
      <c r="K13" s="112"/>
      <c r="L13" s="109" t="s">
        <v>31</v>
      </c>
      <c r="O13" s="58"/>
      <c r="P13" s="59"/>
      <c r="Q13" s="60"/>
      <c r="R13" s="57" t="str">
        <f ca="1">_xlfn.LET(
  _xlpm.c, SUMIF($I$2:$I$39,O13,$L$2:$L$39),
  IF(_xlpm.c&lt;&gt;0, _xlpm.c, "")
)</f>
        <v/>
      </c>
    </row>
    <row r="14" spans="1:18" ht="15.75" thickBot="1" x14ac:dyDescent="0.3">
      <c r="H14" s="108"/>
      <c r="I14" s="33"/>
      <c r="J14" s="33"/>
      <c r="K14" s="33"/>
      <c r="L14" s="31"/>
      <c r="O14" s="58"/>
      <c r="P14" s="59"/>
      <c r="Q14" s="60"/>
      <c r="R14" s="57" t="str">
        <f ca="1">_xlfn.LET(
  _xlpm.c, SUMIF($I$2:$I$39,O14,$L$2:$L$39),
  IF(_xlpm.c&lt;&gt;0, _xlpm.c, "")
)</f>
        <v/>
      </c>
    </row>
    <row r="15" spans="1:18" ht="15.75" thickBot="1" x14ac:dyDescent="0.3">
      <c r="A15" s="34" t="s">
        <v>123</v>
      </c>
      <c r="B15" s="34"/>
      <c r="C15" s="34"/>
      <c r="D15" s="34"/>
      <c r="E15" s="34"/>
      <c r="F15" s="34"/>
      <c r="H15" s="2"/>
      <c r="I15" s="41"/>
      <c r="J15" s="41"/>
      <c r="K15" s="41"/>
      <c r="L15" s="31"/>
      <c r="O15" s="58"/>
      <c r="P15" s="59"/>
      <c r="Q15" s="60"/>
      <c r="R15" s="57" t="str">
        <f ca="1">_xlfn.LET(
  _xlpm.c, SUMIF($I$2:$I$39,O15,$L$2:$L$39),
  IF(_xlpm.c&lt;&gt;0, _xlpm.c, "")
)</f>
        <v/>
      </c>
    </row>
    <row r="16" spans="1:18" ht="15.75" thickBot="1" x14ac:dyDescent="0.3">
      <c r="A16" s="38" t="s">
        <v>14</v>
      </c>
      <c r="B16" s="38"/>
      <c r="C16" s="39">
        <f ca="1">C6 + Skills!P2 * (Skills!R2 / 100 + 1)</f>
        <v>2253</v>
      </c>
      <c r="D16" s="33"/>
      <c r="H16" s="2"/>
      <c r="I16" s="33"/>
      <c r="J16" s="33"/>
      <c r="K16" s="33"/>
      <c r="L16" s="32"/>
      <c r="O16" s="58"/>
      <c r="P16" s="59"/>
      <c r="Q16" s="60"/>
      <c r="R16" s="57" t="str">
        <f ca="1">_xlfn.LET(
  _xlpm.c, SUMIF($I$2:$I$39,O16,$L$2:$L$39),
  IF(_xlpm.c&lt;&gt;0, _xlpm.c, "")
)</f>
        <v/>
      </c>
    </row>
    <row r="17" spans="1:18" ht="15.75" thickBot="1" x14ac:dyDescent="0.3">
      <c r="A17" s="38" t="s">
        <v>19</v>
      </c>
      <c r="B17" s="38"/>
      <c r="C17" s="39">
        <f ca="1">C7 + SUMIF(Skills!N5:O18,Build!E17,Skills!P5:Q18) * (SUMIF(Skills!N5:O18,Build!E17,Skills!R5:S18) / 100 + 1)</f>
        <v>0</v>
      </c>
      <c r="D17" s="33"/>
      <c r="E17" s="42" t="str">
        <f ca="1">E7</f>
        <v>ATK</v>
      </c>
      <c r="F17" s="43"/>
      <c r="H17" s="66" t="s">
        <v>232</v>
      </c>
      <c r="I17" s="67"/>
      <c r="J17" s="67"/>
      <c r="K17" s="67"/>
      <c r="L17" s="103" t="str">
        <f>IF(I17&lt;&gt;"", 1, "")</f>
        <v/>
      </c>
      <c r="O17" s="58"/>
      <c r="P17" s="59"/>
      <c r="Q17" s="60"/>
      <c r="R17" s="57" t="str">
        <f ca="1">_xlfn.LET(
  _xlpm.c, SUMIF($I$2:$I$39,O17,$L$2:$L$39),
  IF(_xlpm.c&lt;&gt;0, _xlpm.c, "")
)</f>
        <v/>
      </c>
    </row>
    <row r="18" spans="1:18" ht="15.75" thickBot="1" x14ac:dyDescent="0.3">
      <c r="A18" s="38" t="s">
        <v>73</v>
      </c>
      <c r="B18" s="38"/>
      <c r="C18" s="33" t="str">
        <f ca="1">C8</f>
        <v>WIDE</v>
      </c>
      <c r="D18" s="33"/>
      <c r="I18" s="67"/>
      <c r="J18" s="67"/>
      <c r="K18" s="67"/>
      <c r="L18" s="103" t="str">
        <f>IF(I18&lt;&gt;"", 1, "")</f>
        <v/>
      </c>
      <c r="O18" s="58"/>
      <c r="P18" s="59"/>
      <c r="Q18" s="60"/>
      <c r="R18" s="57" t="str">
        <f ca="1">_xlfn.LET(
  _xlpm.c, SUMIF($I$2:$I$39,O18,$L$2:$L$39),
  IF(_xlpm.c&lt;&gt;0, _xlpm.c, "")
)</f>
        <v/>
      </c>
    </row>
    <row r="19" spans="1:18" ht="15.75" thickBot="1" x14ac:dyDescent="0.3">
      <c r="A19" s="38" t="s">
        <v>70</v>
      </c>
      <c r="B19" s="38"/>
      <c r="C19" s="33">
        <f ca="1">C9 + IF(Skills!K4&gt;=3, 1,0)</f>
        <v>2</v>
      </c>
      <c r="D19" s="33"/>
      <c r="O19" s="58"/>
      <c r="P19" s="59"/>
      <c r="Q19" s="60"/>
      <c r="R19" s="57" t="str">
        <f ca="1">_xlfn.LET(
  _xlpm.c, SUMIF($I$2:$I$39,O19,$L$2:$L$39),
  IF(_xlpm.c&lt;&gt;0, _xlpm.c, "")
)</f>
        <v/>
      </c>
    </row>
    <row r="20" spans="1:18" ht="15.75" thickBot="1" x14ac:dyDescent="0.3">
      <c r="A20" s="38" t="s">
        <v>15</v>
      </c>
      <c r="B20" s="38"/>
      <c r="C20" s="44">
        <f ca="1">C10 * (Skills!R4 / 100 + 1) * (Skills!R3 / 100 + 1)</f>
        <v>1439.9</v>
      </c>
      <c r="D20" s="45"/>
      <c r="H20" s="65" t="s">
        <v>228</v>
      </c>
      <c r="I20" s="110"/>
      <c r="J20" s="111"/>
      <c r="K20" s="112"/>
      <c r="L20" s="109"/>
      <c r="O20" s="58"/>
      <c r="P20" s="59"/>
      <c r="Q20" s="60"/>
      <c r="R20" s="57" t="str">
        <f ca="1">_xlfn.LET(
  _xlpm.c, SUMIF($I$2:$I$39,O20,$L$2:$L$39),
  IF(_xlpm.c&lt;&gt;0, _xlpm.c, "")
)</f>
        <v/>
      </c>
    </row>
    <row r="21" spans="1:18" ht="15.75" thickBot="1" x14ac:dyDescent="0.3">
      <c r="A21" s="38" t="s">
        <v>58</v>
      </c>
      <c r="B21" s="38"/>
      <c r="C21" s="33">
        <f ca="1">C11 * (Skills!R4 / 100 + 1) * (Skills!R3 / 100 + 1)</f>
        <v>2002.0000000000002</v>
      </c>
      <c r="D21" s="33"/>
      <c r="H21" s="108"/>
      <c r="I21" s="33"/>
      <c r="J21" s="33"/>
      <c r="K21" s="33"/>
      <c r="L21" s="31"/>
      <c r="O21" s="58"/>
      <c r="P21" s="59"/>
      <c r="Q21" s="60"/>
      <c r="R21" s="57" t="str">
        <f ca="1">_xlfn.LET(
  _xlpm.c, SUMIF($I$2:$I$39,O21,$L$2:$L$39),
  IF(_xlpm.c&lt;&gt;0, _xlpm.c, "")
)</f>
        <v/>
      </c>
    </row>
    <row r="22" spans="1:18" ht="15.75" thickBot="1" x14ac:dyDescent="0.3">
      <c r="A22" s="38" t="s">
        <v>59</v>
      </c>
      <c r="B22" s="38"/>
      <c r="C22" s="33">
        <f ca="1">C12 * (Skills!R4 / 100 + 1) * (Skills!R3 / 100 + 1)</f>
        <v>1265</v>
      </c>
      <c r="D22" s="33"/>
      <c r="H22" s="2"/>
      <c r="I22" s="41"/>
      <c r="J22" s="41"/>
      <c r="K22" s="41"/>
      <c r="L22" s="31"/>
      <c r="O22" s="58"/>
      <c r="P22" s="59"/>
      <c r="Q22" s="60"/>
      <c r="R22" s="57" t="str">
        <f ca="1">_xlfn.LET(
  _xlpm.c, SUMIF($I$2:$I$39,O22,$L$2:$L$39),
  IF(_xlpm.c&lt;&gt;0, _xlpm.c, "")
)</f>
        <v/>
      </c>
    </row>
    <row r="23" spans="1:18" ht="15.75" thickBot="1" x14ac:dyDescent="0.3">
      <c r="A23" s="38" t="s">
        <v>75</v>
      </c>
      <c r="B23" s="38"/>
      <c r="C23" s="46">
        <f ca="1">IF(D1="Gunlance", C19 * C22, 0)</f>
        <v>2530</v>
      </c>
      <c r="D23" s="39"/>
      <c r="H23" s="2"/>
      <c r="I23" s="33"/>
      <c r="J23" s="33"/>
      <c r="K23" s="33"/>
      <c r="L23" s="32"/>
      <c r="O23" s="58"/>
      <c r="P23" s="59"/>
      <c r="Q23" s="60"/>
      <c r="R23" s="57" t="str">
        <f ca="1">_xlfn.LET(
  _xlpm.c, SUMIF($I$2:$I$39,O23,$L$2:$L$39),
  IF(_xlpm.c&lt;&gt;0, _xlpm.c, "")
)</f>
        <v/>
      </c>
    </row>
    <row r="24" spans="1:18" ht="15.75" thickBot="1" x14ac:dyDescent="0.3">
      <c r="H24" s="66" t="s">
        <v>232</v>
      </c>
      <c r="I24" s="67"/>
      <c r="J24" s="67"/>
      <c r="K24" s="67"/>
      <c r="L24" s="103" t="str">
        <f>IF(I24&lt;&gt;"", 1, "")</f>
        <v/>
      </c>
      <c r="O24" s="58"/>
      <c r="P24" s="59"/>
      <c r="Q24" s="60"/>
      <c r="R24" s="57" t="str">
        <f ca="1">_xlfn.LET(
  _xlpm.c, SUMIF($I$2:$I$39,O24,$L$2:$L$39),
  IF(_xlpm.c&lt;&gt;0, _xlpm.c, "")
)</f>
        <v/>
      </c>
    </row>
    <row r="25" spans="1:18" ht="15.75" thickBot="1" x14ac:dyDescent="0.3">
      <c r="I25" s="67"/>
      <c r="J25" s="67"/>
      <c r="K25" s="67"/>
      <c r="L25" s="103" t="str">
        <f>IF(I25&lt;&gt;"", 1, "")</f>
        <v/>
      </c>
      <c r="O25" s="58"/>
      <c r="P25" s="59"/>
      <c r="Q25" s="60"/>
      <c r="R25" s="57" t="str">
        <f ca="1">_xlfn.LET(
  _xlpm.c, SUMIF($I$2:$I$39,O25,$L$2:$L$39),
  IF(_xlpm.c&lt;&gt;0, _xlpm.c, "")
)</f>
        <v/>
      </c>
    </row>
    <row r="26" spans="1:18" ht="15.75" thickBot="1" x14ac:dyDescent="0.3"/>
    <row r="27" spans="1:18" ht="15.75" thickBot="1" x14ac:dyDescent="0.3">
      <c r="H27" s="65" t="s">
        <v>229</v>
      </c>
      <c r="I27" s="110"/>
      <c r="J27" s="111"/>
      <c r="K27" s="112"/>
      <c r="L27" s="109"/>
    </row>
    <row r="28" spans="1:18" ht="15.75" thickBot="1" x14ac:dyDescent="0.3">
      <c r="H28" s="108"/>
      <c r="I28" s="33"/>
      <c r="J28" s="33"/>
      <c r="K28" s="33"/>
      <c r="L28" s="31"/>
    </row>
    <row r="29" spans="1:18" ht="15.75" thickBot="1" x14ac:dyDescent="0.3">
      <c r="H29" s="2"/>
      <c r="I29" s="41"/>
      <c r="J29" s="41"/>
      <c r="K29" s="41"/>
      <c r="L29" s="31"/>
    </row>
    <row r="30" spans="1:18" ht="15.75" thickBot="1" x14ac:dyDescent="0.3">
      <c r="H30" s="2"/>
      <c r="I30" s="33"/>
      <c r="J30" s="33"/>
      <c r="K30" s="33"/>
      <c r="L30" s="32"/>
    </row>
    <row r="31" spans="1:18" ht="15.75" thickBot="1" x14ac:dyDescent="0.3">
      <c r="H31" s="66" t="s">
        <v>232</v>
      </c>
      <c r="I31" s="67"/>
      <c r="J31" s="67"/>
      <c r="K31" s="67"/>
      <c r="L31" s="103" t="str">
        <f>IF(I31&lt;&gt;"", 1, "")</f>
        <v/>
      </c>
    </row>
    <row r="32" spans="1:18" ht="15.75" thickBot="1" x14ac:dyDescent="0.3">
      <c r="I32" s="67"/>
      <c r="J32" s="67"/>
      <c r="K32" s="67"/>
      <c r="L32" s="103" t="str">
        <f>IF(I32&lt;&gt;"", 1, "")</f>
        <v/>
      </c>
    </row>
    <row r="33" spans="8:12" ht="15.75" thickBot="1" x14ac:dyDescent="0.3"/>
    <row r="34" spans="8:12" ht="15.75" thickBot="1" x14ac:dyDescent="0.3">
      <c r="H34" s="65" t="s">
        <v>230</v>
      </c>
      <c r="I34" s="110"/>
      <c r="J34" s="111"/>
      <c r="K34" s="112"/>
      <c r="L34" s="109"/>
    </row>
    <row r="35" spans="8:12" ht="15.75" thickBot="1" x14ac:dyDescent="0.3">
      <c r="H35" s="108"/>
      <c r="I35" s="33"/>
      <c r="J35" s="33"/>
      <c r="K35" s="33"/>
      <c r="L35" s="31"/>
    </row>
    <row r="36" spans="8:12" ht="15.75" thickBot="1" x14ac:dyDescent="0.3">
      <c r="H36" s="2"/>
      <c r="I36" s="41"/>
      <c r="J36" s="41"/>
      <c r="K36" s="41"/>
      <c r="L36" s="31"/>
    </row>
    <row r="37" spans="8:12" ht="15.75" thickBot="1" x14ac:dyDescent="0.3">
      <c r="H37" s="2"/>
      <c r="I37" s="33"/>
      <c r="J37" s="33"/>
      <c r="K37" s="33"/>
      <c r="L37" s="32"/>
    </row>
    <row r="38" spans="8:12" ht="15.75" thickBot="1" x14ac:dyDescent="0.3">
      <c r="H38" s="66" t="s">
        <v>232</v>
      </c>
      <c r="I38" s="67"/>
      <c r="J38" s="67"/>
      <c r="K38" s="67"/>
      <c r="L38" s="103" t="str">
        <f>IF(I38&lt;&gt;"", 1, "")</f>
        <v/>
      </c>
    </row>
    <row r="39" spans="8:12" ht="15.75" thickBot="1" x14ac:dyDescent="0.3">
      <c r="I39" s="67"/>
      <c r="J39" s="67"/>
      <c r="K39" s="67"/>
      <c r="L39" s="103" t="str">
        <f>IF(I39&lt;&gt;"", 1, "")</f>
        <v/>
      </c>
    </row>
  </sheetData>
  <mergeCells count="77">
    <mergeCell ref="I6:K6"/>
    <mergeCell ref="I13:K13"/>
    <mergeCell ref="I20:K20"/>
    <mergeCell ref="I36:K36"/>
    <mergeCell ref="I37:K37"/>
    <mergeCell ref="I38:K38"/>
    <mergeCell ref="I39:K39"/>
    <mergeCell ref="O1:R1"/>
    <mergeCell ref="I29:K29"/>
    <mergeCell ref="I30:K30"/>
    <mergeCell ref="I31:K31"/>
    <mergeCell ref="I32:K32"/>
    <mergeCell ref="I35:K35"/>
    <mergeCell ref="I34:K34"/>
    <mergeCell ref="H1:L1"/>
    <mergeCell ref="I4:K4"/>
    <mergeCell ref="I3:K3"/>
    <mergeCell ref="I2:K2"/>
    <mergeCell ref="I7:K7"/>
    <mergeCell ref="I8:K8"/>
    <mergeCell ref="I9:K9"/>
    <mergeCell ref="I10:K10"/>
    <mergeCell ref="I11:K11"/>
    <mergeCell ref="I14:K14"/>
    <mergeCell ref="I15:K15"/>
    <mergeCell ref="I16:K16"/>
    <mergeCell ref="I23:K23"/>
    <mergeCell ref="I24:K24"/>
    <mergeCell ref="I25:K25"/>
    <mergeCell ref="I28:K28"/>
    <mergeCell ref="I27:K27"/>
    <mergeCell ref="I17:K17"/>
    <mergeCell ref="I18:K18"/>
    <mergeCell ref="I21:K21"/>
    <mergeCell ref="I22:K22"/>
    <mergeCell ref="A15:F15"/>
    <mergeCell ref="A10:B10"/>
    <mergeCell ref="A7:B7"/>
    <mergeCell ref="A6:B6"/>
    <mergeCell ref="A13:B13"/>
    <mergeCell ref="C13:D13"/>
    <mergeCell ref="A12:B12"/>
    <mergeCell ref="C12:D12"/>
    <mergeCell ref="C11:D11"/>
    <mergeCell ref="C10:D10"/>
    <mergeCell ref="A11:B11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6:B16"/>
    <mergeCell ref="C16:D16"/>
    <mergeCell ref="A17:B17"/>
    <mergeCell ref="C17:D17"/>
    <mergeCell ref="E17:F17"/>
    <mergeCell ref="C9:D9"/>
    <mergeCell ref="A9:B9"/>
    <mergeCell ref="A8:B8"/>
    <mergeCell ref="C8:D8"/>
    <mergeCell ref="C7:D7"/>
    <mergeCell ref="C6:D6"/>
    <mergeCell ref="E7:F7"/>
    <mergeCell ref="A5:F5"/>
    <mergeCell ref="A1:C1"/>
    <mergeCell ref="A2:C2"/>
    <mergeCell ref="A3:C3"/>
    <mergeCell ref="D3:F3"/>
    <mergeCell ref="D2:F2"/>
    <mergeCell ref="D1:F1"/>
  </mergeCells>
  <conditionalFormatting sqref="E7:F7">
    <cfRule type="cellIs" dxfId="11" priority="8" operator="equal">
      <formula>"WATER"</formula>
    </cfRule>
    <cfRule type="cellIs" dxfId="10" priority="9" operator="equal">
      <formula>"FIRE"</formula>
    </cfRule>
    <cfRule type="cellIs" dxfId="9" priority="10" operator="equal">
      <formula>"THUNDER"</formula>
    </cfRule>
    <cfRule type="cellIs" dxfId="8" priority="11" operator="equal">
      <formula>"DRAGON"</formula>
    </cfRule>
    <cfRule type="cellIs" dxfId="7" priority="12" operator="equal">
      <formula>"POISON"</formula>
    </cfRule>
    <cfRule type="cellIs" dxfId="6" priority="13" operator="equal">
      <formula>"PARALYSIS"</formula>
    </cfRule>
  </conditionalFormatting>
  <conditionalFormatting sqref="E17:F17">
    <cfRule type="cellIs" dxfId="5" priority="2" operator="equal">
      <formula>"WATER"</formula>
    </cfRule>
    <cfRule type="cellIs" dxfId="4" priority="3" operator="equal">
      <formula>"FIRE"</formula>
    </cfRule>
    <cfRule type="cellIs" dxfId="3" priority="4" operator="equal">
      <formula>"THUNDER"</formula>
    </cfRule>
    <cfRule type="cellIs" dxfId="2" priority="5" operator="equal">
      <formula>"DRAGON"</formula>
    </cfRule>
    <cfRule type="cellIs" dxfId="1" priority="6" operator="equal">
      <formula>"POISON"</formula>
    </cfRule>
    <cfRule type="cellIs" dxfId="0" priority="7" operator="equal">
      <formula>"PARALYSIS"</formula>
    </cfRule>
  </conditionalFormatting>
  <dataValidations count="6">
    <dataValidation type="list" allowBlank="1" showInputMessage="1" showErrorMessage="1" sqref="D2:F2" xr:uid="{9D6B0ABA-726B-4A69-9CB1-B2EC536FD817}">
      <formula1>INDIRECT($D$1 &amp; "_List")</formula1>
    </dataValidation>
    <dataValidation type="list" allowBlank="1" showInputMessage="1" showErrorMessage="1" sqref="I6" xr:uid="{B62FBFBE-24F3-4CDD-8DBF-B18563C4B970}">
      <formula1>Helmets_List</formula1>
    </dataValidation>
    <dataValidation type="list" allowBlank="1" showInputMessage="1" showErrorMessage="1" sqref="I13" xr:uid="{3B760495-95B4-40BF-9924-EFF277A4014F}">
      <formula1>Bodies_List</formula1>
    </dataValidation>
    <dataValidation type="list" allowBlank="1" showInputMessage="1" showErrorMessage="1" sqref="I20" xr:uid="{96E00794-345F-4B77-8164-D0E87ACD9B82}">
      <formula1>Arms_List</formula1>
    </dataValidation>
    <dataValidation type="list" allowBlank="1" showInputMessage="1" showErrorMessage="1" sqref="I27" xr:uid="{6DEF420D-8F96-40F4-A4C7-AEEB1FAA7BE0}">
      <formula1>Waists_List</formula1>
    </dataValidation>
    <dataValidation type="list" allowBlank="1" showInputMessage="1" showErrorMessage="1" sqref="I34" xr:uid="{86915F4D-D5B8-43F5-9A78-B3661BDA5511}">
      <formula1>Legs_List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53D6D85-C2B3-40E6-996C-E92A091B9C0F}">
          <x14:formula1>
            <xm:f>Lists!$B$3:$B$15</xm:f>
          </x14:formula1>
          <xm:sqref>D1:F1</xm:sqref>
        </x14:dataValidation>
        <x14:dataValidation type="list" allowBlank="1" showInputMessage="1" showErrorMessage="1" xr:uid="{27467ABA-A8D2-4C6D-AB21-F0662D5D163A}">
          <x14:formula1>
            <xm:f>Skills!$A$2:$A$115</xm:f>
          </x14:formula1>
          <xm:sqref>I10:K11 I17:K18 I24:K25 I31:K32 I38:K39</xm:sqref>
        </x14:dataValidation>
        <x14:dataValidation type="list" allowBlank="1" showInputMessage="1" showErrorMessage="1" xr:uid="{7D2B7632-9471-4686-A9CD-BC93375C1997}">
          <x14:formula1>
            <xm:f>Gunlance!#REF!</xm:f>
          </x14:formula1>
          <xm:sqref>D3:F3</xm:sqref>
        </x14:dataValidation>
        <x14:dataValidation type="list" allowBlank="1" showInputMessage="1" showErrorMessage="1" xr:uid="{FB04B5A0-C866-48C2-A912-8D5401153892}">
          <x14:formula1>
            <xm:f>Helmets!$D$1:$AG$1</xm:f>
          </x14:formula1>
          <xm:sqref>L6 L13 L20 L27 L34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18FE-8D64-4BBE-839B-6D098C6917E6}">
  <sheetPr codeName="Sheet2"/>
  <dimension ref="A1:S115"/>
  <sheetViews>
    <sheetView workbookViewId="0">
      <selection activeCell="K12" sqref="K12"/>
    </sheetView>
  </sheetViews>
  <sheetFormatPr defaultRowHeight="15" x14ac:dyDescent="0.25"/>
  <cols>
    <col min="1" max="1" width="22.5703125" bestFit="1" customWidth="1"/>
    <col min="2" max="2" width="12.140625" bestFit="1" customWidth="1"/>
    <col min="3" max="3" width="10" bestFit="1" customWidth="1"/>
    <col min="4" max="4" width="18.5703125" bestFit="1" customWidth="1"/>
    <col min="5" max="5" width="14.85546875" bestFit="1" customWidth="1"/>
    <col min="6" max="10" width="7.5703125" bestFit="1" customWidth="1"/>
    <col min="11" max="11" width="13.42578125" bestFit="1" customWidth="1"/>
    <col min="12" max="12" width="19.42578125" bestFit="1" customWidth="1"/>
  </cols>
  <sheetData>
    <row r="1" spans="1:19" ht="15.75" thickBot="1" x14ac:dyDescent="0.3">
      <c r="A1" s="3" t="s">
        <v>0</v>
      </c>
      <c r="B1" s="3" t="s">
        <v>116</v>
      </c>
      <c r="C1" s="3" t="s">
        <v>12</v>
      </c>
      <c r="D1" s="3" t="s">
        <v>20</v>
      </c>
      <c r="E1" s="3" t="s">
        <v>23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117</v>
      </c>
      <c r="L1" s="3" t="s">
        <v>118</v>
      </c>
      <c r="N1" s="51" t="s">
        <v>13</v>
      </c>
      <c r="O1" s="51"/>
      <c r="P1" s="49" t="s">
        <v>120</v>
      </c>
      <c r="Q1" s="50"/>
      <c r="R1" s="34" t="s">
        <v>121</v>
      </c>
      <c r="S1" s="34"/>
    </row>
    <row r="2" spans="1:19" ht="15.75" thickBot="1" x14ac:dyDescent="0.3">
      <c r="A2" s="2" t="s">
        <v>6</v>
      </c>
      <c r="B2" s="2">
        <v>5</v>
      </c>
      <c r="C2" s="4" t="s">
        <v>14</v>
      </c>
      <c r="D2" s="4" t="s">
        <v>21</v>
      </c>
      <c r="E2" s="4" t="s">
        <v>24</v>
      </c>
      <c r="F2" s="5">
        <v>50</v>
      </c>
      <c r="G2" s="5">
        <v>100</v>
      </c>
      <c r="H2" s="5">
        <v>150</v>
      </c>
      <c r="I2" s="5">
        <v>200</v>
      </c>
      <c r="J2" s="5">
        <v>300</v>
      </c>
      <c r="K2" s="4">
        <f ca="1">SUMIF(Build!$O$2:$O$25, Table1[[#This Row],[NAME]],Build!$R$2:$R$25)</f>
        <v>0</v>
      </c>
      <c r="L2" s="5" cm="1">
        <f t="array" aca="1" ref="L2" ca="1">_xlfn.LET(
  _xlpm.val, IF(Table1[[#This Row],[IN BUILD]]&gt;Table1[[#This Row],[LEVELS]],Table1[[#This Row],[LEVELS]],Table1[[#This Row],[IN BUILD]]),
  IF(_xlpm.val = 0,0, INDIRECT(ADDRESS(ROW(), 6 + (_xlpm.val -1))))
)</f>
        <v>0</v>
      </c>
      <c r="N2" s="48" t="s">
        <v>14</v>
      </c>
      <c r="O2" s="48"/>
      <c r="P2" s="46">
        <f ca="1">SUMIFS(Table1[APPLIED VALUE],Table1[BUFF TYPE],"FLAT",Table1[TYPE],N2)</f>
        <v>150</v>
      </c>
      <c r="Q2" s="39"/>
      <c r="R2" s="33">
        <f ca="1">SUMIFS(Table1[APPLIED VALUE],Table1[BUFF TYPE],"%",Table1[TYPE],N2)</f>
        <v>0</v>
      </c>
      <c r="S2" s="33"/>
    </row>
    <row r="3" spans="1:19" ht="15.75" thickBot="1" x14ac:dyDescent="0.3">
      <c r="A3" s="2" t="s">
        <v>7</v>
      </c>
      <c r="B3" s="2">
        <v>2</v>
      </c>
      <c r="C3" s="4" t="s">
        <v>14</v>
      </c>
      <c r="D3" s="4" t="s">
        <v>21</v>
      </c>
      <c r="E3" s="4" t="s">
        <v>24</v>
      </c>
      <c r="F3" s="5">
        <v>150</v>
      </c>
      <c r="G3" s="5">
        <v>350</v>
      </c>
      <c r="H3" s="5">
        <v>0</v>
      </c>
      <c r="I3" s="5">
        <v>0</v>
      </c>
      <c r="J3" s="5">
        <v>0</v>
      </c>
      <c r="K3" s="4">
        <f ca="1">SUMIF(Build!$O$2:$O$25, Table1[[#This Row],[NAME]],Build!$R$2:$R$25)</f>
        <v>1</v>
      </c>
      <c r="L3" s="5" cm="1">
        <f t="array" aca="1" ref="L3" ca="1">_xlfn.LET(
  _xlpm.val, IF(Table1[[#This Row],[IN BUILD]]&gt;Table1[[#This Row],[LEVELS]],Table1[[#This Row],[LEVELS]],Table1[[#This Row],[IN BUILD]]),
  IF(_xlpm.val = 0,0, INDIRECT(ADDRESS(ROW(), 6 + (_xlpm.val -1))))
)</f>
        <v>150</v>
      </c>
      <c r="N3" s="48" t="s">
        <v>16</v>
      </c>
      <c r="O3" s="48"/>
      <c r="P3" s="46">
        <f>SUMIFS(Table1[APPLIED VALUE],Table1[BUFF TYPE],"FLAT",Table1[TYPE],N3)</f>
        <v>0</v>
      </c>
      <c r="Q3" s="39"/>
      <c r="R3" s="33">
        <f ca="1">SUMIFS(Table1[APPLIED VALUE],Table1[BUFF TYPE],"%",Table1[TYPE],N3)</f>
        <v>10</v>
      </c>
      <c r="S3" s="33"/>
    </row>
    <row r="4" spans="1:19" ht="15.75" thickBot="1" x14ac:dyDescent="0.3">
      <c r="A4" s="2" t="s">
        <v>8</v>
      </c>
      <c r="B4" s="2">
        <v>5</v>
      </c>
      <c r="C4" s="4" t="s">
        <v>15</v>
      </c>
      <c r="D4" s="4" t="s">
        <v>21</v>
      </c>
      <c r="E4" s="4" t="s">
        <v>25</v>
      </c>
      <c r="F4" s="5">
        <v>10</v>
      </c>
      <c r="G4" s="5">
        <v>15</v>
      </c>
      <c r="H4" s="5">
        <v>20</v>
      </c>
      <c r="I4" s="5">
        <v>30</v>
      </c>
      <c r="J4" s="5">
        <v>40</v>
      </c>
      <c r="K4" s="4">
        <f ca="1">SUMIF(Build!$O$2:$O$25, Table1[[#This Row],[NAME]],Build!$R$2:$R$25)</f>
        <v>0</v>
      </c>
      <c r="L4" s="5" cm="1">
        <f t="array" aca="1" ref="L4" ca="1">_xlfn.LET(
  _xlpm.val, IF(Table1[[#This Row],[IN BUILD]]&gt;Table1[[#This Row],[LEVELS]],Table1[[#This Row],[LEVELS]],Table1[[#This Row],[IN BUILD]]),
  IF(_xlpm.val = 0,0, INDIRECT(ADDRESS(ROW(), 6 + (_xlpm.val -1))))
)</f>
        <v>0</v>
      </c>
      <c r="N4" s="48" t="s">
        <v>15</v>
      </c>
      <c r="O4" s="48"/>
      <c r="P4" s="46">
        <f>SUMIFS(Table1[APPLIED VALUE],Table1[BUFF TYPE],"FLAT",Table1[TYPE],N4)</f>
        <v>0</v>
      </c>
      <c r="Q4" s="39"/>
      <c r="R4" s="33">
        <f ca="1">SUMIFS(Table1[APPLIED VALUE],Table1[BUFF TYPE],"%",Table1[TYPE],N4)</f>
        <v>0</v>
      </c>
      <c r="S4" s="33"/>
    </row>
    <row r="5" spans="1:19" ht="15.75" thickBot="1" x14ac:dyDescent="0.3">
      <c r="A5" s="2" t="s">
        <v>9</v>
      </c>
      <c r="B5" s="2">
        <v>3</v>
      </c>
      <c r="C5" s="4" t="s">
        <v>16</v>
      </c>
      <c r="D5" s="4" t="s">
        <v>21</v>
      </c>
      <c r="E5" s="4" t="s">
        <v>25</v>
      </c>
      <c r="F5" s="5">
        <v>5</v>
      </c>
      <c r="G5" s="5">
        <v>10</v>
      </c>
      <c r="H5" s="5">
        <v>20</v>
      </c>
      <c r="I5" s="5">
        <v>0</v>
      </c>
      <c r="J5" s="5">
        <v>0</v>
      </c>
      <c r="K5" s="4">
        <f ca="1">SUMIF(Build!$O$2:$O$25, Table1[[#This Row],[NAME]],Build!$R$2:$R$25)</f>
        <v>2</v>
      </c>
      <c r="L5" s="5" cm="1">
        <f t="array" aca="1" ref="L5" ca="1">_xlfn.LET(
  _xlpm.val, IF(Table1[[#This Row],[IN BUILD]]&gt;Table1[[#This Row],[LEVELS]],Table1[[#This Row],[LEVELS]],Table1[[#This Row],[IN BUILD]]),
  IF(_xlpm.val = 0,0, INDIRECT(ADDRESS(ROW(), 6 + (_xlpm.val -1))))
)</f>
        <v>10</v>
      </c>
      <c r="N5" s="48" t="s">
        <v>61</v>
      </c>
      <c r="O5" s="48"/>
      <c r="P5" s="46">
        <f ca="1">SUMIFS(Table1[APPLIED VALUE],Table1[BUFF TYPE],"FLAT",Table1[TYPE],N5)</f>
        <v>0</v>
      </c>
      <c r="Q5" s="39"/>
      <c r="R5" s="33">
        <f>SUMIFS(Table1[APPLIED VALUE],Table1[BUFF TYPE],"%",Table1[TYPE],N5)</f>
        <v>0</v>
      </c>
      <c r="S5" s="33"/>
    </row>
    <row r="6" spans="1:19" ht="15.75" thickBot="1" x14ac:dyDescent="0.3">
      <c r="A6" s="2" t="s">
        <v>10</v>
      </c>
      <c r="B6" s="2">
        <v>3</v>
      </c>
      <c r="C6" s="4" t="s">
        <v>16</v>
      </c>
      <c r="D6" s="4" t="s">
        <v>21</v>
      </c>
      <c r="E6" s="4" t="s">
        <v>25</v>
      </c>
      <c r="F6" s="5">
        <v>10</v>
      </c>
      <c r="G6" s="5">
        <v>15</v>
      </c>
      <c r="H6" s="5">
        <v>20</v>
      </c>
      <c r="I6" s="5">
        <v>0</v>
      </c>
      <c r="J6" s="5">
        <v>0</v>
      </c>
      <c r="K6" s="4">
        <f ca="1">SUMIF(Build!$O$2:$O$25, Table1[[#This Row],[NAME]],Build!$R$2:$R$25)</f>
        <v>0</v>
      </c>
      <c r="L6" s="5" cm="1">
        <f t="array" aca="1" ref="L6" ca="1">_xlfn.LET(
  _xlpm.val, IF(Table1[[#This Row],[IN BUILD]]&gt;Table1[[#This Row],[LEVELS]],Table1[[#This Row],[LEVELS]],Table1[[#This Row],[IN BUILD]]),
  IF(_xlpm.val = 0,0, INDIRECT(ADDRESS(ROW(), 6 + (_xlpm.val -1))))
)</f>
        <v>0</v>
      </c>
      <c r="N6" s="48" t="s">
        <v>57</v>
      </c>
      <c r="O6" s="48"/>
      <c r="P6" s="46">
        <f ca="1">SUMIFS(Table1[APPLIED VALUE],Table1[BUFF TYPE],"FLAT",Table1[TYPE],N6)</f>
        <v>0</v>
      </c>
      <c r="Q6" s="39"/>
      <c r="R6" s="33">
        <f>SUMIFS(Table1[APPLIED VALUE],Table1[BUFF TYPE],"%",Table1[TYPE],N6)</f>
        <v>0</v>
      </c>
      <c r="S6" s="33"/>
    </row>
    <row r="7" spans="1:19" ht="15.75" thickBot="1" x14ac:dyDescent="0.3">
      <c r="A7" s="2" t="s">
        <v>11</v>
      </c>
      <c r="B7" s="2">
        <v>5</v>
      </c>
      <c r="C7" s="4" t="s">
        <v>14</v>
      </c>
      <c r="D7" s="4" t="s">
        <v>22</v>
      </c>
      <c r="E7" s="4" t="s">
        <v>25</v>
      </c>
      <c r="F7" s="5">
        <v>10</v>
      </c>
      <c r="G7" s="5">
        <v>15</v>
      </c>
      <c r="H7" s="5">
        <v>20</v>
      </c>
      <c r="I7" s="5">
        <v>30</v>
      </c>
      <c r="J7" s="5">
        <v>40</v>
      </c>
      <c r="K7" s="4">
        <f ca="1">SUMIF(Build!$O$2:$O$25, Table1[[#This Row],[NAME]],Build!$R$2:$R$25)</f>
        <v>0</v>
      </c>
      <c r="L7" s="5" cm="1">
        <f t="array" aca="1" ref="L7" ca="1">_xlfn.LET(
  _xlpm.val, IF(Table1[[#This Row],[IN BUILD]]&gt;Table1[[#This Row],[LEVELS]],Table1[[#This Row],[LEVELS]],Table1[[#This Row],[IN BUILD]]),
  IF(_xlpm.val = 0,0, INDIRECT(ADDRESS(ROW(), 6 + (_xlpm.val -1))))
)</f>
        <v>0</v>
      </c>
      <c r="N7" s="48" t="s">
        <v>62</v>
      </c>
      <c r="O7" s="48"/>
      <c r="P7" s="46">
        <f ca="1">SUMIFS(Table1[APPLIED VALUE],Table1[BUFF TYPE],"FLAT",Table1[TYPE],N7)</f>
        <v>0</v>
      </c>
      <c r="Q7" s="39"/>
      <c r="R7" s="33">
        <f>SUMIFS(Table1[APPLIED VALUE],Table1[BUFF TYPE],"%",Table1[TYPE],N7)</f>
        <v>0</v>
      </c>
      <c r="S7" s="33"/>
    </row>
    <row r="8" spans="1:19" ht="15.75" thickBot="1" x14ac:dyDescent="0.3">
      <c r="A8" s="2" t="s">
        <v>17</v>
      </c>
      <c r="B8" s="2">
        <v>3</v>
      </c>
      <c r="C8" s="4" t="s">
        <v>16</v>
      </c>
      <c r="D8" s="4" t="s">
        <v>22</v>
      </c>
      <c r="E8" s="4" t="s">
        <v>25</v>
      </c>
      <c r="F8" s="5">
        <v>10</v>
      </c>
      <c r="G8" s="5">
        <v>15</v>
      </c>
      <c r="H8" s="5">
        <v>20</v>
      </c>
      <c r="I8" s="5">
        <v>25</v>
      </c>
      <c r="J8" s="5">
        <v>30</v>
      </c>
      <c r="K8" s="4">
        <f ca="1">SUMIF(Build!$O$2:$O$25, Table1[[#This Row],[NAME]],Build!$R$2:$R$25)</f>
        <v>0</v>
      </c>
      <c r="L8" s="5" cm="1">
        <f t="array" aca="1" ref="L8" ca="1">_xlfn.LET(
  _xlpm.val, IF(Table1[[#This Row],[IN BUILD]]&gt;Table1[[#This Row],[LEVELS]],Table1[[#This Row],[LEVELS]],Table1[[#This Row],[IN BUILD]]),
  IF(_xlpm.val = 0,0, INDIRECT(ADDRESS(ROW(), 6 + (_xlpm.val -1))))
)</f>
        <v>0</v>
      </c>
      <c r="N8" s="48" t="s">
        <v>224</v>
      </c>
      <c r="O8" s="48"/>
      <c r="P8" s="46">
        <f ca="1">SUMIFS(Table1[APPLIED VALUE],Table1[BUFF TYPE],"FLAT",Table1[TYPE],N8)</f>
        <v>0</v>
      </c>
      <c r="Q8" s="39"/>
      <c r="R8" s="33">
        <f>SUMIFS(Table1[APPLIED VALUE],Table1[BUFF TYPE],"%",Table1[TYPE],N8)</f>
        <v>0</v>
      </c>
      <c r="S8" s="33"/>
    </row>
    <row r="9" spans="1:19" ht="15.75" thickBot="1" x14ac:dyDescent="0.3">
      <c r="A9" s="2" t="s">
        <v>18</v>
      </c>
      <c r="B9" s="2">
        <v>5</v>
      </c>
      <c r="C9" s="4" t="s">
        <v>16</v>
      </c>
      <c r="D9" s="4" t="s">
        <v>22</v>
      </c>
      <c r="E9" s="4" t="s">
        <v>25</v>
      </c>
      <c r="F9" s="5">
        <v>10</v>
      </c>
      <c r="G9" s="5">
        <v>15</v>
      </c>
      <c r="H9" s="5">
        <v>20</v>
      </c>
      <c r="I9" s="5">
        <v>30</v>
      </c>
      <c r="J9" s="5">
        <v>45</v>
      </c>
      <c r="K9" s="4">
        <f ca="1">SUMIF(Build!$O$2:$O$25, Table1[[#This Row],[NAME]],Build!$R$2:$R$25)</f>
        <v>0</v>
      </c>
      <c r="L9" s="5" cm="1">
        <f t="array" aca="1" ref="L9" ca="1">_xlfn.LET(
  _xlpm.val, IF(Table1[[#This Row],[IN BUILD]]&gt;Table1[[#This Row],[LEVELS]],Table1[[#This Row],[LEVELS]],Table1[[#This Row],[IN BUILD]]),
  IF(_xlpm.val = 0,0, INDIRECT(ADDRESS(ROW(), 6 + (_xlpm.val -1))))
)</f>
        <v>0</v>
      </c>
      <c r="N9" s="48" t="s">
        <v>63</v>
      </c>
      <c r="O9" s="48"/>
      <c r="P9" s="46">
        <f ca="1">SUMIFS(Table1[APPLIED VALUE],Table1[BUFF TYPE],"FLAT",Table1[TYPE],N9)</f>
        <v>0</v>
      </c>
      <c r="Q9" s="39"/>
      <c r="R9" s="33">
        <f>SUMIFS(Table1[APPLIED VALUE],Table1[BUFF TYPE],"%",Table1[TYPE],N9)</f>
        <v>0</v>
      </c>
      <c r="S9" s="33"/>
    </row>
    <row r="10" spans="1:19" ht="15.75" thickBot="1" x14ac:dyDescent="0.3">
      <c r="A10" s="2" t="s">
        <v>113</v>
      </c>
      <c r="B10" s="2">
        <v>5</v>
      </c>
      <c r="C10" s="4" t="s">
        <v>16</v>
      </c>
      <c r="D10" s="4" t="s">
        <v>22</v>
      </c>
      <c r="E10" s="4" t="s">
        <v>25</v>
      </c>
      <c r="F10" s="5">
        <v>10</v>
      </c>
      <c r="G10" s="5">
        <v>15</v>
      </c>
      <c r="H10" s="5">
        <v>20</v>
      </c>
      <c r="I10" s="5">
        <v>30</v>
      </c>
      <c r="J10" s="5">
        <v>40</v>
      </c>
      <c r="K10" s="4">
        <f ca="1">SUMIF(Build!$O$2:$O$25, Table1[[#This Row],[NAME]],Build!$R$2:$R$25)</f>
        <v>0</v>
      </c>
      <c r="L10" s="5" cm="1">
        <f t="array" aca="1" ref="L10" ca="1">_xlfn.LET(
  _xlpm.val, IF(Table1[[#This Row],[IN BUILD]]&gt;Table1[[#This Row],[LEVELS]],Table1[[#This Row],[LEVELS]],Table1[[#This Row],[IN BUILD]]),
  IF(_xlpm.val = 0,0, INDIRECT(ADDRESS(ROW(), 6 + (_xlpm.val -1))))
)</f>
        <v>0</v>
      </c>
      <c r="N10" s="48" t="s">
        <v>64</v>
      </c>
      <c r="O10" s="48"/>
      <c r="P10" s="46">
        <f>SUMIFS(Table1[APPLIED VALUE],Table1[BUFF TYPE],"FLAT",Table1[TYPE],N10)</f>
        <v>0</v>
      </c>
      <c r="Q10" s="39"/>
      <c r="R10" s="33">
        <f>SUMIFS(Table1[APPLIED VALUE],Table1[BUFF TYPE],"%",Table1[TYPE],N10)</f>
        <v>0</v>
      </c>
      <c r="S10" s="33"/>
    </row>
    <row r="11" spans="1:19" ht="15.75" thickBot="1" x14ac:dyDescent="0.3">
      <c r="A11" s="2" t="s">
        <v>114</v>
      </c>
      <c r="B11" s="2">
        <v>5</v>
      </c>
      <c r="C11" s="4"/>
      <c r="D11" s="4"/>
      <c r="E11" s="4"/>
      <c r="F11" s="5"/>
      <c r="G11" s="5"/>
      <c r="H11" s="5"/>
      <c r="I11" s="5"/>
      <c r="J11" s="5"/>
      <c r="K11" s="4">
        <f ca="1">SUMIF(Build!$O$2:$O$25, Table1[[#This Row],[NAME]],Build!$R$2:$R$25)</f>
        <v>0</v>
      </c>
      <c r="L11" s="5" cm="1">
        <f t="array" aca="1" ref="L11" ca="1">_xlfn.LET(
  _xlpm.val, IF(Table1[[#This Row],[IN BUILD]]&gt;Table1[[#This Row],[LEVELS]],Table1[[#This Row],[LEVELS]],Table1[[#This Row],[IN BUILD]]),
  IF(_xlpm.val = 0,0, INDIRECT(ADDRESS(ROW(), 6 + (_xlpm.val -1))))
)</f>
        <v>0</v>
      </c>
      <c r="N11" s="48" t="s">
        <v>119</v>
      </c>
      <c r="O11" s="48"/>
      <c r="P11" s="46">
        <f ca="1">SUMIFS(Table1[APPLIED VALUE],Table1[BUFF TYPE],"FLAT",Table1[TYPE],N11)</f>
        <v>0</v>
      </c>
      <c r="Q11" s="39"/>
      <c r="R11" s="33">
        <f>SUMIFS(Table1[APPLIED VALUE],Table1[BUFF TYPE],"%",Table1[TYPE],N11)</f>
        <v>0</v>
      </c>
      <c r="S11" s="33"/>
    </row>
    <row r="12" spans="1:19" ht="15.75" thickBot="1" x14ac:dyDescent="0.3">
      <c r="A12" s="2" t="s">
        <v>115</v>
      </c>
      <c r="B12" s="2">
        <v>5</v>
      </c>
      <c r="C12" s="4"/>
      <c r="D12" s="4"/>
      <c r="E12" s="4"/>
      <c r="F12" s="5"/>
      <c r="G12" s="5"/>
      <c r="H12" s="5"/>
      <c r="I12" s="5"/>
      <c r="J12" s="5"/>
      <c r="K12" s="4">
        <f ca="1">SUMIF(Build!$O$2:$O$25, Table1[[#This Row],[NAME]],Build!$R$2:$R$25)</f>
        <v>0</v>
      </c>
      <c r="L12" s="5" cm="1">
        <f t="array" aca="1" ref="L12" ca="1">_xlfn.LET(
  _xlpm.val, IF(Table1[[#This Row],[IN BUILD]]&gt;Table1[[#This Row],[LEVELS]],Table1[[#This Row],[LEVELS]],Table1[[#This Row],[IN BUILD]]),
  IF(_xlpm.val = 0,0, INDIRECT(ADDRESS(ROW(), 6 + (_xlpm.val -1))))
)</f>
        <v>0</v>
      </c>
      <c r="N12" s="48" t="s">
        <v>65</v>
      </c>
      <c r="O12" s="48"/>
      <c r="P12" s="46">
        <f>SUMIFS(Table1[APPLIED VALUE],Table1[BUFF TYPE],"FLAT",Table1[TYPE],N12)</f>
        <v>0</v>
      </c>
      <c r="Q12" s="39"/>
      <c r="R12" s="33">
        <f>SUMIFS(Table1[APPLIED VALUE],Table1[BUFF TYPE],"%",Table1[TYPE],N12)</f>
        <v>0</v>
      </c>
      <c r="S12" s="33"/>
    </row>
    <row r="13" spans="1:19" x14ac:dyDescent="0.25">
      <c r="A13" s="2" t="s">
        <v>124</v>
      </c>
      <c r="B13" s="2">
        <v>1</v>
      </c>
      <c r="C13" s="4"/>
      <c r="D13" s="4"/>
      <c r="E13" s="4"/>
      <c r="F13" s="5"/>
      <c r="G13" s="5"/>
      <c r="H13" s="5"/>
      <c r="I13" s="5"/>
      <c r="J13" s="5"/>
      <c r="K13" s="4">
        <f ca="1">SUMIF(Build!$O$2:$O$25, Table1[[#This Row],[NAME]],Build!$R$2:$R$25)</f>
        <v>0</v>
      </c>
      <c r="L13" s="5" cm="1">
        <f t="array" aca="1" ref="L1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4" spans="1:19" x14ac:dyDescent="0.25">
      <c r="A14" s="2" t="s">
        <v>125</v>
      </c>
      <c r="B14" s="2">
        <v>5</v>
      </c>
      <c r="C14" s="4" t="s">
        <v>119</v>
      </c>
      <c r="D14" s="4" t="s">
        <v>21</v>
      </c>
      <c r="E14" s="4" t="s">
        <v>24</v>
      </c>
      <c r="F14" s="5"/>
      <c r="G14" s="5"/>
      <c r="H14" s="5"/>
      <c r="I14" s="5"/>
      <c r="J14" s="5"/>
      <c r="K14" s="4">
        <f ca="1">SUMIF(Build!$O$2:$O$25, Table1[[#This Row],[NAME]],Build!$R$2:$R$25)</f>
        <v>0</v>
      </c>
      <c r="L14" s="5" cm="1">
        <f t="array" aca="1" ref="L1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5" spans="1:19" x14ac:dyDescent="0.25">
      <c r="A15" s="2" t="s">
        <v>126</v>
      </c>
      <c r="B15" s="2">
        <v>5</v>
      </c>
      <c r="C15" s="4" t="s">
        <v>63</v>
      </c>
      <c r="D15" s="4" t="s">
        <v>21</v>
      </c>
      <c r="E15" s="4" t="s">
        <v>24</v>
      </c>
      <c r="F15" s="5"/>
      <c r="G15" s="5"/>
      <c r="H15" s="5"/>
      <c r="I15" s="5"/>
      <c r="J15" s="5"/>
      <c r="K15" s="4">
        <f ca="1">SUMIF(Build!$O$2:$O$25, Table1[[#This Row],[NAME]],Build!$R$2:$R$25)</f>
        <v>0</v>
      </c>
      <c r="L15" s="5" cm="1">
        <f t="array" aca="1" ref="L1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6" spans="1:19" x14ac:dyDescent="0.25">
      <c r="A16" s="2" t="s">
        <v>127</v>
      </c>
      <c r="B16" s="2">
        <v>5</v>
      </c>
      <c r="C16" s="4" t="s">
        <v>61</v>
      </c>
      <c r="D16" s="4" t="s">
        <v>21</v>
      </c>
      <c r="E16" s="4" t="s">
        <v>24</v>
      </c>
      <c r="F16" s="5"/>
      <c r="G16" s="5"/>
      <c r="H16" s="5"/>
      <c r="I16" s="5"/>
      <c r="J16" s="5"/>
      <c r="K16" s="4">
        <f ca="1">SUMIF(Build!$O$2:$O$25, Table1[[#This Row],[NAME]],Build!$R$2:$R$25)</f>
        <v>0</v>
      </c>
      <c r="L16" s="5" cm="1">
        <f t="array" aca="1" ref="L1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7" spans="1:12" x14ac:dyDescent="0.25">
      <c r="A17" s="2" t="s">
        <v>128</v>
      </c>
      <c r="B17" s="2">
        <v>5</v>
      </c>
      <c r="C17" s="4" t="s">
        <v>57</v>
      </c>
      <c r="D17" s="4" t="s">
        <v>21</v>
      </c>
      <c r="E17" s="4" t="s">
        <v>24</v>
      </c>
      <c r="F17" s="5"/>
      <c r="G17" s="5"/>
      <c r="H17" s="5"/>
      <c r="I17" s="5"/>
      <c r="J17" s="5"/>
      <c r="K17" s="4">
        <f ca="1">SUMIF(Build!$O$2:$O$25, Table1[[#This Row],[NAME]],Build!$R$2:$R$25)</f>
        <v>0</v>
      </c>
      <c r="L17" s="5" cm="1">
        <f t="array" aca="1" ref="L1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8" spans="1:12" x14ac:dyDescent="0.25">
      <c r="A18" s="2" t="s">
        <v>129</v>
      </c>
      <c r="B18" s="2">
        <v>5</v>
      </c>
      <c r="C18" s="4" t="s">
        <v>224</v>
      </c>
      <c r="D18" s="4" t="s">
        <v>21</v>
      </c>
      <c r="E18" s="4" t="s">
        <v>24</v>
      </c>
      <c r="F18" s="5"/>
      <c r="G18" s="5"/>
      <c r="H18" s="5"/>
      <c r="I18" s="5"/>
      <c r="J18" s="5"/>
      <c r="K18" s="4">
        <f ca="1">SUMIF(Build!$O$2:$O$25, Table1[[#This Row],[NAME]],Build!$R$2:$R$25)</f>
        <v>0</v>
      </c>
      <c r="L18" s="5" cm="1">
        <f t="array" aca="1" ref="L1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9" spans="1:12" x14ac:dyDescent="0.25">
      <c r="A19" s="2" t="s">
        <v>130</v>
      </c>
      <c r="B19" s="2">
        <v>5</v>
      </c>
      <c r="C19" s="4" t="s">
        <v>62</v>
      </c>
      <c r="D19" s="4" t="s">
        <v>21</v>
      </c>
      <c r="E19" s="4" t="s">
        <v>24</v>
      </c>
      <c r="F19" s="5"/>
      <c r="G19" s="5"/>
      <c r="H19" s="5"/>
      <c r="I19" s="5"/>
      <c r="J19" s="5"/>
      <c r="K19" s="4">
        <f ca="1">SUMIF(Build!$O$2:$O$25, Table1[[#This Row],[NAME]],Build!$R$2:$R$25)</f>
        <v>0</v>
      </c>
      <c r="L19" s="5" cm="1">
        <f t="array" aca="1" ref="L1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0" spans="1:12" x14ac:dyDescent="0.25">
      <c r="A20" s="2" t="s">
        <v>131</v>
      </c>
      <c r="B20" s="2">
        <v>5</v>
      </c>
      <c r="C20" s="4" t="s">
        <v>16</v>
      </c>
      <c r="D20" s="4" t="s">
        <v>22</v>
      </c>
      <c r="E20" s="4" t="s">
        <v>25</v>
      </c>
      <c r="F20" s="5"/>
      <c r="G20" s="5"/>
      <c r="H20" s="5"/>
      <c r="I20" s="5"/>
      <c r="J20" s="5"/>
      <c r="K20" s="4">
        <f ca="1">SUMIF(Build!$O$2:$O$25, Table1[[#This Row],[NAME]],Build!$R$2:$R$25)</f>
        <v>0</v>
      </c>
      <c r="L20" s="5" cm="1">
        <f t="array" aca="1" ref="L2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1" spans="1:12" x14ac:dyDescent="0.25">
      <c r="A21" s="2" t="s">
        <v>132</v>
      </c>
      <c r="B21" s="2">
        <v>5</v>
      </c>
      <c r="C21" s="4"/>
      <c r="D21" s="4"/>
      <c r="E21" s="4"/>
      <c r="F21" s="5"/>
      <c r="G21" s="5"/>
      <c r="H21" s="5"/>
      <c r="I21" s="5"/>
      <c r="J21" s="5"/>
      <c r="K21" s="4">
        <f ca="1">SUMIF(Build!$O$2:$O$25, Table1[[#This Row],[NAME]],Build!$R$2:$R$25)</f>
        <v>0</v>
      </c>
      <c r="L21" s="5" cm="1">
        <f t="array" aca="1" ref="L2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2" spans="1:12" x14ac:dyDescent="0.25">
      <c r="A22" s="2" t="s">
        <v>133</v>
      </c>
      <c r="B22" s="2">
        <v>5</v>
      </c>
      <c r="C22" s="4" t="s">
        <v>14</v>
      </c>
      <c r="D22" s="4"/>
      <c r="E22" s="4" t="s">
        <v>25</v>
      </c>
      <c r="F22" s="5"/>
      <c r="G22" s="5"/>
      <c r="H22" s="5"/>
      <c r="I22" s="5"/>
      <c r="J22" s="5"/>
      <c r="K22" s="4">
        <f ca="1">SUMIF(Build!$O$2:$O$25, Table1[[#This Row],[NAME]],Build!$R$2:$R$25)</f>
        <v>0</v>
      </c>
      <c r="L22" s="5" cm="1">
        <f t="array" aca="1" ref="L2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3" spans="1:12" x14ac:dyDescent="0.25">
      <c r="A23" s="2" t="s">
        <v>134</v>
      </c>
      <c r="B23" s="2">
        <v>5</v>
      </c>
      <c r="C23" s="4"/>
      <c r="D23" s="4"/>
      <c r="E23" s="4"/>
      <c r="F23" s="5"/>
      <c r="G23" s="5"/>
      <c r="H23" s="5"/>
      <c r="I23" s="5"/>
      <c r="J23" s="5"/>
      <c r="K23" s="4">
        <f ca="1">SUMIF(Build!$O$2:$O$25, Table1[[#This Row],[NAME]],Build!$R$2:$R$25)</f>
        <v>0</v>
      </c>
      <c r="L23" s="5" cm="1">
        <f t="array" aca="1" ref="L2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4" spans="1:12" x14ac:dyDescent="0.25">
      <c r="A24" s="2" t="s">
        <v>135</v>
      </c>
      <c r="B24" s="2">
        <v>5</v>
      </c>
      <c r="C24" s="4"/>
      <c r="D24" s="4"/>
      <c r="E24" s="4"/>
      <c r="F24" s="5"/>
      <c r="G24" s="5"/>
      <c r="H24" s="5"/>
      <c r="I24" s="5"/>
      <c r="J24" s="5"/>
      <c r="K24" s="4">
        <f ca="1">SUMIF(Build!$O$2:$O$25, Table1[[#This Row],[NAME]],Build!$R$2:$R$25)</f>
        <v>0</v>
      </c>
      <c r="L24" s="5" cm="1">
        <f t="array" aca="1" ref="L2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5" spans="1:12" x14ac:dyDescent="0.25">
      <c r="A25" s="2" t="s">
        <v>136</v>
      </c>
      <c r="B25" s="2">
        <v>5</v>
      </c>
      <c r="C25" s="4"/>
      <c r="D25" s="4"/>
      <c r="E25" s="4"/>
      <c r="F25" s="5"/>
      <c r="G25" s="5"/>
      <c r="H25" s="5"/>
      <c r="I25" s="5"/>
      <c r="J25" s="5"/>
      <c r="K25" s="4">
        <f ca="1">SUMIF(Build!$O$2:$O$25, Table1[[#This Row],[NAME]],Build!$R$2:$R$25)</f>
        <v>0</v>
      </c>
      <c r="L25" s="5" cm="1">
        <f t="array" aca="1" ref="L2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6" spans="1:12" x14ac:dyDescent="0.25">
      <c r="A26" s="2" t="s">
        <v>137</v>
      </c>
      <c r="B26" s="2">
        <v>5</v>
      </c>
      <c r="C26" s="4"/>
      <c r="D26" s="4"/>
      <c r="E26" s="4"/>
      <c r="F26" s="5"/>
      <c r="G26" s="5"/>
      <c r="H26" s="5"/>
      <c r="I26" s="5"/>
      <c r="J26" s="5"/>
      <c r="K26" s="4">
        <f ca="1">SUMIF(Build!$O$2:$O$25, Table1[[#This Row],[NAME]],Build!$R$2:$R$25)</f>
        <v>0</v>
      </c>
      <c r="L26" s="5" cm="1">
        <f t="array" aca="1" ref="L2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7" spans="1:12" x14ac:dyDescent="0.25">
      <c r="A27" s="2" t="s">
        <v>138</v>
      </c>
      <c r="B27" s="2">
        <v>5</v>
      </c>
      <c r="C27" s="4"/>
      <c r="D27" s="4"/>
      <c r="E27" s="4"/>
      <c r="F27" s="5"/>
      <c r="G27" s="5"/>
      <c r="H27" s="5"/>
      <c r="I27" s="5"/>
      <c r="J27" s="5"/>
      <c r="K27" s="4">
        <f ca="1">SUMIF(Build!$O$2:$O$25, Table1[[#This Row],[NAME]],Build!$R$2:$R$25)</f>
        <v>0</v>
      </c>
      <c r="L27" s="5" cm="1">
        <f t="array" aca="1" ref="L2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8" spans="1:12" x14ac:dyDescent="0.25">
      <c r="A28" s="2" t="s">
        <v>139</v>
      </c>
      <c r="B28" s="2">
        <v>5</v>
      </c>
      <c r="C28" s="4"/>
      <c r="D28" s="4"/>
      <c r="E28" s="4"/>
      <c r="F28" s="5"/>
      <c r="G28" s="5"/>
      <c r="H28" s="5"/>
      <c r="I28" s="5"/>
      <c r="J28" s="5"/>
      <c r="K28" s="4">
        <f ca="1">SUMIF(Build!$O$2:$O$25, Table1[[#This Row],[NAME]],Build!$R$2:$R$25)</f>
        <v>0</v>
      </c>
      <c r="L28" s="5" cm="1">
        <f t="array" aca="1" ref="L2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29" spans="1:12" x14ac:dyDescent="0.25">
      <c r="A29" s="2" t="s">
        <v>140</v>
      </c>
      <c r="B29" s="2">
        <v>5</v>
      </c>
      <c r="C29" s="4"/>
      <c r="D29" s="4"/>
      <c r="E29" s="4"/>
      <c r="F29" s="5"/>
      <c r="G29" s="5"/>
      <c r="H29" s="5"/>
      <c r="I29" s="5"/>
      <c r="J29" s="5"/>
      <c r="K29" s="4">
        <f ca="1">SUMIF(Build!$O$2:$O$25, Table1[[#This Row],[NAME]],Build!$R$2:$R$25)</f>
        <v>0</v>
      </c>
      <c r="L29" s="5" cm="1">
        <f t="array" aca="1" ref="L2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0" spans="1:12" x14ac:dyDescent="0.25">
      <c r="A30" s="2" t="s">
        <v>141</v>
      </c>
      <c r="B30" s="2">
        <v>5</v>
      </c>
      <c r="C30" s="4"/>
      <c r="D30" s="4"/>
      <c r="E30" s="4"/>
      <c r="F30" s="5"/>
      <c r="G30" s="5"/>
      <c r="H30" s="5"/>
      <c r="I30" s="5"/>
      <c r="J30" s="5"/>
      <c r="K30" s="4">
        <f ca="1">SUMIF(Build!$O$2:$O$25, Table1[[#This Row],[NAME]],Build!$R$2:$R$25)</f>
        <v>0</v>
      </c>
      <c r="L30" s="5" cm="1">
        <f t="array" aca="1" ref="L3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1" spans="1:12" x14ac:dyDescent="0.25">
      <c r="A31" s="2" t="s">
        <v>142</v>
      </c>
      <c r="B31" s="2">
        <v>5</v>
      </c>
      <c r="C31" s="4"/>
      <c r="D31" s="4"/>
      <c r="E31" s="4"/>
      <c r="F31" s="5"/>
      <c r="G31" s="5"/>
      <c r="H31" s="5"/>
      <c r="I31" s="5"/>
      <c r="J31" s="5"/>
      <c r="K31" s="4">
        <f ca="1">SUMIF(Build!$O$2:$O$25, Table1[[#This Row],[NAME]],Build!$R$2:$R$25)</f>
        <v>0</v>
      </c>
      <c r="L31" s="5" cm="1">
        <f t="array" aca="1" ref="L3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2" spans="1:12" x14ac:dyDescent="0.25">
      <c r="A32" s="2" t="s">
        <v>143</v>
      </c>
      <c r="B32" s="2">
        <v>5</v>
      </c>
      <c r="C32" s="4"/>
      <c r="D32" s="4"/>
      <c r="E32" s="4"/>
      <c r="F32" s="5"/>
      <c r="G32" s="5"/>
      <c r="H32" s="5"/>
      <c r="I32" s="5"/>
      <c r="J32" s="5"/>
      <c r="K32" s="4">
        <f ca="1">SUMIF(Build!$O$2:$O$25, Table1[[#This Row],[NAME]],Build!$R$2:$R$25)</f>
        <v>0</v>
      </c>
      <c r="L32" s="5" cm="1">
        <f t="array" aca="1" ref="L3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3" spans="1:12" x14ac:dyDescent="0.25">
      <c r="A33" s="2" t="s">
        <v>144</v>
      </c>
      <c r="B33" s="2">
        <v>5</v>
      </c>
      <c r="C33" s="4"/>
      <c r="D33" s="4"/>
      <c r="E33" s="4"/>
      <c r="F33" s="5"/>
      <c r="G33" s="5"/>
      <c r="H33" s="5"/>
      <c r="I33" s="5"/>
      <c r="J33" s="5"/>
      <c r="K33" s="4">
        <f ca="1">SUMIF(Build!$O$2:$O$25, Table1[[#This Row],[NAME]],Build!$R$2:$R$25)</f>
        <v>0</v>
      </c>
      <c r="L33" s="5" cm="1">
        <f t="array" aca="1" ref="L3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4" spans="1:12" x14ac:dyDescent="0.25">
      <c r="A34" s="2" t="s">
        <v>145</v>
      </c>
      <c r="B34" s="2">
        <v>5</v>
      </c>
      <c r="C34" s="4"/>
      <c r="D34" s="4"/>
      <c r="E34" s="4"/>
      <c r="F34" s="5"/>
      <c r="G34" s="5"/>
      <c r="H34" s="5"/>
      <c r="I34" s="5"/>
      <c r="J34" s="5"/>
      <c r="K34" s="4">
        <f ca="1">SUMIF(Build!$O$2:$O$25, Table1[[#This Row],[NAME]],Build!$R$2:$R$25)</f>
        <v>0</v>
      </c>
      <c r="L34" s="5" cm="1">
        <f t="array" aca="1" ref="L3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5" spans="1:12" x14ac:dyDescent="0.25">
      <c r="A35" s="2" t="s">
        <v>146</v>
      </c>
      <c r="B35" s="2">
        <v>5</v>
      </c>
      <c r="C35" s="4"/>
      <c r="D35" s="4"/>
      <c r="E35" s="4"/>
      <c r="F35" s="5"/>
      <c r="G35" s="5"/>
      <c r="H35" s="5"/>
      <c r="I35" s="5"/>
      <c r="J35" s="5"/>
      <c r="K35" s="4">
        <f ca="1">SUMIF(Build!$O$2:$O$25, Table1[[#This Row],[NAME]],Build!$R$2:$R$25)</f>
        <v>0</v>
      </c>
      <c r="L35" s="5" cm="1">
        <f t="array" aca="1" ref="L3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6" spans="1:12" x14ac:dyDescent="0.25">
      <c r="A36" s="2" t="s">
        <v>147</v>
      </c>
      <c r="B36" s="2">
        <v>5</v>
      </c>
      <c r="C36" s="4"/>
      <c r="D36" s="4"/>
      <c r="E36" s="4"/>
      <c r="F36" s="5"/>
      <c r="G36" s="5"/>
      <c r="H36" s="5"/>
      <c r="I36" s="5"/>
      <c r="J36" s="5"/>
      <c r="K36" s="4">
        <f ca="1">SUMIF(Build!$O$2:$O$25, Table1[[#This Row],[NAME]],Build!$R$2:$R$25)</f>
        <v>0</v>
      </c>
      <c r="L36" s="5" cm="1">
        <f t="array" aca="1" ref="L3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7" spans="1:12" x14ac:dyDescent="0.25">
      <c r="A37" s="2" t="s">
        <v>148</v>
      </c>
      <c r="B37" s="2">
        <v>5</v>
      </c>
      <c r="C37" s="4"/>
      <c r="D37" s="4"/>
      <c r="E37" s="4"/>
      <c r="F37" s="5"/>
      <c r="G37" s="5"/>
      <c r="H37" s="5"/>
      <c r="I37" s="5"/>
      <c r="J37" s="5"/>
      <c r="K37" s="4">
        <f ca="1">SUMIF(Build!$O$2:$O$25, Table1[[#This Row],[NAME]],Build!$R$2:$R$25)</f>
        <v>0</v>
      </c>
      <c r="L37" s="5" cm="1">
        <f t="array" aca="1" ref="L3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8" spans="1:12" x14ac:dyDescent="0.25">
      <c r="A38" s="2" t="s">
        <v>149</v>
      </c>
      <c r="B38" s="2">
        <v>5</v>
      </c>
      <c r="C38" s="4"/>
      <c r="D38" s="4"/>
      <c r="E38" s="4"/>
      <c r="F38" s="5"/>
      <c r="G38" s="5"/>
      <c r="H38" s="5"/>
      <c r="I38" s="5"/>
      <c r="J38" s="5"/>
      <c r="K38" s="4">
        <f ca="1">SUMIF(Build!$O$2:$O$25, Table1[[#This Row],[NAME]],Build!$R$2:$R$25)</f>
        <v>0</v>
      </c>
      <c r="L38" s="5" cm="1">
        <f t="array" aca="1" ref="L3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39" spans="1:12" x14ac:dyDescent="0.25">
      <c r="A39" s="2" t="s">
        <v>150</v>
      </c>
      <c r="B39" s="2">
        <v>5</v>
      </c>
      <c r="C39" s="4"/>
      <c r="D39" s="4"/>
      <c r="E39" s="4"/>
      <c r="F39" s="5"/>
      <c r="G39" s="5"/>
      <c r="H39" s="5"/>
      <c r="I39" s="5"/>
      <c r="J39" s="5"/>
      <c r="K39" s="4">
        <f ca="1">SUMIF(Build!$O$2:$O$25, Table1[[#This Row],[NAME]],Build!$R$2:$R$25)</f>
        <v>0</v>
      </c>
      <c r="L39" s="5" cm="1">
        <f t="array" aca="1" ref="L3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0" spans="1:12" x14ac:dyDescent="0.25">
      <c r="A40" s="2" t="s">
        <v>151</v>
      </c>
      <c r="B40" s="2">
        <v>5</v>
      </c>
      <c r="C40" s="4"/>
      <c r="D40" s="4"/>
      <c r="E40" s="4"/>
      <c r="F40" s="5"/>
      <c r="G40" s="5"/>
      <c r="H40" s="5"/>
      <c r="I40" s="5"/>
      <c r="J40" s="5"/>
      <c r="K40" s="4">
        <f ca="1">SUMIF(Build!$O$2:$O$25, Table1[[#This Row],[NAME]],Build!$R$2:$R$25)</f>
        <v>0</v>
      </c>
      <c r="L40" s="5" cm="1">
        <f t="array" aca="1" ref="L4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1" spans="1:12" x14ac:dyDescent="0.25">
      <c r="A41" s="2" t="s">
        <v>152</v>
      </c>
      <c r="B41" s="2">
        <v>4</v>
      </c>
      <c r="C41" s="4"/>
      <c r="D41" s="4"/>
      <c r="E41" s="4"/>
      <c r="F41" s="5"/>
      <c r="G41" s="5"/>
      <c r="H41" s="5"/>
      <c r="I41" s="5"/>
      <c r="J41" s="5"/>
      <c r="K41" s="4">
        <f ca="1">SUMIF(Build!$O$2:$O$25, Table1[[#This Row],[NAME]],Build!$R$2:$R$25)</f>
        <v>0</v>
      </c>
      <c r="L41" s="5" cm="1">
        <f t="array" aca="1" ref="L4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2" spans="1:12" x14ac:dyDescent="0.25">
      <c r="A42" s="2" t="s">
        <v>223</v>
      </c>
      <c r="B42" s="2">
        <v>1</v>
      </c>
      <c r="C42" s="4"/>
      <c r="D42" s="4"/>
      <c r="E42" s="4"/>
      <c r="F42" s="5"/>
      <c r="G42" s="5"/>
      <c r="H42" s="5"/>
      <c r="I42" s="5"/>
      <c r="J42" s="5"/>
      <c r="K42" s="4">
        <f ca="1">SUMIF(Build!$O$2:$O$25, Table1[[#This Row],[NAME]],Build!$R$2:$R$25)</f>
        <v>0</v>
      </c>
      <c r="L42" s="5" cm="1">
        <f t="array" aca="1" ref="L4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3" spans="1:12" x14ac:dyDescent="0.25">
      <c r="A43" s="2" t="s">
        <v>153</v>
      </c>
      <c r="B43" s="2">
        <v>3</v>
      </c>
      <c r="C43" s="4"/>
      <c r="D43" s="4"/>
      <c r="E43" s="4"/>
      <c r="F43" s="5"/>
      <c r="G43" s="5"/>
      <c r="H43" s="5"/>
      <c r="I43" s="5"/>
      <c r="J43" s="5"/>
      <c r="K43" s="4">
        <f ca="1">SUMIF(Build!$O$2:$O$25, Table1[[#This Row],[NAME]],Build!$R$2:$R$25)</f>
        <v>0</v>
      </c>
      <c r="L43" s="5" cm="1">
        <f t="array" aca="1" ref="L4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4" spans="1:12" x14ac:dyDescent="0.25">
      <c r="A44" s="2" t="s">
        <v>154</v>
      </c>
      <c r="B44" s="2">
        <v>3</v>
      </c>
      <c r="C44" s="4"/>
      <c r="D44" s="4"/>
      <c r="E44" s="4"/>
      <c r="F44" s="5"/>
      <c r="G44" s="5"/>
      <c r="H44" s="5"/>
      <c r="I44" s="5"/>
      <c r="J44" s="5"/>
      <c r="K44" s="4">
        <f ca="1">SUMIF(Build!$O$2:$O$25, Table1[[#This Row],[NAME]],Build!$R$2:$R$25)</f>
        <v>0</v>
      </c>
      <c r="L44" s="5" cm="1">
        <f t="array" aca="1" ref="L4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5" spans="1:12" x14ac:dyDescent="0.25">
      <c r="A45" s="2" t="s">
        <v>155</v>
      </c>
      <c r="B45" s="2">
        <v>5</v>
      </c>
      <c r="C45" s="4"/>
      <c r="D45" s="4"/>
      <c r="E45" s="4"/>
      <c r="F45" s="5"/>
      <c r="G45" s="5"/>
      <c r="H45" s="5"/>
      <c r="I45" s="5"/>
      <c r="J45" s="5"/>
      <c r="K45" s="4">
        <f ca="1">SUMIF(Build!$O$2:$O$25, Table1[[#This Row],[NAME]],Build!$R$2:$R$25)</f>
        <v>0</v>
      </c>
      <c r="L45" s="5" cm="1">
        <f t="array" aca="1" ref="L4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6" spans="1:12" x14ac:dyDescent="0.25">
      <c r="A46" s="2" t="s">
        <v>156</v>
      </c>
      <c r="B46" s="2">
        <v>5</v>
      </c>
      <c r="C46" s="4"/>
      <c r="D46" s="4"/>
      <c r="E46" s="4"/>
      <c r="F46" s="5"/>
      <c r="G46" s="5"/>
      <c r="H46" s="5"/>
      <c r="I46" s="5"/>
      <c r="J46" s="5"/>
      <c r="K46" s="4">
        <f ca="1">SUMIF(Build!$O$2:$O$25, Table1[[#This Row],[NAME]],Build!$R$2:$R$25)</f>
        <v>0</v>
      </c>
      <c r="L46" s="5" cm="1">
        <f t="array" aca="1" ref="L4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7" spans="1:12" x14ac:dyDescent="0.25">
      <c r="A47" s="2" t="s">
        <v>157</v>
      </c>
      <c r="B47" s="2">
        <v>3</v>
      </c>
      <c r="C47" s="4"/>
      <c r="D47" s="4"/>
      <c r="E47" s="4"/>
      <c r="F47" s="5"/>
      <c r="G47" s="5"/>
      <c r="H47" s="5"/>
      <c r="I47" s="5"/>
      <c r="J47" s="5"/>
      <c r="K47" s="4">
        <f ca="1">SUMIF(Build!$O$2:$O$25, Table1[[#This Row],[NAME]],Build!$R$2:$R$25)</f>
        <v>0</v>
      </c>
      <c r="L47" s="5" cm="1">
        <f t="array" aca="1" ref="L4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8" spans="1:12" x14ac:dyDescent="0.25">
      <c r="A48" s="2" t="s">
        <v>158</v>
      </c>
      <c r="B48" s="2">
        <v>3</v>
      </c>
      <c r="C48" s="4"/>
      <c r="D48" s="4"/>
      <c r="E48" s="4"/>
      <c r="F48" s="5"/>
      <c r="G48" s="5"/>
      <c r="H48" s="5"/>
      <c r="I48" s="5"/>
      <c r="J48" s="5"/>
      <c r="K48" s="4">
        <f ca="1">SUMIF(Build!$O$2:$O$25, Table1[[#This Row],[NAME]],Build!$R$2:$R$25)</f>
        <v>0</v>
      </c>
      <c r="L48" s="5" cm="1">
        <f t="array" aca="1" ref="L4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49" spans="1:12" x14ac:dyDescent="0.25">
      <c r="A49" s="2" t="s">
        <v>159</v>
      </c>
      <c r="B49" s="2">
        <v>5</v>
      </c>
      <c r="C49" s="4"/>
      <c r="D49" s="4"/>
      <c r="E49" s="4"/>
      <c r="F49" s="5"/>
      <c r="G49" s="5"/>
      <c r="H49" s="5"/>
      <c r="I49" s="5"/>
      <c r="J49" s="5"/>
      <c r="K49" s="4">
        <f ca="1">SUMIF(Build!$O$2:$O$25, Table1[[#This Row],[NAME]],Build!$R$2:$R$25)</f>
        <v>0</v>
      </c>
      <c r="L49" s="5" cm="1">
        <f t="array" aca="1" ref="L4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0" spans="1:12" x14ac:dyDescent="0.25">
      <c r="A50" s="2" t="s">
        <v>160</v>
      </c>
      <c r="B50" s="2">
        <v>5</v>
      </c>
      <c r="C50" s="4"/>
      <c r="D50" s="4"/>
      <c r="E50" s="4"/>
      <c r="F50" s="5"/>
      <c r="G50" s="5"/>
      <c r="H50" s="5"/>
      <c r="I50" s="5"/>
      <c r="J50" s="5"/>
      <c r="K50" s="4">
        <f ca="1">SUMIF(Build!$O$2:$O$25, Table1[[#This Row],[NAME]],Build!$R$2:$R$25)</f>
        <v>0</v>
      </c>
      <c r="L50" s="5" cm="1">
        <f t="array" aca="1" ref="L5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1" spans="1:12" x14ac:dyDescent="0.25">
      <c r="A51" s="2" t="s">
        <v>161</v>
      </c>
      <c r="B51" s="2">
        <v>1</v>
      </c>
      <c r="C51" s="4"/>
      <c r="D51" s="4"/>
      <c r="E51" s="4"/>
      <c r="F51" s="5"/>
      <c r="G51" s="5"/>
      <c r="H51" s="5"/>
      <c r="I51" s="5"/>
      <c r="J51" s="5"/>
      <c r="K51" s="4">
        <f ca="1">SUMIF(Build!$O$2:$O$25, Table1[[#This Row],[NAME]],Build!$R$2:$R$25)</f>
        <v>0</v>
      </c>
      <c r="L51" s="5" cm="1">
        <f t="array" aca="1" ref="L5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2" spans="1:12" x14ac:dyDescent="0.25">
      <c r="A52" s="2" t="s">
        <v>162</v>
      </c>
      <c r="B52" s="2">
        <v>5</v>
      </c>
      <c r="C52" s="4"/>
      <c r="D52" s="4"/>
      <c r="E52" s="4"/>
      <c r="F52" s="5"/>
      <c r="G52" s="5"/>
      <c r="H52" s="5"/>
      <c r="I52" s="5"/>
      <c r="J52" s="5"/>
      <c r="K52" s="4">
        <f ca="1">SUMIF(Build!$O$2:$O$25, Table1[[#This Row],[NAME]],Build!$R$2:$R$25)</f>
        <v>0</v>
      </c>
      <c r="L52" s="5" cm="1">
        <f t="array" aca="1" ref="L5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3" spans="1:12" x14ac:dyDescent="0.25">
      <c r="A53" s="2" t="s">
        <v>163</v>
      </c>
      <c r="B53" s="2">
        <v>3</v>
      </c>
      <c r="C53" s="4"/>
      <c r="D53" s="4"/>
      <c r="E53" s="4"/>
      <c r="F53" s="5"/>
      <c r="G53" s="5"/>
      <c r="H53" s="5"/>
      <c r="I53" s="5"/>
      <c r="J53" s="5"/>
      <c r="K53" s="4">
        <f ca="1">SUMIF(Build!$O$2:$O$25, Table1[[#This Row],[NAME]],Build!$R$2:$R$25)</f>
        <v>0</v>
      </c>
      <c r="L53" s="5" cm="1">
        <f t="array" aca="1" ref="L5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4" spans="1:12" x14ac:dyDescent="0.25">
      <c r="A54" s="2" t="s">
        <v>164</v>
      </c>
      <c r="B54" s="2">
        <v>5</v>
      </c>
      <c r="C54" s="4"/>
      <c r="D54" s="4"/>
      <c r="E54" s="4"/>
      <c r="F54" s="5"/>
      <c r="G54" s="5"/>
      <c r="H54" s="5"/>
      <c r="I54" s="5"/>
      <c r="J54" s="5"/>
      <c r="K54" s="4">
        <f ca="1">SUMIF(Build!$O$2:$O$25, Table1[[#This Row],[NAME]],Build!$R$2:$R$25)</f>
        <v>0</v>
      </c>
      <c r="L54" s="5" cm="1">
        <f t="array" aca="1" ref="L5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5" spans="1:12" x14ac:dyDescent="0.25">
      <c r="A55" s="2" t="s">
        <v>165</v>
      </c>
      <c r="B55" s="2">
        <v>5</v>
      </c>
      <c r="C55" s="4"/>
      <c r="D55" s="4"/>
      <c r="E55" s="4"/>
      <c r="F55" s="5"/>
      <c r="G55" s="5"/>
      <c r="H55" s="5"/>
      <c r="I55" s="5"/>
      <c r="J55" s="5"/>
      <c r="K55" s="4">
        <f ca="1">SUMIF(Build!$O$2:$O$25, Table1[[#This Row],[NAME]],Build!$R$2:$R$25)</f>
        <v>0</v>
      </c>
      <c r="L55" s="5" cm="1">
        <f t="array" aca="1" ref="L5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6" spans="1:12" x14ac:dyDescent="0.25">
      <c r="A56" s="2" t="s">
        <v>166</v>
      </c>
      <c r="B56" s="2">
        <v>3</v>
      </c>
      <c r="C56" s="4"/>
      <c r="D56" s="4"/>
      <c r="E56" s="4"/>
      <c r="F56" s="5"/>
      <c r="G56" s="5"/>
      <c r="H56" s="5"/>
      <c r="I56" s="5"/>
      <c r="J56" s="5"/>
      <c r="K56" s="4">
        <f ca="1">SUMIF(Build!$O$2:$O$25, Table1[[#This Row],[NAME]],Build!$R$2:$R$25)</f>
        <v>0</v>
      </c>
      <c r="L56" s="5" cm="1">
        <f t="array" aca="1" ref="L5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7" spans="1:12" x14ac:dyDescent="0.25">
      <c r="A57" s="2" t="s">
        <v>167</v>
      </c>
      <c r="B57" s="2">
        <v>5</v>
      </c>
      <c r="C57" s="4"/>
      <c r="D57" s="4"/>
      <c r="E57" s="4"/>
      <c r="F57" s="5"/>
      <c r="G57" s="5"/>
      <c r="H57" s="5"/>
      <c r="I57" s="5"/>
      <c r="J57" s="5"/>
      <c r="K57" s="4">
        <f ca="1">SUMIF(Build!$O$2:$O$25, Table1[[#This Row],[NAME]],Build!$R$2:$R$25)</f>
        <v>0</v>
      </c>
      <c r="L57" s="5" cm="1">
        <f t="array" aca="1" ref="L5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8" spans="1:12" x14ac:dyDescent="0.25">
      <c r="A58" s="2" t="s">
        <v>168</v>
      </c>
      <c r="B58" s="2">
        <v>1</v>
      </c>
      <c r="C58" s="4"/>
      <c r="D58" s="4"/>
      <c r="E58" s="4"/>
      <c r="F58" s="5"/>
      <c r="G58" s="5"/>
      <c r="H58" s="5"/>
      <c r="I58" s="5"/>
      <c r="J58" s="5"/>
      <c r="K58" s="4">
        <f ca="1">SUMIF(Build!$O$2:$O$25, Table1[[#This Row],[NAME]],Build!$R$2:$R$25)</f>
        <v>0</v>
      </c>
      <c r="L58" s="5" cm="1">
        <f t="array" aca="1" ref="L5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59" spans="1:12" x14ac:dyDescent="0.25">
      <c r="A59" s="2" t="s">
        <v>169</v>
      </c>
      <c r="B59" s="2">
        <v>3</v>
      </c>
      <c r="C59" s="4"/>
      <c r="D59" s="4"/>
      <c r="E59" s="4"/>
      <c r="F59" s="5"/>
      <c r="G59" s="5"/>
      <c r="H59" s="5"/>
      <c r="I59" s="5"/>
      <c r="J59" s="5"/>
      <c r="K59" s="4">
        <f ca="1">SUMIF(Build!$O$2:$O$25, Table1[[#This Row],[NAME]],Build!$R$2:$R$25)</f>
        <v>0</v>
      </c>
      <c r="L59" s="5" cm="1">
        <f t="array" aca="1" ref="L5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0" spans="1:12" x14ac:dyDescent="0.25">
      <c r="A60" s="2" t="s">
        <v>170</v>
      </c>
      <c r="B60" s="2">
        <v>3</v>
      </c>
      <c r="C60" s="4"/>
      <c r="D60" s="4"/>
      <c r="E60" s="4"/>
      <c r="F60" s="5"/>
      <c r="G60" s="5"/>
      <c r="H60" s="5"/>
      <c r="I60" s="5"/>
      <c r="J60" s="5"/>
      <c r="K60" s="4">
        <f ca="1">SUMIF(Build!$O$2:$O$25, Table1[[#This Row],[NAME]],Build!$R$2:$R$25)</f>
        <v>0</v>
      </c>
      <c r="L60" s="5" cm="1">
        <f t="array" aca="1" ref="L6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1" spans="1:12" x14ac:dyDescent="0.25">
      <c r="A61" s="2" t="s">
        <v>171</v>
      </c>
      <c r="B61" s="2">
        <v>3</v>
      </c>
      <c r="C61" s="4"/>
      <c r="D61" s="4"/>
      <c r="E61" s="4"/>
      <c r="F61" s="5"/>
      <c r="G61" s="5"/>
      <c r="H61" s="5"/>
      <c r="I61" s="5"/>
      <c r="J61" s="5"/>
      <c r="K61" s="4">
        <f ca="1">SUMIF(Build!$O$2:$O$25, Table1[[#This Row],[NAME]],Build!$R$2:$R$25)</f>
        <v>0</v>
      </c>
      <c r="L61" s="5" cm="1">
        <f t="array" aca="1" ref="L6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2" spans="1:12" x14ac:dyDescent="0.25">
      <c r="A62" s="2" t="s">
        <v>172</v>
      </c>
      <c r="B62" s="2">
        <v>5</v>
      </c>
      <c r="C62" s="4"/>
      <c r="D62" s="4"/>
      <c r="E62" s="4"/>
      <c r="F62" s="5"/>
      <c r="G62" s="5"/>
      <c r="H62" s="5"/>
      <c r="I62" s="5"/>
      <c r="J62" s="5"/>
      <c r="K62" s="4">
        <f ca="1">SUMIF(Build!$O$2:$O$25, Table1[[#This Row],[NAME]],Build!$R$2:$R$25)</f>
        <v>0</v>
      </c>
      <c r="L62" s="5" cm="1">
        <f t="array" aca="1" ref="L6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3" spans="1:12" x14ac:dyDescent="0.25">
      <c r="A63" s="2" t="s">
        <v>173</v>
      </c>
      <c r="B63" s="2">
        <v>3</v>
      </c>
      <c r="C63" s="4"/>
      <c r="D63" s="4"/>
      <c r="E63" s="4"/>
      <c r="F63" s="5"/>
      <c r="G63" s="5"/>
      <c r="H63" s="5"/>
      <c r="I63" s="5"/>
      <c r="J63" s="5"/>
      <c r="K63" s="4">
        <f ca="1">SUMIF(Build!$O$2:$O$25, Table1[[#This Row],[NAME]],Build!$R$2:$R$25)</f>
        <v>0</v>
      </c>
      <c r="L63" s="5" cm="1">
        <f t="array" aca="1" ref="L6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4" spans="1:12" x14ac:dyDescent="0.25">
      <c r="A64" s="2" t="s">
        <v>11</v>
      </c>
      <c r="B64" s="2">
        <v>5</v>
      </c>
      <c r="C64" s="4"/>
      <c r="D64" s="4"/>
      <c r="E64" s="4"/>
      <c r="F64" s="5"/>
      <c r="G64" s="5"/>
      <c r="H64" s="5"/>
      <c r="I64" s="5"/>
      <c r="J64" s="5"/>
      <c r="K64" s="4">
        <f ca="1">SUMIF(Build!$O$2:$O$25, Table1[[#This Row],[NAME]],Build!$R$2:$R$25)</f>
        <v>0</v>
      </c>
      <c r="L64" s="5" cm="1">
        <f t="array" aca="1" ref="L6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5" spans="1:12" x14ac:dyDescent="0.25">
      <c r="A65" s="2" t="s">
        <v>174</v>
      </c>
      <c r="B65" s="2">
        <v>5</v>
      </c>
      <c r="C65" s="4"/>
      <c r="D65" s="4"/>
      <c r="E65" s="4"/>
      <c r="F65" s="5"/>
      <c r="G65" s="5"/>
      <c r="H65" s="5"/>
      <c r="I65" s="5"/>
      <c r="J65" s="5"/>
      <c r="K65" s="4">
        <f ca="1">SUMIF(Build!$O$2:$O$25, Table1[[#This Row],[NAME]],Build!$R$2:$R$25)</f>
        <v>0</v>
      </c>
      <c r="L65" s="5" cm="1">
        <f t="array" aca="1" ref="L6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6" spans="1:12" x14ac:dyDescent="0.25">
      <c r="A66" s="2" t="s">
        <v>175</v>
      </c>
      <c r="B66" s="2">
        <v>5</v>
      </c>
      <c r="C66" s="4"/>
      <c r="D66" s="4"/>
      <c r="E66" s="4"/>
      <c r="F66" s="5"/>
      <c r="G66" s="5"/>
      <c r="H66" s="5"/>
      <c r="I66" s="5"/>
      <c r="J66" s="5"/>
      <c r="K66" s="4">
        <f ca="1">SUMIF(Build!$O$2:$O$25, Table1[[#This Row],[NAME]],Build!$R$2:$R$25)</f>
        <v>0</v>
      </c>
      <c r="L66" s="5" cm="1">
        <f t="array" aca="1" ref="L6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7" spans="1:12" x14ac:dyDescent="0.25">
      <c r="A67" s="2" t="s">
        <v>176</v>
      </c>
      <c r="B67" s="2">
        <v>5</v>
      </c>
      <c r="C67" s="4"/>
      <c r="D67" s="4"/>
      <c r="E67" s="4"/>
      <c r="F67" s="5"/>
      <c r="G67" s="5"/>
      <c r="H67" s="5"/>
      <c r="I67" s="5"/>
      <c r="J67" s="5"/>
      <c r="K67" s="4">
        <f ca="1">SUMIF(Build!$O$2:$O$25, Table1[[#This Row],[NAME]],Build!$R$2:$R$25)</f>
        <v>0</v>
      </c>
      <c r="L67" s="5" cm="1">
        <f t="array" aca="1" ref="L6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8" spans="1:12" x14ac:dyDescent="0.25">
      <c r="A68" s="2" t="s">
        <v>177</v>
      </c>
      <c r="B68" s="2">
        <v>3</v>
      </c>
      <c r="C68" s="4"/>
      <c r="D68" s="4"/>
      <c r="E68" s="4"/>
      <c r="F68" s="5"/>
      <c r="G68" s="5"/>
      <c r="H68" s="5"/>
      <c r="I68" s="5"/>
      <c r="J68" s="5"/>
      <c r="K68" s="4">
        <f ca="1">SUMIF(Build!$O$2:$O$25, Table1[[#This Row],[NAME]],Build!$R$2:$R$25)</f>
        <v>0</v>
      </c>
      <c r="L68" s="5" cm="1">
        <f t="array" aca="1" ref="L6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69" spans="1:12" x14ac:dyDescent="0.25">
      <c r="A69" s="2" t="s">
        <v>178</v>
      </c>
      <c r="B69" s="2">
        <v>3</v>
      </c>
      <c r="C69" s="4"/>
      <c r="D69" s="4"/>
      <c r="E69" s="4"/>
      <c r="F69" s="5"/>
      <c r="G69" s="5"/>
      <c r="H69" s="5"/>
      <c r="I69" s="5"/>
      <c r="J69" s="5"/>
      <c r="K69" s="4">
        <f ca="1">SUMIF(Build!$O$2:$O$25, Table1[[#This Row],[NAME]],Build!$R$2:$R$25)</f>
        <v>0</v>
      </c>
      <c r="L69" s="5" cm="1">
        <f t="array" aca="1" ref="L6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0" spans="1:12" x14ac:dyDescent="0.25">
      <c r="A70" s="2" t="s">
        <v>9</v>
      </c>
      <c r="B70" s="2">
        <v>3</v>
      </c>
      <c r="C70" s="4"/>
      <c r="D70" s="4"/>
      <c r="E70" s="4"/>
      <c r="F70" s="5"/>
      <c r="G70" s="5"/>
      <c r="H70" s="5"/>
      <c r="I70" s="5"/>
      <c r="J70" s="5"/>
      <c r="K70" s="4">
        <f ca="1">SUMIF(Build!$O$2:$O$25, Table1[[#This Row],[NAME]],Build!$R$2:$R$25)</f>
        <v>2</v>
      </c>
      <c r="L70" s="5" cm="1">
        <f t="array" aca="1" ref="L7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1" spans="1:12" x14ac:dyDescent="0.25">
      <c r="A71" s="2" t="s">
        <v>179</v>
      </c>
      <c r="B71" s="2">
        <v>3</v>
      </c>
      <c r="C71" s="4"/>
      <c r="D71" s="4"/>
      <c r="E71" s="4"/>
      <c r="F71" s="5"/>
      <c r="G71" s="5"/>
      <c r="H71" s="5"/>
      <c r="I71" s="5"/>
      <c r="J71" s="5"/>
      <c r="K71" s="4">
        <f ca="1">SUMIF(Build!$O$2:$O$25, Table1[[#This Row],[NAME]],Build!$R$2:$R$25)</f>
        <v>0</v>
      </c>
      <c r="L71" s="5" cm="1">
        <f t="array" aca="1" ref="L7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2" spans="1:12" x14ac:dyDescent="0.25">
      <c r="A72" s="2" t="s">
        <v>180</v>
      </c>
      <c r="B72" s="2">
        <v>3</v>
      </c>
      <c r="C72" s="4"/>
      <c r="D72" s="4"/>
      <c r="E72" s="4"/>
      <c r="F72" s="5"/>
      <c r="G72" s="5"/>
      <c r="H72" s="5"/>
      <c r="I72" s="5"/>
      <c r="J72" s="5"/>
      <c r="K72" s="4">
        <f ca="1">SUMIF(Build!$O$2:$O$25, Table1[[#This Row],[NAME]],Build!$R$2:$R$25)</f>
        <v>0</v>
      </c>
      <c r="L72" s="5" cm="1">
        <f t="array" aca="1" ref="L7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3" spans="1:12" x14ac:dyDescent="0.25">
      <c r="A73" s="2" t="s">
        <v>181</v>
      </c>
      <c r="B73" s="2">
        <v>5</v>
      </c>
      <c r="C73" s="4"/>
      <c r="D73" s="4"/>
      <c r="E73" s="4"/>
      <c r="F73" s="5"/>
      <c r="G73" s="5"/>
      <c r="H73" s="5"/>
      <c r="I73" s="5"/>
      <c r="J73" s="5"/>
      <c r="K73" s="4">
        <f ca="1">SUMIF(Build!$O$2:$O$25, Table1[[#This Row],[NAME]],Build!$R$2:$R$25)</f>
        <v>0</v>
      </c>
      <c r="L73" s="5" cm="1">
        <f t="array" aca="1" ref="L7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4" spans="1:12" x14ac:dyDescent="0.25">
      <c r="A74" s="2" t="s">
        <v>182</v>
      </c>
      <c r="B74" s="2">
        <v>5</v>
      </c>
      <c r="C74" s="4"/>
      <c r="D74" s="4"/>
      <c r="E74" s="4"/>
      <c r="F74" s="5"/>
      <c r="G74" s="5"/>
      <c r="H74" s="5"/>
      <c r="I74" s="5"/>
      <c r="J74" s="5"/>
      <c r="K74" s="4">
        <f ca="1">SUMIF(Build!$O$2:$O$25, Table1[[#This Row],[NAME]],Build!$R$2:$R$25)</f>
        <v>0</v>
      </c>
      <c r="L74" s="5" cm="1">
        <f t="array" aca="1" ref="L7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5" spans="1:12" x14ac:dyDescent="0.25">
      <c r="A75" s="2" t="s">
        <v>183</v>
      </c>
      <c r="B75" s="2">
        <v>3</v>
      </c>
      <c r="C75" s="4"/>
      <c r="D75" s="4"/>
      <c r="E75" s="4"/>
      <c r="F75" s="5"/>
      <c r="G75" s="5"/>
      <c r="H75" s="5"/>
      <c r="I75" s="5"/>
      <c r="J75" s="5"/>
      <c r="K75" s="4">
        <f ca="1">SUMIF(Build!$O$2:$O$25, Table1[[#This Row],[NAME]],Build!$R$2:$R$25)</f>
        <v>0</v>
      </c>
      <c r="L75" s="5" cm="1">
        <f t="array" aca="1" ref="L7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6" spans="1:12" x14ac:dyDescent="0.25">
      <c r="A76" s="2" t="s">
        <v>184</v>
      </c>
      <c r="B76" s="2">
        <v>5</v>
      </c>
      <c r="C76" s="4"/>
      <c r="D76" s="4"/>
      <c r="E76" s="4"/>
      <c r="F76" s="5"/>
      <c r="G76" s="5"/>
      <c r="H76" s="5"/>
      <c r="I76" s="5"/>
      <c r="J76" s="5"/>
      <c r="K76" s="4">
        <f ca="1">SUMIF(Build!$O$2:$O$25, Table1[[#This Row],[NAME]],Build!$R$2:$R$25)</f>
        <v>0</v>
      </c>
      <c r="L76" s="5" cm="1">
        <f t="array" aca="1" ref="L7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7" spans="1:12" x14ac:dyDescent="0.25">
      <c r="A77" s="2" t="s">
        <v>185</v>
      </c>
      <c r="B77" s="2">
        <v>5</v>
      </c>
      <c r="C77" s="4"/>
      <c r="D77" s="4"/>
      <c r="E77" s="4"/>
      <c r="F77" s="5"/>
      <c r="G77" s="5"/>
      <c r="H77" s="5"/>
      <c r="I77" s="5"/>
      <c r="J77" s="5"/>
      <c r="K77" s="4">
        <f ca="1">SUMIF(Build!$O$2:$O$25, Table1[[#This Row],[NAME]],Build!$R$2:$R$25)</f>
        <v>0</v>
      </c>
      <c r="L77" s="5" cm="1">
        <f t="array" aca="1" ref="L7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8" spans="1:12" x14ac:dyDescent="0.25">
      <c r="A78" s="2" t="s">
        <v>186</v>
      </c>
      <c r="B78" s="2">
        <v>5</v>
      </c>
      <c r="C78" s="4"/>
      <c r="D78" s="4"/>
      <c r="E78" s="4"/>
      <c r="F78" s="5"/>
      <c r="G78" s="5"/>
      <c r="H78" s="5"/>
      <c r="I78" s="5"/>
      <c r="J78" s="5"/>
      <c r="K78" s="4">
        <f ca="1">SUMIF(Build!$O$2:$O$25, Table1[[#This Row],[NAME]],Build!$R$2:$R$25)</f>
        <v>0</v>
      </c>
      <c r="L78" s="5" cm="1">
        <f t="array" aca="1" ref="L7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79" spans="1:12" x14ac:dyDescent="0.25">
      <c r="A79" s="2" t="s">
        <v>187</v>
      </c>
      <c r="B79" s="2">
        <v>5</v>
      </c>
      <c r="C79" s="4"/>
      <c r="D79" s="4"/>
      <c r="E79" s="4"/>
      <c r="F79" s="5"/>
      <c r="G79" s="5"/>
      <c r="H79" s="5"/>
      <c r="I79" s="5"/>
      <c r="J79" s="5"/>
      <c r="K79" s="4">
        <f ca="1">SUMIF(Build!$O$2:$O$25, Table1[[#This Row],[NAME]],Build!$R$2:$R$25)</f>
        <v>0</v>
      </c>
      <c r="L79" s="5" cm="1">
        <f t="array" aca="1" ref="L7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0" spans="1:12" x14ac:dyDescent="0.25">
      <c r="A80" s="2" t="s">
        <v>188</v>
      </c>
      <c r="B80" s="2">
        <v>1</v>
      </c>
      <c r="C80" s="4"/>
      <c r="D80" s="4"/>
      <c r="E80" s="4"/>
      <c r="F80" s="5"/>
      <c r="G80" s="5"/>
      <c r="H80" s="5"/>
      <c r="I80" s="5"/>
      <c r="J80" s="5"/>
      <c r="K80" s="4">
        <f ca="1">SUMIF(Build!$O$2:$O$25, Table1[[#This Row],[NAME]],Build!$R$2:$R$25)</f>
        <v>0</v>
      </c>
      <c r="L80" s="5" cm="1">
        <f t="array" aca="1" ref="L8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1" spans="1:12" x14ac:dyDescent="0.25">
      <c r="A81" s="2" t="s">
        <v>189</v>
      </c>
      <c r="B81" s="2">
        <v>1</v>
      </c>
      <c r="C81" s="4"/>
      <c r="D81" s="4"/>
      <c r="E81" s="4"/>
      <c r="F81" s="5"/>
      <c r="G81" s="5"/>
      <c r="H81" s="5"/>
      <c r="I81" s="5"/>
      <c r="J81" s="5"/>
      <c r="K81" s="4">
        <f ca="1">SUMIF(Build!$O$2:$O$25, Table1[[#This Row],[NAME]],Build!$R$2:$R$25)</f>
        <v>0</v>
      </c>
      <c r="L81" s="5" cm="1">
        <f t="array" aca="1" ref="L8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2" spans="1:12" x14ac:dyDescent="0.25">
      <c r="A82" s="2" t="s">
        <v>190</v>
      </c>
      <c r="B82" s="2">
        <v>1</v>
      </c>
      <c r="C82" s="4"/>
      <c r="D82" s="4"/>
      <c r="E82" s="4"/>
      <c r="F82" s="5"/>
      <c r="G82" s="5"/>
      <c r="H82" s="5"/>
      <c r="I82" s="5"/>
      <c r="J82" s="5"/>
      <c r="K82" s="4">
        <f ca="1">SUMIF(Build!$O$2:$O$25, Table1[[#This Row],[NAME]],Build!$R$2:$R$25)</f>
        <v>0</v>
      </c>
      <c r="L82" s="5" cm="1">
        <f t="array" aca="1" ref="L8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3" spans="1:12" x14ac:dyDescent="0.25">
      <c r="A83" s="2" t="s">
        <v>191</v>
      </c>
      <c r="B83" s="2">
        <v>3</v>
      </c>
      <c r="C83" s="4"/>
      <c r="D83" s="4"/>
      <c r="E83" s="4"/>
      <c r="F83" s="5"/>
      <c r="G83" s="5"/>
      <c r="H83" s="5"/>
      <c r="I83" s="5"/>
      <c r="J83" s="5"/>
      <c r="K83" s="4">
        <f ca="1">SUMIF(Build!$O$2:$O$25, Table1[[#This Row],[NAME]],Build!$R$2:$R$25)</f>
        <v>0</v>
      </c>
      <c r="L83" s="5" cm="1">
        <f t="array" aca="1" ref="L8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4" spans="1:12" x14ac:dyDescent="0.25">
      <c r="A84" s="2" t="s">
        <v>192</v>
      </c>
      <c r="B84" s="2">
        <v>5</v>
      </c>
      <c r="C84" s="4"/>
      <c r="D84" s="4"/>
      <c r="E84" s="4"/>
      <c r="F84" s="5"/>
      <c r="G84" s="5"/>
      <c r="H84" s="5"/>
      <c r="I84" s="5"/>
      <c r="J84" s="5"/>
      <c r="K84" s="4">
        <f ca="1">SUMIF(Build!$O$2:$O$25, Table1[[#This Row],[NAME]],Build!$R$2:$R$25)</f>
        <v>0</v>
      </c>
      <c r="L84" s="5" cm="1">
        <f t="array" aca="1" ref="L8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5" spans="1:12" x14ac:dyDescent="0.25">
      <c r="A85" s="2" t="s">
        <v>193</v>
      </c>
      <c r="B85" s="2">
        <v>3</v>
      </c>
      <c r="C85" s="4"/>
      <c r="D85" s="4"/>
      <c r="E85" s="4"/>
      <c r="F85" s="5"/>
      <c r="G85" s="5"/>
      <c r="H85" s="5"/>
      <c r="I85" s="5"/>
      <c r="J85" s="5"/>
      <c r="K85" s="4">
        <f ca="1">SUMIF(Build!$O$2:$O$25, Table1[[#This Row],[NAME]],Build!$R$2:$R$25)</f>
        <v>0</v>
      </c>
      <c r="L85" s="5" cm="1">
        <f t="array" aca="1" ref="L8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6" spans="1:12" x14ac:dyDescent="0.25">
      <c r="A86" s="2" t="s">
        <v>194</v>
      </c>
      <c r="B86" s="2">
        <v>3</v>
      </c>
      <c r="C86" s="4"/>
      <c r="D86" s="4"/>
      <c r="E86" s="4"/>
      <c r="F86" s="5"/>
      <c r="G86" s="5"/>
      <c r="H86" s="5"/>
      <c r="I86" s="5"/>
      <c r="J86" s="5"/>
      <c r="K86" s="4">
        <f ca="1">SUMIF(Build!$O$2:$O$25, Table1[[#This Row],[NAME]],Build!$R$2:$R$25)</f>
        <v>0</v>
      </c>
      <c r="L86" s="5" cm="1">
        <f t="array" aca="1" ref="L8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7" spans="1:12" x14ac:dyDescent="0.25">
      <c r="A87" s="2" t="s">
        <v>195</v>
      </c>
      <c r="B87" s="2">
        <v>3</v>
      </c>
      <c r="C87" s="4"/>
      <c r="D87" s="4"/>
      <c r="E87" s="4"/>
      <c r="F87" s="5"/>
      <c r="G87" s="5"/>
      <c r="H87" s="5"/>
      <c r="I87" s="5"/>
      <c r="J87" s="5"/>
      <c r="K87" s="4">
        <f ca="1">SUMIF(Build!$O$2:$O$25, Table1[[#This Row],[NAME]],Build!$R$2:$R$25)</f>
        <v>0</v>
      </c>
      <c r="L87" s="5" cm="1">
        <f t="array" aca="1" ref="L8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8" spans="1:12" x14ac:dyDescent="0.25">
      <c r="A88" s="2" t="s">
        <v>196</v>
      </c>
      <c r="B88" s="2">
        <v>3</v>
      </c>
      <c r="C88" s="4"/>
      <c r="D88" s="4"/>
      <c r="E88" s="4"/>
      <c r="F88" s="5"/>
      <c r="G88" s="5"/>
      <c r="H88" s="5"/>
      <c r="I88" s="5"/>
      <c r="J88" s="5"/>
      <c r="K88" s="4">
        <f ca="1">SUMIF(Build!$O$2:$O$25, Table1[[#This Row],[NAME]],Build!$R$2:$R$25)</f>
        <v>0</v>
      </c>
      <c r="L88" s="5" cm="1">
        <f t="array" aca="1" ref="L8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89" spans="1:12" x14ac:dyDescent="0.25">
      <c r="A89" s="2" t="s">
        <v>197</v>
      </c>
      <c r="B89" s="2">
        <v>5</v>
      </c>
      <c r="C89" s="4"/>
      <c r="D89" s="4"/>
      <c r="E89" s="4"/>
      <c r="F89" s="5"/>
      <c r="G89" s="5"/>
      <c r="H89" s="5"/>
      <c r="I89" s="5"/>
      <c r="J89" s="5"/>
      <c r="K89" s="4">
        <f ca="1">SUMIF(Build!$O$2:$O$25, Table1[[#This Row],[NAME]],Build!$R$2:$R$25)</f>
        <v>0</v>
      </c>
      <c r="L89" s="5" cm="1">
        <f t="array" aca="1" ref="L8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0" spans="1:12" x14ac:dyDescent="0.25">
      <c r="A90" s="2" t="s">
        <v>198</v>
      </c>
      <c r="B90" s="2">
        <v>3</v>
      </c>
      <c r="C90" s="4"/>
      <c r="D90" s="4"/>
      <c r="E90" s="4"/>
      <c r="F90" s="5"/>
      <c r="G90" s="5"/>
      <c r="H90" s="5"/>
      <c r="I90" s="5"/>
      <c r="J90" s="5"/>
      <c r="K90" s="4">
        <f ca="1">SUMIF(Build!$O$2:$O$25, Table1[[#This Row],[NAME]],Build!$R$2:$R$25)</f>
        <v>0</v>
      </c>
      <c r="L90" s="5" cm="1">
        <f t="array" aca="1" ref="L9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1" spans="1:12" x14ac:dyDescent="0.25">
      <c r="A91" s="2" t="s">
        <v>199</v>
      </c>
      <c r="B91" s="2">
        <v>3</v>
      </c>
      <c r="C91" s="4"/>
      <c r="D91" s="4"/>
      <c r="E91" s="4"/>
      <c r="F91" s="5"/>
      <c r="G91" s="5"/>
      <c r="H91" s="5"/>
      <c r="I91" s="5"/>
      <c r="J91" s="5"/>
      <c r="K91" s="4">
        <f ca="1">SUMIF(Build!$O$2:$O$25, Table1[[#This Row],[NAME]],Build!$R$2:$R$25)</f>
        <v>0</v>
      </c>
      <c r="L91" s="5" cm="1">
        <f t="array" aca="1" ref="L9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2" spans="1:12" x14ac:dyDescent="0.25">
      <c r="A92" s="2" t="s">
        <v>200</v>
      </c>
      <c r="B92" s="2">
        <v>3</v>
      </c>
      <c r="C92" s="4"/>
      <c r="D92" s="4"/>
      <c r="E92" s="4"/>
      <c r="F92" s="5"/>
      <c r="G92" s="5"/>
      <c r="H92" s="5"/>
      <c r="I92" s="5"/>
      <c r="J92" s="5"/>
      <c r="K92" s="4">
        <f ca="1">SUMIF(Build!$O$2:$O$25, Table1[[#This Row],[NAME]],Build!$R$2:$R$25)</f>
        <v>0</v>
      </c>
      <c r="L92" s="5" cm="1">
        <f t="array" aca="1" ref="L9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3" spans="1:12" x14ac:dyDescent="0.25">
      <c r="A93" s="2" t="s">
        <v>201</v>
      </c>
      <c r="B93" s="2">
        <v>5</v>
      </c>
      <c r="C93" s="4"/>
      <c r="D93" s="4"/>
      <c r="E93" s="4"/>
      <c r="F93" s="5"/>
      <c r="G93" s="5"/>
      <c r="H93" s="5"/>
      <c r="I93" s="5"/>
      <c r="J93" s="5"/>
      <c r="K93" s="4">
        <f ca="1">SUMIF(Build!$O$2:$O$25, Table1[[#This Row],[NAME]],Build!$R$2:$R$25)</f>
        <v>2</v>
      </c>
      <c r="L93" s="5" cm="1">
        <f t="array" aca="1" ref="L9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4" spans="1:12" x14ac:dyDescent="0.25">
      <c r="A94" s="2" t="s">
        <v>202</v>
      </c>
      <c r="B94" s="2">
        <v>3</v>
      </c>
      <c r="C94" s="4"/>
      <c r="D94" s="4"/>
      <c r="E94" s="4"/>
      <c r="F94" s="5"/>
      <c r="G94" s="5"/>
      <c r="H94" s="5"/>
      <c r="I94" s="5"/>
      <c r="J94" s="5"/>
      <c r="K94" s="4">
        <f ca="1">SUMIF(Build!$O$2:$O$25, Table1[[#This Row],[NAME]],Build!$R$2:$R$25)</f>
        <v>0</v>
      </c>
      <c r="L94" s="5" cm="1">
        <f t="array" aca="1" ref="L9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5" spans="1:12" x14ac:dyDescent="0.25">
      <c r="A95" s="2" t="s">
        <v>203</v>
      </c>
      <c r="B95" s="2">
        <v>5</v>
      </c>
      <c r="C95" s="4"/>
      <c r="D95" s="4"/>
      <c r="E95" s="4"/>
      <c r="F95" s="5"/>
      <c r="G95" s="5"/>
      <c r="H95" s="5"/>
      <c r="I95" s="5"/>
      <c r="J95" s="5"/>
      <c r="K95" s="4">
        <f ca="1">SUMIF(Build!$O$2:$O$25, Table1[[#This Row],[NAME]],Build!$R$2:$R$25)</f>
        <v>0</v>
      </c>
      <c r="L95" s="5" cm="1">
        <f t="array" aca="1" ref="L9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6" spans="1:12" x14ac:dyDescent="0.25">
      <c r="A96" s="2" t="s">
        <v>204</v>
      </c>
      <c r="B96" s="2">
        <v>3</v>
      </c>
      <c r="C96" s="4"/>
      <c r="D96" s="4"/>
      <c r="E96" s="4"/>
      <c r="F96" s="5"/>
      <c r="G96" s="5"/>
      <c r="H96" s="5"/>
      <c r="I96" s="5"/>
      <c r="J96" s="5"/>
      <c r="K96" s="4">
        <f ca="1">SUMIF(Build!$O$2:$O$25, Table1[[#This Row],[NAME]],Build!$R$2:$R$25)</f>
        <v>0</v>
      </c>
      <c r="L96" s="5" cm="1">
        <f t="array" aca="1" ref="L9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7" spans="1:12" x14ac:dyDescent="0.25">
      <c r="A97" s="2" t="s">
        <v>205</v>
      </c>
      <c r="B97" s="2">
        <v>3</v>
      </c>
      <c r="C97" s="4"/>
      <c r="D97" s="4"/>
      <c r="E97" s="4"/>
      <c r="F97" s="5"/>
      <c r="G97" s="5"/>
      <c r="H97" s="5"/>
      <c r="I97" s="5"/>
      <c r="J97" s="5"/>
      <c r="K97" s="4">
        <f ca="1">SUMIF(Build!$O$2:$O$25, Table1[[#This Row],[NAME]],Build!$R$2:$R$25)</f>
        <v>0</v>
      </c>
      <c r="L97" s="5" cm="1">
        <f t="array" aca="1" ref="L9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8" spans="1:12" x14ac:dyDescent="0.25">
      <c r="A98" s="2" t="s">
        <v>206</v>
      </c>
      <c r="B98" s="2">
        <v>3</v>
      </c>
      <c r="C98" s="4"/>
      <c r="D98" s="4"/>
      <c r="E98" s="4"/>
      <c r="F98" s="5"/>
      <c r="G98" s="5"/>
      <c r="H98" s="5"/>
      <c r="I98" s="5"/>
      <c r="J98" s="5"/>
      <c r="K98" s="4">
        <f ca="1">SUMIF(Build!$O$2:$O$25, Table1[[#This Row],[NAME]],Build!$R$2:$R$25)</f>
        <v>0</v>
      </c>
      <c r="L98" s="5" cm="1">
        <f t="array" aca="1" ref="L9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99" spans="1:12" x14ac:dyDescent="0.25">
      <c r="A99" s="2" t="s">
        <v>207</v>
      </c>
      <c r="B99" s="2">
        <v>3</v>
      </c>
      <c r="C99" s="4"/>
      <c r="D99" s="4"/>
      <c r="E99" s="4"/>
      <c r="F99" s="5"/>
      <c r="G99" s="5"/>
      <c r="H99" s="5"/>
      <c r="I99" s="5"/>
      <c r="J99" s="5"/>
      <c r="K99" s="4">
        <f ca="1">SUMIF(Build!$O$2:$O$25, Table1[[#This Row],[NAME]],Build!$R$2:$R$25)</f>
        <v>0</v>
      </c>
      <c r="L99" s="5" cm="1">
        <f t="array" aca="1" ref="L9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0" spans="1:12" x14ac:dyDescent="0.25">
      <c r="A100" s="2" t="s">
        <v>115</v>
      </c>
      <c r="B100" s="2">
        <v>5</v>
      </c>
      <c r="C100" s="4"/>
      <c r="D100" s="4"/>
      <c r="E100" s="4"/>
      <c r="F100" s="5"/>
      <c r="G100" s="5"/>
      <c r="H100" s="5"/>
      <c r="I100" s="5"/>
      <c r="J100" s="5"/>
      <c r="K100" s="4">
        <f ca="1">SUMIF(Build!$O$2:$O$25, Table1[[#This Row],[NAME]],Build!$R$2:$R$25)</f>
        <v>0</v>
      </c>
      <c r="L100" s="5" cm="1">
        <f t="array" aca="1" ref="L10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1" spans="1:12" x14ac:dyDescent="0.25">
      <c r="A101" s="2" t="s">
        <v>208</v>
      </c>
      <c r="B101" s="2">
        <v>1</v>
      </c>
      <c r="C101" s="4"/>
      <c r="D101" s="4"/>
      <c r="E101" s="4"/>
      <c r="F101" s="5"/>
      <c r="G101" s="5"/>
      <c r="H101" s="5"/>
      <c r="I101" s="5"/>
      <c r="J101" s="5"/>
      <c r="K101" s="4">
        <f ca="1">SUMIF(Build!$O$2:$O$25, Table1[[#This Row],[NAME]],Build!$R$2:$R$25)</f>
        <v>0</v>
      </c>
      <c r="L101" s="5" cm="1">
        <f t="array" aca="1" ref="L10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2" spans="1:12" x14ac:dyDescent="0.25">
      <c r="A102" s="2" t="s">
        <v>209</v>
      </c>
      <c r="B102" s="2">
        <v>5</v>
      </c>
      <c r="C102" s="4"/>
      <c r="D102" s="4"/>
      <c r="E102" s="4"/>
      <c r="F102" s="5"/>
      <c r="G102" s="5"/>
      <c r="H102" s="5"/>
      <c r="I102" s="5"/>
      <c r="J102" s="5"/>
      <c r="K102" s="4">
        <f ca="1">SUMIF(Build!$O$2:$O$25, Table1[[#This Row],[NAME]],Build!$R$2:$R$25)</f>
        <v>0</v>
      </c>
      <c r="L102" s="5" cm="1">
        <f t="array" aca="1" ref="L10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3" spans="1:12" x14ac:dyDescent="0.25">
      <c r="A103" s="2" t="s">
        <v>210</v>
      </c>
      <c r="B103" s="2">
        <v>5</v>
      </c>
      <c r="C103" s="4"/>
      <c r="D103" s="4"/>
      <c r="E103" s="4"/>
      <c r="F103" s="5"/>
      <c r="G103" s="5"/>
      <c r="H103" s="5"/>
      <c r="I103" s="5"/>
      <c r="J103" s="5"/>
      <c r="K103" s="4">
        <f ca="1">SUMIF(Build!$O$2:$O$25, Table1[[#This Row],[NAME]],Build!$R$2:$R$25)</f>
        <v>0</v>
      </c>
      <c r="L103" s="5" cm="1">
        <f t="array" aca="1" ref="L10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4" spans="1:12" x14ac:dyDescent="0.25">
      <c r="A104" s="2" t="s">
        <v>211</v>
      </c>
      <c r="B104" s="2">
        <v>3</v>
      </c>
      <c r="C104" s="4"/>
      <c r="D104" s="4"/>
      <c r="E104" s="4"/>
      <c r="F104" s="5"/>
      <c r="G104" s="5"/>
      <c r="H104" s="5"/>
      <c r="I104" s="5"/>
      <c r="J104" s="5"/>
      <c r="K104" s="4">
        <f ca="1">SUMIF(Build!$O$2:$O$25, Table1[[#This Row],[NAME]],Build!$R$2:$R$25)</f>
        <v>0</v>
      </c>
      <c r="L104" s="5" cm="1">
        <f t="array" aca="1" ref="L10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5" spans="1:12" x14ac:dyDescent="0.25">
      <c r="A105" s="2" t="s">
        <v>212</v>
      </c>
      <c r="B105" s="2">
        <v>5</v>
      </c>
      <c r="C105" s="4"/>
      <c r="D105" s="4"/>
      <c r="E105" s="4"/>
      <c r="F105" s="5"/>
      <c r="G105" s="5"/>
      <c r="H105" s="5"/>
      <c r="I105" s="5"/>
      <c r="J105" s="5"/>
      <c r="K105" s="4">
        <f ca="1">SUMIF(Build!$O$2:$O$25, Table1[[#This Row],[NAME]],Build!$R$2:$R$25)</f>
        <v>0</v>
      </c>
      <c r="L105" s="5" cm="1">
        <f t="array" aca="1" ref="L105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6" spans="1:12" x14ac:dyDescent="0.25">
      <c r="A106" s="2" t="s">
        <v>213</v>
      </c>
      <c r="B106" s="2">
        <v>3</v>
      </c>
      <c r="C106" s="4"/>
      <c r="D106" s="4"/>
      <c r="E106" s="4"/>
      <c r="F106" s="5"/>
      <c r="G106" s="5"/>
      <c r="H106" s="5"/>
      <c r="I106" s="5"/>
      <c r="J106" s="5"/>
      <c r="K106" s="4">
        <f ca="1">SUMIF(Build!$O$2:$O$25, Table1[[#This Row],[NAME]],Build!$R$2:$R$25)</f>
        <v>0</v>
      </c>
      <c r="L106" s="5" cm="1">
        <f t="array" aca="1" ref="L106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7" spans="1:12" x14ac:dyDescent="0.25">
      <c r="A107" s="2" t="s">
        <v>214</v>
      </c>
      <c r="B107" s="2">
        <v>3</v>
      </c>
      <c r="C107" s="4"/>
      <c r="D107" s="4"/>
      <c r="E107" s="4"/>
      <c r="F107" s="5"/>
      <c r="G107" s="5"/>
      <c r="H107" s="5"/>
      <c r="I107" s="5"/>
      <c r="J107" s="5"/>
      <c r="K107" s="4">
        <f ca="1">SUMIF(Build!$O$2:$O$25, Table1[[#This Row],[NAME]],Build!$R$2:$R$25)</f>
        <v>0</v>
      </c>
      <c r="L107" s="5" cm="1">
        <f t="array" aca="1" ref="L107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8" spans="1:12" x14ac:dyDescent="0.25">
      <c r="A108" s="2" t="s">
        <v>215</v>
      </c>
      <c r="B108" s="2">
        <v>3</v>
      </c>
      <c r="C108" s="4"/>
      <c r="D108" s="4"/>
      <c r="E108" s="4"/>
      <c r="F108" s="5"/>
      <c r="G108" s="5"/>
      <c r="H108" s="5"/>
      <c r="I108" s="5"/>
      <c r="J108" s="5"/>
      <c r="K108" s="4">
        <f ca="1">SUMIF(Build!$O$2:$O$25, Table1[[#This Row],[NAME]],Build!$R$2:$R$25)</f>
        <v>0</v>
      </c>
      <c r="L108" s="5" cm="1">
        <f t="array" aca="1" ref="L108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09" spans="1:12" x14ac:dyDescent="0.25">
      <c r="A109" s="2" t="s">
        <v>216</v>
      </c>
      <c r="B109" s="2">
        <v>5</v>
      </c>
      <c r="C109" s="4"/>
      <c r="D109" s="4"/>
      <c r="E109" s="4"/>
      <c r="F109" s="5"/>
      <c r="G109" s="5"/>
      <c r="H109" s="5"/>
      <c r="I109" s="5"/>
      <c r="J109" s="5"/>
      <c r="K109" s="4">
        <f ca="1">SUMIF(Build!$O$2:$O$25, Table1[[#This Row],[NAME]],Build!$R$2:$R$25)</f>
        <v>0</v>
      </c>
      <c r="L109" s="5" cm="1">
        <f t="array" aca="1" ref="L109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10" spans="1:12" x14ac:dyDescent="0.25">
      <c r="A110" s="2" t="s">
        <v>217</v>
      </c>
      <c r="B110" s="2">
        <v>3</v>
      </c>
      <c r="C110" s="4"/>
      <c r="D110" s="4"/>
      <c r="E110" s="4"/>
      <c r="F110" s="5"/>
      <c r="G110" s="5"/>
      <c r="H110" s="5"/>
      <c r="I110" s="5"/>
      <c r="J110" s="5"/>
      <c r="K110" s="4">
        <f ca="1">SUMIF(Build!$O$2:$O$25, Table1[[#This Row],[NAME]],Build!$R$2:$R$25)</f>
        <v>0</v>
      </c>
      <c r="L110" s="5" cm="1">
        <f t="array" aca="1" ref="L110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11" spans="1:12" x14ac:dyDescent="0.25">
      <c r="A111" s="2" t="s">
        <v>218</v>
      </c>
      <c r="B111" s="2">
        <v>5</v>
      </c>
      <c r="C111" s="4"/>
      <c r="D111" s="4"/>
      <c r="E111" s="4"/>
      <c r="F111" s="5"/>
      <c r="G111" s="5"/>
      <c r="H111" s="5"/>
      <c r="I111" s="5"/>
      <c r="J111" s="5"/>
      <c r="K111" s="4">
        <f ca="1">SUMIF(Build!$O$2:$O$25, Table1[[#This Row],[NAME]],Build!$R$2:$R$25)</f>
        <v>0</v>
      </c>
      <c r="L111" s="5" cm="1">
        <f t="array" aca="1" ref="L111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12" spans="1:12" x14ac:dyDescent="0.25">
      <c r="A112" s="2" t="s">
        <v>219</v>
      </c>
      <c r="B112" s="2">
        <v>3</v>
      </c>
      <c r="C112" s="4"/>
      <c r="D112" s="4"/>
      <c r="E112" s="4"/>
      <c r="F112" s="5"/>
      <c r="G112" s="5"/>
      <c r="H112" s="5"/>
      <c r="I112" s="5"/>
      <c r="J112" s="5"/>
      <c r="K112" s="4">
        <f ca="1">SUMIF(Build!$O$2:$O$25, Table1[[#This Row],[NAME]],Build!$R$2:$R$25)</f>
        <v>0</v>
      </c>
      <c r="L112" s="5" cm="1">
        <f t="array" aca="1" ref="L112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13" spans="1:12" x14ac:dyDescent="0.25">
      <c r="A113" s="2" t="s">
        <v>220</v>
      </c>
      <c r="B113" s="2">
        <v>3</v>
      </c>
      <c r="C113" s="4"/>
      <c r="D113" s="4"/>
      <c r="E113" s="4"/>
      <c r="F113" s="5"/>
      <c r="G113" s="5"/>
      <c r="H113" s="5"/>
      <c r="I113" s="5"/>
      <c r="J113" s="5"/>
      <c r="K113" s="4">
        <f ca="1">SUMIF(Build!$O$2:$O$25, Table1[[#This Row],[NAME]],Build!$R$2:$R$25)</f>
        <v>0</v>
      </c>
      <c r="L113" s="5" cm="1">
        <f t="array" aca="1" ref="L113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14" spans="1:12" x14ac:dyDescent="0.25">
      <c r="A114" s="2" t="s">
        <v>221</v>
      </c>
      <c r="B114" s="2">
        <v>3</v>
      </c>
      <c r="C114" s="4"/>
      <c r="D114" s="4"/>
      <c r="E114" s="4"/>
      <c r="F114" s="5"/>
      <c r="G114" s="5"/>
      <c r="H114" s="5"/>
      <c r="I114" s="5"/>
      <c r="J114" s="5"/>
      <c r="K114" s="4">
        <f ca="1">SUMIF(Build!$O$2:$O$25, Table1[[#This Row],[NAME]],Build!$R$2:$R$25)</f>
        <v>0</v>
      </c>
      <c r="L114" s="5" cm="1">
        <f t="array" aca="1" ref="L114" ca="1">_xlfn.LET(
  _xlpm.val, IF(Table1[[#This Row],[IN BUILD]]&gt;Table1[[#This Row],[LEVELS]],Table1[[#This Row],[LEVELS]],Table1[[#This Row],[IN BUILD]]),
  IF(_xlpm.val = 0,0, INDIRECT(ADDRESS(ROW(), 6 + (_xlpm.val -1))))
)</f>
        <v>0</v>
      </c>
    </row>
    <row r="115" spans="1:12" x14ac:dyDescent="0.25">
      <c r="A115" s="2" t="s">
        <v>222</v>
      </c>
      <c r="B115" s="2">
        <v>3</v>
      </c>
      <c r="C115" s="4"/>
      <c r="D115" s="4"/>
      <c r="E115" s="4"/>
      <c r="F115" s="5"/>
      <c r="G115" s="5"/>
      <c r="H115" s="5"/>
      <c r="I115" s="5"/>
      <c r="J115" s="5"/>
      <c r="K115" s="4">
        <f ca="1">SUMIF(Build!$O$2:$O$25, Table1[[#This Row],[NAME]],Build!$R$2:$R$25)</f>
        <v>0</v>
      </c>
      <c r="L115" s="5" cm="1">
        <f t="array" aca="1" ref="L115" ca="1">_xlfn.LET(
  _xlpm.val, IF(Table1[[#This Row],[IN BUILD]]&gt;Table1[[#This Row],[LEVELS]],Table1[[#This Row],[LEVELS]],Table1[[#This Row],[IN BUILD]]),
  IF(_xlpm.val = 0,0, INDIRECT(ADDRESS(ROW(), 6 + (_xlpm.val -1))))
)</f>
        <v>0</v>
      </c>
    </row>
  </sheetData>
  <mergeCells count="36">
    <mergeCell ref="P11:Q11"/>
    <mergeCell ref="P12:Q12"/>
    <mergeCell ref="R3:S3"/>
    <mergeCell ref="R2:S2"/>
    <mergeCell ref="R1:S1"/>
    <mergeCell ref="R4:S4"/>
    <mergeCell ref="R5:S5"/>
    <mergeCell ref="R6:S6"/>
    <mergeCell ref="R7:S7"/>
    <mergeCell ref="R9:S9"/>
    <mergeCell ref="R10:S10"/>
    <mergeCell ref="R11:S11"/>
    <mergeCell ref="R12:S12"/>
    <mergeCell ref="P8:Q8"/>
    <mergeCell ref="R8:S8"/>
    <mergeCell ref="N11:O11"/>
    <mergeCell ref="N12:O12"/>
    <mergeCell ref="P1:Q1"/>
    <mergeCell ref="P4:Q4"/>
    <mergeCell ref="P3:Q3"/>
    <mergeCell ref="P2:Q2"/>
    <mergeCell ref="P5:Q5"/>
    <mergeCell ref="N10:O10"/>
    <mergeCell ref="P6:Q6"/>
    <mergeCell ref="P7:Q7"/>
    <mergeCell ref="P9:Q9"/>
    <mergeCell ref="P10:Q10"/>
    <mergeCell ref="N8:O8"/>
    <mergeCell ref="N1:O1"/>
    <mergeCell ref="N2:O2"/>
    <mergeCell ref="N9:O9"/>
    <mergeCell ref="N7:O7"/>
    <mergeCell ref="N6:O6"/>
    <mergeCell ref="N5:O5"/>
    <mergeCell ref="N4:O4"/>
    <mergeCell ref="N3:O3"/>
  </mergeCells>
  <phoneticPr fontId="2" type="noConversion"/>
  <dataValidations count="3">
    <dataValidation type="list" allowBlank="1" showInputMessage="1" showErrorMessage="1" sqref="D2:D115" xr:uid="{D5BDAFDD-D565-46E0-8DFF-9AACED411D6A}">
      <formula1>"YES,NO"</formula1>
    </dataValidation>
    <dataValidation type="list" allowBlank="1" showInputMessage="1" showErrorMessage="1" sqref="E2:E115" xr:uid="{04E86B9F-0136-45BE-AC68-A0C5DF859B49}">
      <formula1>"FLAT,%"</formula1>
    </dataValidation>
    <dataValidation type="list" allowBlank="1" showInputMessage="1" showErrorMessage="1" sqref="C2:C115" xr:uid="{4CC11B37-53B7-4B26-ABA8-A4035FDDF36A}">
      <formula1>$N$2:$N$8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0489-6FFB-4C65-AF70-093B6A33E963}">
  <dimension ref="A1:AG542"/>
  <sheetViews>
    <sheetView topLeftCell="A322" zoomScale="80" zoomScaleNormal="80" workbookViewId="0">
      <selection activeCell="L23" sqref="L23"/>
    </sheetView>
  </sheetViews>
  <sheetFormatPr defaultRowHeight="15" x14ac:dyDescent="0.25"/>
  <sheetData>
    <row r="1" spans="1:33" ht="15.75" thickBot="1" x14ac:dyDescent="0.3">
      <c r="A1" s="68" t="s">
        <v>245</v>
      </c>
      <c r="B1" s="68"/>
      <c r="D1" s="52" t="s">
        <v>27</v>
      </c>
      <c r="E1" s="52"/>
      <c r="F1" s="52"/>
      <c r="G1" s="73" t="s">
        <v>28</v>
      </c>
      <c r="H1" s="73"/>
      <c r="I1" s="73"/>
      <c r="J1" s="52" t="s">
        <v>29</v>
      </c>
      <c r="K1" s="52"/>
      <c r="L1" s="52"/>
      <c r="M1" s="73" t="s">
        <v>30</v>
      </c>
      <c r="N1" s="73"/>
      <c r="O1" s="73"/>
      <c r="P1" s="52" t="s">
        <v>31</v>
      </c>
      <c r="Q1" s="52"/>
      <c r="R1" s="52"/>
      <c r="S1" s="73" t="s">
        <v>32</v>
      </c>
      <c r="T1" s="73"/>
      <c r="U1" s="73"/>
      <c r="V1" s="52" t="s">
        <v>33</v>
      </c>
      <c r="W1" s="52"/>
      <c r="X1" s="52"/>
      <c r="Y1" s="73" t="s">
        <v>34</v>
      </c>
      <c r="Z1" s="73"/>
      <c r="AA1" s="73"/>
      <c r="AB1" s="52" t="s">
        <v>35</v>
      </c>
      <c r="AC1" s="52"/>
      <c r="AD1" s="52"/>
      <c r="AE1" s="73" t="s">
        <v>36</v>
      </c>
      <c r="AF1" s="73"/>
      <c r="AG1" s="73"/>
    </row>
    <row r="2" spans="1:33" ht="15.75" thickBot="1" x14ac:dyDescent="0.3">
      <c r="A2" s="68"/>
      <c r="B2" s="68"/>
      <c r="C2" s="105" t="s">
        <v>243</v>
      </c>
      <c r="D2" s="75">
        <v>0</v>
      </c>
      <c r="E2" s="75"/>
      <c r="F2" s="76"/>
      <c r="G2" s="74">
        <v>0</v>
      </c>
      <c r="H2" s="75"/>
      <c r="I2" s="76"/>
      <c r="J2" s="74">
        <v>0</v>
      </c>
      <c r="K2" s="75"/>
      <c r="L2" s="76"/>
      <c r="M2" s="74">
        <v>0</v>
      </c>
      <c r="N2" s="75"/>
      <c r="O2" s="76"/>
      <c r="P2" s="74">
        <v>0</v>
      </c>
      <c r="Q2" s="75"/>
      <c r="R2" s="76"/>
      <c r="S2" s="74">
        <v>0</v>
      </c>
      <c r="T2" s="75"/>
      <c r="U2" s="76"/>
      <c r="V2" s="74">
        <v>0</v>
      </c>
      <c r="W2" s="75"/>
      <c r="X2" s="76"/>
      <c r="Y2" s="74">
        <v>0</v>
      </c>
      <c r="Z2" s="75"/>
      <c r="AA2" s="76"/>
      <c r="AB2" s="74">
        <v>0</v>
      </c>
      <c r="AC2" s="75"/>
      <c r="AD2" s="76"/>
      <c r="AE2" s="74">
        <v>0</v>
      </c>
      <c r="AF2" s="75"/>
      <c r="AG2" s="76"/>
    </row>
    <row r="3" spans="1:33" ht="15.75" thickBot="1" x14ac:dyDescent="0.3">
      <c r="A3" s="68"/>
      <c r="B3" s="68"/>
      <c r="C3" s="106" t="s">
        <v>244</v>
      </c>
      <c r="D3" s="82">
        <v>0</v>
      </c>
      <c r="E3" s="82"/>
      <c r="F3" s="84"/>
      <c r="G3" s="85">
        <v>0</v>
      </c>
      <c r="H3" s="82"/>
      <c r="I3" s="84"/>
      <c r="J3" s="85">
        <v>0</v>
      </c>
      <c r="K3" s="82"/>
      <c r="L3" s="84"/>
      <c r="M3" s="85">
        <v>0</v>
      </c>
      <c r="N3" s="82"/>
      <c r="O3" s="82"/>
      <c r="P3" s="81">
        <v>0</v>
      </c>
      <c r="Q3" s="82"/>
      <c r="R3" s="83"/>
      <c r="S3" s="82">
        <v>0</v>
      </c>
      <c r="T3" s="82"/>
      <c r="U3" s="84"/>
      <c r="V3" s="85">
        <v>0</v>
      </c>
      <c r="W3" s="82"/>
      <c r="X3" s="84"/>
      <c r="Y3" s="85">
        <v>0</v>
      </c>
      <c r="Z3" s="82"/>
      <c r="AA3" s="84"/>
      <c r="AB3" s="85">
        <v>0</v>
      </c>
      <c r="AC3" s="82"/>
      <c r="AD3" s="84"/>
      <c r="AE3" s="85">
        <v>0</v>
      </c>
      <c r="AF3" s="82"/>
      <c r="AG3" s="84"/>
    </row>
    <row r="4" spans="1:33" ht="15.75" thickBot="1" x14ac:dyDescent="0.3">
      <c r="A4" s="68"/>
      <c r="B4" s="68"/>
      <c r="C4" s="107" t="s">
        <v>37</v>
      </c>
      <c r="D4" s="104"/>
      <c r="E4" s="86"/>
      <c r="F4" s="89"/>
      <c r="G4" s="86"/>
      <c r="H4" s="86"/>
      <c r="I4" s="89"/>
      <c r="J4" s="86"/>
      <c r="K4" s="86"/>
      <c r="L4" s="89"/>
      <c r="M4" s="86"/>
      <c r="N4" s="86"/>
      <c r="O4" s="89"/>
      <c r="P4" s="86"/>
      <c r="Q4" s="86"/>
      <c r="R4" s="89"/>
      <c r="S4" s="86"/>
      <c r="T4" s="86"/>
      <c r="U4" s="89"/>
      <c r="V4" s="86"/>
      <c r="W4" s="86"/>
      <c r="X4" s="89"/>
      <c r="Y4" s="86"/>
      <c r="Z4" s="86"/>
      <c r="AA4" s="89"/>
      <c r="AB4" s="86"/>
      <c r="AC4" s="86"/>
      <c r="AD4" s="89"/>
      <c r="AE4" s="86"/>
      <c r="AF4" s="86"/>
      <c r="AG4" s="89"/>
    </row>
    <row r="5" spans="1:33" ht="15.75" thickBot="1" x14ac:dyDescent="0.3">
      <c r="A5" s="68"/>
      <c r="B5" s="68"/>
      <c r="D5" s="87"/>
      <c r="E5" s="87"/>
      <c r="F5" s="90"/>
      <c r="G5" s="87"/>
      <c r="H5" s="87"/>
      <c r="I5" s="90"/>
      <c r="J5" s="87"/>
      <c r="K5" s="87"/>
      <c r="L5" s="90"/>
      <c r="M5" s="87"/>
      <c r="N5" s="87"/>
      <c r="O5" s="90"/>
      <c r="P5" s="87"/>
      <c r="Q5" s="87"/>
      <c r="R5" s="90"/>
      <c r="S5" s="87"/>
      <c r="T5" s="87"/>
      <c r="U5" s="90"/>
      <c r="V5" s="87"/>
      <c r="W5" s="87"/>
      <c r="X5" s="90"/>
      <c r="Y5" s="87"/>
      <c r="Z5" s="87"/>
      <c r="AA5" s="90"/>
      <c r="AB5" s="87"/>
      <c r="AC5" s="87"/>
      <c r="AD5" s="90"/>
      <c r="AE5" s="87"/>
      <c r="AF5" s="87"/>
      <c r="AG5" s="90"/>
    </row>
    <row r="6" spans="1:33" ht="15.75" thickBot="1" x14ac:dyDescent="0.3">
      <c r="A6" s="68"/>
      <c r="B6" s="68"/>
      <c r="D6" s="88"/>
      <c r="E6" s="88"/>
      <c r="F6" s="91"/>
      <c r="G6" s="88"/>
      <c r="H6" s="88"/>
      <c r="I6" s="91"/>
      <c r="J6" s="88"/>
      <c r="K6" s="88"/>
      <c r="L6" s="91"/>
      <c r="M6" s="88"/>
      <c r="N6" s="88"/>
      <c r="O6" s="91"/>
      <c r="P6" s="88"/>
      <c r="Q6" s="88"/>
      <c r="R6" s="91"/>
      <c r="S6" s="88"/>
      <c r="T6" s="88"/>
      <c r="U6" s="91"/>
      <c r="V6" s="88"/>
      <c r="W6" s="88"/>
      <c r="X6" s="91"/>
      <c r="Y6" s="88"/>
      <c r="Z6" s="88"/>
      <c r="AA6" s="91"/>
      <c r="AB6" s="88"/>
      <c r="AC6" s="88"/>
      <c r="AD6" s="91"/>
      <c r="AE6" s="88"/>
      <c r="AF6" s="88"/>
      <c r="AG6" s="91"/>
    </row>
    <row r="8" spans="1:33" ht="15.75" thickBot="1" x14ac:dyDescent="0.3"/>
    <row r="9" spans="1:33" ht="15.75" thickBot="1" x14ac:dyDescent="0.3">
      <c r="A9" s="68" t="s">
        <v>246</v>
      </c>
      <c r="B9" s="68"/>
      <c r="D9" s="52" t="s">
        <v>27</v>
      </c>
      <c r="E9" s="52"/>
      <c r="F9" s="52"/>
      <c r="G9" s="73" t="s">
        <v>28</v>
      </c>
      <c r="H9" s="73"/>
      <c r="I9" s="73"/>
      <c r="J9" s="52" t="s">
        <v>29</v>
      </c>
      <c r="K9" s="52"/>
      <c r="L9" s="52"/>
      <c r="M9" s="73" t="s">
        <v>30</v>
      </c>
      <c r="N9" s="73"/>
      <c r="O9" s="73"/>
      <c r="P9" s="52" t="s">
        <v>31</v>
      </c>
      <c r="Q9" s="52"/>
      <c r="R9" s="52"/>
      <c r="S9" s="73" t="s">
        <v>32</v>
      </c>
      <c r="T9" s="73"/>
      <c r="U9" s="73"/>
      <c r="V9" s="52" t="s">
        <v>33</v>
      </c>
      <c r="W9" s="52"/>
      <c r="X9" s="52"/>
      <c r="Y9" s="73" t="s">
        <v>34</v>
      </c>
      <c r="Z9" s="73"/>
      <c r="AA9" s="73"/>
      <c r="AB9" s="52" t="s">
        <v>35</v>
      </c>
      <c r="AC9" s="52"/>
      <c r="AD9" s="52"/>
      <c r="AE9" s="73" t="s">
        <v>36</v>
      </c>
      <c r="AF9" s="73"/>
      <c r="AG9" s="73"/>
    </row>
    <row r="10" spans="1:33" ht="15.75" thickBot="1" x14ac:dyDescent="0.3">
      <c r="A10" s="68"/>
      <c r="B10" s="68"/>
      <c r="C10" s="105" t="s">
        <v>243</v>
      </c>
      <c r="D10" s="75">
        <v>0</v>
      </c>
      <c r="E10" s="75"/>
      <c r="F10" s="76"/>
      <c r="G10" s="74">
        <v>0</v>
      </c>
      <c r="H10" s="75"/>
      <c r="I10" s="76"/>
      <c r="J10" s="74">
        <v>0</v>
      </c>
      <c r="K10" s="75"/>
      <c r="L10" s="76"/>
      <c r="M10" s="74">
        <v>0</v>
      </c>
      <c r="N10" s="75"/>
      <c r="O10" s="76"/>
      <c r="P10" s="74">
        <v>0</v>
      </c>
      <c r="Q10" s="75"/>
      <c r="R10" s="76"/>
      <c r="S10" s="74">
        <v>0</v>
      </c>
      <c r="T10" s="75"/>
      <c r="U10" s="76"/>
      <c r="V10" s="74">
        <v>0</v>
      </c>
      <c r="W10" s="75"/>
      <c r="X10" s="76"/>
      <c r="Y10" s="74">
        <v>0</v>
      </c>
      <c r="Z10" s="75"/>
      <c r="AA10" s="76"/>
      <c r="AB10" s="74">
        <v>0</v>
      </c>
      <c r="AC10" s="75"/>
      <c r="AD10" s="76"/>
      <c r="AE10" s="74">
        <v>0</v>
      </c>
      <c r="AF10" s="75"/>
      <c r="AG10" s="76"/>
    </row>
    <row r="11" spans="1:33" ht="15.75" thickBot="1" x14ac:dyDescent="0.3">
      <c r="A11" s="68"/>
      <c r="B11" s="68"/>
      <c r="C11" s="106" t="s">
        <v>244</v>
      </c>
      <c r="D11" s="82">
        <v>0</v>
      </c>
      <c r="E11" s="82"/>
      <c r="F11" s="84"/>
      <c r="G11" s="85">
        <v>0</v>
      </c>
      <c r="H11" s="82"/>
      <c r="I11" s="84"/>
      <c r="J11" s="85">
        <v>0</v>
      </c>
      <c r="K11" s="82"/>
      <c r="L11" s="84"/>
      <c r="M11" s="85">
        <v>0</v>
      </c>
      <c r="N11" s="82"/>
      <c r="O11" s="82"/>
      <c r="P11" s="81">
        <v>0</v>
      </c>
      <c r="Q11" s="82"/>
      <c r="R11" s="83"/>
      <c r="S11" s="82">
        <v>0</v>
      </c>
      <c r="T11" s="82"/>
      <c r="U11" s="84"/>
      <c r="V11" s="85">
        <v>0</v>
      </c>
      <c r="W11" s="82"/>
      <c r="X11" s="84"/>
      <c r="Y11" s="85">
        <v>0</v>
      </c>
      <c r="Z11" s="82"/>
      <c r="AA11" s="84"/>
      <c r="AB11" s="85">
        <v>0</v>
      </c>
      <c r="AC11" s="82"/>
      <c r="AD11" s="84"/>
      <c r="AE11" s="85">
        <v>0</v>
      </c>
      <c r="AF11" s="82"/>
      <c r="AG11" s="84"/>
    </row>
    <row r="12" spans="1:33" ht="15.75" thickBot="1" x14ac:dyDescent="0.3">
      <c r="A12" s="68"/>
      <c r="B12" s="68"/>
      <c r="C12" s="107" t="s">
        <v>37</v>
      </c>
      <c r="D12" s="104"/>
      <c r="E12" s="86"/>
      <c r="F12" s="89"/>
      <c r="G12" s="86"/>
      <c r="H12" s="86"/>
      <c r="I12" s="89"/>
      <c r="J12" s="86"/>
      <c r="K12" s="86"/>
      <c r="L12" s="89"/>
      <c r="M12" s="86"/>
      <c r="N12" s="86"/>
      <c r="O12" s="89"/>
      <c r="P12" s="86"/>
      <c r="Q12" s="86"/>
      <c r="R12" s="89"/>
      <c r="S12" s="86"/>
      <c r="T12" s="86"/>
      <c r="U12" s="89"/>
      <c r="V12" s="86"/>
      <c r="W12" s="86"/>
      <c r="X12" s="89"/>
      <c r="Y12" s="86"/>
      <c r="Z12" s="86"/>
      <c r="AA12" s="89"/>
      <c r="AB12" s="86"/>
      <c r="AC12" s="86"/>
      <c r="AD12" s="89"/>
      <c r="AE12" s="86"/>
      <c r="AF12" s="86"/>
      <c r="AG12" s="89"/>
    </row>
    <row r="13" spans="1:33" ht="15.75" thickBot="1" x14ac:dyDescent="0.3">
      <c r="A13" s="68"/>
      <c r="B13" s="68"/>
      <c r="D13" s="87"/>
      <c r="E13" s="87"/>
      <c r="F13" s="90"/>
      <c r="G13" s="87"/>
      <c r="H13" s="87"/>
      <c r="I13" s="90"/>
      <c r="J13" s="87"/>
      <c r="K13" s="87"/>
      <c r="L13" s="90"/>
      <c r="M13" s="87"/>
      <c r="N13" s="87"/>
      <c r="O13" s="90"/>
      <c r="P13" s="87"/>
      <c r="Q13" s="87"/>
      <c r="R13" s="90"/>
      <c r="S13" s="87"/>
      <c r="T13" s="87"/>
      <c r="U13" s="90"/>
      <c r="V13" s="87"/>
      <c r="W13" s="87"/>
      <c r="X13" s="90"/>
      <c r="Y13" s="87"/>
      <c r="Z13" s="87"/>
      <c r="AA13" s="90"/>
      <c r="AB13" s="87"/>
      <c r="AC13" s="87"/>
      <c r="AD13" s="90"/>
      <c r="AE13" s="87"/>
      <c r="AF13" s="87"/>
      <c r="AG13" s="90"/>
    </row>
    <row r="14" spans="1:33" ht="15.75" thickBot="1" x14ac:dyDescent="0.3">
      <c r="A14" s="68"/>
      <c r="B14" s="68"/>
      <c r="D14" s="88"/>
      <c r="E14" s="88"/>
      <c r="F14" s="91"/>
      <c r="G14" s="88"/>
      <c r="H14" s="88"/>
      <c r="I14" s="91"/>
      <c r="J14" s="88"/>
      <c r="K14" s="88"/>
      <c r="L14" s="91"/>
      <c r="M14" s="88"/>
      <c r="N14" s="88"/>
      <c r="O14" s="91"/>
      <c r="P14" s="88"/>
      <c r="Q14" s="88"/>
      <c r="R14" s="91"/>
      <c r="S14" s="88"/>
      <c r="T14" s="88"/>
      <c r="U14" s="91"/>
      <c r="V14" s="88"/>
      <c r="W14" s="88"/>
      <c r="X14" s="91"/>
      <c r="Y14" s="88"/>
      <c r="Z14" s="88"/>
      <c r="AA14" s="91"/>
      <c r="AB14" s="88"/>
      <c r="AC14" s="88"/>
      <c r="AD14" s="91"/>
      <c r="AE14" s="88"/>
      <c r="AF14" s="88"/>
      <c r="AG14" s="91"/>
    </row>
    <row r="16" spans="1:33" ht="15.75" thickBot="1" x14ac:dyDescent="0.3"/>
    <row r="17" spans="1:33" ht="15.75" thickBot="1" x14ac:dyDescent="0.3">
      <c r="A17" s="68" t="s">
        <v>56</v>
      </c>
      <c r="B17" s="68"/>
      <c r="D17" s="52" t="s">
        <v>27</v>
      </c>
      <c r="E17" s="52"/>
      <c r="F17" s="52"/>
      <c r="G17" s="73" t="s">
        <v>28</v>
      </c>
      <c r="H17" s="73"/>
      <c r="I17" s="73"/>
      <c r="J17" s="52" t="s">
        <v>29</v>
      </c>
      <c r="K17" s="52"/>
      <c r="L17" s="52"/>
      <c r="M17" s="73" t="s">
        <v>30</v>
      </c>
      <c r="N17" s="73"/>
      <c r="O17" s="73"/>
      <c r="P17" s="52" t="s">
        <v>31</v>
      </c>
      <c r="Q17" s="52"/>
      <c r="R17" s="52"/>
      <c r="S17" s="73" t="s">
        <v>32</v>
      </c>
      <c r="T17" s="73"/>
      <c r="U17" s="73"/>
      <c r="V17" s="52" t="s">
        <v>33</v>
      </c>
      <c r="W17" s="52"/>
      <c r="X17" s="52"/>
      <c r="Y17" s="73" t="s">
        <v>34</v>
      </c>
      <c r="Z17" s="73"/>
      <c r="AA17" s="73"/>
      <c r="AB17" s="52" t="s">
        <v>35</v>
      </c>
      <c r="AC17" s="52"/>
      <c r="AD17" s="52"/>
      <c r="AE17" s="73" t="s">
        <v>36</v>
      </c>
      <c r="AF17" s="73"/>
      <c r="AG17" s="73"/>
    </row>
    <row r="18" spans="1:33" ht="15.75" thickBot="1" x14ac:dyDescent="0.3">
      <c r="A18" s="68"/>
      <c r="B18" s="68"/>
      <c r="C18" s="105" t="s">
        <v>243</v>
      </c>
      <c r="D18" s="75">
        <v>0</v>
      </c>
      <c r="E18" s="75"/>
      <c r="F18" s="76"/>
      <c r="G18" s="74">
        <v>0</v>
      </c>
      <c r="H18" s="75"/>
      <c r="I18" s="76"/>
      <c r="J18" s="74">
        <v>0</v>
      </c>
      <c r="K18" s="75"/>
      <c r="L18" s="76"/>
      <c r="M18" s="74">
        <v>0</v>
      </c>
      <c r="N18" s="75"/>
      <c r="O18" s="76"/>
      <c r="P18" s="74">
        <v>0</v>
      </c>
      <c r="Q18" s="75"/>
      <c r="R18" s="76"/>
      <c r="S18" s="74">
        <v>0</v>
      </c>
      <c r="T18" s="75"/>
      <c r="U18" s="76"/>
      <c r="V18" s="74">
        <v>0</v>
      </c>
      <c r="W18" s="75"/>
      <c r="X18" s="76"/>
      <c r="Y18" s="74">
        <v>0</v>
      </c>
      <c r="Z18" s="75"/>
      <c r="AA18" s="76"/>
      <c r="AB18" s="74">
        <v>0</v>
      </c>
      <c r="AC18" s="75"/>
      <c r="AD18" s="76"/>
      <c r="AE18" s="74">
        <v>0</v>
      </c>
      <c r="AF18" s="75"/>
      <c r="AG18" s="76"/>
    </row>
    <row r="19" spans="1:33" ht="15.75" thickBot="1" x14ac:dyDescent="0.3">
      <c r="A19" s="68"/>
      <c r="B19" s="68"/>
      <c r="C19" s="106" t="s">
        <v>244</v>
      </c>
      <c r="D19" s="82">
        <v>0</v>
      </c>
      <c r="E19" s="82"/>
      <c r="F19" s="84"/>
      <c r="G19" s="85">
        <v>0</v>
      </c>
      <c r="H19" s="82"/>
      <c r="I19" s="84"/>
      <c r="J19" s="85">
        <v>0</v>
      </c>
      <c r="K19" s="82"/>
      <c r="L19" s="84"/>
      <c r="M19" s="85">
        <v>0</v>
      </c>
      <c r="N19" s="82"/>
      <c r="O19" s="82"/>
      <c r="P19" s="81">
        <v>0</v>
      </c>
      <c r="Q19" s="82"/>
      <c r="R19" s="83"/>
      <c r="S19" s="82">
        <v>0</v>
      </c>
      <c r="T19" s="82"/>
      <c r="U19" s="84"/>
      <c r="V19" s="85">
        <v>0</v>
      </c>
      <c r="W19" s="82"/>
      <c r="X19" s="84"/>
      <c r="Y19" s="85">
        <v>0</v>
      </c>
      <c r="Z19" s="82"/>
      <c r="AA19" s="84"/>
      <c r="AB19" s="85">
        <v>0</v>
      </c>
      <c r="AC19" s="82"/>
      <c r="AD19" s="84"/>
      <c r="AE19" s="85">
        <v>0</v>
      </c>
      <c r="AF19" s="82"/>
      <c r="AG19" s="84"/>
    </row>
    <row r="20" spans="1:33" ht="15.75" thickBot="1" x14ac:dyDescent="0.3">
      <c r="A20" s="68"/>
      <c r="B20" s="68"/>
      <c r="C20" s="107" t="s">
        <v>37</v>
      </c>
      <c r="D20" s="104"/>
      <c r="E20" s="86"/>
      <c r="F20" s="89"/>
      <c r="G20" s="86"/>
      <c r="H20" s="86"/>
      <c r="I20" s="89"/>
      <c r="J20" s="86"/>
      <c r="K20" s="86"/>
      <c r="L20" s="89"/>
      <c r="M20" s="86"/>
      <c r="N20" s="86"/>
      <c r="O20" s="89"/>
      <c r="P20" s="86"/>
      <c r="Q20" s="86"/>
      <c r="R20" s="89"/>
      <c r="S20" s="86"/>
      <c r="T20" s="86"/>
      <c r="U20" s="89"/>
      <c r="V20" s="86"/>
      <c r="W20" s="86"/>
      <c r="X20" s="89"/>
      <c r="Y20" s="86"/>
      <c r="Z20" s="86"/>
      <c r="AA20" s="89"/>
      <c r="AB20" s="86"/>
      <c r="AC20" s="86"/>
      <c r="AD20" s="89"/>
      <c r="AE20" s="86"/>
      <c r="AF20" s="86"/>
      <c r="AG20" s="89"/>
    </row>
    <row r="21" spans="1:33" ht="15.75" thickBot="1" x14ac:dyDescent="0.3">
      <c r="A21" s="68"/>
      <c r="B21" s="68"/>
      <c r="D21" s="87"/>
      <c r="E21" s="87"/>
      <c r="F21" s="90"/>
      <c r="G21" s="87"/>
      <c r="H21" s="87"/>
      <c r="I21" s="90"/>
      <c r="J21" s="87"/>
      <c r="K21" s="87"/>
      <c r="L21" s="90"/>
      <c r="M21" s="87"/>
      <c r="N21" s="87"/>
      <c r="O21" s="90"/>
      <c r="P21" s="87"/>
      <c r="Q21" s="87"/>
      <c r="R21" s="90"/>
      <c r="S21" s="87"/>
      <c r="T21" s="87"/>
      <c r="U21" s="90"/>
      <c r="V21" s="87"/>
      <c r="W21" s="87"/>
      <c r="X21" s="90"/>
      <c r="Y21" s="87"/>
      <c r="Z21" s="87"/>
      <c r="AA21" s="90"/>
      <c r="AB21" s="87"/>
      <c r="AC21" s="87"/>
      <c r="AD21" s="90"/>
      <c r="AE21" s="87"/>
      <c r="AF21" s="87"/>
      <c r="AG21" s="90"/>
    </row>
    <row r="22" spans="1:33" ht="15.75" thickBot="1" x14ac:dyDescent="0.3">
      <c r="A22" s="68"/>
      <c r="B22" s="68"/>
      <c r="D22" s="88"/>
      <c r="E22" s="88"/>
      <c r="F22" s="91"/>
      <c r="G22" s="88"/>
      <c r="H22" s="88"/>
      <c r="I22" s="91"/>
      <c r="J22" s="88"/>
      <c r="K22" s="88"/>
      <c r="L22" s="91"/>
      <c r="M22" s="88"/>
      <c r="N22" s="88"/>
      <c r="O22" s="91"/>
      <c r="P22" s="88"/>
      <c r="Q22" s="88"/>
      <c r="R22" s="91"/>
      <c r="S22" s="88"/>
      <c r="T22" s="88"/>
      <c r="U22" s="91"/>
      <c r="V22" s="88"/>
      <c r="W22" s="88"/>
      <c r="X22" s="91"/>
      <c r="Y22" s="88"/>
      <c r="Z22" s="88"/>
      <c r="AA22" s="91"/>
      <c r="AB22" s="88"/>
      <c r="AC22" s="88"/>
      <c r="AD22" s="91"/>
      <c r="AE22" s="88"/>
      <c r="AF22" s="88"/>
      <c r="AG22" s="91"/>
    </row>
    <row r="24" spans="1:33" ht="15.75" thickBot="1" x14ac:dyDescent="0.3"/>
    <row r="25" spans="1:33" ht="15.75" thickBot="1" x14ac:dyDescent="0.3">
      <c r="A25" s="68" t="s">
        <v>247</v>
      </c>
      <c r="B25" s="68"/>
      <c r="D25" s="52" t="s">
        <v>27</v>
      </c>
      <c r="E25" s="52"/>
      <c r="F25" s="52"/>
      <c r="G25" s="73" t="s">
        <v>28</v>
      </c>
      <c r="H25" s="73"/>
      <c r="I25" s="73"/>
      <c r="J25" s="52" t="s">
        <v>29</v>
      </c>
      <c r="K25" s="52"/>
      <c r="L25" s="52"/>
      <c r="M25" s="73" t="s">
        <v>30</v>
      </c>
      <c r="N25" s="73"/>
      <c r="O25" s="73"/>
      <c r="P25" s="52" t="s">
        <v>31</v>
      </c>
      <c r="Q25" s="52"/>
      <c r="R25" s="52"/>
      <c r="S25" s="73" t="s">
        <v>32</v>
      </c>
      <c r="T25" s="73"/>
      <c r="U25" s="73"/>
      <c r="V25" s="52" t="s">
        <v>33</v>
      </c>
      <c r="W25" s="52"/>
      <c r="X25" s="52"/>
      <c r="Y25" s="73" t="s">
        <v>34</v>
      </c>
      <c r="Z25" s="73"/>
      <c r="AA25" s="73"/>
      <c r="AB25" s="52" t="s">
        <v>35</v>
      </c>
      <c r="AC25" s="52"/>
      <c r="AD25" s="52"/>
      <c r="AE25" s="73" t="s">
        <v>36</v>
      </c>
      <c r="AF25" s="73"/>
      <c r="AG25" s="73"/>
    </row>
    <row r="26" spans="1:33" ht="15.75" thickBot="1" x14ac:dyDescent="0.3">
      <c r="A26" s="68"/>
      <c r="B26" s="68"/>
      <c r="C26" s="105" t="s">
        <v>243</v>
      </c>
      <c r="D26" s="75">
        <v>0</v>
      </c>
      <c r="E26" s="75"/>
      <c r="F26" s="76"/>
      <c r="G26" s="74">
        <v>0</v>
      </c>
      <c r="H26" s="75"/>
      <c r="I26" s="76"/>
      <c r="J26" s="74">
        <v>0</v>
      </c>
      <c r="K26" s="75"/>
      <c r="L26" s="76"/>
      <c r="M26" s="74">
        <v>0</v>
      </c>
      <c r="N26" s="75"/>
      <c r="O26" s="76"/>
      <c r="P26" s="74">
        <v>0</v>
      </c>
      <c r="Q26" s="75"/>
      <c r="R26" s="76"/>
      <c r="S26" s="74">
        <v>0</v>
      </c>
      <c r="T26" s="75"/>
      <c r="U26" s="76"/>
      <c r="V26" s="74">
        <v>0</v>
      </c>
      <c r="W26" s="75"/>
      <c r="X26" s="76"/>
      <c r="Y26" s="74">
        <v>0</v>
      </c>
      <c r="Z26" s="75"/>
      <c r="AA26" s="76"/>
      <c r="AB26" s="74">
        <v>0</v>
      </c>
      <c r="AC26" s="75"/>
      <c r="AD26" s="76"/>
      <c r="AE26" s="74">
        <v>0</v>
      </c>
      <c r="AF26" s="75"/>
      <c r="AG26" s="76"/>
    </row>
    <row r="27" spans="1:33" ht="15.75" thickBot="1" x14ac:dyDescent="0.3">
      <c r="A27" s="68"/>
      <c r="B27" s="68"/>
      <c r="C27" s="106" t="s">
        <v>244</v>
      </c>
      <c r="D27" s="82">
        <v>0</v>
      </c>
      <c r="E27" s="82"/>
      <c r="F27" s="84"/>
      <c r="G27" s="85">
        <v>0</v>
      </c>
      <c r="H27" s="82"/>
      <c r="I27" s="84"/>
      <c r="J27" s="85">
        <v>0</v>
      </c>
      <c r="K27" s="82"/>
      <c r="L27" s="84"/>
      <c r="M27" s="85">
        <v>0</v>
      </c>
      <c r="N27" s="82"/>
      <c r="O27" s="82"/>
      <c r="P27" s="81">
        <v>0</v>
      </c>
      <c r="Q27" s="82"/>
      <c r="R27" s="83"/>
      <c r="S27" s="82">
        <v>0</v>
      </c>
      <c r="T27" s="82"/>
      <c r="U27" s="84"/>
      <c r="V27" s="85">
        <v>0</v>
      </c>
      <c r="W27" s="82"/>
      <c r="X27" s="84"/>
      <c r="Y27" s="85">
        <v>0</v>
      </c>
      <c r="Z27" s="82"/>
      <c r="AA27" s="84"/>
      <c r="AB27" s="85">
        <v>0</v>
      </c>
      <c r="AC27" s="82"/>
      <c r="AD27" s="84"/>
      <c r="AE27" s="85">
        <v>0</v>
      </c>
      <c r="AF27" s="82"/>
      <c r="AG27" s="84"/>
    </row>
    <row r="28" spans="1:33" ht="15.75" thickBot="1" x14ac:dyDescent="0.3">
      <c r="A28" s="68"/>
      <c r="B28" s="68"/>
      <c r="C28" s="107" t="s">
        <v>37</v>
      </c>
      <c r="D28" s="104"/>
      <c r="E28" s="86"/>
      <c r="F28" s="89"/>
      <c r="G28" s="86"/>
      <c r="H28" s="86"/>
      <c r="I28" s="89"/>
      <c r="J28" s="86"/>
      <c r="K28" s="86"/>
      <c r="L28" s="89"/>
      <c r="M28" s="86"/>
      <c r="N28" s="86"/>
      <c r="O28" s="89"/>
      <c r="P28" s="86"/>
      <c r="Q28" s="86"/>
      <c r="R28" s="89"/>
      <c r="S28" s="86"/>
      <c r="T28" s="86"/>
      <c r="U28" s="89"/>
      <c r="V28" s="86"/>
      <c r="W28" s="86"/>
      <c r="X28" s="89"/>
      <c r="Y28" s="86"/>
      <c r="Z28" s="86"/>
      <c r="AA28" s="89"/>
      <c r="AB28" s="86"/>
      <c r="AC28" s="86"/>
      <c r="AD28" s="89"/>
      <c r="AE28" s="86"/>
      <c r="AF28" s="86"/>
      <c r="AG28" s="89"/>
    </row>
    <row r="29" spans="1:33" ht="15.75" thickBot="1" x14ac:dyDescent="0.3">
      <c r="A29" s="68"/>
      <c r="B29" s="68"/>
      <c r="D29" s="87"/>
      <c r="E29" s="87"/>
      <c r="F29" s="90"/>
      <c r="G29" s="87"/>
      <c r="H29" s="87"/>
      <c r="I29" s="90"/>
      <c r="J29" s="87"/>
      <c r="K29" s="87"/>
      <c r="L29" s="90"/>
      <c r="M29" s="87"/>
      <c r="N29" s="87"/>
      <c r="O29" s="90"/>
      <c r="P29" s="87"/>
      <c r="Q29" s="87"/>
      <c r="R29" s="90"/>
      <c r="S29" s="87"/>
      <c r="T29" s="87"/>
      <c r="U29" s="90"/>
      <c r="V29" s="87"/>
      <c r="W29" s="87"/>
      <c r="X29" s="90"/>
      <c r="Y29" s="87"/>
      <c r="Z29" s="87"/>
      <c r="AA29" s="90"/>
      <c r="AB29" s="87"/>
      <c r="AC29" s="87"/>
      <c r="AD29" s="90"/>
      <c r="AE29" s="87"/>
      <c r="AF29" s="87"/>
      <c r="AG29" s="90"/>
    </row>
    <row r="30" spans="1:33" ht="15.75" thickBot="1" x14ac:dyDescent="0.3">
      <c r="A30" s="68"/>
      <c r="B30" s="68"/>
      <c r="D30" s="88"/>
      <c r="E30" s="88"/>
      <c r="F30" s="91"/>
      <c r="G30" s="88"/>
      <c r="H30" s="88"/>
      <c r="I30" s="91"/>
      <c r="J30" s="88"/>
      <c r="K30" s="88"/>
      <c r="L30" s="91"/>
      <c r="M30" s="88"/>
      <c r="N30" s="88"/>
      <c r="O30" s="91"/>
      <c r="P30" s="88"/>
      <c r="Q30" s="88"/>
      <c r="R30" s="91"/>
      <c r="S30" s="88"/>
      <c r="T30" s="88"/>
      <c r="U30" s="91"/>
      <c r="V30" s="88"/>
      <c r="W30" s="88"/>
      <c r="X30" s="91"/>
      <c r="Y30" s="88"/>
      <c r="Z30" s="88"/>
      <c r="AA30" s="91"/>
      <c r="AB30" s="88"/>
      <c r="AC30" s="88"/>
      <c r="AD30" s="91"/>
      <c r="AE30" s="88"/>
      <c r="AF30" s="88"/>
      <c r="AG30" s="91"/>
    </row>
    <row r="32" spans="1:33" ht="15.75" thickBot="1" x14ac:dyDescent="0.3"/>
    <row r="33" spans="1:33" ht="15.75" thickBot="1" x14ac:dyDescent="0.3">
      <c r="A33" s="68" t="s">
        <v>248</v>
      </c>
      <c r="B33" s="68"/>
      <c r="D33" s="52" t="s">
        <v>27</v>
      </c>
      <c r="E33" s="52"/>
      <c r="F33" s="52"/>
      <c r="G33" s="73" t="s">
        <v>28</v>
      </c>
      <c r="H33" s="73"/>
      <c r="I33" s="73"/>
      <c r="J33" s="52" t="s">
        <v>29</v>
      </c>
      <c r="K33" s="52"/>
      <c r="L33" s="52"/>
      <c r="M33" s="73" t="s">
        <v>30</v>
      </c>
      <c r="N33" s="73"/>
      <c r="O33" s="73"/>
      <c r="P33" s="52" t="s">
        <v>31</v>
      </c>
      <c r="Q33" s="52"/>
      <c r="R33" s="52"/>
      <c r="S33" s="73" t="s">
        <v>32</v>
      </c>
      <c r="T33" s="73"/>
      <c r="U33" s="73"/>
      <c r="V33" s="52" t="s">
        <v>33</v>
      </c>
      <c r="W33" s="52"/>
      <c r="X33" s="52"/>
      <c r="Y33" s="73" t="s">
        <v>34</v>
      </c>
      <c r="Z33" s="73"/>
      <c r="AA33" s="73"/>
      <c r="AB33" s="52" t="s">
        <v>35</v>
      </c>
      <c r="AC33" s="52"/>
      <c r="AD33" s="52"/>
      <c r="AE33" s="73" t="s">
        <v>36</v>
      </c>
      <c r="AF33" s="73"/>
      <c r="AG33" s="73"/>
    </row>
    <row r="34" spans="1:33" ht="15.75" thickBot="1" x14ac:dyDescent="0.3">
      <c r="A34" s="68"/>
      <c r="B34" s="68"/>
      <c r="C34" s="105" t="s">
        <v>243</v>
      </c>
      <c r="D34" s="75">
        <v>0</v>
      </c>
      <c r="E34" s="75"/>
      <c r="F34" s="76"/>
      <c r="G34" s="74">
        <v>0</v>
      </c>
      <c r="H34" s="75"/>
      <c r="I34" s="76"/>
      <c r="J34" s="74">
        <v>0</v>
      </c>
      <c r="K34" s="75"/>
      <c r="L34" s="76"/>
      <c r="M34" s="74">
        <v>0</v>
      </c>
      <c r="N34" s="75"/>
      <c r="O34" s="76"/>
      <c r="P34" s="74">
        <v>0</v>
      </c>
      <c r="Q34" s="75"/>
      <c r="R34" s="76"/>
      <c r="S34" s="74">
        <v>0</v>
      </c>
      <c r="T34" s="75"/>
      <c r="U34" s="76"/>
      <c r="V34" s="74">
        <v>0</v>
      </c>
      <c r="W34" s="75"/>
      <c r="X34" s="76"/>
      <c r="Y34" s="74">
        <v>0</v>
      </c>
      <c r="Z34" s="75"/>
      <c r="AA34" s="76"/>
      <c r="AB34" s="74">
        <v>0</v>
      </c>
      <c r="AC34" s="75"/>
      <c r="AD34" s="76"/>
      <c r="AE34" s="74">
        <v>0</v>
      </c>
      <c r="AF34" s="75"/>
      <c r="AG34" s="76"/>
    </row>
    <row r="35" spans="1:33" ht="15.75" thickBot="1" x14ac:dyDescent="0.3">
      <c r="A35" s="68"/>
      <c r="B35" s="68"/>
      <c r="C35" s="106" t="s">
        <v>244</v>
      </c>
      <c r="D35" s="82">
        <v>0</v>
      </c>
      <c r="E35" s="82"/>
      <c r="F35" s="84"/>
      <c r="G35" s="85">
        <v>0</v>
      </c>
      <c r="H35" s="82"/>
      <c r="I35" s="84"/>
      <c r="J35" s="85">
        <v>0</v>
      </c>
      <c r="K35" s="82"/>
      <c r="L35" s="84"/>
      <c r="M35" s="85">
        <v>0</v>
      </c>
      <c r="N35" s="82"/>
      <c r="O35" s="82"/>
      <c r="P35" s="81">
        <v>0</v>
      </c>
      <c r="Q35" s="82"/>
      <c r="R35" s="83"/>
      <c r="S35" s="82">
        <v>0</v>
      </c>
      <c r="T35" s="82"/>
      <c r="U35" s="84"/>
      <c r="V35" s="85">
        <v>0</v>
      </c>
      <c r="W35" s="82"/>
      <c r="X35" s="84"/>
      <c r="Y35" s="85">
        <v>0</v>
      </c>
      <c r="Z35" s="82"/>
      <c r="AA35" s="84"/>
      <c r="AB35" s="85">
        <v>0</v>
      </c>
      <c r="AC35" s="82"/>
      <c r="AD35" s="84"/>
      <c r="AE35" s="85">
        <v>0</v>
      </c>
      <c r="AF35" s="82"/>
      <c r="AG35" s="84"/>
    </row>
    <row r="36" spans="1:33" ht="15.75" thickBot="1" x14ac:dyDescent="0.3">
      <c r="A36" s="68"/>
      <c r="B36" s="68"/>
      <c r="C36" s="107" t="s">
        <v>37</v>
      </c>
      <c r="D36" s="104"/>
      <c r="E36" s="86"/>
      <c r="F36" s="89"/>
      <c r="G36" s="86"/>
      <c r="H36" s="86"/>
      <c r="I36" s="89"/>
      <c r="J36" s="86"/>
      <c r="K36" s="86"/>
      <c r="L36" s="89"/>
      <c r="M36" s="86"/>
      <c r="N36" s="86"/>
      <c r="O36" s="89"/>
      <c r="P36" s="86"/>
      <c r="Q36" s="86"/>
      <c r="R36" s="89"/>
      <c r="S36" s="86"/>
      <c r="T36" s="86"/>
      <c r="U36" s="89"/>
      <c r="V36" s="86"/>
      <c r="W36" s="86"/>
      <c r="X36" s="89"/>
      <c r="Y36" s="86"/>
      <c r="Z36" s="86"/>
      <c r="AA36" s="89"/>
      <c r="AB36" s="86"/>
      <c r="AC36" s="86"/>
      <c r="AD36" s="89"/>
      <c r="AE36" s="86"/>
      <c r="AF36" s="86"/>
      <c r="AG36" s="89"/>
    </row>
    <row r="37" spans="1:33" ht="15.75" thickBot="1" x14ac:dyDescent="0.3">
      <c r="A37" s="68"/>
      <c r="B37" s="68"/>
      <c r="D37" s="87"/>
      <c r="E37" s="87"/>
      <c r="F37" s="90"/>
      <c r="G37" s="87"/>
      <c r="H37" s="87"/>
      <c r="I37" s="90"/>
      <c r="J37" s="87"/>
      <c r="K37" s="87"/>
      <c r="L37" s="90"/>
      <c r="M37" s="87"/>
      <c r="N37" s="87"/>
      <c r="O37" s="90"/>
      <c r="P37" s="87"/>
      <c r="Q37" s="87"/>
      <c r="R37" s="90"/>
      <c r="S37" s="87"/>
      <c r="T37" s="87"/>
      <c r="U37" s="90"/>
      <c r="V37" s="87"/>
      <c r="W37" s="87"/>
      <c r="X37" s="90"/>
      <c r="Y37" s="87"/>
      <c r="Z37" s="87"/>
      <c r="AA37" s="90"/>
      <c r="AB37" s="87"/>
      <c r="AC37" s="87"/>
      <c r="AD37" s="90"/>
      <c r="AE37" s="87"/>
      <c r="AF37" s="87"/>
      <c r="AG37" s="90"/>
    </row>
    <row r="38" spans="1:33" ht="15.75" thickBot="1" x14ac:dyDescent="0.3">
      <c r="A38" s="68"/>
      <c r="B38" s="68"/>
      <c r="D38" s="88"/>
      <c r="E38" s="88"/>
      <c r="F38" s="91"/>
      <c r="G38" s="88"/>
      <c r="H38" s="88"/>
      <c r="I38" s="91"/>
      <c r="J38" s="88"/>
      <c r="K38" s="88"/>
      <c r="L38" s="91"/>
      <c r="M38" s="88"/>
      <c r="N38" s="88"/>
      <c r="O38" s="91"/>
      <c r="P38" s="88"/>
      <c r="Q38" s="88"/>
      <c r="R38" s="91"/>
      <c r="S38" s="88"/>
      <c r="T38" s="88"/>
      <c r="U38" s="91"/>
      <c r="V38" s="88"/>
      <c r="W38" s="88"/>
      <c r="X38" s="91"/>
      <c r="Y38" s="88"/>
      <c r="Z38" s="88"/>
      <c r="AA38" s="91"/>
      <c r="AB38" s="88"/>
      <c r="AC38" s="88"/>
      <c r="AD38" s="91"/>
      <c r="AE38" s="88"/>
      <c r="AF38" s="88"/>
      <c r="AG38" s="91"/>
    </row>
    <row r="40" spans="1:33" ht="15.75" thickBot="1" x14ac:dyDescent="0.3"/>
    <row r="41" spans="1:33" ht="15.75" thickBot="1" x14ac:dyDescent="0.3">
      <c r="A41" s="68" t="s">
        <v>249</v>
      </c>
      <c r="B41" s="68"/>
      <c r="D41" s="52" t="s">
        <v>27</v>
      </c>
      <c r="E41" s="52"/>
      <c r="F41" s="52"/>
      <c r="G41" s="73" t="s">
        <v>28</v>
      </c>
      <c r="H41" s="73"/>
      <c r="I41" s="73"/>
      <c r="J41" s="52" t="s">
        <v>29</v>
      </c>
      <c r="K41" s="52"/>
      <c r="L41" s="52"/>
      <c r="M41" s="73" t="s">
        <v>30</v>
      </c>
      <c r="N41" s="73"/>
      <c r="O41" s="73"/>
      <c r="P41" s="52" t="s">
        <v>31</v>
      </c>
      <c r="Q41" s="52"/>
      <c r="R41" s="52"/>
      <c r="S41" s="73" t="s">
        <v>32</v>
      </c>
      <c r="T41" s="73"/>
      <c r="U41" s="73"/>
      <c r="V41" s="52" t="s">
        <v>33</v>
      </c>
      <c r="W41" s="52"/>
      <c r="X41" s="52"/>
      <c r="Y41" s="73" t="s">
        <v>34</v>
      </c>
      <c r="Z41" s="73"/>
      <c r="AA41" s="73"/>
      <c r="AB41" s="52" t="s">
        <v>35</v>
      </c>
      <c r="AC41" s="52"/>
      <c r="AD41" s="52"/>
      <c r="AE41" s="73" t="s">
        <v>36</v>
      </c>
      <c r="AF41" s="73"/>
      <c r="AG41" s="73"/>
    </row>
    <row r="42" spans="1:33" ht="15.75" thickBot="1" x14ac:dyDescent="0.3">
      <c r="A42" s="68"/>
      <c r="B42" s="68"/>
      <c r="C42" s="105" t="s">
        <v>243</v>
      </c>
      <c r="D42" s="75">
        <v>0</v>
      </c>
      <c r="E42" s="75"/>
      <c r="F42" s="76"/>
      <c r="G42" s="74">
        <v>0</v>
      </c>
      <c r="H42" s="75"/>
      <c r="I42" s="76"/>
      <c r="J42" s="74">
        <v>0</v>
      </c>
      <c r="K42" s="75"/>
      <c r="L42" s="76"/>
      <c r="M42" s="74">
        <v>0</v>
      </c>
      <c r="N42" s="75"/>
      <c r="O42" s="76"/>
      <c r="P42" s="74">
        <v>0</v>
      </c>
      <c r="Q42" s="75"/>
      <c r="R42" s="76"/>
      <c r="S42" s="74">
        <v>0</v>
      </c>
      <c r="T42" s="75"/>
      <c r="U42" s="76"/>
      <c r="V42" s="74">
        <v>0</v>
      </c>
      <c r="W42" s="75"/>
      <c r="X42" s="76"/>
      <c r="Y42" s="74">
        <v>0</v>
      </c>
      <c r="Z42" s="75"/>
      <c r="AA42" s="76"/>
      <c r="AB42" s="74">
        <v>0</v>
      </c>
      <c r="AC42" s="75"/>
      <c r="AD42" s="76"/>
      <c r="AE42" s="74">
        <v>0</v>
      </c>
      <c r="AF42" s="75"/>
      <c r="AG42" s="76"/>
    </row>
    <row r="43" spans="1:33" ht="15.75" thickBot="1" x14ac:dyDescent="0.3">
      <c r="A43" s="68"/>
      <c r="B43" s="68"/>
      <c r="C43" s="106" t="s">
        <v>244</v>
      </c>
      <c r="D43" s="82">
        <v>0</v>
      </c>
      <c r="E43" s="82"/>
      <c r="F43" s="84"/>
      <c r="G43" s="85">
        <v>0</v>
      </c>
      <c r="H43" s="82"/>
      <c r="I43" s="84"/>
      <c r="J43" s="85">
        <v>0</v>
      </c>
      <c r="K43" s="82"/>
      <c r="L43" s="84"/>
      <c r="M43" s="85">
        <v>0</v>
      </c>
      <c r="N43" s="82"/>
      <c r="O43" s="82"/>
      <c r="P43" s="81">
        <v>0</v>
      </c>
      <c r="Q43" s="82"/>
      <c r="R43" s="83"/>
      <c r="S43" s="82">
        <v>0</v>
      </c>
      <c r="T43" s="82"/>
      <c r="U43" s="84"/>
      <c r="V43" s="85">
        <v>0</v>
      </c>
      <c r="W43" s="82"/>
      <c r="X43" s="84"/>
      <c r="Y43" s="85">
        <v>0</v>
      </c>
      <c r="Z43" s="82"/>
      <c r="AA43" s="84"/>
      <c r="AB43" s="85">
        <v>0</v>
      </c>
      <c r="AC43" s="82"/>
      <c r="AD43" s="84"/>
      <c r="AE43" s="85">
        <v>0</v>
      </c>
      <c r="AF43" s="82"/>
      <c r="AG43" s="84"/>
    </row>
    <row r="44" spans="1:33" ht="15.75" thickBot="1" x14ac:dyDescent="0.3">
      <c r="A44" s="68"/>
      <c r="B44" s="68"/>
      <c r="C44" s="107" t="s">
        <v>37</v>
      </c>
      <c r="D44" s="104"/>
      <c r="E44" s="86"/>
      <c r="F44" s="89"/>
      <c r="G44" s="86"/>
      <c r="H44" s="86"/>
      <c r="I44" s="89"/>
      <c r="J44" s="86"/>
      <c r="K44" s="86"/>
      <c r="L44" s="89"/>
      <c r="M44" s="86"/>
      <c r="N44" s="86"/>
      <c r="O44" s="89"/>
      <c r="P44" s="86"/>
      <c r="Q44" s="86"/>
      <c r="R44" s="89"/>
      <c r="S44" s="86"/>
      <c r="T44" s="86"/>
      <c r="U44" s="89"/>
      <c r="V44" s="86"/>
      <c r="W44" s="86"/>
      <c r="X44" s="89"/>
      <c r="Y44" s="86"/>
      <c r="Z44" s="86"/>
      <c r="AA44" s="89"/>
      <c r="AB44" s="86"/>
      <c r="AC44" s="86"/>
      <c r="AD44" s="89"/>
      <c r="AE44" s="86"/>
      <c r="AF44" s="86"/>
      <c r="AG44" s="89"/>
    </row>
    <row r="45" spans="1:33" ht="15.75" thickBot="1" x14ac:dyDescent="0.3">
      <c r="A45" s="68"/>
      <c r="B45" s="68"/>
      <c r="D45" s="87"/>
      <c r="E45" s="87"/>
      <c r="F45" s="90"/>
      <c r="G45" s="87"/>
      <c r="H45" s="87"/>
      <c r="I45" s="90"/>
      <c r="J45" s="87"/>
      <c r="K45" s="87"/>
      <c r="L45" s="90"/>
      <c r="M45" s="87"/>
      <c r="N45" s="87"/>
      <c r="O45" s="90"/>
      <c r="P45" s="87"/>
      <c r="Q45" s="87"/>
      <c r="R45" s="90"/>
      <c r="S45" s="87"/>
      <c r="T45" s="87"/>
      <c r="U45" s="90"/>
      <c r="V45" s="87"/>
      <c r="W45" s="87"/>
      <c r="X45" s="90"/>
      <c r="Y45" s="87"/>
      <c r="Z45" s="87"/>
      <c r="AA45" s="90"/>
      <c r="AB45" s="87"/>
      <c r="AC45" s="87"/>
      <c r="AD45" s="90"/>
      <c r="AE45" s="87"/>
      <c r="AF45" s="87"/>
      <c r="AG45" s="90"/>
    </row>
    <row r="46" spans="1:33" ht="15.75" thickBot="1" x14ac:dyDescent="0.3">
      <c r="A46" s="68"/>
      <c r="B46" s="68"/>
      <c r="D46" s="88"/>
      <c r="E46" s="88"/>
      <c r="F46" s="91"/>
      <c r="G46" s="88"/>
      <c r="H46" s="88"/>
      <c r="I46" s="91"/>
      <c r="J46" s="88"/>
      <c r="K46" s="88"/>
      <c r="L46" s="91"/>
      <c r="M46" s="88"/>
      <c r="N46" s="88"/>
      <c r="O46" s="91"/>
      <c r="P46" s="88"/>
      <c r="Q46" s="88"/>
      <c r="R46" s="91"/>
      <c r="S46" s="88"/>
      <c r="T46" s="88"/>
      <c r="U46" s="91"/>
      <c r="V46" s="88"/>
      <c r="W46" s="88"/>
      <c r="X46" s="91"/>
      <c r="Y46" s="88"/>
      <c r="Z46" s="88"/>
      <c r="AA46" s="91"/>
      <c r="AB46" s="88"/>
      <c r="AC46" s="88"/>
      <c r="AD46" s="91"/>
      <c r="AE46" s="88"/>
      <c r="AF46" s="88"/>
      <c r="AG46" s="91"/>
    </row>
    <row r="48" spans="1:33" ht="15.75" thickBot="1" x14ac:dyDescent="0.3"/>
    <row r="49" spans="1:33" ht="15.75" thickBot="1" x14ac:dyDescent="0.3">
      <c r="A49" s="68" t="s">
        <v>26</v>
      </c>
      <c r="B49" s="68"/>
      <c r="D49" s="52" t="s">
        <v>27</v>
      </c>
      <c r="E49" s="52"/>
      <c r="F49" s="52"/>
      <c r="G49" s="73" t="s">
        <v>28</v>
      </c>
      <c r="H49" s="73"/>
      <c r="I49" s="73"/>
      <c r="J49" s="52" t="s">
        <v>29</v>
      </c>
      <c r="K49" s="52"/>
      <c r="L49" s="52"/>
      <c r="M49" s="73" t="s">
        <v>30</v>
      </c>
      <c r="N49" s="73"/>
      <c r="O49" s="73"/>
      <c r="P49" s="52" t="s">
        <v>31</v>
      </c>
      <c r="Q49" s="52"/>
      <c r="R49" s="52"/>
      <c r="S49" s="73" t="s">
        <v>32</v>
      </c>
      <c r="T49" s="73"/>
      <c r="U49" s="73"/>
      <c r="V49" s="52" t="s">
        <v>33</v>
      </c>
      <c r="W49" s="52"/>
      <c r="X49" s="52"/>
      <c r="Y49" s="73" t="s">
        <v>34</v>
      </c>
      <c r="Z49" s="73"/>
      <c r="AA49" s="73"/>
      <c r="AB49" s="52" t="s">
        <v>35</v>
      </c>
      <c r="AC49" s="52"/>
      <c r="AD49" s="52"/>
      <c r="AE49" s="73" t="s">
        <v>36</v>
      </c>
      <c r="AF49" s="73"/>
      <c r="AG49" s="73"/>
    </row>
    <row r="50" spans="1:33" ht="15.75" thickBot="1" x14ac:dyDescent="0.3">
      <c r="A50" s="68"/>
      <c r="B50" s="68"/>
      <c r="C50" s="105" t="s">
        <v>243</v>
      </c>
      <c r="D50" s="75">
        <v>0</v>
      </c>
      <c r="E50" s="75"/>
      <c r="F50" s="76"/>
      <c r="G50" s="74">
        <v>0</v>
      </c>
      <c r="H50" s="75"/>
      <c r="I50" s="76"/>
      <c r="J50" s="74">
        <v>0</v>
      </c>
      <c r="K50" s="75"/>
      <c r="L50" s="76"/>
      <c r="M50" s="74">
        <v>0</v>
      </c>
      <c r="N50" s="75"/>
      <c r="O50" s="76"/>
      <c r="P50" s="74">
        <v>0</v>
      </c>
      <c r="Q50" s="75"/>
      <c r="R50" s="76"/>
      <c r="S50" s="74">
        <v>0</v>
      </c>
      <c r="T50" s="75"/>
      <c r="U50" s="76"/>
      <c r="V50" s="74">
        <v>0</v>
      </c>
      <c r="W50" s="75"/>
      <c r="X50" s="76"/>
      <c r="Y50" s="74">
        <v>0</v>
      </c>
      <c r="Z50" s="75"/>
      <c r="AA50" s="76"/>
      <c r="AB50" s="74">
        <v>0</v>
      </c>
      <c r="AC50" s="75"/>
      <c r="AD50" s="76"/>
      <c r="AE50" s="74">
        <v>0</v>
      </c>
      <c r="AF50" s="75"/>
      <c r="AG50" s="76"/>
    </row>
    <row r="51" spans="1:33" ht="15.75" thickBot="1" x14ac:dyDescent="0.3">
      <c r="A51" s="68"/>
      <c r="B51" s="68"/>
      <c r="C51" s="106" t="s">
        <v>244</v>
      </c>
      <c r="D51" s="82">
        <v>0</v>
      </c>
      <c r="E51" s="82"/>
      <c r="F51" s="84"/>
      <c r="G51" s="85">
        <v>0</v>
      </c>
      <c r="H51" s="82"/>
      <c r="I51" s="84"/>
      <c r="J51" s="85">
        <v>0</v>
      </c>
      <c r="K51" s="82"/>
      <c r="L51" s="84"/>
      <c r="M51" s="85">
        <v>0</v>
      </c>
      <c r="N51" s="82"/>
      <c r="O51" s="82"/>
      <c r="P51" s="81">
        <v>0</v>
      </c>
      <c r="Q51" s="82"/>
      <c r="R51" s="83"/>
      <c r="S51" s="82">
        <v>0</v>
      </c>
      <c r="T51" s="82"/>
      <c r="U51" s="84"/>
      <c r="V51" s="85">
        <v>0</v>
      </c>
      <c r="W51" s="82"/>
      <c r="X51" s="84"/>
      <c r="Y51" s="85">
        <v>0</v>
      </c>
      <c r="Z51" s="82"/>
      <c r="AA51" s="84"/>
      <c r="AB51" s="85">
        <v>0</v>
      </c>
      <c r="AC51" s="82"/>
      <c r="AD51" s="84"/>
      <c r="AE51" s="85">
        <v>0</v>
      </c>
      <c r="AF51" s="82"/>
      <c r="AG51" s="84"/>
    </row>
    <row r="52" spans="1:33" ht="15.75" thickBot="1" x14ac:dyDescent="0.3">
      <c r="A52" s="68"/>
      <c r="B52" s="68"/>
      <c r="C52" s="107" t="s">
        <v>37</v>
      </c>
      <c r="D52" s="104"/>
      <c r="E52" s="86"/>
      <c r="F52" s="89"/>
      <c r="G52" s="86"/>
      <c r="H52" s="86"/>
      <c r="I52" s="89"/>
      <c r="J52" s="86"/>
      <c r="K52" s="86"/>
      <c r="L52" s="89"/>
      <c r="M52" s="86"/>
      <c r="N52" s="86"/>
      <c r="O52" s="89"/>
      <c r="P52" s="86"/>
      <c r="Q52" s="86"/>
      <c r="R52" s="89"/>
      <c r="S52" s="86"/>
      <c r="T52" s="86"/>
      <c r="U52" s="89"/>
      <c r="V52" s="86"/>
      <c r="W52" s="86"/>
      <c r="X52" s="89"/>
      <c r="Y52" s="86"/>
      <c r="Z52" s="86"/>
      <c r="AA52" s="89"/>
      <c r="AB52" s="86"/>
      <c r="AC52" s="86"/>
      <c r="AD52" s="89"/>
      <c r="AE52" s="86"/>
      <c r="AF52" s="86"/>
      <c r="AG52" s="89"/>
    </row>
    <row r="53" spans="1:33" ht="15.75" thickBot="1" x14ac:dyDescent="0.3">
      <c r="A53" s="68"/>
      <c r="B53" s="68"/>
      <c r="D53" s="87"/>
      <c r="E53" s="87"/>
      <c r="F53" s="90"/>
      <c r="G53" s="87"/>
      <c r="H53" s="87"/>
      <c r="I53" s="90"/>
      <c r="J53" s="87"/>
      <c r="K53" s="87"/>
      <c r="L53" s="90"/>
      <c r="M53" s="87"/>
      <c r="N53" s="87"/>
      <c r="O53" s="90"/>
      <c r="P53" s="87"/>
      <c r="Q53" s="87"/>
      <c r="R53" s="90"/>
      <c r="S53" s="87"/>
      <c r="T53" s="87"/>
      <c r="U53" s="90"/>
      <c r="V53" s="87"/>
      <c r="W53" s="87"/>
      <c r="X53" s="90"/>
      <c r="Y53" s="87"/>
      <c r="Z53" s="87"/>
      <c r="AA53" s="90"/>
      <c r="AB53" s="87"/>
      <c r="AC53" s="87"/>
      <c r="AD53" s="90"/>
      <c r="AE53" s="87"/>
      <c r="AF53" s="87"/>
      <c r="AG53" s="90"/>
    </row>
    <row r="54" spans="1:33" ht="15.75" thickBot="1" x14ac:dyDescent="0.3">
      <c r="A54" s="68"/>
      <c r="B54" s="68"/>
      <c r="D54" s="88"/>
      <c r="E54" s="88"/>
      <c r="F54" s="91"/>
      <c r="G54" s="88"/>
      <c r="H54" s="88"/>
      <c r="I54" s="91"/>
      <c r="J54" s="88"/>
      <c r="K54" s="88"/>
      <c r="L54" s="91"/>
      <c r="M54" s="88"/>
      <c r="N54" s="88"/>
      <c r="O54" s="91"/>
      <c r="P54" s="88"/>
      <c r="Q54" s="88"/>
      <c r="R54" s="91"/>
      <c r="S54" s="88"/>
      <c r="T54" s="88"/>
      <c r="U54" s="91"/>
      <c r="V54" s="88"/>
      <c r="W54" s="88"/>
      <c r="X54" s="91"/>
      <c r="Y54" s="88"/>
      <c r="Z54" s="88"/>
      <c r="AA54" s="91"/>
      <c r="AB54" s="88"/>
      <c r="AC54" s="88"/>
      <c r="AD54" s="91"/>
      <c r="AE54" s="88"/>
      <c r="AF54" s="88"/>
      <c r="AG54" s="91"/>
    </row>
    <row r="56" spans="1:33" ht="15.75" thickBot="1" x14ac:dyDescent="0.3"/>
    <row r="57" spans="1:33" ht="15.75" thickBot="1" x14ac:dyDescent="0.3">
      <c r="A57" s="68" t="s">
        <v>77</v>
      </c>
      <c r="B57" s="68"/>
      <c r="D57" s="52" t="s">
        <v>27</v>
      </c>
      <c r="E57" s="52"/>
      <c r="F57" s="52"/>
      <c r="G57" s="73" t="s">
        <v>28</v>
      </c>
      <c r="H57" s="73"/>
      <c r="I57" s="73"/>
      <c r="J57" s="52" t="s">
        <v>29</v>
      </c>
      <c r="K57" s="52"/>
      <c r="L57" s="52"/>
      <c r="M57" s="73" t="s">
        <v>30</v>
      </c>
      <c r="N57" s="73"/>
      <c r="O57" s="73"/>
      <c r="P57" s="52" t="s">
        <v>31</v>
      </c>
      <c r="Q57" s="52"/>
      <c r="R57" s="52"/>
      <c r="S57" s="73" t="s">
        <v>32</v>
      </c>
      <c r="T57" s="73"/>
      <c r="U57" s="73"/>
      <c r="V57" s="52" t="s">
        <v>33</v>
      </c>
      <c r="W57" s="52"/>
      <c r="X57" s="52"/>
      <c r="Y57" s="73" t="s">
        <v>34</v>
      </c>
      <c r="Z57" s="73"/>
      <c r="AA57" s="73"/>
      <c r="AB57" s="52" t="s">
        <v>35</v>
      </c>
      <c r="AC57" s="52"/>
      <c r="AD57" s="52"/>
      <c r="AE57" s="73" t="s">
        <v>36</v>
      </c>
      <c r="AF57" s="73"/>
      <c r="AG57" s="73"/>
    </row>
    <row r="58" spans="1:33" ht="15.75" thickBot="1" x14ac:dyDescent="0.3">
      <c r="A58" s="68"/>
      <c r="B58" s="68"/>
      <c r="C58" s="105" t="s">
        <v>243</v>
      </c>
      <c r="D58" s="75">
        <v>0</v>
      </c>
      <c r="E58" s="75"/>
      <c r="F58" s="76"/>
      <c r="G58" s="74">
        <v>0</v>
      </c>
      <c r="H58" s="75"/>
      <c r="I58" s="76"/>
      <c r="J58" s="74">
        <v>0</v>
      </c>
      <c r="K58" s="75"/>
      <c r="L58" s="76"/>
      <c r="M58" s="74">
        <v>0</v>
      </c>
      <c r="N58" s="75"/>
      <c r="O58" s="76"/>
      <c r="P58" s="74">
        <v>0</v>
      </c>
      <c r="Q58" s="75"/>
      <c r="R58" s="76"/>
      <c r="S58" s="74">
        <v>0</v>
      </c>
      <c r="T58" s="75"/>
      <c r="U58" s="76"/>
      <c r="V58" s="74">
        <v>0</v>
      </c>
      <c r="W58" s="75"/>
      <c r="X58" s="76"/>
      <c r="Y58" s="74">
        <v>0</v>
      </c>
      <c r="Z58" s="75"/>
      <c r="AA58" s="76"/>
      <c r="AB58" s="74">
        <v>0</v>
      </c>
      <c r="AC58" s="75"/>
      <c r="AD58" s="76"/>
      <c r="AE58" s="74">
        <v>0</v>
      </c>
      <c r="AF58" s="75"/>
      <c r="AG58" s="76"/>
    </row>
    <row r="59" spans="1:33" ht="15.75" thickBot="1" x14ac:dyDescent="0.3">
      <c r="A59" s="68"/>
      <c r="B59" s="68"/>
      <c r="C59" s="106" t="s">
        <v>244</v>
      </c>
      <c r="D59" s="82">
        <v>0</v>
      </c>
      <c r="E59" s="82"/>
      <c r="F59" s="84"/>
      <c r="G59" s="85">
        <v>0</v>
      </c>
      <c r="H59" s="82"/>
      <c r="I59" s="84"/>
      <c r="J59" s="85">
        <v>0</v>
      </c>
      <c r="K59" s="82"/>
      <c r="L59" s="84"/>
      <c r="M59" s="85">
        <v>0</v>
      </c>
      <c r="N59" s="82"/>
      <c r="O59" s="82"/>
      <c r="P59" s="81">
        <v>0</v>
      </c>
      <c r="Q59" s="82"/>
      <c r="R59" s="83"/>
      <c r="S59" s="82">
        <v>0</v>
      </c>
      <c r="T59" s="82"/>
      <c r="U59" s="84"/>
      <c r="V59" s="85">
        <v>0</v>
      </c>
      <c r="W59" s="82"/>
      <c r="X59" s="84"/>
      <c r="Y59" s="85">
        <v>0</v>
      </c>
      <c r="Z59" s="82"/>
      <c r="AA59" s="84"/>
      <c r="AB59" s="85">
        <v>0</v>
      </c>
      <c r="AC59" s="82"/>
      <c r="AD59" s="84"/>
      <c r="AE59" s="85">
        <v>0</v>
      </c>
      <c r="AF59" s="82"/>
      <c r="AG59" s="84"/>
    </row>
    <row r="60" spans="1:33" ht="15.75" thickBot="1" x14ac:dyDescent="0.3">
      <c r="A60" s="68"/>
      <c r="B60" s="68"/>
      <c r="C60" s="107" t="s">
        <v>37</v>
      </c>
      <c r="D60" s="104"/>
      <c r="E60" s="86"/>
      <c r="F60" s="89"/>
      <c r="G60" s="86"/>
      <c r="H60" s="86"/>
      <c r="I60" s="89"/>
      <c r="J60" s="86"/>
      <c r="K60" s="86"/>
      <c r="L60" s="89"/>
      <c r="M60" s="86"/>
      <c r="N60" s="86"/>
      <c r="O60" s="89"/>
      <c r="P60" s="86"/>
      <c r="Q60" s="86"/>
      <c r="R60" s="89"/>
      <c r="S60" s="86"/>
      <c r="T60" s="86"/>
      <c r="U60" s="89"/>
      <c r="V60" s="86"/>
      <c r="W60" s="86"/>
      <c r="X60" s="89"/>
      <c r="Y60" s="86"/>
      <c r="Z60" s="86"/>
      <c r="AA60" s="89"/>
      <c r="AB60" s="86"/>
      <c r="AC60" s="86"/>
      <c r="AD60" s="89"/>
      <c r="AE60" s="86"/>
      <c r="AF60" s="86"/>
      <c r="AG60" s="89"/>
    </row>
    <row r="61" spans="1:33" ht="15.75" thickBot="1" x14ac:dyDescent="0.3">
      <c r="A61" s="68"/>
      <c r="B61" s="68"/>
      <c r="D61" s="87"/>
      <c r="E61" s="87"/>
      <c r="F61" s="90"/>
      <c r="G61" s="87"/>
      <c r="H61" s="87"/>
      <c r="I61" s="90"/>
      <c r="J61" s="87"/>
      <c r="K61" s="87"/>
      <c r="L61" s="90"/>
      <c r="M61" s="87"/>
      <c r="N61" s="87"/>
      <c r="O61" s="90"/>
      <c r="P61" s="87"/>
      <c r="Q61" s="87"/>
      <c r="R61" s="90"/>
      <c r="S61" s="87"/>
      <c r="T61" s="87"/>
      <c r="U61" s="90"/>
      <c r="V61" s="87"/>
      <c r="W61" s="87"/>
      <c r="X61" s="90"/>
      <c r="Y61" s="87"/>
      <c r="Z61" s="87"/>
      <c r="AA61" s="90"/>
      <c r="AB61" s="87"/>
      <c r="AC61" s="87"/>
      <c r="AD61" s="90"/>
      <c r="AE61" s="87"/>
      <c r="AF61" s="87"/>
      <c r="AG61" s="90"/>
    </row>
    <row r="62" spans="1:33" ht="15.75" thickBot="1" x14ac:dyDescent="0.3">
      <c r="A62" s="68"/>
      <c r="B62" s="68"/>
      <c r="D62" s="88"/>
      <c r="E62" s="88"/>
      <c r="F62" s="91"/>
      <c r="G62" s="88"/>
      <c r="H62" s="88"/>
      <c r="I62" s="91"/>
      <c r="J62" s="88"/>
      <c r="K62" s="88"/>
      <c r="L62" s="91"/>
      <c r="M62" s="88"/>
      <c r="N62" s="88"/>
      <c r="O62" s="91"/>
      <c r="P62" s="88"/>
      <c r="Q62" s="88"/>
      <c r="R62" s="91"/>
      <c r="S62" s="88"/>
      <c r="T62" s="88"/>
      <c r="U62" s="91"/>
      <c r="V62" s="88"/>
      <c r="W62" s="88"/>
      <c r="X62" s="91"/>
      <c r="Y62" s="88"/>
      <c r="Z62" s="88"/>
      <c r="AA62" s="91"/>
      <c r="AB62" s="88"/>
      <c r="AC62" s="88"/>
      <c r="AD62" s="91"/>
      <c r="AE62" s="88"/>
      <c r="AF62" s="88"/>
      <c r="AG62" s="91"/>
    </row>
    <row r="64" spans="1:33" ht="15.75" thickBot="1" x14ac:dyDescent="0.3"/>
    <row r="65" spans="1:33" ht="15.75" thickBot="1" x14ac:dyDescent="0.3">
      <c r="A65" s="68" t="s">
        <v>78</v>
      </c>
      <c r="B65" s="68"/>
      <c r="D65" s="52" t="s">
        <v>27</v>
      </c>
      <c r="E65" s="52"/>
      <c r="F65" s="52"/>
      <c r="G65" s="73" t="s">
        <v>28</v>
      </c>
      <c r="H65" s="73"/>
      <c r="I65" s="73"/>
      <c r="J65" s="52" t="s">
        <v>29</v>
      </c>
      <c r="K65" s="52"/>
      <c r="L65" s="52"/>
      <c r="M65" s="73" t="s">
        <v>30</v>
      </c>
      <c r="N65" s="73"/>
      <c r="O65" s="73"/>
      <c r="P65" s="52" t="s">
        <v>31</v>
      </c>
      <c r="Q65" s="52"/>
      <c r="R65" s="52"/>
      <c r="S65" s="73" t="s">
        <v>32</v>
      </c>
      <c r="T65" s="73"/>
      <c r="U65" s="73"/>
      <c r="V65" s="52" t="s">
        <v>33</v>
      </c>
      <c r="W65" s="52"/>
      <c r="X65" s="52"/>
      <c r="Y65" s="73" t="s">
        <v>34</v>
      </c>
      <c r="Z65" s="73"/>
      <c r="AA65" s="73"/>
      <c r="AB65" s="52" t="s">
        <v>35</v>
      </c>
      <c r="AC65" s="52"/>
      <c r="AD65" s="52"/>
      <c r="AE65" s="73" t="s">
        <v>36</v>
      </c>
      <c r="AF65" s="73"/>
      <c r="AG65" s="73"/>
    </row>
    <row r="66" spans="1:33" ht="15.75" thickBot="1" x14ac:dyDescent="0.3">
      <c r="A66" s="68"/>
      <c r="B66" s="68"/>
      <c r="C66" s="105" t="s">
        <v>243</v>
      </c>
      <c r="D66" s="75">
        <v>0</v>
      </c>
      <c r="E66" s="75"/>
      <c r="F66" s="76"/>
      <c r="G66" s="74">
        <v>0</v>
      </c>
      <c r="H66" s="75"/>
      <c r="I66" s="76"/>
      <c r="J66" s="74">
        <v>0</v>
      </c>
      <c r="K66" s="75"/>
      <c r="L66" s="76"/>
      <c r="M66" s="74">
        <v>0</v>
      </c>
      <c r="N66" s="75"/>
      <c r="O66" s="76"/>
      <c r="P66" s="74">
        <v>0</v>
      </c>
      <c r="Q66" s="75"/>
      <c r="R66" s="76"/>
      <c r="S66" s="74">
        <v>0</v>
      </c>
      <c r="T66" s="75"/>
      <c r="U66" s="76"/>
      <c r="V66" s="74">
        <v>0</v>
      </c>
      <c r="W66" s="75"/>
      <c r="X66" s="76"/>
      <c r="Y66" s="74">
        <v>0</v>
      </c>
      <c r="Z66" s="75"/>
      <c r="AA66" s="76"/>
      <c r="AB66" s="74">
        <v>0</v>
      </c>
      <c r="AC66" s="75"/>
      <c r="AD66" s="76"/>
      <c r="AE66" s="74">
        <v>0</v>
      </c>
      <c r="AF66" s="75"/>
      <c r="AG66" s="76"/>
    </row>
    <row r="67" spans="1:33" ht="15.75" thickBot="1" x14ac:dyDescent="0.3">
      <c r="A67" s="68"/>
      <c r="B67" s="68"/>
      <c r="C67" s="106" t="s">
        <v>244</v>
      </c>
      <c r="D67" s="82">
        <v>0</v>
      </c>
      <c r="E67" s="82"/>
      <c r="F67" s="84"/>
      <c r="G67" s="85">
        <v>0</v>
      </c>
      <c r="H67" s="82"/>
      <c r="I67" s="84"/>
      <c r="J67" s="85">
        <v>0</v>
      </c>
      <c r="K67" s="82"/>
      <c r="L67" s="84"/>
      <c r="M67" s="85">
        <v>0</v>
      </c>
      <c r="N67" s="82"/>
      <c r="O67" s="82"/>
      <c r="P67" s="81">
        <v>0</v>
      </c>
      <c r="Q67" s="82"/>
      <c r="R67" s="83"/>
      <c r="S67" s="82">
        <v>0</v>
      </c>
      <c r="T67" s="82"/>
      <c r="U67" s="84"/>
      <c r="V67" s="85">
        <v>0</v>
      </c>
      <c r="W67" s="82"/>
      <c r="X67" s="84"/>
      <c r="Y67" s="85">
        <v>0</v>
      </c>
      <c r="Z67" s="82"/>
      <c r="AA67" s="84"/>
      <c r="AB67" s="85">
        <v>0</v>
      </c>
      <c r="AC67" s="82"/>
      <c r="AD67" s="84"/>
      <c r="AE67" s="85">
        <v>0</v>
      </c>
      <c r="AF67" s="82"/>
      <c r="AG67" s="84"/>
    </row>
    <row r="68" spans="1:33" ht="15.75" thickBot="1" x14ac:dyDescent="0.3">
      <c r="A68" s="68"/>
      <c r="B68" s="68"/>
      <c r="C68" s="107" t="s">
        <v>37</v>
      </c>
      <c r="D68" s="104"/>
      <c r="E68" s="86"/>
      <c r="F68" s="89"/>
      <c r="G68" s="86"/>
      <c r="H68" s="86"/>
      <c r="I68" s="89"/>
      <c r="J68" s="86"/>
      <c r="K68" s="86"/>
      <c r="L68" s="89"/>
      <c r="M68" s="86"/>
      <c r="N68" s="86"/>
      <c r="O68" s="89"/>
      <c r="P68" s="86"/>
      <c r="Q68" s="86"/>
      <c r="R68" s="89"/>
      <c r="S68" s="86"/>
      <c r="T68" s="86"/>
      <c r="U68" s="89"/>
      <c r="V68" s="86"/>
      <c r="W68" s="86"/>
      <c r="X68" s="89"/>
      <c r="Y68" s="86"/>
      <c r="Z68" s="86"/>
      <c r="AA68" s="89"/>
      <c r="AB68" s="86"/>
      <c r="AC68" s="86"/>
      <c r="AD68" s="89"/>
      <c r="AE68" s="86"/>
      <c r="AF68" s="86"/>
      <c r="AG68" s="89"/>
    </row>
    <row r="69" spans="1:33" ht="15.75" thickBot="1" x14ac:dyDescent="0.3">
      <c r="A69" s="68"/>
      <c r="B69" s="68"/>
      <c r="D69" s="87"/>
      <c r="E69" s="87"/>
      <c r="F69" s="90"/>
      <c r="G69" s="87"/>
      <c r="H69" s="87"/>
      <c r="I69" s="90"/>
      <c r="J69" s="87"/>
      <c r="K69" s="87"/>
      <c r="L69" s="90"/>
      <c r="M69" s="87"/>
      <c r="N69" s="87"/>
      <c r="O69" s="90"/>
      <c r="P69" s="87"/>
      <c r="Q69" s="87"/>
      <c r="R69" s="90"/>
      <c r="S69" s="87"/>
      <c r="T69" s="87"/>
      <c r="U69" s="90"/>
      <c r="V69" s="87"/>
      <c r="W69" s="87"/>
      <c r="X69" s="90"/>
      <c r="Y69" s="87"/>
      <c r="Z69" s="87"/>
      <c r="AA69" s="90"/>
      <c r="AB69" s="87"/>
      <c r="AC69" s="87"/>
      <c r="AD69" s="90"/>
      <c r="AE69" s="87"/>
      <c r="AF69" s="87"/>
      <c r="AG69" s="90"/>
    </row>
    <row r="70" spans="1:33" ht="15.75" thickBot="1" x14ac:dyDescent="0.3">
      <c r="A70" s="68"/>
      <c r="B70" s="68"/>
      <c r="D70" s="88"/>
      <c r="E70" s="88"/>
      <c r="F70" s="91"/>
      <c r="G70" s="88"/>
      <c r="H70" s="88"/>
      <c r="I70" s="91"/>
      <c r="J70" s="88"/>
      <c r="K70" s="88"/>
      <c r="L70" s="91"/>
      <c r="M70" s="88"/>
      <c r="N70" s="88"/>
      <c r="O70" s="91"/>
      <c r="P70" s="88"/>
      <c r="Q70" s="88"/>
      <c r="R70" s="91"/>
      <c r="S70" s="88"/>
      <c r="T70" s="88"/>
      <c r="U70" s="91"/>
      <c r="V70" s="88"/>
      <c r="W70" s="88"/>
      <c r="X70" s="91"/>
      <c r="Y70" s="88"/>
      <c r="Z70" s="88"/>
      <c r="AA70" s="91"/>
      <c r="AB70" s="88"/>
      <c r="AC70" s="88"/>
      <c r="AD70" s="91"/>
      <c r="AE70" s="88"/>
      <c r="AF70" s="88"/>
      <c r="AG70" s="91"/>
    </row>
    <row r="72" spans="1:33" ht="15.75" thickBot="1" x14ac:dyDescent="0.3"/>
    <row r="73" spans="1:33" ht="15.75" thickBot="1" x14ac:dyDescent="0.3">
      <c r="A73" s="68" t="s">
        <v>250</v>
      </c>
      <c r="B73" s="68"/>
      <c r="D73" s="52" t="s">
        <v>27</v>
      </c>
      <c r="E73" s="52"/>
      <c r="F73" s="52"/>
      <c r="G73" s="73" t="s">
        <v>28</v>
      </c>
      <c r="H73" s="73"/>
      <c r="I73" s="73"/>
      <c r="J73" s="52" t="s">
        <v>29</v>
      </c>
      <c r="K73" s="52"/>
      <c r="L73" s="52"/>
      <c r="M73" s="73" t="s">
        <v>30</v>
      </c>
      <c r="N73" s="73"/>
      <c r="O73" s="73"/>
      <c r="P73" s="52" t="s">
        <v>31</v>
      </c>
      <c r="Q73" s="52"/>
      <c r="R73" s="52"/>
      <c r="S73" s="73" t="s">
        <v>32</v>
      </c>
      <c r="T73" s="73"/>
      <c r="U73" s="73"/>
      <c r="V73" s="52" t="s">
        <v>33</v>
      </c>
      <c r="W73" s="52"/>
      <c r="X73" s="52"/>
      <c r="Y73" s="73" t="s">
        <v>34</v>
      </c>
      <c r="Z73" s="73"/>
      <c r="AA73" s="73"/>
      <c r="AB73" s="52" t="s">
        <v>35</v>
      </c>
      <c r="AC73" s="52"/>
      <c r="AD73" s="52"/>
      <c r="AE73" s="73" t="s">
        <v>36</v>
      </c>
      <c r="AF73" s="73"/>
      <c r="AG73" s="73"/>
    </row>
    <row r="74" spans="1:33" ht="15.75" thickBot="1" x14ac:dyDescent="0.3">
      <c r="A74" s="68"/>
      <c r="B74" s="68"/>
      <c r="C74" s="105" t="s">
        <v>243</v>
      </c>
      <c r="D74" s="75">
        <v>0</v>
      </c>
      <c r="E74" s="75"/>
      <c r="F74" s="76"/>
      <c r="G74" s="74">
        <v>0</v>
      </c>
      <c r="H74" s="75"/>
      <c r="I74" s="76"/>
      <c r="J74" s="74">
        <v>0</v>
      </c>
      <c r="K74" s="75"/>
      <c r="L74" s="76"/>
      <c r="M74" s="74">
        <v>0</v>
      </c>
      <c r="N74" s="75"/>
      <c r="O74" s="76"/>
      <c r="P74" s="74">
        <v>0</v>
      </c>
      <c r="Q74" s="75"/>
      <c r="R74" s="76"/>
      <c r="S74" s="74">
        <v>0</v>
      </c>
      <c r="T74" s="75"/>
      <c r="U74" s="76"/>
      <c r="V74" s="74">
        <v>0</v>
      </c>
      <c r="W74" s="75"/>
      <c r="X74" s="76"/>
      <c r="Y74" s="74">
        <v>0</v>
      </c>
      <c r="Z74" s="75"/>
      <c r="AA74" s="76"/>
      <c r="AB74" s="74">
        <v>0</v>
      </c>
      <c r="AC74" s="75"/>
      <c r="AD74" s="76"/>
      <c r="AE74" s="74">
        <v>0</v>
      </c>
      <c r="AF74" s="75"/>
      <c r="AG74" s="76"/>
    </row>
    <row r="75" spans="1:33" ht="15.75" thickBot="1" x14ac:dyDescent="0.3">
      <c r="A75" s="68"/>
      <c r="B75" s="68"/>
      <c r="C75" s="106" t="s">
        <v>244</v>
      </c>
      <c r="D75" s="82">
        <v>0</v>
      </c>
      <c r="E75" s="82"/>
      <c r="F75" s="84"/>
      <c r="G75" s="85">
        <v>0</v>
      </c>
      <c r="H75" s="82"/>
      <c r="I75" s="84"/>
      <c r="J75" s="85">
        <v>0</v>
      </c>
      <c r="K75" s="82"/>
      <c r="L75" s="84"/>
      <c r="M75" s="85">
        <v>0</v>
      </c>
      <c r="N75" s="82"/>
      <c r="O75" s="82"/>
      <c r="P75" s="81">
        <v>0</v>
      </c>
      <c r="Q75" s="82"/>
      <c r="R75" s="83"/>
      <c r="S75" s="82">
        <v>0</v>
      </c>
      <c r="T75" s="82"/>
      <c r="U75" s="84"/>
      <c r="V75" s="85">
        <v>0</v>
      </c>
      <c r="W75" s="82"/>
      <c r="X75" s="84"/>
      <c r="Y75" s="85">
        <v>0</v>
      </c>
      <c r="Z75" s="82"/>
      <c r="AA75" s="84"/>
      <c r="AB75" s="85">
        <v>0</v>
      </c>
      <c r="AC75" s="82"/>
      <c r="AD75" s="84"/>
      <c r="AE75" s="85">
        <v>0</v>
      </c>
      <c r="AF75" s="82"/>
      <c r="AG75" s="84"/>
    </row>
    <row r="76" spans="1:33" ht="15.75" thickBot="1" x14ac:dyDescent="0.3">
      <c r="A76" s="68"/>
      <c r="B76" s="68"/>
      <c r="C76" s="107" t="s">
        <v>37</v>
      </c>
      <c r="D76" s="104"/>
      <c r="E76" s="86"/>
      <c r="F76" s="89"/>
      <c r="G76" s="86"/>
      <c r="H76" s="86"/>
      <c r="I76" s="89"/>
      <c r="J76" s="86"/>
      <c r="K76" s="86"/>
      <c r="L76" s="89"/>
      <c r="M76" s="86"/>
      <c r="N76" s="86"/>
      <c r="O76" s="89"/>
      <c r="P76" s="86"/>
      <c r="Q76" s="86"/>
      <c r="R76" s="89"/>
      <c r="S76" s="86"/>
      <c r="T76" s="86"/>
      <c r="U76" s="89"/>
      <c r="V76" s="86"/>
      <c r="W76" s="86"/>
      <c r="X76" s="89"/>
      <c r="Y76" s="86"/>
      <c r="Z76" s="86"/>
      <c r="AA76" s="89"/>
      <c r="AB76" s="86"/>
      <c r="AC76" s="86"/>
      <c r="AD76" s="89"/>
      <c r="AE76" s="86"/>
      <c r="AF76" s="86"/>
      <c r="AG76" s="89"/>
    </row>
    <row r="77" spans="1:33" ht="15.75" thickBot="1" x14ac:dyDescent="0.3">
      <c r="A77" s="68"/>
      <c r="B77" s="68"/>
      <c r="D77" s="87"/>
      <c r="E77" s="87"/>
      <c r="F77" s="90"/>
      <c r="G77" s="87"/>
      <c r="H77" s="87"/>
      <c r="I77" s="90"/>
      <c r="J77" s="87"/>
      <c r="K77" s="87"/>
      <c r="L77" s="90"/>
      <c r="M77" s="87"/>
      <c r="N77" s="87"/>
      <c r="O77" s="90"/>
      <c r="P77" s="87"/>
      <c r="Q77" s="87"/>
      <c r="R77" s="90"/>
      <c r="S77" s="87"/>
      <c r="T77" s="87"/>
      <c r="U77" s="90"/>
      <c r="V77" s="87"/>
      <c r="W77" s="87"/>
      <c r="X77" s="90"/>
      <c r="Y77" s="87"/>
      <c r="Z77" s="87"/>
      <c r="AA77" s="90"/>
      <c r="AB77" s="87"/>
      <c r="AC77" s="87"/>
      <c r="AD77" s="90"/>
      <c r="AE77" s="87"/>
      <c r="AF77" s="87"/>
      <c r="AG77" s="90"/>
    </row>
    <row r="78" spans="1:33" ht="15.75" thickBot="1" x14ac:dyDescent="0.3">
      <c r="A78" s="68"/>
      <c r="B78" s="68"/>
      <c r="D78" s="88"/>
      <c r="E78" s="88"/>
      <c r="F78" s="91"/>
      <c r="G78" s="88"/>
      <c r="H78" s="88"/>
      <c r="I78" s="91"/>
      <c r="J78" s="88"/>
      <c r="K78" s="88"/>
      <c r="L78" s="91"/>
      <c r="M78" s="88"/>
      <c r="N78" s="88"/>
      <c r="O78" s="91"/>
      <c r="P78" s="88"/>
      <c r="Q78" s="88"/>
      <c r="R78" s="91"/>
      <c r="S78" s="88"/>
      <c r="T78" s="88"/>
      <c r="U78" s="91"/>
      <c r="V78" s="88"/>
      <c r="W78" s="88"/>
      <c r="X78" s="91"/>
      <c r="Y78" s="88"/>
      <c r="Z78" s="88"/>
      <c r="AA78" s="91"/>
      <c r="AB78" s="88"/>
      <c r="AC78" s="88"/>
      <c r="AD78" s="91"/>
      <c r="AE78" s="88"/>
      <c r="AF78" s="88"/>
      <c r="AG78" s="91"/>
    </row>
    <row r="80" spans="1:33" ht="15.75" thickBot="1" x14ac:dyDescent="0.3"/>
    <row r="81" spans="1:33" ht="15.75" thickBot="1" x14ac:dyDescent="0.3">
      <c r="A81" s="68" t="s">
        <v>251</v>
      </c>
      <c r="B81" s="68"/>
      <c r="D81" s="52" t="s">
        <v>27</v>
      </c>
      <c r="E81" s="52"/>
      <c r="F81" s="52"/>
      <c r="G81" s="73" t="s">
        <v>28</v>
      </c>
      <c r="H81" s="73"/>
      <c r="I81" s="73"/>
      <c r="J81" s="52" t="s">
        <v>29</v>
      </c>
      <c r="K81" s="52"/>
      <c r="L81" s="52"/>
      <c r="M81" s="73" t="s">
        <v>30</v>
      </c>
      <c r="N81" s="73"/>
      <c r="O81" s="73"/>
      <c r="P81" s="52" t="s">
        <v>31</v>
      </c>
      <c r="Q81" s="52"/>
      <c r="R81" s="52"/>
      <c r="S81" s="73" t="s">
        <v>32</v>
      </c>
      <c r="T81" s="73"/>
      <c r="U81" s="73"/>
      <c r="V81" s="52" t="s">
        <v>33</v>
      </c>
      <c r="W81" s="52"/>
      <c r="X81" s="52"/>
      <c r="Y81" s="73" t="s">
        <v>34</v>
      </c>
      <c r="Z81" s="73"/>
      <c r="AA81" s="73"/>
      <c r="AB81" s="52" t="s">
        <v>35</v>
      </c>
      <c r="AC81" s="52"/>
      <c r="AD81" s="52"/>
      <c r="AE81" s="73" t="s">
        <v>36</v>
      </c>
      <c r="AF81" s="73"/>
      <c r="AG81" s="73"/>
    </row>
    <row r="82" spans="1:33" ht="15.75" thickBot="1" x14ac:dyDescent="0.3">
      <c r="A82" s="68"/>
      <c r="B82" s="68"/>
      <c r="C82" s="105" t="s">
        <v>243</v>
      </c>
      <c r="D82" s="75">
        <v>0</v>
      </c>
      <c r="E82" s="75"/>
      <c r="F82" s="76"/>
      <c r="G82" s="74">
        <v>0</v>
      </c>
      <c r="H82" s="75"/>
      <c r="I82" s="76"/>
      <c r="J82" s="74">
        <v>0</v>
      </c>
      <c r="K82" s="75"/>
      <c r="L82" s="76"/>
      <c r="M82" s="74">
        <v>0</v>
      </c>
      <c r="N82" s="75"/>
      <c r="O82" s="76"/>
      <c r="P82" s="74">
        <v>0</v>
      </c>
      <c r="Q82" s="75"/>
      <c r="R82" s="76"/>
      <c r="S82" s="74">
        <v>0</v>
      </c>
      <c r="T82" s="75"/>
      <c r="U82" s="76"/>
      <c r="V82" s="74">
        <v>0</v>
      </c>
      <c r="W82" s="75"/>
      <c r="X82" s="76"/>
      <c r="Y82" s="74">
        <v>0</v>
      </c>
      <c r="Z82" s="75"/>
      <c r="AA82" s="76"/>
      <c r="AB82" s="74">
        <v>0</v>
      </c>
      <c r="AC82" s="75"/>
      <c r="AD82" s="76"/>
      <c r="AE82" s="74">
        <v>0</v>
      </c>
      <c r="AF82" s="75"/>
      <c r="AG82" s="76"/>
    </row>
    <row r="83" spans="1:33" ht="15.75" thickBot="1" x14ac:dyDescent="0.3">
      <c r="A83" s="68"/>
      <c r="B83" s="68"/>
      <c r="C83" s="106" t="s">
        <v>244</v>
      </c>
      <c r="D83" s="82">
        <v>0</v>
      </c>
      <c r="E83" s="82"/>
      <c r="F83" s="84"/>
      <c r="G83" s="85">
        <v>0</v>
      </c>
      <c r="H83" s="82"/>
      <c r="I83" s="84"/>
      <c r="J83" s="85">
        <v>0</v>
      </c>
      <c r="K83" s="82"/>
      <c r="L83" s="84"/>
      <c r="M83" s="85">
        <v>0</v>
      </c>
      <c r="N83" s="82"/>
      <c r="O83" s="82"/>
      <c r="P83" s="81">
        <v>0</v>
      </c>
      <c r="Q83" s="82"/>
      <c r="R83" s="83"/>
      <c r="S83" s="82">
        <v>0</v>
      </c>
      <c r="T83" s="82"/>
      <c r="U83" s="84"/>
      <c r="V83" s="85">
        <v>0</v>
      </c>
      <c r="W83" s="82"/>
      <c r="X83" s="84"/>
      <c r="Y83" s="85">
        <v>0</v>
      </c>
      <c r="Z83" s="82"/>
      <c r="AA83" s="84"/>
      <c r="AB83" s="85">
        <v>0</v>
      </c>
      <c r="AC83" s="82"/>
      <c r="AD83" s="84"/>
      <c r="AE83" s="85">
        <v>0</v>
      </c>
      <c r="AF83" s="82"/>
      <c r="AG83" s="84"/>
    </row>
    <row r="84" spans="1:33" ht="15.75" thickBot="1" x14ac:dyDescent="0.3">
      <c r="A84" s="68"/>
      <c r="B84" s="68"/>
      <c r="C84" s="107" t="s">
        <v>37</v>
      </c>
      <c r="D84" s="104"/>
      <c r="E84" s="86"/>
      <c r="F84" s="89"/>
      <c r="G84" s="86"/>
      <c r="H84" s="86"/>
      <c r="I84" s="89"/>
      <c r="J84" s="86"/>
      <c r="K84" s="86"/>
      <c r="L84" s="89"/>
      <c r="M84" s="86"/>
      <c r="N84" s="86"/>
      <c r="O84" s="89"/>
      <c r="P84" s="86"/>
      <c r="Q84" s="86"/>
      <c r="R84" s="89"/>
      <c r="S84" s="86"/>
      <c r="T84" s="86"/>
      <c r="U84" s="89"/>
      <c r="V84" s="86"/>
      <c r="W84" s="86"/>
      <c r="X84" s="89"/>
      <c r="Y84" s="86"/>
      <c r="Z84" s="86"/>
      <c r="AA84" s="89"/>
      <c r="AB84" s="86"/>
      <c r="AC84" s="86"/>
      <c r="AD84" s="89"/>
      <c r="AE84" s="86"/>
      <c r="AF84" s="86"/>
      <c r="AG84" s="89"/>
    </row>
    <row r="85" spans="1:33" ht="15.75" thickBot="1" x14ac:dyDescent="0.3">
      <c r="A85" s="68"/>
      <c r="B85" s="68"/>
      <c r="D85" s="87"/>
      <c r="E85" s="87"/>
      <c r="F85" s="90"/>
      <c r="G85" s="87"/>
      <c r="H85" s="87"/>
      <c r="I85" s="90"/>
      <c r="J85" s="87"/>
      <c r="K85" s="87"/>
      <c r="L85" s="90"/>
      <c r="M85" s="87"/>
      <c r="N85" s="87"/>
      <c r="O85" s="90"/>
      <c r="P85" s="87"/>
      <c r="Q85" s="87"/>
      <c r="R85" s="90"/>
      <c r="S85" s="87"/>
      <c r="T85" s="87"/>
      <c r="U85" s="90"/>
      <c r="V85" s="87"/>
      <c r="W85" s="87"/>
      <c r="X85" s="90"/>
      <c r="Y85" s="87"/>
      <c r="Z85" s="87"/>
      <c r="AA85" s="90"/>
      <c r="AB85" s="87"/>
      <c r="AC85" s="87"/>
      <c r="AD85" s="90"/>
      <c r="AE85" s="87"/>
      <c r="AF85" s="87"/>
      <c r="AG85" s="90"/>
    </row>
    <row r="86" spans="1:33" ht="15.75" thickBot="1" x14ac:dyDescent="0.3">
      <c r="A86" s="68"/>
      <c r="B86" s="68"/>
      <c r="D86" s="88"/>
      <c r="E86" s="88"/>
      <c r="F86" s="91"/>
      <c r="G86" s="88"/>
      <c r="H86" s="88"/>
      <c r="I86" s="91"/>
      <c r="J86" s="88"/>
      <c r="K86" s="88"/>
      <c r="L86" s="91"/>
      <c r="M86" s="88"/>
      <c r="N86" s="88"/>
      <c r="O86" s="91"/>
      <c r="P86" s="88"/>
      <c r="Q86" s="88"/>
      <c r="R86" s="91"/>
      <c r="S86" s="88"/>
      <c r="T86" s="88"/>
      <c r="U86" s="91"/>
      <c r="V86" s="88"/>
      <c r="W86" s="88"/>
      <c r="X86" s="91"/>
      <c r="Y86" s="88"/>
      <c r="Z86" s="88"/>
      <c r="AA86" s="91"/>
      <c r="AB86" s="88"/>
      <c r="AC86" s="88"/>
      <c r="AD86" s="91"/>
      <c r="AE86" s="88"/>
      <c r="AF86" s="88"/>
      <c r="AG86" s="91"/>
    </row>
    <row r="88" spans="1:33" ht="15.75" thickBot="1" x14ac:dyDescent="0.3"/>
    <row r="89" spans="1:33" ht="15.75" thickBot="1" x14ac:dyDescent="0.3">
      <c r="A89" s="68" t="s">
        <v>252</v>
      </c>
      <c r="B89" s="68"/>
      <c r="D89" s="52" t="s">
        <v>27</v>
      </c>
      <c r="E89" s="52"/>
      <c r="F89" s="52"/>
      <c r="G89" s="73" t="s">
        <v>28</v>
      </c>
      <c r="H89" s="73"/>
      <c r="I89" s="73"/>
      <c r="J89" s="52" t="s">
        <v>29</v>
      </c>
      <c r="K89" s="52"/>
      <c r="L89" s="52"/>
      <c r="M89" s="73" t="s">
        <v>30</v>
      </c>
      <c r="N89" s="73"/>
      <c r="O89" s="73"/>
      <c r="P89" s="52" t="s">
        <v>31</v>
      </c>
      <c r="Q89" s="52"/>
      <c r="R89" s="52"/>
      <c r="S89" s="73" t="s">
        <v>32</v>
      </c>
      <c r="T89" s="73"/>
      <c r="U89" s="73"/>
      <c r="V89" s="52" t="s">
        <v>33</v>
      </c>
      <c r="W89" s="52"/>
      <c r="X89" s="52"/>
      <c r="Y89" s="73" t="s">
        <v>34</v>
      </c>
      <c r="Z89" s="73"/>
      <c r="AA89" s="73"/>
      <c r="AB89" s="52" t="s">
        <v>35</v>
      </c>
      <c r="AC89" s="52"/>
      <c r="AD89" s="52"/>
      <c r="AE89" s="73" t="s">
        <v>36</v>
      </c>
      <c r="AF89" s="73"/>
      <c r="AG89" s="73"/>
    </row>
    <row r="90" spans="1:33" ht="15.75" thickBot="1" x14ac:dyDescent="0.3">
      <c r="A90" s="68"/>
      <c r="B90" s="68"/>
      <c r="C90" s="105" t="s">
        <v>243</v>
      </c>
      <c r="D90" s="75">
        <v>0</v>
      </c>
      <c r="E90" s="75"/>
      <c r="F90" s="76"/>
      <c r="G90" s="74">
        <v>0</v>
      </c>
      <c r="H90" s="75"/>
      <c r="I90" s="76"/>
      <c r="J90" s="74">
        <v>0</v>
      </c>
      <c r="K90" s="75"/>
      <c r="L90" s="76"/>
      <c r="M90" s="74">
        <v>0</v>
      </c>
      <c r="N90" s="75"/>
      <c r="O90" s="76"/>
      <c r="P90" s="74">
        <v>0</v>
      </c>
      <c r="Q90" s="75"/>
      <c r="R90" s="76"/>
      <c r="S90" s="74">
        <v>0</v>
      </c>
      <c r="T90" s="75"/>
      <c r="U90" s="76"/>
      <c r="V90" s="74">
        <v>0</v>
      </c>
      <c r="W90" s="75"/>
      <c r="X90" s="76"/>
      <c r="Y90" s="74">
        <v>0</v>
      </c>
      <c r="Z90" s="75"/>
      <c r="AA90" s="76"/>
      <c r="AB90" s="74">
        <v>0</v>
      </c>
      <c r="AC90" s="75"/>
      <c r="AD90" s="76"/>
      <c r="AE90" s="74">
        <v>0</v>
      </c>
      <c r="AF90" s="75"/>
      <c r="AG90" s="76"/>
    </row>
    <row r="91" spans="1:33" ht="15.75" thickBot="1" x14ac:dyDescent="0.3">
      <c r="A91" s="68"/>
      <c r="B91" s="68"/>
      <c r="C91" s="106" t="s">
        <v>244</v>
      </c>
      <c r="D91" s="82">
        <v>0</v>
      </c>
      <c r="E91" s="82"/>
      <c r="F91" s="84"/>
      <c r="G91" s="85">
        <v>0</v>
      </c>
      <c r="H91" s="82"/>
      <c r="I91" s="84"/>
      <c r="J91" s="85">
        <v>0</v>
      </c>
      <c r="K91" s="82"/>
      <c r="L91" s="84"/>
      <c r="M91" s="85">
        <v>0</v>
      </c>
      <c r="N91" s="82"/>
      <c r="O91" s="82"/>
      <c r="P91" s="81">
        <v>0</v>
      </c>
      <c r="Q91" s="82"/>
      <c r="R91" s="83"/>
      <c r="S91" s="82">
        <v>0</v>
      </c>
      <c r="T91" s="82"/>
      <c r="U91" s="84"/>
      <c r="V91" s="85">
        <v>0</v>
      </c>
      <c r="W91" s="82"/>
      <c r="X91" s="84"/>
      <c r="Y91" s="85">
        <v>0</v>
      </c>
      <c r="Z91" s="82"/>
      <c r="AA91" s="84"/>
      <c r="AB91" s="85">
        <v>0</v>
      </c>
      <c r="AC91" s="82"/>
      <c r="AD91" s="84"/>
      <c r="AE91" s="85">
        <v>0</v>
      </c>
      <c r="AF91" s="82"/>
      <c r="AG91" s="84"/>
    </row>
    <row r="92" spans="1:33" ht="15.75" thickBot="1" x14ac:dyDescent="0.3">
      <c r="A92" s="68"/>
      <c r="B92" s="68"/>
      <c r="C92" s="107" t="s">
        <v>37</v>
      </c>
      <c r="D92" s="104"/>
      <c r="E92" s="86"/>
      <c r="F92" s="89"/>
      <c r="G92" s="86"/>
      <c r="H92" s="86"/>
      <c r="I92" s="89"/>
      <c r="J92" s="86"/>
      <c r="K92" s="86"/>
      <c r="L92" s="89"/>
      <c r="M92" s="86"/>
      <c r="N92" s="86"/>
      <c r="O92" s="89"/>
      <c r="P92" s="86"/>
      <c r="Q92" s="86"/>
      <c r="R92" s="89"/>
      <c r="S92" s="86"/>
      <c r="T92" s="86"/>
      <c r="U92" s="89"/>
      <c r="V92" s="86"/>
      <c r="W92" s="86"/>
      <c r="X92" s="89"/>
      <c r="Y92" s="86"/>
      <c r="Z92" s="86"/>
      <c r="AA92" s="89"/>
      <c r="AB92" s="86"/>
      <c r="AC92" s="86"/>
      <c r="AD92" s="89"/>
      <c r="AE92" s="86"/>
      <c r="AF92" s="86"/>
      <c r="AG92" s="89"/>
    </row>
    <row r="93" spans="1:33" ht="15.75" thickBot="1" x14ac:dyDescent="0.3">
      <c r="A93" s="68"/>
      <c r="B93" s="68"/>
      <c r="D93" s="87"/>
      <c r="E93" s="87"/>
      <c r="F93" s="90"/>
      <c r="G93" s="87"/>
      <c r="H93" s="87"/>
      <c r="I93" s="90"/>
      <c r="J93" s="87"/>
      <c r="K93" s="87"/>
      <c r="L93" s="90"/>
      <c r="M93" s="87"/>
      <c r="N93" s="87"/>
      <c r="O93" s="90"/>
      <c r="P93" s="87"/>
      <c r="Q93" s="87"/>
      <c r="R93" s="90"/>
      <c r="S93" s="87"/>
      <c r="T93" s="87"/>
      <c r="U93" s="90"/>
      <c r="V93" s="87"/>
      <c r="W93" s="87"/>
      <c r="X93" s="90"/>
      <c r="Y93" s="87"/>
      <c r="Z93" s="87"/>
      <c r="AA93" s="90"/>
      <c r="AB93" s="87"/>
      <c r="AC93" s="87"/>
      <c r="AD93" s="90"/>
      <c r="AE93" s="87"/>
      <c r="AF93" s="87"/>
      <c r="AG93" s="90"/>
    </row>
    <row r="94" spans="1:33" ht="15.75" thickBot="1" x14ac:dyDescent="0.3">
      <c r="A94" s="68"/>
      <c r="B94" s="68"/>
      <c r="D94" s="88"/>
      <c r="E94" s="88"/>
      <c r="F94" s="91"/>
      <c r="G94" s="88"/>
      <c r="H94" s="88"/>
      <c r="I94" s="91"/>
      <c r="J94" s="88"/>
      <c r="K94" s="88"/>
      <c r="L94" s="91"/>
      <c r="M94" s="88"/>
      <c r="N94" s="88"/>
      <c r="O94" s="91"/>
      <c r="P94" s="88"/>
      <c r="Q94" s="88"/>
      <c r="R94" s="91"/>
      <c r="S94" s="88"/>
      <c r="T94" s="88"/>
      <c r="U94" s="91"/>
      <c r="V94" s="88"/>
      <c r="W94" s="88"/>
      <c r="X94" s="91"/>
      <c r="Y94" s="88"/>
      <c r="Z94" s="88"/>
      <c r="AA94" s="91"/>
      <c r="AB94" s="88"/>
      <c r="AC94" s="88"/>
      <c r="AD94" s="91"/>
      <c r="AE94" s="88"/>
      <c r="AF94" s="88"/>
      <c r="AG94" s="91"/>
    </row>
    <row r="96" spans="1:33" ht="15.75" thickBot="1" x14ac:dyDescent="0.3"/>
    <row r="97" spans="1:33" ht="15.75" thickBot="1" x14ac:dyDescent="0.3">
      <c r="A97" s="68" t="s">
        <v>80</v>
      </c>
      <c r="B97" s="68"/>
      <c r="D97" s="52" t="s">
        <v>27</v>
      </c>
      <c r="E97" s="52"/>
      <c r="F97" s="52"/>
      <c r="G97" s="73" t="s">
        <v>28</v>
      </c>
      <c r="H97" s="73"/>
      <c r="I97" s="73"/>
      <c r="J97" s="52" t="s">
        <v>29</v>
      </c>
      <c r="K97" s="52"/>
      <c r="L97" s="52"/>
      <c r="M97" s="73" t="s">
        <v>30</v>
      </c>
      <c r="N97" s="73"/>
      <c r="O97" s="73"/>
      <c r="P97" s="52" t="s">
        <v>31</v>
      </c>
      <c r="Q97" s="52"/>
      <c r="R97" s="52"/>
      <c r="S97" s="73" t="s">
        <v>32</v>
      </c>
      <c r="T97" s="73"/>
      <c r="U97" s="73"/>
      <c r="V97" s="52" t="s">
        <v>33</v>
      </c>
      <c r="W97" s="52"/>
      <c r="X97" s="52"/>
      <c r="Y97" s="73" t="s">
        <v>34</v>
      </c>
      <c r="Z97" s="73"/>
      <c r="AA97" s="73"/>
      <c r="AB97" s="52" t="s">
        <v>35</v>
      </c>
      <c r="AC97" s="52"/>
      <c r="AD97" s="52"/>
      <c r="AE97" s="73" t="s">
        <v>36</v>
      </c>
      <c r="AF97" s="73"/>
      <c r="AG97" s="73"/>
    </row>
    <row r="98" spans="1:33" ht="15.75" thickBot="1" x14ac:dyDescent="0.3">
      <c r="A98" s="68"/>
      <c r="B98" s="68"/>
      <c r="C98" s="105" t="s">
        <v>243</v>
      </c>
      <c r="D98" s="75">
        <v>0</v>
      </c>
      <c r="E98" s="75"/>
      <c r="F98" s="76"/>
      <c r="G98" s="74">
        <v>0</v>
      </c>
      <c r="H98" s="75"/>
      <c r="I98" s="76"/>
      <c r="J98" s="74">
        <v>0</v>
      </c>
      <c r="K98" s="75"/>
      <c r="L98" s="76"/>
      <c r="M98" s="74">
        <v>0</v>
      </c>
      <c r="N98" s="75"/>
      <c r="O98" s="76"/>
      <c r="P98" s="74">
        <v>0</v>
      </c>
      <c r="Q98" s="75"/>
      <c r="R98" s="76"/>
      <c r="S98" s="74">
        <v>0</v>
      </c>
      <c r="T98" s="75"/>
      <c r="U98" s="76"/>
      <c r="V98" s="74">
        <v>0</v>
      </c>
      <c r="W98" s="75"/>
      <c r="X98" s="76"/>
      <c r="Y98" s="74">
        <v>0</v>
      </c>
      <c r="Z98" s="75"/>
      <c r="AA98" s="76"/>
      <c r="AB98" s="74">
        <v>0</v>
      </c>
      <c r="AC98" s="75"/>
      <c r="AD98" s="76"/>
      <c r="AE98" s="74">
        <v>0</v>
      </c>
      <c r="AF98" s="75"/>
      <c r="AG98" s="76"/>
    </row>
    <row r="99" spans="1:33" ht="15.75" thickBot="1" x14ac:dyDescent="0.3">
      <c r="A99" s="68"/>
      <c r="B99" s="68"/>
      <c r="C99" s="106" t="s">
        <v>244</v>
      </c>
      <c r="D99" s="82">
        <v>0</v>
      </c>
      <c r="E99" s="82"/>
      <c r="F99" s="84"/>
      <c r="G99" s="85">
        <v>0</v>
      </c>
      <c r="H99" s="82"/>
      <c r="I99" s="84"/>
      <c r="J99" s="85">
        <v>0</v>
      </c>
      <c r="K99" s="82"/>
      <c r="L99" s="84"/>
      <c r="M99" s="85">
        <v>0</v>
      </c>
      <c r="N99" s="82"/>
      <c r="O99" s="82"/>
      <c r="P99" s="81">
        <v>0</v>
      </c>
      <c r="Q99" s="82"/>
      <c r="R99" s="83"/>
      <c r="S99" s="82">
        <v>0</v>
      </c>
      <c r="T99" s="82"/>
      <c r="U99" s="84"/>
      <c r="V99" s="85">
        <v>0</v>
      </c>
      <c r="W99" s="82"/>
      <c r="X99" s="84"/>
      <c r="Y99" s="85">
        <v>0</v>
      </c>
      <c r="Z99" s="82"/>
      <c r="AA99" s="84"/>
      <c r="AB99" s="85">
        <v>0</v>
      </c>
      <c r="AC99" s="82"/>
      <c r="AD99" s="84"/>
      <c r="AE99" s="85">
        <v>0</v>
      </c>
      <c r="AF99" s="82"/>
      <c r="AG99" s="84"/>
    </row>
    <row r="100" spans="1:33" ht="15.75" thickBot="1" x14ac:dyDescent="0.3">
      <c r="A100" s="68"/>
      <c r="B100" s="68"/>
      <c r="C100" s="107" t="s">
        <v>37</v>
      </c>
      <c r="D100" s="104"/>
      <c r="E100" s="86"/>
      <c r="F100" s="89"/>
      <c r="G100" s="86"/>
      <c r="H100" s="86"/>
      <c r="I100" s="89"/>
      <c r="J100" s="86"/>
      <c r="K100" s="86"/>
      <c r="L100" s="89"/>
      <c r="M100" s="86"/>
      <c r="N100" s="86"/>
      <c r="O100" s="89"/>
      <c r="P100" s="86"/>
      <c r="Q100" s="86"/>
      <c r="R100" s="89"/>
      <c r="S100" s="86"/>
      <c r="T100" s="86"/>
      <c r="U100" s="89"/>
      <c r="V100" s="86"/>
      <c r="W100" s="86"/>
      <c r="X100" s="89"/>
      <c r="Y100" s="86"/>
      <c r="Z100" s="86"/>
      <c r="AA100" s="89"/>
      <c r="AB100" s="86"/>
      <c r="AC100" s="86"/>
      <c r="AD100" s="89"/>
      <c r="AE100" s="86"/>
      <c r="AF100" s="86"/>
      <c r="AG100" s="89"/>
    </row>
    <row r="101" spans="1:33" ht="15.75" thickBot="1" x14ac:dyDescent="0.3">
      <c r="A101" s="68"/>
      <c r="B101" s="68"/>
      <c r="D101" s="87"/>
      <c r="E101" s="87"/>
      <c r="F101" s="90"/>
      <c r="G101" s="87"/>
      <c r="H101" s="87"/>
      <c r="I101" s="90"/>
      <c r="J101" s="87"/>
      <c r="K101" s="87"/>
      <c r="L101" s="90"/>
      <c r="M101" s="87"/>
      <c r="N101" s="87"/>
      <c r="O101" s="90"/>
      <c r="P101" s="87"/>
      <c r="Q101" s="87"/>
      <c r="R101" s="90"/>
      <c r="S101" s="87"/>
      <c r="T101" s="87"/>
      <c r="U101" s="90"/>
      <c r="V101" s="87"/>
      <c r="W101" s="87"/>
      <c r="X101" s="90"/>
      <c r="Y101" s="87"/>
      <c r="Z101" s="87"/>
      <c r="AA101" s="90"/>
      <c r="AB101" s="87"/>
      <c r="AC101" s="87"/>
      <c r="AD101" s="90"/>
      <c r="AE101" s="87"/>
      <c r="AF101" s="87"/>
      <c r="AG101" s="90"/>
    </row>
    <row r="102" spans="1:33" ht="15.75" thickBot="1" x14ac:dyDescent="0.3">
      <c r="A102" s="68"/>
      <c r="B102" s="68"/>
      <c r="D102" s="88"/>
      <c r="E102" s="88"/>
      <c r="F102" s="91"/>
      <c r="G102" s="88"/>
      <c r="H102" s="88"/>
      <c r="I102" s="91"/>
      <c r="J102" s="88"/>
      <c r="K102" s="88"/>
      <c r="L102" s="91"/>
      <c r="M102" s="88"/>
      <c r="N102" s="88"/>
      <c r="O102" s="91"/>
      <c r="P102" s="88"/>
      <c r="Q102" s="88"/>
      <c r="R102" s="91"/>
      <c r="S102" s="88"/>
      <c r="T102" s="88"/>
      <c r="U102" s="91"/>
      <c r="V102" s="88"/>
      <c r="W102" s="88"/>
      <c r="X102" s="91"/>
      <c r="Y102" s="88"/>
      <c r="Z102" s="88"/>
      <c r="AA102" s="91"/>
      <c r="AB102" s="88"/>
      <c r="AC102" s="88"/>
      <c r="AD102" s="91"/>
      <c r="AE102" s="88"/>
      <c r="AF102" s="88"/>
      <c r="AG102" s="91"/>
    </row>
    <row r="104" spans="1:33" ht="15.75" thickBot="1" x14ac:dyDescent="0.3"/>
    <row r="105" spans="1:33" ht="15.75" thickBot="1" x14ac:dyDescent="0.3">
      <c r="A105" s="68" t="s">
        <v>81</v>
      </c>
      <c r="B105" s="68"/>
      <c r="D105" s="52" t="s">
        <v>27</v>
      </c>
      <c r="E105" s="52"/>
      <c r="F105" s="52"/>
      <c r="G105" s="73" t="s">
        <v>28</v>
      </c>
      <c r="H105" s="73"/>
      <c r="I105" s="73"/>
      <c r="J105" s="52" t="s">
        <v>29</v>
      </c>
      <c r="K105" s="52"/>
      <c r="L105" s="52"/>
      <c r="M105" s="73" t="s">
        <v>30</v>
      </c>
      <c r="N105" s="73"/>
      <c r="O105" s="73"/>
      <c r="P105" s="52" t="s">
        <v>31</v>
      </c>
      <c r="Q105" s="52"/>
      <c r="R105" s="52"/>
      <c r="S105" s="73" t="s">
        <v>32</v>
      </c>
      <c r="T105" s="73"/>
      <c r="U105" s="73"/>
      <c r="V105" s="52" t="s">
        <v>33</v>
      </c>
      <c r="W105" s="52"/>
      <c r="X105" s="52"/>
      <c r="Y105" s="73" t="s">
        <v>34</v>
      </c>
      <c r="Z105" s="73"/>
      <c r="AA105" s="73"/>
      <c r="AB105" s="52" t="s">
        <v>35</v>
      </c>
      <c r="AC105" s="52"/>
      <c r="AD105" s="52"/>
      <c r="AE105" s="73" t="s">
        <v>36</v>
      </c>
      <c r="AF105" s="73"/>
      <c r="AG105" s="73"/>
    </row>
    <row r="106" spans="1:33" ht="15.75" thickBot="1" x14ac:dyDescent="0.3">
      <c r="A106" s="68"/>
      <c r="B106" s="68"/>
      <c r="C106" s="105" t="s">
        <v>243</v>
      </c>
      <c r="D106" s="75">
        <v>0</v>
      </c>
      <c r="E106" s="75"/>
      <c r="F106" s="76"/>
      <c r="G106" s="74">
        <v>0</v>
      </c>
      <c r="H106" s="75"/>
      <c r="I106" s="76"/>
      <c r="J106" s="74">
        <v>0</v>
      </c>
      <c r="K106" s="75"/>
      <c r="L106" s="76"/>
      <c r="M106" s="74">
        <v>0</v>
      </c>
      <c r="N106" s="75"/>
      <c r="O106" s="76"/>
      <c r="P106" s="74">
        <v>0</v>
      </c>
      <c r="Q106" s="75"/>
      <c r="R106" s="76"/>
      <c r="S106" s="74">
        <v>0</v>
      </c>
      <c r="T106" s="75"/>
      <c r="U106" s="76"/>
      <c r="V106" s="74">
        <v>0</v>
      </c>
      <c r="W106" s="75"/>
      <c r="X106" s="76"/>
      <c r="Y106" s="74">
        <v>0</v>
      </c>
      <c r="Z106" s="75"/>
      <c r="AA106" s="76"/>
      <c r="AB106" s="74">
        <v>0</v>
      </c>
      <c r="AC106" s="75"/>
      <c r="AD106" s="76"/>
      <c r="AE106" s="74">
        <v>0</v>
      </c>
      <c r="AF106" s="75"/>
      <c r="AG106" s="76"/>
    </row>
    <row r="107" spans="1:33" ht="15.75" thickBot="1" x14ac:dyDescent="0.3">
      <c r="A107" s="68"/>
      <c r="B107" s="68"/>
      <c r="C107" s="106" t="s">
        <v>244</v>
      </c>
      <c r="D107" s="82">
        <v>0</v>
      </c>
      <c r="E107" s="82"/>
      <c r="F107" s="84"/>
      <c r="G107" s="85">
        <v>0</v>
      </c>
      <c r="H107" s="82"/>
      <c r="I107" s="84"/>
      <c r="J107" s="85">
        <v>0</v>
      </c>
      <c r="K107" s="82"/>
      <c r="L107" s="84"/>
      <c r="M107" s="85">
        <v>0</v>
      </c>
      <c r="N107" s="82"/>
      <c r="O107" s="82"/>
      <c r="P107" s="81">
        <v>0</v>
      </c>
      <c r="Q107" s="82"/>
      <c r="R107" s="83"/>
      <c r="S107" s="82">
        <v>0</v>
      </c>
      <c r="T107" s="82"/>
      <c r="U107" s="84"/>
      <c r="V107" s="85">
        <v>0</v>
      </c>
      <c r="W107" s="82"/>
      <c r="X107" s="84"/>
      <c r="Y107" s="85">
        <v>0</v>
      </c>
      <c r="Z107" s="82"/>
      <c r="AA107" s="84"/>
      <c r="AB107" s="85">
        <v>0</v>
      </c>
      <c r="AC107" s="82"/>
      <c r="AD107" s="84"/>
      <c r="AE107" s="85">
        <v>0</v>
      </c>
      <c r="AF107" s="82"/>
      <c r="AG107" s="84"/>
    </row>
    <row r="108" spans="1:33" ht="15.75" thickBot="1" x14ac:dyDescent="0.3">
      <c r="A108" s="68"/>
      <c r="B108" s="68"/>
      <c r="C108" s="107" t="s">
        <v>37</v>
      </c>
      <c r="D108" s="104"/>
      <c r="E108" s="86"/>
      <c r="F108" s="89"/>
      <c r="G108" s="86"/>
      <c r="H108" s="86"/>
      <c r="I108" s="89"/>
      <c r="J108" s="86"/>
      <c r="K108" s="86"/>
      <c r="L108" s="89"/>
      <c r="M108" s="86"/>
      <c r="N108" s="86"/>
      <c r="O108" s="89"/>
      <c r="P108" s="86"/>
      <c r="Q108" s="86"/>
      <c r="R108" s="89"/>
      <c r="S108" s="86"/>
      <c r="T108" s="86"/>
      <c r="U108" s="89"/>
      <c r="V108" s="86"/>
      <c r="W108" s="86"/>
      <c r="X108" s="89"/>
      <c r="Y108" s="86"/>
      <c r="Z108" s="86"/>
      <c r="AA108" s="89"/>
      <c r="AB108" s="86"/>
      <c r="AC108" s="86"/>
      <c r="AD108" s="89"/>
      <c r="AE108" s="86"/>
      <c r="AF108" s="86"/>
      <c r="AG108" s="89"/>
    </row>
    <row r="109" spans="1:33" ht="15.75" thickBot="1" x14ac:dyDescent="0.3">
      <c r="A109" s="68"/>
      <c r="B109" s="68"/>
      <c r="D109" s="87"/>
      <c r="E109" s="87"/>
      <c r="F109" s="90"/>
      <c r="G109" s="87"/>
      <c r="H109" s="87"/>
      <c r="I109" s="90"/>
      <c r="J109" s="87"/>
      <c r="K109" s="87"/>
      <c r="L109" s="90"/>
      <c r="M109" s="87"/>
      <c r="N109" s="87"/>
      <c r="O109" s="90"/>
      <c r="P109" s="87"/>
      <c r="Q109" s="87"/>
      <c r="R109" s="90"/>
      <c r="S109" s="87"/>
      <c r="T109" s="87"/>
      <c r="U109" s="90"/>
      <c r="V109" s="87"/>
      <c r="W109" s="87"/>
      <c r="X109" s="90"/>
      <c r="Y109" s="87"/>
      <c r="Z109" s="87"/>
      <c r="AA109" s="90"/>
      <c r="AB109" s="87"/>
      <c r="AC109" s="87"/>
      <c r="AD109" s="90"/>
      <c r="AE109" s="87"/>
      <c r="AF109" s="87"/>
      <c r="AG109" s="90"/>
    </row>
    <row r="110" spans="1:33" ht="15.75" thickBot="1" x14ac:dyDescent="0.3">
      <c r="A110" s="68"/>
      <c r="B110" s="68"/>
      <c r="D110" s="88"/>
      <c r="E110" s="88"/>
      <c r="F110" s="91"/>
      <c r="G110" s="88"/>
      <c r="H110" s="88"/>
      <c r="I110" s="91"/>
      <c r="J110" s="88"/>
      <c r="K110" s="88"/>
      <c r="L110" s="91"/>
      <c r="M110" s="88"/>
      <c r="N110" s="88"/>
      <c r="O110" s="91"/>
      <c r="P110" s="88"/>
      <c r="Q110" s="88"/>
      <c r="R110" s="91"/>
      <c r="S110" s="88"/>
      <c r="T110" s="88"/>
      <c r="U110" s="91"/>
      <c r="V110" s="88"/>
      <c r="W110" s="88"/>
      <c r="X110" s="91"/>
      <c r="Y110" s="88"/>
      <c r="Z110" s="88"/>
      <c r="AA110" s="91"/>
      <c r="AB110" s="88"/>
      <c r="AC110" s="88"/>
      <c r="AD110" s="91"/>
      <c r="AE110" s="88"/>
      <c r="AF110" s="88"/>
      <c r="AG110" s="91"/>
    </row>
    <row r="112" spans="1:33" ht="15.75" thickBot="1" x14ac:dyDescent="0.3"/>
    <row r="113" spans="1:33" ht="15.75" thickBot="1" x14ac:dyDescent="0.3">
      <c r="A113" s="68" t="s">
        <v>82</v>
      </c>
      <c r="B113" s="68"/>
      <c r="D113" s="52" t="s">
        <v>27</v>
      </c>
      <c r="E113" s="52"/>
      <c r="F113" s="52"/>
      <c r="G113" s="73" t="s">
        <v>28</v>
      </c>
      <c r="H113" s="73"/>
      <c r="I113" s="73"/>
      <c r="J113" s="52" t="s">
        <v>29</v>
      </c>
      <c r="K113" s="52"/>
      <c r="L113" s="52"/>
      <c r="M113" s="73" t="s">
        <v>30</v>
      </c>
      <c r="N113" s="73"/>
      <c r="O113" s="73"/>
      <c r="P113" s="52" t="s">
        <v>31</v>
      </c>
      <c r="Q113" s="52"/>
      <c r="R113" s="52"/>
      <c r="S113" s="73" t="s">
        <v>32</v>
      </c>
      <c r="T113" s="73"/>
      <c r="U113" s="73"/>
      <c r="V113" s="52" t="s">
        <v>33</v>
      </c>
      <c r="W113" s="52"/>
      <c r="X113" s="52"/>
      <c r="Y113" s="73" t="s">
        <v>34</v>
      </c>
      <c r="Z113" s="73"/>
      <c r="AA113" s="73"/>
      <c r="AB113" s="52" t="s">
        <v>35</v>
      </c>
      <c r="AC113" s="52"/>
      <c r="AD113" s="52"/>
      <c r="AE113" s="73" t="s">
        <v>36</v>
      </c>
      <c r="AF113" s="73"/>
      <c r="AG113" s="73"/>
    </row>
    <row r="114" spans="1:33" ht="15.75" thickBot="1" x14ac:dyDescent="0.3">
      <c r="A114" s="68"/>
      <c r="B114" s="68"/>
      <c r="C114" s="105" t="s">
        <v>243</v>
      </c>
      <c r="D114" s="75">
        <v>0</v>
      </c>
      <c r="E114" s="75"/>
      <c r="F114" s="76"/>
      <c r="G114" s="74">
        <v>0</v>
      </c>
      <c r="H114" s="75"/>
      <c r="I114" s="76"/>
      <c r="J114" s="74">
        <v>0</v>
      </c>
      <c r="K114" s="75"/>
      <c r="L114" s="76"/>
      <c r="M114" s="74">
        <v>0</v>
      </c>
      <c r="N114" s="75"/>
      <c r="O114" s="76"/>
      <c r="P114" s="74">
        <v>0</v>
      </c>
      <c r="Q114" s="75"/>
      <c r="R114" s="76"/>
      <c r="S114" s="74">
        <v>0</v>
      </c>
      <c r="T114" s="75"/>
      <c r="U114" s="76"/>
      <c r="V114" s="74">
        <v>0</v>
      </c>
      <c r="W114" s="75"/>
      <c r="X114" s="76"/>
      <c r="Y114" s="74">
        <v>0</v>
      </c>
      <c r="Z114" s="75"/>
      <c r="AA114" s="76"/>
      <c r="AB114" s="74">
        <v>0</v>
      </c>
      <c r="AC114" s="75"/>
      <c r="AD114" s="76"/>
      <c r="AE114" s="74">
        <v>0</v>
      </c>
      <c r="AF114" s="75"/>
      <c r="AG114" s="76"/>
    </row>
    <row r="115" spans="1:33" ht="15.75" thickBot="1" x14ac:dyDescent="0.3">
      <c r="A115" s="68"/>
      <c r="B115" s="68"/>
      <c r="C115" s="106" t="s">
        <v>244</v>
      </c>
      <c r="D115" s="82">
        <v>0</v>
      </c>
      <c r="E115" s="82"/>
      <c r="F115" s="84"/>
      <c r="G115" s="85">
        <v>0</v>
      </c>
      <c r="H115" s="82"/>
      <c r="I115" s="84"/>
      <c r="J115" s="85">
        <v>0</v>
      </c>
      <c r="K115" s="82"/>
      <c r="L115" s="84"/>
      <c r="M115" s="85">
        <v>0</v>
      </c>
      <c r="N115" s="82"/>
      <c r="O115" s="82"/>
      <c r="P115" s="81">
        <v>0</v>
      </c>
      <c r="Q115" s="82"/>
      <c r="R115" s="83"/>
      <c r="S115" s="82">
        <v>0</v>
      </c>
      <c r="T115" s="82"/>
      <c r="U115" s="84"/>
      <c r="V115" s="85">
        <v>0</v>
      </c>
      <c r="W115" s="82"/>
      <c r="X115" s="84"/>
      <c r="Y115" s="85">
        <v>0</v>
      </c>
      <c r="Z115" s="82"/>
      <c r="AA115" s="84"/>
      <c r="AB115" s="85">
        <v>0</v>
      </c>
      <c r="AC115" s="82"/>
      <c r="AD115" s="84"/>
      <c r="AE115" s="85">
        <v>0</v>
      </c>
      <c r="AF115" s="82"/>
      <c r="AG115" s="84"/>
    </row>
    <row r="116" spans="1:33" ht="15.75" thickBot="1" x14ac:dyDescent="0.3">
      <c r="A116" s="68"/>
      <c r="B116" s="68"/>
      <c r="C116" s="107" t="s">
        <v>37</v>
      </c>
      <c r="D116" s="104"/>
      <c r="E116" s="86"/>
      <c r="F116" s="89"/>
      <c r="G116" s="86"/>
      <c r="H116" s="86"/>
      <c r="I116" s="89"/>
      <c r="J116" s="86"/>
      <c r="K116" s="86"/>
      <c r="L116" s="89"/>
      <c r="M116" s="86"/>
      <c r="N116" s="86"/>
      <c r="O116" s="89"/>
      <c r="P116" s="86"/>
      <c r="Q116" s="86"/>
      <c r="R116" s="89"/>
      <c r="S116" s="86"/>
      <c r="T116" s="86"/>
      <c r="U116" s="89"/>
      <c r="V116" s="86"/>
      <c r="W116" s="86"/>
      <c r="X116" s="89"/>
      <c r="Y116" s="86"/>
      <c r="Z116" s="86"/>
      <c r="AA116" s="89"/>
      <c r="AB116" s="86"/>
      <c r="AC116" s="86"/>
      <c r="AD116" s="89"/>
      <c r="AE116" s="86"/>
      <c r="AF116" s="86"/>
      <c r="AG116" s="89"/>
    </row>
    <row r="117" spans="1:33" ht="15.75" thickBot="1" x14ac:dyDescent="0.3">
      <c r="A117" s="68"/>
      <c r="B117" s="68"/>
      <c r="D117" s="87"/>
      <c r="E117" s="87"/>
      <c r="F117" s="90"/>
      <c r="G117" s="87"/>
      <c r="H117" s="87"/>
      <c r="I117" s="90"/>
      <c r="J117" s="87"/>
      <c r="K117" s="87"/>
      <c r="L117" s="90"/>
      <c r="M117" s="87"/>
      <c r="N117" s="87"/>
      <c r="O117" s="90"/>
      <c r="P117" s="87"/>
      <c r="Q117" s="87"/>
      <c r="R117" s="90"/>
      <c r="S117" s="87"/>
      <c r="T117" s="87"/>
      <c r="U117" s="90"/>
      <c r="V117" s="87"/>
      <c r="W117" s="87"/>
      <c r="X117" s="90"/>
      <c r="Y117" s="87"/>
      <c r="Z117" s="87"/>
      <c r="AA117" s="90"/>
      <c r="AB117" s="87"/>
      <c r="AC117" s="87"/>
      <c r="AD117" s="90"/>
      <c r="AE117" s="87"/>
      <c r="AF117" s="87"/>
      <c r="AG117" s="90"/>
    </row>
    <row r="118" spans="1:33" ht="15.75" thickBot="1" x14ac:dyDescent="0.3">
      <c r="A118" s="68"/>
      <c r="B118" s="68"/>
      <c r="D118" s="88"/>
      <c r="E118" s="88"/>
      <c r="F118" s="91"/>
      <c r="G118" s="88"/>
      <c r="H118" s="88"/>
      <c r="I118" s="91"/>
      <c r="J118" s="88"/>
      <c r="K118" s="88"/>
      <c r="L118" s="91"/>
      <c r="M118" s="88"/>
      <c r="N118" s="88"/>
      <c r="O118" s="91"/>
      <c r="P118" s="88"/>
      <c r="Q118" s="88"/>
      <c r="R118" s="91"/>
      <c r="S118" s="88"/>
      <c r="T118" s="88"/>
      <c r="U118" s="91"/>
      <c r="V118" s="88"/>
      <c r="W118" s="88"/>
      <c r="X118" s="91"/>
      <c r="Y118" s="88"/>
      <c r="Z118" s="88"/>
      <c r="AA118" s="91"/>
      <c r="AB118" s="88"/>
      <c r="AC118" s="88"/>
      <c r="AD118" s="91"/>
      <c r="AE118" s="88"/>
      <c r="AF118" s="88"/>
      <c r="AG118" s="91"/>
    </row>
    <row r="120" spans="1:33" ht="15.75" thickBot="1" x14ac:dyDescent="0.3"/>
    <row r="121" spans="1:33" ht="15.75" thickBot="1" x14ac:dyDescent="0.3">
      <c r="A121" s="68" t="s">
        <v>86</v>
      </c>
      <c r="B121" s="68"/>
      <c r="D121" s="52" t="s">
        <v>27</v>
      </c>
      <c r="E121" s="52"/>
      <c r="F121" s="52"/>
      <c r="G121" s="73" t="s">
        <v>28</v>
      </c>
      <c r="H121" s="73"/>
      <c r="I121" s="73"/>
      <c r="J121" s="52" t="s">
        <v>29</v>
      </c>
      <c r="K121" s="52"/>
      <c r="L121" s="52"/>
      <c r="M121" s="73" t="s">
        <v>30</v>
      </c>
      <c r="N121" s="73"/>
      <c r="O121" s="73"/>
      <c r="P121" s="52" t="s">
        <v>31</v>
      </c>
      <c r="Q121" s="52"/>
      <c r="R121" s="52"/>
      <c r="S121" s="73" t="s">
        <v>32</v>
      </c>
      <c r="T121" s="73"/>
      <c r="U121" s="73"/>
      <c r="V121" s="52" t="s">
        <v>33</v>
      </c>
      <c r="W121" s="52"/>
      <c r="X121" s="52"/>
      <c r="Y121" s="73" t="s">
        <v>34</v>
      </c>
      <c r="Z121" s="73"/>
      <c r="AA121" s="73"/>
      <c r="AB121" s="52" t="s">
        <v>35</v>
      </c>
      <c r="AC121" s="52"/>
      <c r="AD121" s="52"/>
      <c r="AE121" s="73" t="s">
        <v>36</v>
      </c>
      <c r="AF121" s="73"/>
      <c r="AG121" s="73"/>
    </row>
    <row r="122" spans="1:33" ht="15.75" thickBot="1" x14ac:dyDescent="0.3">
      <c r="A122" s="68"/>
      <c r="B122" s="68"/>
      <c r="C122" s="105" t="s">
        <v>243</v>
      </c>
      <c r="D122" s="75">
        <v>0</v>
      </c>
      <c r="E122" s="75"/>
      <c r="F122" s="76"/>
      <c r="G122" s="74">
        <v>0</v>
      </c>
      <c r="H122" s="75"/>
      <c r="I122" s="76"/>
      <c r="J122" s="74">
        <v>0</v>
      </c>
      <c r="K122" s="75"/>
      <c r="L122" s="76"/>
      <c r="M122" s="74">
        <v>0</v>
      </c>
      <c r="N122" s="75"/>
      <c r="O122" s="76"/>
      <c r="P122" s="74">
        <v>0</v>
      </c>
      <c r="Q122" s="75"/>
      <c r="R122" s="76"/>
      <c r="S122" s="74">
        <v>0</v>
      </c>
      <c r="T122" s="75"/>
      <c r="U122" s="76"/>
      <c r="V122" s="74">
        <v>0</v>
      </c>
      <c r="W122" s="75"/>
      <c r="X122" s="76"/>
      <c r="Y122" s="74">
        <v>0</v>
      </c>
      <c r="Z122" s="75"/>
      <c r="AA122" s="76"/>
      <c r="AB122" s="74">
        <v>0</v>
      </c>
      <c r="AC122" s="75"/>
      <c r="AD122" s="76"/>
      <c r="AE122" s="74">
        <v>0</v>
      </c>
      <c r="AF122" s="75"/>
      <c r="AG122" s="76"/>
    </row>
    <row r="123" spans="1:33" ht="15.75" thickBot="1" x14ac:dyDescent="0.3">
      <c r="A123" s="68"/>
      <c r="B123" s="68"/>
      <c r="C123" s="106" t="s">
        <v>244</v>
      </c>
      <c r="D123" s="82">
        <v>0</v>
      </c>
      <c r="E123" s="82"/>
      <c r="F123" s="84"/>
      <c r="G123" s="85">
        <v>0</v>
      </c>
      <c r="H123" s="82"/>
      <c r="I123" s="84"/>
      <c r="J123" s="85">
        <v>0</v>
      </c>
      <c r="K123" s="82"/>
      <c r="L123" s="84"/>
      <c r="M123" s="85">
        <v>0</v>
      </c>
      <c r="N123" s="82"/>
      <c r="O123" s="82"/>
      <c r="P123" s="81">
        <v>0</v>
      </c>
      <c r="Q123" s="82"/>
      <c r="R123" s="83"/>
      <c r="S123" s="82">
        <v>0</v>
      </c>
      <c r="T123" s="82"/>
      <c r="U123" s="84"/>
      <c r="V123" s="85">
        <v>0</v>
      </c>
      <c r="W123" s="82"/>
      <c r="X123" s="84"/>
      <c r="Y123" s="85">
        <v>0</v>
      </c>
      <c r="Z123" s="82"/>
      <c r="AA123" s="84"/>
      <c r="AB123" s="85">
        <v>0</v>
      </c>
      <c r="AC123" s="82"/>
      <c r="AD123" s="84"/>
      <c r="AE123" s="85">
        <v>0</v>
      </c>
      <c r="AF123" s="82"/>
      <c r="AG123" s="84"/>
    </row>
    <row r="124" spans="1:33" ht="15.75" thickBot="1" x14ac:dyDescent="0.3">
      <c r="A124" s="68"/>
      <c r="B124" s="68"/>
      <c r="C124" s="107" t="s">
        <v>37</v>
      </c>
      <c r="D124" s="104"/>
      <c r="E124" s="86"/>
      <c r="F124" s="89"/>
      <c r="G124" s="86"/>
      <c r="H124" s="86"/>
      <c r="I124" s="89"/>
      <c r="J124" s="86"/>
      <c r="K124" s="86"/>
      <c r="L124" s="89"/>
      <c r="M124" s="86"/>
      <c r="N124" s="86"/>
      <c r="O124" s="89"/>
      <c r="P124" s="86"/>
      <c r="Q124" s="86"/>
      <c r="R124" s="89"/>
      <c r="S124" s="86"/>
      <c r="T124" s="86"/>
      <c r="U124" s="89"/>
      <c r="V124" s="86"/>
      <c r="W124" s="86"/>
      <c r="X124" s="89"/>
      <c r="Y124" s="86"/>
      <c r="Z124" s="86"/>
      <c r="AA124" s="89"/>
      <c r="AB124" s="86"/>
      <c r="AC124" s="86"/>
      <c r="AD124" s="89"/>
      <c r="AE124" s="86"/>
      <c r="AF124" s="86"/>
      <c r="AG124" s="89"/>
    </row>
    <row r="125" spans="1:33" ht="15.75" thickBot="1" x14ac:dyDescent="0.3">
      <c r="A125" s="68"/>
      <c r="B125" s="68"/>
      <c r="D125" s="87"/>
      <c r="E125" s="87"/>
      <c r="F125" s="90"/>
      <c r="G125" s="87"/>
      <c r="H125" s="87"/>
      <c r="I125" s="90"/>
      <c r="J125" s="87"/>
      <c r="K125" s="87"/>
      <c r="L125" s="90"/>
      <c r="M125" s="87"/>
      <c r="N125" s="87"/>
      <c r="O125" s="90"/>
      <c r="P125" s="87"/>
      <c r="Q125" s="87"/>
      <c r="R125" s="90"/>
      <c r="S125" s="87"/>
      <c r="T125" s="87"/>
      <c r="U125" s="90"/>
      <c r="V125" s="87"/>
      <c r="W125" s="87"/>
      <c r="X125" s="90"/>
      <c r="Y125" s="87"/>
      <c r="Z125" s="87"/>
      <c r="AA125" s="90"/>
      <c r="AB125" s="87"/>
      <c r="AC125" s="87"/>
      <c r="AD125" s="90"/>
      <c r="AE125" s="87"/>
      <c r="AF125" s="87"/>
      <c r="AG125" s="90"/>
    </row>
    <row r="126" spans="1:33" ht="15.75" thickBot="1" x14ac:dyDescent="0.3">
      <c r="A126" s="68"/>
      <c r="B126" s="68"/>
      <c r="D126" s="88"/>
      <c r="E126" s="88"/>
      <c r="F126" s="91"/>
      <c r="G126" s="88"/>
      <c r="H126" s="88"/>
      <c r="I126" s="91"/>
      <c r="J126" s="88"/>
      <c r="K126" s="88"/>
      <c r="L126" s="91"/>
      <c r="M126" s="88"/>
      <c r="N126" s="88"/>
      <c r="O126" s="91"/>
      <c r="P126" s="88"/>
      <c r="Q126" s="88"/>
      <c r="R126" s="91"/>
      <c r="S126" s="88"/>
      <c r="T126" s="88"/>
      <c r="U126" s="91"/>
      <c r="V126" s="88"/>
      <c r="W126" s="88"/>
      <c r="X126" s="91"/>
      <c r="Y126" s="88"/>
      <c r="Z126" s="88"/>
      <c r="AA126" s="91"/>
      <c r="AB126" s="88"/>
      <c r="AC126" s="88"/>
      <c r="AD126" s="91"/>
      <c r="AE126" s="88"/>
      <c r="AF126" s="88"/>
      <c r="AG126" s="91"/>
    </row>
    <row r="128" spans="1:33" ht="15.75" thickBot="1" x14ac:dyDescent="0.3"/>
    <row r="129" spans="1:33" ht="15.75" thickBot="1" x14ac:dyDescent="0.3">
      <c r="A129" s="68" t="s">
        <v>84</v>
      </c>
      <c r="B129" s="68"/>
      <c r="D129" s="52" t="s">
        <v>27</v>
      </c>
      <c r="E129" s="52"/>
      <c r="F129" s="52"/>
      <c r="G129" s="73" t="s">
        <v>28</v>
      </c>
      <c r="H129" s="73"/>
      <c r="I129" s="73"/>
      <c r="J129" s="52" t="s">
        <v>29</v>
      </c>
      <c r="K129" s="52"/>
      <c r="L129" s="52"/>
      <c r="M129" s="73" t="s">
        <v>30</v>
      </c>
      <c r="N129" s="73"/>
      <c r="O129" s="73"/>
      <c r="P129" s="52" t="s">
        <v>31</v>
      </c>
      <c r="Q129" s="52"/>
      <c r="R129" s="52"/>
      <c r="S129" s="73" t="s">
        <v>32</v>
      </c>
      <c r="T129" s="73"/>
      <c r="U129" s="73"/>
      <c r="V129" s="52" t="s">
        <v>33</v>
      </c>
      <c r="W129" s="52"/>
      <c r="X129" s="52"/>
      <c r="Y129" s="73" t="s">
        <v>34</v>
      </c>
      <c r="Z129" s="73"/>
      <c r="AA129" s="73"/>
      <c r="AB129" s="52" t="s">
        <v>35</v>
      </c>
      <c r="AC129" s="52"/>
      <c r="AD129" s="52"/>
      <c r="AE129" s="73" t="s">
        <v>36</v>
      </c>
      <c r="AF129" s="73"/>
      <c r="AG129" s="73"/>
    </row>
    <row r="130" spans="1:33" ht="15.75" thickBot="1" x14ac:dyDescent="0.3">
      <c r="A130" s="68"/>
      <c r="B130" s="68"/>
      <c r="C130" s="105" t="s">
        <v>243</v>
      </c>
      <c r="D130" s="75">
        <v>0</v>
      </c>
      <c r="E130" s="75"/>
      <c r="F130" s="76"/>
      <c r="G130" s="74">
        <v>0</v>
      </c>
      <c r="H130" s="75"/>
      <c r="I130" s="76"/>
      <c r="J130" s="74">
        <v>0</v>
      </c>
      <c r="K130" s="75"/>
      <c r="L130" s="76"/>
      <c r="M130" s="74">
        <v>0</v>
      </c>
      <c r="N130" s="75"/>
      <c r="O130" s="76"/>
      <c r="P130" s="74">
        <v>0</v>
      </c>
      <c r="Q130" s="75"/>
      <c r="R130" s="76"/>
      <c r="S130" s="74">
        <v>0</v>
      </c>
      <c r="T130" s="75"/>
      <c r="U130" s="76"/>
      <c r="V130" s="74">
        <v>0</v>
      </c>
      <c r="W130" s="75"/>
      <c r="X130" s="76"/>
      <c r="Y130" s="74">
        <v>0</v>
      </c>
      <c r="Z130" s="75"/>
      <c r="AA130" s="76"/>
      <c r="AB130" s="74">
        <v>0</v>
      </c>
      <c r="AC130" s="75"/>
      <c r="AD130" s="76"/>
      <c r="AE130" s="74">
        <v>0</v>
      </c>
      <c r="AF130" s="75"/>
      <c r="AG130" s="76"/>
    </row>
    <row r="131" spans="1:33" ht="15.75" thickBot="1" x14ac:dyDescent="0.3">
      <c r="A131" s="68"/>
      <c r="B131" s="68"/>
      <c r="C131" s="106" t="s">
        <v>244</v>
      </c>
      <c r="D131" s="82">
        <v>0</v>
      </c>
      <c r="E131" s="82"/>
      <c r="F131" s="84"/>
      <c r="G131" s="85">
        <v>0</v>
      </c>
      <c r="H131" s="82"/>
      <c r="I131" s="84"/>
      <c r="J131" s="85">
        <v>0</v>
      </c>
      <c r="K131" s="82"/>
      <c r="L131" s="84"/>
      <c r="M131" s="85">
        <v>0</v>
      </c>
      <c r="N131" s="82"/>
      <c r="O131" s="82"/>
      <c r="P131" s="81">
        <v>0</v>
      </c>
      <c r="Q131" s="82"/>
      <c r="R131" s="83"/>
      <c r="S131" s="82">
        <v>0</v>
      </c>
      <c r="T131" s="82"/>
      <c r="U131" s="84"/>
      <c r="V131" s="85">
        <v>0</v>
      </c>
      <c r="W131" s="82"/>
      <c r="X131" s="84"/>
      <c r="Y131" s="85">
        <v>0</v>
      </c>
      <c r="Z131" s="82"/>
      <c r="AA131" s="84"/>
      <c r="AB131" s="85">
        <v>0</v>
      </c>
      <c r="AC131" s="82"/>
      <c r="AD131" s="84"/>
      <c r="AE131" s="85">
        <v>0</v>
      </c>
      <c r="AF131" s="82"/>
      <c r="AG131" s="84"/>
    </row>
    <row r="132" spans="1:33" ht="15.75" thickBot="1" x14ac:dyDescent="0.3">
      <c r="A132" s="68"/>
      <c r="B132" s="68"/>
      <c r="C132" s="107" t="s">
        <v>37</v>
      </c>
      <c r="D132" s="104"/>
      <c r="E132" s="86"/>
      <c r="F132" s="89"/>
      <c r="G132" s="86"/>
      <c r="H132" s="86"/>
      <c r="I132" s="89"/>
      <c r="J132" s="86"/>
      <c r="K132" s="86"/>
      <c r="L132" s="89"/>
      <c r="M132" s="86"/>
      <c r="N132" s="86"/>
      <c r="O132" s="89"/>
      <c r="P132" s="86"/>
      <c r="Q132" s="86"/>
      <c r="R132" s="89"/>
      <c r="S132" s="86"/>
      <c r="T132" s="86"/>
      <c r="U132" s="89"/>
      <c r="V132" s="86"/>
      <c r="W132" s="86"/>
      <c r="X132" s="89"/>
      <c r="Y132" s="86"/>
      <c r="Z132" s="86"/>
      <c r="AA132" s="89"/>
      <c r="AB132" s="86"/>
      <c r="AC132" s="86"/>
      <c r="AD132" s="89"/>
      <c r="AE132" s="86"/>
      <c r="AF132" s="86"/>
      <c r="AG132" s="89"/>
    </row>
    <row r="133" spans="1:33" ht="15.75" thickBot="1" x14ac:dyDescent="0.3">
      <c r="A133" s="68"/>
      <c r="B133" s="68"/>
      <c r="D133" s="87"/>
      <c r="E133" s="87"/>
      <c r="F133" s="90"/>
      <c r="G133" s="87"/>
      <c r="H133" s="87"/>
      <c r="I133" s="90"/>
      <c r="J133" s="87"/>
      <c r="K133" s="87"/>
      <c r="L133" s="90"/>
      <c r="M133" s="87"/>
      <c r="N133" s="87"/>
      <c r="O133" s="90"/>
      <c r="P133" s="87"/>
      <c r="Q133" s="87"/>
      <c r="R133" s="90"/>
      <c r="S133" s="87"/>
      <c r="T133" s="87"/>
      <c r="U133" s="90"/>
      <c r="V133" s="87"/>
      <c r="W133" s="87"/>
      <c r="X133" s="90"/>
      <c r="Y133" s="87"/>
      <c r="Z133" s="87"/>
      <c r="AA133" s="90"/>
      <c r="AB133" s="87"/>
      <c r="AC133" s="87"/>
      <c r="AD133" s="90"/>
      <c r="AE133" s="87"/>
      <c r="AF133" s="87"/>
      <c r="AG133" s="90"/>
    </row>
    <row r="134" spans="1:33" ht="15.75" thickBot="1" x14ac:dyDescent="0.3">
      <c r="A134" s="68"/>
      <c r="B134" s="68"/>
      <c r="D134" s="88"/>
      <c r="E134" s="88"/>
      <c r="F134" s="91"/>
      <c r="G134" s="88"/>
      <c r="H134" s="88"/>
      <c r="I134" s="91"/>
      <c r="J134" s="88"/>
      <c r="K134" s="88"/>
      <c r="L134" s="91"/>
      <c r="M134" s="88"/>
      <c r="N134" s="88"/>
      <c r="O134" s="91"/>
      <c r="P134" s="88"/>
      <c r="Q134" s="88"/>
      <c r="R134" s="91"/>
      <c r="S134" s="88"/>
      <c r="T134" s="88"/>
      <c r="U134" s="91"/>
      <c r="V134" s="88"/>
      <c r="W134" s="88"/>
      <c r="X134" s="91"/>
      <c r="Y134" s="88"/>
      <c r="Z134" s="88"/>
      <c r="AA134" s="91"/>
      <c r="AB134" s="88"/>
      <c r="AC134" s="88"/>
      <c r="AD134" s="91"/>
      <c r="AE134" s="88"/>
      <c r="AF134" s="88"/>
      <c r="AG134" s="91"/>
    </row>
    <row r="136" spans="1:33" ht="15.75" thickBot="1" x14ac:dyDescent="0.3"/>
    <row r="137" spans="1:33" ht="15.75" thickBot="1" x14ac:dyDescent="0.3">
      <c r="A137" s="68" t="s">
        <v>85</v>
      </c>
      <c r="B137" s="68"/>
      <c r="D137" s="52" t="s">
        <v>27</v>
      </c>
      <c r="E137" s="52"/>
      <c r="F137" s="52"/>
      <c r="G137" s="73" t="s">
        <v>28</v>
      </c>
      <c r="H137" s="73"/>
      <c r="I137" s="73"/>
      <c r="J137" s="52" t="s">
        <v>29</v>
      </c>
      <c r="K137" s="52"/>
      <c r="L137" s="52"/>
      <c r="M137" s="73" t="s">
        <v>30</v>
      </c>
      <c r="N137" s="73"/>
      <c r="O137" s="73"/>
      <c r="P137" s="52" t="s">
        <v>31</v>
      </c>
      <c r="Q137" s="52"/>
      <c r="R137" s="52"/>
      <c r="S137" s="73" t="s">
        <v>32</v>
      </c>
      <c r="T137" s="73"/>
      <c r="U137" s="73"/>
      <c r="V137" s="52" t="s">
        <v>33</v>
      </c>
      <c r="W137" s="52"/>
      <c r="X137" s="52"/>
      <c r="Y137" s="73" t="s">
        <v>34</v>
      </c>
      <c r="Z137" s="73"/>
      <c r="AA137" s="73"/>
      <c r="AB137" s="52" t="s">
        <v>35</v>
      </c>
      <c r="AC137" s="52"/>
      <c r="AD137" s="52"/>
      <c r="AE137" s="73" t="s">
        <v>36</v>
      </c>
      <c r="AF137" s="73"/>
      <c r="AG137" s="73"/>
    </row>
    <row r="138" spans="1:33" ht="15.75" thickBot="1" x14ac:dyDescent="0.3">
      <c r="A138" s="68"/>
      <c r="B138" s="68"/>
      <c r="C138" s="105" t="s">
        <v>243</v>
      </c>
      <c r="D138" s="75">
        <v>0</v>
      </c>
      <c r="E138" s="75"/>
      <c r="F138" s="76"/>
      <c r="G138" s="74">
        <v>0</v>
      </c>
      <c r="H138" s="75"/>
      <c r="I138" s="76"/>
      <c r="J138" s="74">
        <v>0</v>
      </c>
      <c r="K138" s="75"/>
      <c r="L138" s="76"/>
      <c r="M138" s="74">
        <v>0</v>
      </c>
      <c r="N138" s="75"/>
      <c r="O138" s="76"/>
      <c r="P138" s="74">
        <v>0</v>
      </c>
      <c r="Q138" s="75"/>
      <c r="R138" s="76"/>
      <c r="S138" s="74">
        <v>0</v>
      </c>
      <c r="T138" s="75"/>
      <c r="U138" s="76"/>
      <c r="V138" s="74">
        <v>0</v>
      </c>
      <c r="W138" s="75"/>
      <c r="X138" s="76"/>
      <c r="Y138" s="74">
        <v>0</v>
      </c>
      <c r="Z138" s="75"/>
      <c r="AA138" s="76"/>
      <c r="AB138" s="74">
        <v>0</v>
      </c>
      <c r="AC138" s="75"/>
      <c r="AD138" s="76"/>
      <c r="AE138" s="74">
        <v>0</v>
      </c>
      <c r="AF138" s="75"/>
      <c r="AG138" s="76"/>
    </row>
    <row r="139" spans="1:33" ht="15.75" thickBot="1" x14ac:dyDescent="0.3">
      <c r="A139" s="68"/>
      <c r="B139" s="68"/>
      <c r="C139" s="106" t="s">
        <v>244</v>
      </c>
      <c r="D139" s="82">
        <v>0</v>
      </c>
      <c r="E139" s="82"/>
      <c r="F139" s="84"/>
      <c r="G139" s="85">
        <v>0</v>
      </c>
      <c r="H139" s="82"/>
      <c r="I139" s="84"/>
      <c r="J139" s="85">
        <v>0</v>
      </c>
      <c r="K139" s="82"/>
      <c r="L139" s="84"/>
      <c r="M139" s="85">
        <v>0</v>
      </c>
      <c r="N139" s="82"/>
      <c r="O139" s="82"/>
      <c r="P139" s="81">
        <v>0</v>
      </c>
      <c r="Q139" s="82"/>
      <c r="R139" s="83"/>
      <c r="S139" s="82">
        <v>0</v>
      </c>
      <c r="T139" s="82"/>
      <c r="U139" s="84"/>
      <c r="V139" s="85">
        <v>0</v>
      </c>
      <c r="W139" s="82"/>
      <c r="X139" s="84"/>
      <c r="Y139" s="85">
        <v>0</v>
      </c>
      <c r="Z139" s="82"/>
      <c r="AA139" s="84"/>
      <c r="AB139" s="85">
        <v>0</v>
      </c>
      <c r="AC139" s="82"/>
      <c r="AD139" s="84"/>
      <c r="AE139" s="85">
        <v>0</v>
      </c>
      <c r="AF139" s="82"/>
      <c r="AG139" s="84"/>
    </row>
    <row r="140" spans="1:33" ht="15.75" thickBot="1" x14ac:dyDescent="0.3">
      <c r="A140" s="68"/>
      <c r="B140" s="68"/>
      <c r="C140" s="107" t="s">
        <v>37</v>
      </c>
      <c r="D140" s="104"/>
      <c r="E140" s="86"/>
      <c r="F140" s="89"/>
      <c r="G140" s="86"/>
      <c r="H140" s="86"/>
      <c r="I140" s="89"/>
      <c r="J140" s="86"/>
      <c r="K140" s="86"/>
      <c r="L140" s="89"/>
      <c r="M140" s="86"/>
      <c r="N140" s="86"/>
      <c r="O140" s="89"/>
      <c r="P140" s="86"/>
      <c r="Q140" s="86"/>
      <c r="R140" s="89"/>
      <c r="S140" s="86"/>
      <c r="T140" s="86"/>
      <c r="U140" s="89"/>
      <c r="V140" s="86"/>
      <c r="W140" s="86"/>
      <c r="X140" s="89"/>
      <c r="Y140" s="86"/>
      <c r="Z140" s="86"/>
      <c r="AA140" s="89"/>
      <c r="AB140" s="86"/>
      <c r="AC140" s="86"/>
      <c r="AD140" s="89"/>
      <c r="AE140" s="86"/>
      <c r="AF140" s="86"/>
      <c r="AG140" s="89"/>
    </row>
    <row r="141" spans="1:33" ht="15.75" thickBot="1" x14ac:dyDescent="0.3">
      <c r="A141" s="68"/>
      <c r="B141" s="68"/>
      <c r="D141" s="87"/>
      <c r="E141" s="87"/>
      <c r="F141" s="90"/>
      <c r="G141" s="87"/>
      <c r="H141" s="87"/>
      <c r="I141" s="90"/>
      <c r="J141" s="87"/>
      <c r="K141" s="87"/>
      <c r="L141" s="90"/>
      <c r="M141" s="87"/>
      <c r="N141" s="87"/>
      <c r="O141" s="90"/>
      <c r="P141" s="87"/>
      <c r="Q141" s="87"/>
      <c r="R141" s="90"/>
      <c r="S141" s="87"/>
      <c r="T141" s="87"/>
      <c r="U141" s="90"/>
      <c r="V141" s="87"/>
      <c r="W141" s="87"/>
      <c r="X141" s="90"/>
      <c r="Y141" s="87"/>
      <c r="Z141" s="87"/>
      <c r="AA141" s="90"/>
      <c r="AB141" s="87"/>
      <c r="AC141" s="87"/>
      <c r="AD141" s="90"/>
      <c r="AE141" s="87"/>
      <c r="AF141" s="87"/>
      <c r="AG141" s="90"/>
    </row>
    <row r="142" spans="1:33" ht="15.75" thickBot="1" x14ac:dyDescent="0.3">
      <c r="A142" s="68"/>
      <c r="B142" s="68"/>
      <c r="D142" s="88"/>
      <c r="E142" s="88"/>
      <c r="F142" s="91"/>
      <c r="G142" s="88"/>
      <c r="H142" s="88"/>
      <c r="I142" s="91"/>
      <c r="J142" s="88"/>
      <c r="K142" s="88"/>
      <c r="L142" s="91"/>
      <c r="M142" s="88"/>
      <c r="N142" s="88"/>
      <c r="O142" s="91"/>
      <c r="P142" s="88"/>
      <c r="Q142" s="88"/>
      <c r="R142" s="91"/>
      <c r="S142" s="88"/>
      <c r="T142" s="88"/>
      <c r="U142" s="91"/>
      <c r="V142" s="88"/>
      <c r="W142" s="88"/>
      <c r="X142" s="91"/>
      <c r="Y142" s="88"/>
      <c r="Z142" s="88"/>
      <c r="AA142" s="91"/>
      <c r="AB142" s="88"/>
      <c r="AC142" s="88"/>
      <c r="AD142" s="91"/>
      <c r="AE142" s="88"/>
      <c r="AF142" s="88"/>
      <c r="AG142" s="91"/>
    </row>
    <row r="144" spans="1:33" ht="15.75" thickBot="1" x14ac:dyDescent="0.3"/>
    <row r="145" spans="1:33" ht="15.75" thickBot="1" x14ac:dyDescent="0.3">
      <c r="A145" s="68" t="s">
        <v>253</v>
      </c>
      <c r="B145" s="68"/>
      <c r="D145" s="52" t="s">
        <v>27</v>
      </c>
      <c r="E145" s="52"/>
      <c r="F145" s="52"/>
      <c r="G145" s="73" t="s">
        <v>28</v>
      </c>
      <c r="H145" s="73"/>
      <c r="I145" s="73"/>
      <c r="J145" s="52" t="s">
        <v>29</v>
      </c>
      <c r="K145" s="52"/>
      <c r="L145" s="52"/>
      <c r="M145" s="73" t="s">
        <v>30</v>
      </c>
      <c r="N145" s="73"/>
      <c r="O145" s="73"/>
      <c r="P145" s="52" t="s">
        <v>31</v>
      </c>
      <c r="Q145" s="52"/>
      <c r="R145" s="52"/>
      <c r="S145" s="73" t="s">
        <v>32</v>
      </c>
      <c r="T145" s="73"/>
      <c r="U145" s="73"/>
      <c r="V145" s="52" t="s">
        <v>33</v>
      </c>
      <c r="W145" s="52"/>
      <c r="X145" s="52"/>
      <c r="Y145" s="73" t="s">
        <v>34</v>
      </c>
      <c r="Z145" s="73"/>
      <c r="AA145" s="73"/>
      <c r="AB145" s="52" t="s">
        <v>35</v>
      </c>
      <c r="AC145" s="52"/>
      <c r="AD145" s="52"/>
      <c r="AE145" s="73" t="s">
        <v>36</v>
      </c>
      <c r="AF145" s="73"/>
      <c r="AG145" s="73"/>
    </row>
    <row r="146" spans="1:33" ht="15.75" thickBot="1" x14ac:dyDescent="0.3">
      <c r="A146" s="68"/>
      <c r="B146" s="68"/>
      <c r="C146" s="105" t="s">
        <v>243</v>
      </c>
      <c r="D146" s="75">
        <v>0</v>
      </c>
      <c r="E146" s="75"/>
      <c r="F146" s="76"/>
      <c r="G146" s="74">
        <v>0</v>
      </c>
      <c r="H146" s="75"/>
      <c r="I146" s="76"/>
      <c r="J146" s="74">
        <v>0</v>
      </c>
      <c r="K146" s="75"/>
      <c r="L146" s="76"/>
      <c r="M146" s="74">
        <v>0</v>
      </c>
      <c r="N146" s="75"/>
      <c r="O146" s="76"/>
      <c r="P146" s="74">
        <v>0</v>
      </c>
      <c r="Q146" s="75"/>
      <c r="R146" s="76"/>
      <c r="S146" s="74">
        <v>0</v>
      </c>
      <c r="T146" s="75"/>
      <c r="U146" s="76"/>
      <c r="V146" s="74">
        <v>0</v>
      </c>
      <c r="W146" s="75"/>
      <c r="X146" s="76"/>
      <c r="Y146" s="74">
        <v>0</v>
      </c>
      <c r="Z146" s="75"/>
      <c r="AA146" s="76"/>
      <c r="AB146" s="74">
        <v>0</v>
      </c>
      <c r="AC146" s="75"/>
      <c r="AD146" s="76"/>
      <c r="AE146" s="74">
        <v>0</v>
      </c>
      <c r="AF146" s="75"/>
      <c r="AG146" s="76"/>
    </row>
    <row r="147" spans="1:33" ht="15.75" thickBot="1" x14ac:dyDescent="0.3">
      <c r="A147" s="68"/>
      <c r="B147" s="68"/>
      <c r="C147" s="106" t="s">
        <v>244</v>
      </c>
      <c r="D147" s="82">
        <v>0</v>
      </c>
      <c r="E147" s="82"/>
      <c r="F147" s="84"/>
      <c r="G147" s="85">
        <v>0</v>
      </c>
      <c r="H147" s="82"/>
      <c r="I147" s="84"/>
      <c r="J147" s="85">
        <v>0</v>
      </c>
      <c r="K147" s="82"/>
      <c r="L147" s="84"/>
      <c r="M147" s="85">
        <v>0</v>
      </c>
      <c r="N147" s="82"/>
      <c r="O147" s="82"/>
      <c r="P147" s="81">
        <v>0</v>
      </c>
      <c r="Q147" s="82"/>
      <c r="R147" s="83"/>
      <c r="S147" s="82">
        <v>0</v>
      </c>
      <c r="T147" s="82"/>
      <c r="U147" s="84"/>
      <c r="V147" s="85">
        <v>0</v>
      </c>
      <c r="W147" s="82"/>
      <c r="X147" s="84"/>
      <c r="Y147" s="85">
        <v>0</v>
      </c>
      <c r="Z147" s="82"/>
      <c r="AA147" s="84"/>
      <c r="AB147" s="85">
        <v>0</v>
      </c>
      <c r="AC147" s="82"/>
      <c r="AD147" s="84"/>
      <c r="AE147" s="85">
        <v>0</v>
      </c>
      <c r="AF147" s="82"/>
      <c r="AG147" s="84"/>
    </row>
    <row r="148" spans="1:33" ht="15.75" thickBot="1" x14ac:dyDescent="0.3">
      <c r="A148" s="68"/>
      <c r="B148" s="68"/>
      <c r="C148" s="107" t="s">
        <v>37</v>
      </c>
      <c r="D148" s="104"/>
      <c r="E148" s="86"/>
      <c r="F148" s="89"/>
      <c r="G148" s="86"/>
      <c r="H148" s="86"/>
      <c r="I148" s="89"/>
      <c r="J148" s="86"/>
      <c r="K148" s="86"/>
      <c r="L148" s="89"/>
      <c r="M148" s="86"/>
      <c r="N148" s="86"/>
      <c r="O148" s="89"/>
      <c r="P148" s="86"/>
      <c r="Q148" s="86"/>
      <c r="R148" s="89"/>
      <c r="S148" s="86"/>
      <c r="T148" s="86"/>
      <c r="U148" s="89"/>
      <c r="V148" s="86"/>
      <c r="W148" s="86"/>
      <c r="X148" s="89"/>
      <c r="Y148" s="86"/>
      <c r="Z148" s="86"/>
      <c r="AA148" s="89"/>
      <c r="AB148" s="86"/>
      <c r="AC148" s="86"/>
      <c r="AD148" s="89"/>
      <c r="AE148" s="86"/>
      <c r="AF148" s="86"/>
      <c r="AG148" s="89"/>
    </row>
    <row r="149" spans="1:33" ht="15.75" thickBot="1" x14ac:dyDescent="0.3">
      <c r="A149" s="68"/>
      <c r="B149" s="68"/>
      <c r="D149" s="87"/>
      <c r="E149" s="87"/>
      <c r="F149" s="90"/>
      <c r="G149" s="87"/>
      <c r="H149" s="87"/>
      <c r="I149" s="90"/>
      <c r="J149" s="87"/>
      <c r="K149" s="87"/>
      <c r="L149" s="90"/>
      <c r="M149" s="87"/>
      <c r="N149" s="87"/>
      <c r="O149" s="90"/>
      <c r="P149" s="87"/>
      <c r="Q149" s="87"/>
      <c r="R149" s="90"/>
      <c r="S149" s="87"/>
      <c r="T149" s="87"/>
      <c r="U149" s="90"/>
      <c r="V149" s="87"/>
      <c r="W149" s="87"/>
      <c r="X149" s="90"/>
      <c r="Y149" s="87"/>
      <c r="Z149" s="87"/>
      <c r="AA149" s="90"/>
      <c r="AB149" s="87"/>
      <c r="AC149" s="87"/>
      <c r="AD149" s="90"/>
      <c r="AE149" s="87"/>
      <c r="AF149" s="87"/>
      <c r="AG149" s="90"/>
    </row>
    <row r="150" spans="1:33" ht="15.75" thickBot="1" x14ac:dyDescent="0.3">
      <c r="A150" s="68"/>
      <c r="B150" s="68"/>
      <c r="D150" s="88"/>
      <c r="E150" s="88"/>
      <c r="F150" s="91"/>
      <c r="G150" s="88"/>
      <c r="H150" s="88"/>
      <c r="I150" s="91"/>
      <c r="J150" s="88"/>
      <c r="K150" s="88"/>
      <c r="L150" s="91"/>
      <c r="M150" s="88"/>
      <c r="N150" s="88"/>
      <c r="O150" s="91"/>
      <c r="P150" s="88"/>
      <c r="Q150" s="88"/>
      <c r="R150" s="91"/>
      <c r="S150" s="88"/>
      <c r="T150" s="88"/>
      <c r="U150" s="91"/>
      <c r="V150" s="88"/>
      <c r="W150" s="88"/>
      <c r="X150" s="91"/>
      <c r="Y150" s="88"/>
      <c r="Z150" s="88"/>
      <c r="AA150" s="91"/>
      <c r="AB150" s="88"/>
      <c r="AC150" s="88"/>
      <c r="AD150" s="91"/>
      <c r="AE150" s="88"/>
      <c r="AF150" s="88"/>
      <c r="AG150" s="91"/>
    </row>
    <row r="152" spans="1:33" ht="15.75" thickBot="1" x14ac:dyDescent="0.3"/>
    <row r="153" spans="1:33" ht="15.75" thickBot="1" x14ac:dyDescent="0.3">
      <c r="A153" s="68" t="s">
        <v>254</v>
      </c>
      <c r="B153" s="68"/>
      <c r="D153" s="52" t="s">
        <v>27</v>
      </c>
      <c r="E153" s="52"/>
      <c r="F153" s="52"/>
      <c r="G153" s="73" t="s">
        <v>28</v>
      </c>
      <c r="H153" s="73"/>
      <c r="I153" s="73"/>
      <c r="J153" s="52" t="s">
        <v>29</v>
      </c>
      <c r="K153" s="52"/>
      <c r="L153" s="52"/>
      <c r="M153" s="73" t="s">
        <v>30</v>
      </c>
      <c r="N153" s="73"/>
      <c r="O153" s="73"/>
      <c r="P153" s="52" t="s">
        <v>31</v>
      </c>
      <c r="Q153" s="52"/>
      <c r="R153" s="52"/>
      <c r="S153" s="73" t="s">
        <v>32</v>
      </c>
      <c r="T153" s="73"/>
      <c r="U153" s="73"/>
      <c r="V153" s="52" t="s">
        <v>33</v>
      </c>
      <c r="W153" s="52"/>
      <c r="X153" s="52"/>
      <c r="Y153" s="73" t="s">
        <v>34</v>
      </c>
      <c r="Z153" s="73"/>
      <c r="AA153" s="73"/>
      <c r="AB153" s="52" t="s">
        <v>35</v>
      </c>
      <c r="AC153" s="52"/>
      <c r="AD153" s="52"/>
      <c r="AE153" s="73" t="s">
        <v>36</v>
      </c>
      <c r="AF153" s="73"/>
      <c r="AG153" s="73"/>
    </row>
    <row r="154" spans="1:33" ht="15.75" thickBot="1" x14ac:dyDescent="0.3">
      <c r="A154" s="68"/>
      <c r="B154" s="68"/>
      <c r="C154" s="105" t="s">
        <v>243</v>
      </c>
      <c r="D154" s="75">
        <v>0</v>
      </c>
      <c r="E154" s="75"/>
      <c r="F154" s="76"/>
      <c r="G154" s="74">
        <v>0</v>
      </c>
      <c r="H154" s="75"/>
      <c r="I154" s="76"/>
      <c r="J154" s="74">
        <v>0</v>
      </c>
      <c r="K154" s="75"/>
      <c r="L154" s="76"/>
      <c r="M154" s="74">
        <v>0</v>
      </c>
      <c r="N154" s="75"/>
      <c r="O154" s="76"/>
      <c r="P154" s="74">
        <v>0</v>
      </c>
      <c r="Q154" s="75"/>
      <c r="R154" s="76"/>
      <c r="S154" s="74">
        <v>0</v>
      </c>
      <c r="T154" s="75"/>
      <c r="U154" s="76"/>
      <c r="V154" s="74">
        <v>0</v>
      </c>
      <c r="W154" s="75"/>
      <c r="X154" s="76"/>
      <c r="Y154" s="74">
        <v>0</v>
      </c>
      <c r="Z154" s="75"/>
      <c r="AA154" s="76"/>
      <c r="AB154" s="74">
        <v>0</v>
      </c>
      <c r="AC154" s="75"/>
      <c r="AD154" s="76"/>
      <c r="AE154" s="74">
        <v>0</v>
      </c>
      <c r="AF154" s="75"/>
      <c r="AG154" s="76"/>
    </row>
    <row r="155" spans="1:33" ht="15.75" thickBot="1" x14ac:dyDescent="0.3">
      <c r="A155" s="68"/>
      <c r="B155" s="68"/>
      <c r="C155" s="106" t="s">
        <v>244</v>
      </c>
      <c r="D155" s="82">
        <v>0</v>
      </c>
      <c r="E155" s="82"/>
      <c r="F155" s="84"/>
      <c r="G155" s="85">
        <v>0</v>
      </c>
      <c r="H155" s="82"/>
      <c r="I155" s="84"/>
      <c r="J155" s="85">
        <v>0</v>
      </c>
      <c r="K155" s="82"/>
      <c r="L155" s="84"/>
      <c r="M155" s="85">
        <v>0</v>
      </c>
      <c r="N155" s="82"/>
      <c r="O155" s="82"/>
      <c r="P155" s="81">
        <v>0</v>
      </c>
      <c r="Q155" s="82"/>
      <c r="R155" s="83"/>
      <c r="S155" s="82">
        <v>0</v>
      </c>
      <c r="T155" s="82"/>
      <c r="U155" s="84"/>
      <c r="V155" s="85">
        <v>0</v>
      </c>
      <c r="W155" s="82"/>
      <c r="X155" s="84"/>
      <c r="Y155" s="85">
        <v>0</v>
      </c>
      <c r="Z155" s="82"/>
      <c r="AA155" s="84"/>
      <c r="AB155" s="85">
        <v>0</v>
      </c>
      <c r="AC155" s="82"/>
      <c r="AD155" s="84"/>
      <c r="AE155" s="85">
        <v>0</v>
      </c>
      <c r="AF155" s="82"/>
      <c r="AG155" s="84"/>
    </row>
    <row r="156" spans="1:33" ht="15.75" thickBot="1" x14ac:dyDescent="0.3">
      <c r="A156" s="68"/>
      <c r="B156" s="68"/>
      <c r="C156" s="107" t="s">
        <v>37</v>
      </c>
      <c r="D156" s="104"/>
      <c r="E156" s="86"/>
      <c r="F156" s="89"/>
      <c r="G156" s="86"/>
      <c r="H156" s="86"/>
      <c r="I156" s="89"/>
      <c r="J156" s="86"/>
      <c r="K156" s="86"/>
      <c r="L156" s="89"/>
      <c r="M156" s="86"/>
      <c r="N156" s="86"/>
      <c r="O156" s="89"/>
      <c r="P156" s="86"/>
      <c r="Q156" s="86"/>
      <c r="R156" s="89"/>
      <c r="S156" s="86"/>
      <c r="T156" s="86"/>
      <c r="U156" s="89"/>
      <c r="V156" s="86"/>
      <c r="W156" s="86"/>
      <c r="X156" s="89"/>
      <c r="Y156" s="86"/>
      <c r="Z156" s="86"/>
      <c r="AA156" s="89"/>
      <c r="AB156" s="86"/>
      <c r="AC156" s="86"/>
      <c r="AD156" s="89"/>
      <c r="AE156" s="86"/>
      <c r="AF156" s="86"/>
      <c r="AG156" s="89"/>
    </row>
    <row r="157" spans="1:33" ht="15.75" thickBot="1" x14ac:dyDescent="0.3">
      <c r="A157" s="68"/>
      <c r="B157" s="68"/>
      <c r="D157" s="87"/>
      <c r="E157" s="87"/>
      <c r="F157" s="90"/>
      <c r="G157" s="87"/>
      <c r="H157" s="87"/>
      <c r="I157" s="90"/>
      <c r="J157" s="87"/>
      <c r="K157" s="87"/>
      <c r="L157" s="90"/>
      <c r="M157" s="87"/>
      <c r="N157" s="87"/>
      <c r="O157" s="90"/>
      <c r="P157" s="87"/>
      <c r="Q157" s="87"/>
      <c r="R157" s="90"/>
      <c r="S157" s="87"/>
      <c r="T157" s="87"/>
      <c r="U157" s="90"/>
      <c r="V157" s="87"/>
      <c r="W157" s="87"/>
      <c r="X157" s="90"/>
      <c r="Y157" s="87"/>
      <c r="Z157" s="87"/>
      <c r="AA157" s="90"/>
      <c r="AB157" s="87"/>
      <c r="AC157" s="87"/>
      <c r="AD157" s="90"/>
      <c r="AE157" s="87"/>
      <c r="AF157" s="87"/>
      <c r="AG157" s="90"/>
    </row>
    <row r="158" spans="1:33" ht="15.75" thickBot="1" x14ac:dyDescent="0.3">
      <c r="A158" s="68"/>
      <c r="B158" s="68"/>
      <c r="D158" s="88"/>
      <c r="E158" s="88"/>
      <c r="F158" s="91"/>
      <c r="G158" s="88"/>
      <c r="H158" s="88"/>
      <c r="I158" s="91"/>
      <c r="J158" s="88"/>
      <c r="K158" s="88"/>
      <c r="L158" s="91"/>
      <c r="M158" s="88"/>
      <c r="N158" s="88"/>
      <c r="O158" s="91"/>
      <c r="P158" s="88"/>
      <c r="Q158" s="88"/>
      <c r="R158" s="91"/>
      <c r="S158" s="88"/>
      <c r="T158" s="88"/>
      <c r="U158" s="91"/>
      <c r="V158" s="88"/>
      <c r="W158" s="88"/>
      <c r="X158" s="91"/>
      <c r="Y158" s="88"/>
      <c r="Z158" s="88"/>
      <c r="AA158" s="91"/>
      <c r="AB158" s="88"/>
      <c r="AC158" s="88"/>
      <c r="AD158" s="91"/>
      <c r="AE158" s="88"/>
      <c r="AF158" s="88"/>
      <c r="AG158" s="91"/>
    </row>
    <row r="160" spans="1:33" ht="15.75" thickBot="1" x14ac:dyDescent="0.3"/>
    <row r="161" spans="1:33" ht="15.75" thickBot="1" x14ac:dyDescent="0.3">
      <c r="A161" s="68" t="s">
        <v>255</v>
      </c>
      <c r="B161" s="68"/>
      <c r="D161" s="52" t="s">
        <v>27</v>
      </c>
      <c r="E161" s="52"/>
      <c r="F161" s="52"/>
      <c r="G161" s="73" t="s">
        <v>28</v>
      </c>
      <c r="H161" s="73"/>
      <c r="I161" s="73"/>
      <c r="J161" s="52" t="s">
        <v>29</v>
      </c>
      <c r="K161" s="52"/>
      <c r="L161" s="52"/>
      <c r="M161" s="73" t="s">
        <v>30</v>
      </c>
      <c r="N161" s="73"/>
      <c r="O161" s="73"/>
      <c r="P161" s="52" t="s">
        <v>31</v>
      </c>
      <c r="Q161" s="52"/>
      <c r="R161" s="52"/>
      <c r="S161" s="73" t="s">
        <v>32</v>
      </c>
      <c r="T161" s="73"/>
      <c r="U161" s="73"/>
      <c r="V161" s="52" t="s">
        <v>33</v>
      </c>
      <c r="W161" s="52"/>
      <c r="X161" s="52"/>
      <c r="Y161" s="73" t="s">
        <v>34</v>
      </c>
      <c r="Z161" s="73"/>
      <c r="AA161" s="73"/>
      <c r="AB161" s="52" t="s">
        <v>35</v>
      </c>
      <c r="AC161" s="52"/>
      <c r="AD161" s="52"/>
      <c r="AE161" s="73" t="s">
        <v>36</v>
      </c>
      <c r="AF161" s="73"/>
      <c r="AG161" s="73"/>
    </row>
    <row r="162" spans="1:33" ht="15.75" thickBot="1" x14ac:dyDescent="0.3">
      <c r="A162" s="68"/>
      <c r="B162" s="68"/>
      <c r="C162" s="105" t="s">
        <v>243</v>
      </c>
      <c r="D162" s="75">
        <v>0</v>
      </c>
      <c r="E162" s="75"/>
      <c r="F162" s="76"/>
      <c r="G162" s="74">
        <v>0</v>
      </c>
      <c r="H162" s="75"/>
      <c r="I162" s="76"/>
      <c r="J162" s="74">
        <v>0</v>
      </c>
      <c r="K162" s="75"/>
      <c r="L162" s="76"/>
      <c r="M162" s="74">
        <v>0</v>
      </c>
      <c r="N162" s="75"/>
      <c r="O162" s="76"/>
      <c r="P162" s="74">
        <v>0</v>
      </c>
      <c r="Q162" s="75"/>
      <c r="R162" s="76"/>
      <c r="S162" s="74">
        <v>0</v>
      </c>
      <c r="T162" s="75"/>
      <c r="U162" s="76"/>
      <c r="V162" s="74">
        <v>0</v>
      </c>
      <c r="W162" s="75"/>
      <c r="X162" s="76"/>
      <c r="Y162" s="74">
        <v>0</v>
      </c>
      <c r="Z162" s="75"/>
      <c r="AA162" s="76"/>
      <c r="AB162" s="74">
        <v>0</v>
      </c>
      <c r="AC162" s="75"/>
      <c r="AD162" s="76"/>
      <c r="AE162" s="74">
        <v>0</v>
      </c>
      <c r="AF162" s="75"/>
      <c r="AG162" s="76"/>
    </row>
    <row r="163" spans="1:33" ht="15.75" thickBot="1" x14ac:dyDescent="0.3">
      <c r="A163" s="68"/>
      <c r="B163" s="68"/>
      <c r="C163" s="106" t="s">
        <v>244</v>
      </c>
      <c r="D163" s="82">
        <v>0</v>
      </c>
      <c r="E163" s="82"/>
      <c r="F163" s="84"/>
      <c r="G163" s="85">
        <v>0</v>
      </c>
      <c r="H163" s="82"/>
      <c r="I163" s="84"/>
      <c r="J163" s="85">
        <v>0</v>
      </c>
      <c r="K163" s="82"/>
      <c r="L163" s="84"/>
      <c r="M163" s="85">
        <v>0</v>
      </c>
      <c r="N163" s="82"/>
      <c r="O163" s="82"/>
      <c r="P163" s="81">
        <v>0</v>
      </c>
      <c r="Q163" s="82"/>
      <c r="R163" s="83"/>
      <c r="S163" s="82">
        <v>0</v>
      </c>
      <c r="T163" s="82"/>
      <c r="U163" s="84"/>
      <c r="V163" s="85">
        <v>0</v>
      </c>
      <c r="W163" s="82"/>
      <c r="X163" s="84"/>
      <c r="Y163" s="85">
        <v>0</v>
      </c>
      <c r="Z163" s="82"/>
      <c r="AA163" s="84"/>
      <c r="AB163" s="85">
        <v>0</v>
      </c>
      <c r="AC163" s="82"/>
      <c r="AD163" s="84"/>
      <c r="AE163" s="85">
        <v>0</v>
      </c>
      <c r="AF163" s="82"/>
      <c r="AG163" s="84"/>
    </row>
    <row r="164" spans="1:33" ht="15.75" thickBot="1" x14ac:dyDescent="0.3">
      <c r="A164" s="68"/>
      <c r="B164" s="68"/>
      <c r="C164" s="107" t="s">
        <v>37</v>
      </c>
      <c r="D164" s="104"/>
      <c r="E164" s="86"/>
      <c r="F164" s="89"/>
      <c r="G164" s="86"/>
      <c r="H164" s="86"/>
      <c r="I164" s="89"/>
      <c r="J164" s="86"/>
      <c r="K164" s="86"/>
      <c r="L164" s="89"/>
      <c r="M164" s="86"/>
      <c r="N164" s="86"/>
      <c r="O164" s="89"/>
      <c r="P164" s="86"/>
      <c r="Q164" s="86"/>
      <c r="R164" s="89"/>
      <c r="S164" s="86"/>
      <c r="T164" s="86"/>
      <c r="U164" s="89"/>
      <c r="V164" s="86"/>
      <c r="W164" s="86"/>
      <c r="X164" s="89"/>
      <c r="Y164" s="86"/>
      <c r="Z164" s="86"/>
      <c r="AA164" s="89"/>
      <c r="AB164" s="86"/>
      <c r="AC164" s="86"/>
      <c r="AD164" s="89"/>
      <c r="AE164" s="86"/>
      <c r="AF164" s="86"/>
      <c r="AG164" s="89"/>
    </row>
    <row r="165" spans="1:33" ht="15.75" thickBot="1" x14ac:dyDescent="0.3">
      <c r="A165" s="68"/>
      <c r="B165" s="68"/>
      <c r="D165" s="87"/>
      <c r="E165" s="87"/>
      <c r="F165" s="90"/>
      <c r="G165" s="87"/>
      <c r="H165" s="87"/>
      <c r="I165" s="90"/>
      <c r="J165" s="87"/>
      <c r="K165" s="87"/>
      <c r="L165" s="90"/>
      <c r="M165" s="87"/>
      <c r="N165" s="87"/>
      <c r="O165" s="90"/>
      <c r="P165" s="87"/>
      <c r="Q165" s="87"/>
      <c r="R165" s="90"/>
      <c r="S165" s="87"/>
      <c r="T165" s="87"/>
      <c r="U165" s="90"/>
      <c r="V165" s="87"/>
      <c r="W165" s="87"/>
      <c r="X165" s="90"/>
      <c r="Y165" s="87"/>
      <c r="Z165" s="87"/>
      <c r="AA165" s="90"/>
      <c r="AB165" s="87"/>
      <c r="AC165" s="87"/>
      <c r="AD165" s="90"/>
      <c r="AE165" s="87"/>
      <c r="AF165" s="87"/>
      <c r="AG165" s="90"/>
    </row>
    <row r="166" spans="1:33" ht="15.75" thickBot="1" x14ac:dyDescent="0.3">
      <c r="A166" s="68"/>
      <c r="B166" s="68"/>
      <c r="D166" s="88"/>
      <c r="E166" s="88"/>
      <c r="F166" s="91"/>
      <c r="G166" s="88"/>
      <c r="H166" s="88"/>
      <c r="I166" s="91"/>
      <c r="J166" s="88"/>
      <c r="K166" s="88"/>
      <c r="L166" s="91"/>
      <c r="M166" s="88"/>
      <c r="N166" s="88"/>
      <c r="O166" s="91"/>
      <c r="P166" s="88"/>
      <c r="Q166" s="88"/>
      <c r="R166" s="91"/>
      <c r="S166" s="88"/>
      <c r="T166" s="88"/>
      <c r="U166" s="91"/>
      <c r="V166" s="88"/>
      <c r="W166" s="88"/>
      <c r="X166" s="91"/>
      <c r="Y166" s="88"/>
      <c r="Z166" s="88"/>
      <c r="AA166" s="91"/>
      <c r="AB166" s="88"/>
      <c r="AC166" s="88"/>
      <c r="AD166" s="91"/>
      <c r="AE166" s="88"/>
      <c r="AF166" s="88"/>
      <c r="AG166" s="91"/>
    </row>
    <row r="168" spans="1:33" ht="15.75" thickBot="1" x14ac:dyDescent="0.3"/>
    <row r="169" spans="1:33" ht="15.75" thickBot="1" x14ac:dyDescent="0.3">
      <c r="A169" s="68" t="s">
        <v>87</v>
      </c>
      <c r="B169" s="68"/>
      <c r="D169" s="52" t="s">
        <v>27</v>
      </c>
      <c r="E169" s="52"/>
      <c r="F169" s="52"/>
      <c r="G169" s="73" t="s">
        <v>28</v>
      </c>
      <c r="H169" s="73"/>
      <c r="I169" s="73"/>
      <c r="J169" s="52" t="s">
        <v>29</v>
      </c>
      <c r="K169" s="52"/>
      <c r="L169" s="52"/>
      <c r="M169" s="73" t="s">
        <v>30</v>
      </c>
      <c r="N169" s="73"/>
      <c r="O169" s="73"/>
      <c r="P169" s="52" t="s">
        <v>31</v>
      </c>
      <c r="Q169" s="52"/>
      <c r="R169" s="52"/>
      <c r="S169" s="73" t="s">
        <v>32</v>
      </c>
      <c r="T169" s="73"/>
      <c r="U169" s="73"/>
      <c r="V169" s="52" t="s">
        <v>33</v>
      </c>
      <c r="W169" s="52"/>
      <c r="X169" s="52"/>
      <c r="Y169" s="73" t="s">
        <v>34</v>
      </c>
      <c r="Z169" s="73"/>
      <c r="AA169" s="73"/>
      <c r="AB169" s="52" t="s">
        <v>35</v>
      </c>
      <c r="AC169" s="52"/>
      <c r="AD169" s="52"/>
      <c r="AE169" s="73" t="s">
        <v>36</v>
      </c>
      <c r="AF169" s="73"/>
      <c r="AG169" s="73"/>
    </row>
    <row r="170" spans="1:33" ht="15.75" thickBot="1" x14ac:dyDescent="0.3">
      <c r="A170" s="68"/>
      <c r="B170" s="68"/>
      <c r="C170" s="105" t="s">
        <v>243</v>
      </c>
      <c r="D170" s="75">
        <v>0</v>
      </c>
      <c r="E170" s="75"/>
      <c r="F170" s="76"/>
      <c r="G170" s="74">
        <v>0</v>
      </c>
      <c r="H170" s="75"/>
      <c r="I170" s="76"/>
      <c r="J170" s="74">
        <v>0</v>
      </c>
      <c r="K170" s="75"/>
      <c r="L170" s="76"/>
      <c r="M170" s="74">
        <v>0</v>
      </c>
      <c r="N170" s="75"/>
      <c r="O170" s="76"/>
      <c r="P170" s="74">
        <v>0</v>
      </c>
      <c r="Q170" s="75"/>
      <c r="R170" s="76"/>
      <c r="S170" s="74">
        <v>0</v>
      </c>
      <c r="T170" s="75"/>
      <c r="U170" s="76"/>
      <c r="V170" s="74">
        <v>0</v>
      </c>
      <c r="W170" s="75"/>
      <c r="X170" s="76"/>
      <c r="Y170" s="74">
        <v>0</v>
      </c>
      <c r="Z170" s="75"/>
      <c r="AA170" s="76"/>
      <c r="AB170" s="74">
        <v>0</v>
      </c>
      <c r="AC170" s="75"/>
      <c r="AD170" s="76"/>
      <c r="AE170" s="74">
        <v>0</v>
      </c>
      <c r="AF170" s="75"/>
      <c r="AG170" s="76"/>
    </row>
    <row r="171" spans="1:33" ht="15.75" thickBot="1" x14ac:dyDescent="0.3">
      <c r="A171" s="68"/>
      <c r="B171" s="68"/>
      <c r="C171" s="106" t="s">
        <v>244</v>
      </c>
      <c r="D171" s="82">
        <v>0</v>
      </c>
      <c r="E171" s="82"/>
      <c r="F171" s="84"/>
      <c r="G171" s="85">
        <v>0</v>
      </c>
      <c r="H171" s="82"/>
      <c r="I171" s="84"/>
      <c r="J171" s="85">
        <v>0</v>
      </c>
      <c r="K171" s="82"/>
      <c r="L171" s="84"/>
      <c r="M171" s="85">
        <v>0</v>
      </c>
      <c r="N171" s="82"/>
      <c r="O171" s="82"/>
      <c r="P171" s="81">
        <v>0</v>
      </c>
      <c r="Q171" s="82"/>
      <c r="R171" s="83"/>
      <c r="S171" s="82">
        <v>0</v>
      </c>
      <c r="T171" s="82"/>
      <c r="U171" s="84"/>
      <c r="V171" s="85">
        <v>0</v>
      </c>
      <c r="W171" s="82"/>
      <c r="X171" s="84"/>
      <c r="Y171" s="85">
        <v>0</v>
      </c>
      <c r="Z171" s="82"/>
      <c r="AA171" s="84"/>
      <c r="AB171" s="85">
        <v>0</v>
      </c>
      <c r="AC171" s="82"/>
      <c r="AD171" s="84"/>
      <c r="AE171" s="85">
        <v>0</v>
      </c>
      <c r="AF171" s="82"/>
      <c r="AG171" s="84"/>
    </row>
    <row r="172" spans="1:33" ht="15.75" thickBot="1" x14ac:dyDescent="0.3">
      <c r="A172" s="68"/>
      <c r="B172" s="68"/>
      <c r="C172" s="107" t="s">
        <v>37</v>
      </c>
      <c r="D172" s="104"/>
      <c r="E172" s="86"/>
      <c r="F172" s="89"/>
      <c r="G172" s="86"/>
      <c r="H172" s="86"/>
      <c r="I172" s="89"/>
      <c r="J172" s="86"/>
      <c r="K172" s="86"/>
      <c r="L172" s="89"/>
      <c r="M172" s="86"/>
      <c r="N172" s="86"/>
      <c r="O172" s="89"/>
      <c r="P172" s="86"/>
      <c r="Q172" s="86"/>
      <c r="R172" s="89"/>
      <c r="S172" s="86"/>
      <c r="T172" s="86"/>
      <c r="U172" s="89"/>
      <c r="V172" s="86"/>
      <c r="W172" s="86"/>
      <c r="X172" s="89"/>
      <c r="Y172" s="86"/>
      <c r="Z172" s="86"/>
      <c r="AA172" s="89"/>
      <c r="AB172" s="86"/>
      <c r="AC172" s="86"/>
      <c r="AD172" s="89"/>
      <c r="AE172" s="86"/>
      <c r="AF172" s="86"/>
      <c r="AG172" s="89"/>
    </row>
    <row r="173" spans="1:33" ht="15.75" thickBot="1" x14ac:dyDescent="0.3">
      <c r="A173" s="68"/>
      <c r="B173" s="68"/>
      <c r="D173" s="87"/>
      <c r="E173" s="87"/>
      <c r="F173" s="90"/>
      <c r="G173" s="87"/>
      <c r="H173" s="87"/>
      <c r="I173" s="90"/>
      <c r="J173" s="87"/>
      <c r="K173" s="87"/>
      <c r="L173" s="90"/>
      <c r="M173" s="87"/>
      <c r="N173" s="87"/>
      <c r="O173" s="90"/>
      <c r="P173" s="87"/>
      <c r="Q173" s="87"/>
      <c r="R173" s="90"/>
      <c r="S173" s="87"/>
      <c r="T173" s="87"/>
      <c r="U173" s="90"/>
      <c r="V173" s="87"/>
      <c r="W173" s="87"/>
      <c r="X173" s="90"/>
      <c r="Y173" s="87"/>
      <c r="Z173" s="87"/>
      <c r="AA173" s="90"/>
      <c r="AB173" s="87"/>
      <c r="AC173" s="87"/>
      <c r="AD173" s="90"/>
      <c r="AE173" s="87"/>
      <c r="AF173" s="87"/>
      <c r="AG173" s="90"/>
    </row>
    <row r="174" spans="1:33" ht="15.75" thickBot="1" x14ac:dyDescent="0.3">
      <c r="A174" s="68"/>
      <c r="B174" s="68"/>
      <c r="D174" s="88"/>
      <c r="E174" s="88"/>
      <c r="F174" s="91"/>
      <c r="G174" s="88"/>
      <c r="H174" s="88"/>
      <c r="I174" s="91"/>
      <c r="J174" s="88"/>
      <c r="K174" s="88"/>
      <c r="L174" s="91"/>
      <c r="M174" s="88"/>
      <c r="N174" s="88"/>
      <c r="O174" s="91"/>
      <c r="P174" s="88"/>
      <c r="Q174" s="88"/>
      <c r="R174" s="91"/>
      <c r="S174" s="88"/>
      <c r="T174" s="88"/>
      <c r="U174" s="91"/>
      <c r="V174" s="88"/>
      <c r="W174" s="88"/>
      <c r="X174" s="91"/>
      <c r="Y174" s="88"/>
      <c r="Z174" s="88"/>
      <c r="AA174" s="91"/>
      <c r="AB174" s="88"/>
      <c r="AC174" s="88"/>
      <c r="AD174" s="91"/>
      <c r="AE174" s="88"/>
      <c r="AF174" s="88"/>
      <c r="AG174" s="91"/>
    </row>
    <row r="176" spans="1:33" ht="15.75" thickBot="1" x14ac:dyDescent="0.3"/>
    <row r="177" spans="1:33" ht="15.75" thickBot="1" x14ac:dyDescent="0.3">
      <c r="A177" s="68" t="s">
        <v>88</v>
      </c>
      <c r="B177" s="68"/>
      <c r="D177" s="52" t="s">
        <v>27</v>
      </c>
      <c r="E177" s="52"/>
      <c r="F177" s="52"/>
      <c r="G177" s="73" t="s">
        <v>28</v>
      </c>
      <c r="H177" s="73"/>
      <c r="I177" s="73"/>
      <c r="J177" s="52" t="s">
        <v>29</v>
      </c>
      <c r="K177" s="52"/>
      <c r="L177" s="52"/>
      <c r="M177" s="73" t="s">
        <v>30</v>
      </c>
      <c r="N177" s="73"/>
      <c r="O177" s="73"/>
      <c r="P177" s="52" t="s">
        <v>31</v>
      </c>
      <c r="Q177" s="52"/>
      <c r="R177" s="52"/>
      <c r="S177" s="73" t="s">
        <v>32</v>
      </c>
      <c r="T177" s="73"/>
      <c r="U177" s="73"/>
      <c r="V177" s="52" t="s">
        <v>33</v>
      </c>
      <c r="W177" s="52"/>
      <c r="X177" s="52"/>
      <c r="Y177" s="73" t="s">
        <v>34</v>
      </c>
      <c r="Z177" s="73"/>
      <c r="AA177" s="73"/>
      <c r="AB177" s="52" t="s">
        <v>35</v>
      </c>
      <c r="AC177" s="52"/>
      <c r="AD177" s="52"/>
      <c r="AE177" s="73" t="s">
        <v>36</v>
      </c>
      <c r="AF177" s="73"/>
      <c r="AG177" s="73"/>
    </row>
    <row r="178" spans="1:33" ht="15.75" thickBot="1" x14ac:dyDescent="0.3">
      <c r="A178" s="68"/>
      <c r="B178" s="68"/>
      <c r="C178" s="105" t="s">
        <v>243</v>
      </c>
      <c r="D178" s="75">
        <v>0</v>
      </c>
      <c r="E178" s="75"/>
      <c r="F178" s="76"/>
      <c r="G178" s="74">
        <v>0</v>
      </c>
      <c r="H178" s="75"/>
      <c r="I178" s="76"/>
      <c r="J178" s="74">
        <v>0</v>
      </c>
      <c r="K178" s="75"/>
      <c r="L178" s="76"/>
      <c r="M178" s="74">
        <v>0</v>
      </c>
      <c r="N178" s="75"/>
      <c r="O178" s="76"/>
      <c r="P178" s="74">
        <v>0</v>
      </c>
      <c r="Q178" s="75"/>
      <c r="R178" s="76"/>
      <c r="S178" s="74">
        <v>0</v>
      </c>
      <c r="T178" s="75"/>
      <c r="U178" s="76"/>
      <c r="V178" s="74">
        <v>0</v>
      </c>
      <c r="W178" s="75"/>
      <c r="X178" s="76"/>
      <c r="Y178" s="74">
        <v>0</v>
      </c>
      <c r="Z178" s="75"/>
      <c r="AA178" s="76"/>
      <c r="AB178" s="74">
        <v>0</v>
      </c>
      <c r="AC178" s="75"/>
      <c r="AD178" s="76"/>
      <c r="AE178" s="74">
        <v>0</v>
      </c>
      <c r="AF178" s="75"/>
      <c r="AG178" s="76"/>
    </row>
    <row r="179" spans="1:33" ht="15.75" thickBot="1" x14ac:dyDescent="0.3">
      <c r="A179" s="68"/>
      <c r="B179" s="68"/>
      <c r="C179" s="106" t="s">
        <v>244</v>
      </c>
      <c r="D179" s="82">
        <v>0</v>
      </c>
      <c r="E179" s="82"/>
      <c r="F179" s="84"/>
      <c r="G179" s="85">
        <v>0</v>
      </c>
      <c r="H179" s="82"/>
      <c r="I179" s="84"/>
      <c r="J179" s="85">
        <v>0</v>
      </c>
      <c r="K179" s="82"/>
      <c r="L179" s="84"/>
      <c r="M179" s="85">
        <v>0</v>
      </c>
      <c r="N179" s="82"/>
      <c r="O179" s="82"/>
      <c r="P179" s="81">
        <v>0</v>
      </c>
      <c r="Q179" s="82"/>
      <c r="R179" s="83"/>
      <c r="S179" s="82">
        <v>0</v>
      </c>
      <c r="T179" s="82"/>
      <c r="U179" s="84"/>
      <c r="V179" s="85">
        <v>0</v>
      </c>
      <c r="W179" s="82"/>
      <c r="X179" s="84"/>
      <c r="Y179" s="85">
        <v>0</v>
      </c>
      <c r="Z179" s="82"/>
      <c r="AA179" s="84"/>
      <c r="AB179" s="85">
        <v>0</v>
      </c>
      <c r="AC179" s="82"/>
      <c r="AD179" s="84"/>
      <c r="AE179" s="85">
        <v>0</v>
      </c>
      <c r="AF179" s="82"/>
      <c r="AG179" s="84"/>
    </row>
    <row r="180" spans="1:33" ht="15.75" thickBot="1" x14ac:dyDescent="0.3">
      <c r="A180" s="68"/>
      <c r="B180" s="68"/>
      <c r="C180" s="107" t="s">
        <v>37</v>
      </c>
      <c r="D180" s="104"/>
      <c r="E180" s="86"/>
      <c r="F180" s="89"/>
      <c r="G180" s="86"/>
      <c r="H180" s="86"/>
      <c r="I180" s="89"/>
      <c r="J180" s="86"/>
      <c r="K180" s="86"/>
      <c r="L180" s="89"/>
      <c r="M180" s="86"/>
      <c r="N180" s="86"/>
      <c r="O180" s="89"/>
      <c r="P180" s="86"/>
      <c r="Q180" s="86"/>
      <c r="R180" s="89"/>
      <c r="S180" s="86"/>
      <c r="T180" s="86"/>
      <c r="U180" s="89"/>
      <c r="V180" s="86"/>
      <c r="W180" s="86"/>
      <c r="X180" s="89"/>
      <c r="Y180" s="86"/>
      <c r="Z180" s="86"/>
      <c r="AA180" s="89"/>
      <c r="AB180" s="86"/>
      <c r="AC180" s="86"/>
      <c r="AD180" s="89"/>
      <c r="AE180" s="86"/>
      <c r="AF180" s="86"/>
      <c r="AG180" s="89"/>
    </row>
    <row r="181" spans="1:33" ht="15.75" thickBot="1" x14ac:dyDescent="0.3">
      <c r="A181" s="68"/>
      <c r="B181" s="68"/>
      <c r="D181" s="87"/>
      <c r="E181" s="87"/>
      <c r="F181" s="90"/>
      <c r="G181" s="87"/>
      <c r="H181" s="87"/>
      <c r="I181" s="90"/>
      <c r="J181" s="87"/>
      <c r="K181" s="87"/>
      <c r="L181" s="90"/>
      <c r="M181" s="87"/>
      <c r="N181" s="87"/>
      <c r="O181" s="90"/>
      <c r="P181" s="87"/>
      <c r="Q181" s="87"/>
      <c r="R181" s="90"/>
      <c r="S181" s="87"/>
      <c r="T181" s="87"/>
      <c r="U181" s="90"/>
      <c r="V181" s="87"/>
      <c r="W181" s="87"/>
      <c r="X181" s="90"/>
      <c r="Y181" s="87"/>
      <c r="Z181" s="87"/>
      <c r="AA181" s="90"/>
      <c r="AB181" s="87"/>
      <c r="AC181" s="87"/>
      <c r="AD181" s="90"/>
      <c r="AE181" s="87"/>
      <c r="AF181" s="87"/>
      <c r="AG181" s="90"/>
    </row>
    <row r="182" spans="1:33" ht="15.75" thickBot="1" x14ac:dyDescent="0.3">
      <c r="A182" s="68"/>
      <c r="B182" s="68"/>
      <c r="D182" s="88"/>
      <c r="E182" s="88"/>
      <c r="F182" s="91"/>
      <c r="G182" s="88"/>
      <c r="H182" s="88"/>
      <c r="I182" s="91"/>
      <c r="J182" s="88"/>
      <c r="K182" s="88"/>
      <c r="L182" s="91"/>
      <c r="M182" s="88"/>
      <c r="N182" s="88"/>
      <c r="O182" s="91"/>
      <c r="P182" s="88"/>
      <c r="Q182" s="88"/>
      <c r="R182" s="91"/>
      <c r="S182" s="88"/>
      <c r="T182" s="88"/>
      <c r="U182" s="91"/>
      <c r="V182" s="88"/>
      <c r="W182" s="88"/>
      <c r="X182" s="91"/>
      <c r="Y182" s="88"/>
      <c r="Z182" s="88"/>
      <c r="AA182" s="91"/>
      <c r="AB182" s="88"/>
      <c r="AC182" s="88"/>
      <c r="AD182" s="91"/>
      <c r="AE182" s="88"/>
      <c r="AF182" s="88"/>
      <c r="AG182" s="91"/>
    </row>
    <row r="184" spans="1:33" ht="15.75" thickBot="1" x14ac:dyDescent="0.3"/>
    <row r="185" spans="1:33" ht="15.75" thickBot="1" x14ac:dyDescent="0.3">
      <c r="A185" s="68" t="s">
        <v>256</v>
      </c>
      <c r="B185" s="68"/>
      <c r="D185" s="52" t="s">
        <v>27</v>
      </c>
      <c r="E185" s="52"/>
      <c r="F185" s="52"/>
      <c r="G185" s="73" t="s">
        <v>28</v>
      </c>
      <c r="H185" s="73"/>
      <c r="I185" s="73"/>
      <c r="J185" s="52" t="s">
        <v>29</v>
      </c>
      <c r="K185" s="52"/>
      <c r="L185" s="52"/>
      <c r="M185" s="73" t="s">
        <v>30</v>
      </c>
      <c r="N185" s="73"/>
      <c r="O185" s="73"/>
      <c r="P185" s="52" t="s">
        <v>31</v>
      </c>
      <c r="Q185" s="52"/>
      <c r="R185" s="52"/>
      <c r="S185" s="73" t="s">
        <v>32</v>
      </c>
      <c r="T185" s="73"/>
      <c r="U185" s="73"/>
      <c r="V185" s="52" t="s">
        <v>33</v>
      </c>
      <c r="W185" s="52"/>
      <c r="X185" s="52"/>
      <c r="Y185" s="73" t="s">
        <v>34</v>
      </c>
      <c r="Z185" s="73"/>
      <c r="AA185" s="73"/>
      <c r="AB185" s="52" t="s">
        <v>35</v>
      </c>
      <c r="AC185" s="52"/>
      <c r="AD185" s="52"/>
      <c r="AE185" s="73" t="s">
        <v>36</v>
      </c>
      <c r="AF185" s="73"/>
      <c r="AG185" s="73"/>
    </row>
    <row r="186" spans="1:33" ht="15.75" thickBot="1" x14ac:dyDescent="0.3">
      <c r="A186" s="68"/>
      <c r="B186" s="68"/>
      <c r="C186" s="105" t="s">
        <v>243</v>
      </c>
      <c r="D186" s="75">
        <v>0</v>
      </c>
      <c r="E186" s="75"/>
      <c r="F186" s="76"/>
      <c r="G186" s="74">
        <v>0</v>
      </c>
      <c r="H186" s="75"/>
      <c r="I186" s="76"/>
      <c r="J186" s="74">
        <v>0</v>
      </c>
      <c r="K186" s="75"/>
      <c r="L186" s="76"/>
      <c r="M186" s="74">
        <v>0</v>
      </c>
      <c r="N186" s="75"/>
      <c r="O186" s="76"/>
      <c r="P186" s="74">
        <v>0</v>
      </c>
      <c r="Q186" s="75"/>
      <c r="R186" s="76"/>
      <c r="S186" s="74">
        <v>0</v>
      </c>
      <c r="T186" s="75"/>
      <c r="U186" s="76"/>
      <c r="V186" s="74">
        <v>0</v>
      </c>
      <c r="W186" s="75"/>
      <c r="X186" s="76"/>
      <c r="Y186" s="74">
        <v>0</v>
      </c>
      <c r="Z186" s="75"/>
      <c r="AA186" s="76"/>
      <c r="AB186" s="74">
        <v>0</v>
      </c>
      <c r="AC186" s="75"/>
      <c r="AD186" s="76"/>
      <c r="AE186" s="74">
        <v>0</v>
      </c>
      <c r="AF186" s="75"/>
      <c r="AG186" s="76"/>
    </row>
    <row r="187" spans="1:33" ht="15.75" thickBot="1" x14ac:dyDescent="0.3">
      <c r="A187" s="68"/>
      <c r="B187" s="68"/>
      <c r="C187" s="106" t="s">
        <v>244</v>
      </c>
      <c r="D187" s="82">
        <v>0</v>
      </c>
      <c r="E187" s="82"/>
      <c r="F187" s="84"/>
      <c r="G187" s="85">
        <v>0</v>
      </c>
      <c r="H187" s="82"/>
      <c r="I187" s="84"/>
      <c r="J187" s="85">
        <v>0</v>
      </c>
      <c r="K187" s="82"/>
      <c r="L187" s="84"/>
      <c r="M187" s="85">
        <v>0</v>
      </c>
      <c r="N187" s="82"/>
      <c r="O187" s="82"/>
      <c r="P187" s="81">
        <v>0</v>
      </c>
      <c r="Q187" s="82"/>
      <c r="R187" s="83"/>
      <c r="S187" s="82">
        <v>0</v>
      </c>
      <c r="T187" s="82"/>
      <c r="U187" s="84"/>
      <c r="V187" s="85">
        <v>0</v>
      </c>
      <c r="W187" s="82"/>
      <c r="X187" s="84"/>
      <c r="Y187" s="85">
        <v>0</v>
      </c>
      <c r="Z187" s="82"/>
      <c r="AA187" s="84"/>
      <c r="AB187" s="85">
        <v>0</v>
      </c>
      <c r="AC187" s="82"/>
      <c r="AD187" s="84"/>
      <c r="AE187" s="85">
        <v>0</v>
      </c>
      <c r="AF187" s="82"/>
      <c r="AG187" s="84"/>
    </row>
    <row r="188" spans="1:33" ht="15.75" thickBot="1" x14ac:dyDescent="0.3">
      <c r="A188" s="68"/>
      <c r="B188" s="68"/>
      <c r="C188" s="107" t="s">
        <v>37</v>
      </c>
      <c r="D188" s="104"/>
      <c r="E188" s="86"/>
      <c r="F188" s="89"/>
      <c r="G188" s="86"/>
      <c r="H188" s="86"/>
      <c r="I188" s="89"/>
      <c r="J188" s="86"/>
      <c r="K188" s="86"/>
      <c r="L188" s="89"/>
      <c r="M188" s="86"/>
      <c r="N188" s="86"/>
      <c r="O188" s="89"/>
      <c r="P188" s="86"/>
      <c r="Q188" s="86"/>
      <c r="R188" s="89"/>
      <c r="S188" s="86"/>
      <c r="T188" s="86"/>
      <c r="U188" s="89"/>
      <c r="V188" s="86"/>
      <c r="W188" s="86"/>
      <c r="X188" s="89"/>
      <c r="Y188" s="86"/>
      <c r="Z188" s="86"/>
      <c r="AA188" s="89"/>
      <c r="AB188" s="86"/>
      <c r="AC188" s="86"/>
      <c r="AD188" s="89"/>
      <c r="AE188" s="86"/>
      <c r="AF188" s="86"/>
      <c r="AG188" s="89"/>
    </row>
    <row r="189" spans="1:33" ht="15.75" thickBot="1" x14ac:dyDescent="0.3">
      <c r="A189" s="68"/>
      <c r="B189" s="68"/>
      <c r="D189" s="87"/>
      <c r="E189" s="87"/>
      <c r="F189" s="90"/>
      <c r="G189" s="87"/>
      <c r="H189" s="87"/>
      <c r="I189" s="90"/>
      <c r="J189" s="87"/>
      <c r="K189" s="87"/>
      <c r="L189" s="90"/>
      <c r="M189" s="87"/>
      <c r="N189" s="87"/>
      <c r="O189" s="90"/>
      <c r="P189" s="87"/>
      <c r="Q189" s="87"/>
      <c r="R189" s="90"/>
      <c r="S189" s="87"/>
      <c r="T189" s="87"/>
      <c r="U189" s="90"/>
      <c r="V189" s="87"/>
      <c r="W189" s="87"/>
      <c r="X189" s="90"/>
      <c r="Y189" s="87"/>
      <c r="Z189" s="87"/>
      <c r="AA189" s="90"/>
      <c r="AB189" s="87"/>
      <c r="AC189" s="87"/>
      <c r="AD189" s="90"/>
      <c r="AE189" s="87"/>
      <c r="AF189" s="87"/>
      <c r="AG189" s="90"/>
    </row>
    <row r="190" spans="1:33" ht="15.75" thickBot="1" x14ac:dyDescent="0.3">
      <c r="A190" s="68"/>
      <c r="B190" s="68"/>
      <c r="D190" s="88"/>
      <c r="E190" s="88"/>
      <c r="F190" s="91"/>
      <c r="G190" s="88"/>
      <c r="H190" s="88"/>
      <c r="I190" s="91"/>
      <c r="J190" s="88"/>
      <c r="K190" s="88"/>
      <c r="L190" s="91"/>
      <c r="M190" s="88"/>
      <c r="N190" s="88"/>
      <c r="O190" s="91"/>
      <c r="P190" s="88"/>
      <c r="Q190" s="88"/>
      <c r="R190" s="91"/>
      <c r="S190" s="88"/>
      <c r="T190" s="88"/>
      <c r="U190" s="91"/>
      <c r="V190" s="88"/>
      <c r="W190" s="88"/>
      <c r="X190" s="91"/>
      <c r="Y190" s="88"/>
      <c r="Z190" s="88"/>
      <c r="AA190" s="91"/>
      <c r="AB190" s="88"/>
      <c r="AC190" s="88"/>
      <c r="AD190" s="91"/>
      <c r="AE190" s="88"/>
      <c r="AF190" s="88"/>
      <c r="AG190" s="91"/>
    </row>
    <row r="192" spans="1:33" ht="15.75" thickBot="1" x14ac:dyDescent="0.3"/>
    <row r="193" spans="1:33" ht="15.75" thickBot="1" x14ac:dyDescent="0.3">
      <c r="A193" s="68" t="s">
        <v>89</v>
      </c>
      <c r="B193" s="68"/>
      <c r="D193" s="52" t="s">
        <v>27</v>
      </c>
      <c r="E193" s="52"/>
      <c r="F193" s="52"/>
      <c r="G193" s="73" t="s">
        <v>28</v>
      </c>
      <c r="H193" s="73"/>
      <c r="I193" s="73"/>
      <c r="J193" s="52" t="s">
        <v>29</v>
      </c>
      <c r="K193" s="52"/>
      <c r="L193" s="52"/>
      <c r="M193" s="73" t="s">
        <v>30</v>
      </c>
      <c r="N193" s="73"/>
      <c r="O193" s="73"/>
      <c r="P193" s="52" t="s">
        <v>31</v>
      </c>
      <c r="Q193" s="52"/>
      <c r="R193" s="52"/>
      <c r="S193" s="73" t="s">
        <v>32</v>
      </c>
      <c r="T193" s="73"/>
      <c r="U193" s="73"/>
      <c r="V193" s="52" t="s">
        <v>33</v>
      </c>
      <c r="W193" s="52"/>
      <c r="X193" s="52"/>
      <c r="Y193" s="73" t="s">
        <v>34</v>
      </c>
      <c r="Z193" s="73"/>
      <c r="AA193" s="73"/>
      <c r="AB193" s="52" t="s">
        <v>35</v>
      </c>
      <c r="AC193" s="52"/>
      <c r="AD193" s="52"/>
      <c r="AE193" s="73" t="s">
        <v>36</v>
      </c>
      <c r="AF193" s="73"/>
      <c r="AG193" s="73"/>
    </row>
    <row r="194" spans="1:33" ht="15.75" thickBot="1" x14ac:dyDescent="0.3">
      <c r="A194" s="68"/>
      <c r="B194" s="68"/>
      <c r="C194" s="105" t="s">
        <v>243</v>
      </c>
      <c r="D194" s="75">
        <v>0</v>
      </c>
      <c r="E194" s="75"/>
      <c r="F194" s="76"/>
      <c r="G194" s="74">
        <v>0</v>
      </c>
      <c r="H194" s="75"/>
      <c r="I194" s="76"/>
      <c r="J194" s="74">
        <v>0</v>
      </c>
      <c r="K194" s="75"/>
      <c r="L194" s="76"/>
      <c r="M194" s="74">
        <v>0</v>
      </c>
      <c r="N194" s="75"/>
      <c r="O194" s="76"/>
      <c r="P194" s="74">
        <v>0</v>
      </c>
      <c r="Q194" s="75"/>
      <c r="R194" s="76"/>
      <c r="S194" s="74">
        <v>0</v>
      </c>
      <c r="T194" s="75"/>
      <c r="U194" s="76"/>
      <c r="V194" s="74">
        <v>0</v>
      </c>
      <c r="W194" s="75"/>
      <c r="X194" s="76"/>
      <c r="Y194" s="74">
        <v>0</v>
      </c>
      <c r="Z194" s="75"/>
      <c r="AA194" s="76"/>
      <c r="AB194" s="74">
        <v>0</v>
      </c>
      <c r="AC194" s="75"/>
      <c r="AD194" s="76"/>
      <c r="AE194" s="74">
        <v>0</v>
      </c>
      <c r="AF194" s="75"/>
      <c r="AG194" s="76"/>
    </row>
    <row r="195" spans="1:33" ht="15.75" thickBot="1" x14ac:dyDescent="0.3">
      <c r="A195" s="68"/>
      <c r="B195" s="68"/>
      <c r="C195" s="106" t="s">
        <v>244</v>
      </c>
      <c r="D195" s="82">
        <v>0</v>
      </c>
      <c r="E195" s="82"/>
      <c r="F195" s="84"/>
      <c r="G195" s="85">
        <v>0</v>
      </c>
      <c r="H195" s="82"/>
      <c r="I195" s="84"/>
      <c r="J195" s="85">
        <v>0</v>
      </c>
      <c r="K195" s="82"/>
      <c r="L195" s="84"/>
      <c r="M195" s="85">
        <v>0</v>
      </c>
      <c r="N195" s="82"/>
      <c r="O195" s="82"/>
      <c r="P195" s="81">
        <v>0</v>
      </c>
      <c r="Q195" s="82"/>
      <c r="R195" s="83"/>
      <c r="S195" s="82">
        <v>0</v>
      </c>
      <c r="T195" s="82"/>
      <c r="U195" s="84"/>
      <c r="V195" s="85">
        <v>0</v>
      </c>
      <c r="W195" s="82"/>
      <c r="X195" s="84"/>
      <c r="Y195" s="85">
        <v>0</v>
      </c>
      <c r="Z195" s="82"/>
      <c r="AA195" s="84"/>
      <c r="AB195" s="85">
        <v>0</v>
      </c>
      <c r="AC195" s="82"/>
      <c r="AD195" s="84"/>
      <c r="AE195" s="85">
        <v>0</v>
      </c>
      <c r="AF195" s="82"/>
      <c r="AG195" s="84"/>
    </row>
    <row r="196" spans="1:33" ht="15.75" thickBot="1" x14ac:dyDescent="0.3">
      <c r="A196" s="68"/>
      <c r="B196" s="68"/>
      <c r="C196" s="107" t="s">
        <v>37</v>
      </c>
      <c r="D196" s="104"/>
      <c r="E196" s="86"/>
      <c r="F196" s="89"/>
      <c r="G196" s="86"/>
      <c r="H196" s="86"/>
      <c r="I196" s="89"/>
      <c r="J196" s="86"/>
      <c r="K196" s="86"/>
      <c r="L196" s="89"/>
      <c r="M196" s="86"/>
      <c r="N196" s="86"/>
      <c r="O196" s="89"/>
      <c r="P196" s="86"/>
      <c r="Q196" s="86"/>
      <c r="R196" s="89"/>
      <c r="S196" s="86"/>
      <c r="T196" s="86"/>
      <c r="U196" s="89"/>
      <c r="V196" s="86"/>
      <c r="W196" s="86"/>
      <c r="X196" s="89"/>
      <c r="Y196" s="86"/>
      <c r="Z196" s="86"/>
      <c r="AA196" s="89"/>
      <c r="AB196" s="86"/>
      <c r="AC196" s="86"/>
      <c r="AD196" s="89"/>
      <c r="AE196" s="86"/>
      <c r="AF196" s="86"/>
      <c r="AG196" s="89"/>
    </row>
    <row r="197" spans="1:33" ht="15.75" thickBot="1" x14ac:dyDescent="0.3">
      <c r="A197" s="68"/>
      <c r="B197" s="68"/>
      <c r="D197" s="87"/>
      <c r="E197" s="87"/>
      <c r="F197" s="90"/>
      <c r="G197" s="87"/>
      <c r="H197" s="87"/>
      <c r="I197" s="90"/>
      <c r="J197" s="87"/>
      <c r="K197" s="87"/>
      <c r="L197" s="90"/>
      <c r="M197" s="87"/>
      <c r="N197" s="87"/>
      <c r="O197" s="90"/>
      <c r="P197" s="87"/>
      <c r="Q197" s="87"/>
      <c r="R197" s="90"/>
      <c r="S197" s="87"/>
      <c r="T197" s="87"/>
      <c r="U197" s="90"/>
      <c r="V197" s="87"/>
      <c r="W197" s="87"/>
      <c r="X197" s="90"/>
      <c r="Y197" s="87"/>
      <c r="Z197" s="87"/>
      <c r="AA197" s="90"/>
      <c r="AB197" s="87"/>
      <c r="AC197" s="87"/>
      <c r="AD197" s="90"/>
      <c r="AE197" s="87"/>
      <c r="AF197" s="87"/>
      <c r="AG197" s="90"/>
    </row>
    <row r="198" spans="1:33" ht="15.75" thickBot="1" x14ac:dyDescent="0.3">
      <c r="A198" s="68"/>
      <c r="B198" s="68"/>
      <c r="D198" s="88"/>
      <c r="E198" s="88"/>
      <c r="F198" s="91"/>
      <c r="G198" s="88"/>
      <c r="H198" s="88"/>
      <c r="I198" s="91"/>
      <c r="J198" s="88"/>
      <c r="K198" s="88"/>
      <c r="L198" s="91"/>
      <c r="M198" s="88"/>
      <c r="N198" s="88"/>
      <c r="O198" s="91"/>
      <c r="P198" s="88"/>
      <c r="Q198" s="88"/>
      <c r="R198" s="91"/>
      <c r="S198" s="88"/>
      <c r="T198" s="88"/>
      <c r="U198" s="91"/>
      <c r="V198" s="88"/>
      <c r="W198" s="88"/>
      <c r="X198" s="91"/>
      <c r="Y198" s="88"/>
      <c r="Z198" s="88"/>
      <c r="AA198" s="91"/>
      <c r="AB198" s="88"/>
      <c r="AC198" s="88"/>
      <c r="AD198" s="91"/>
      <c r="AE198" s="88"/>
      <c r="AF198" s="88"/>
      <c r="AG198" s="91"/>
    </row>
    <row r="200" spans="1:33" ht="15.75" thickBot="1" x14ac:dyDescent="0.3"/>
    <row r="201" spans="1:33" ht="15.75" thickBot="1" x14ac:dyDescent="0.3">
      <c r="A201" s="68" t="s">
        <v>90</v>
      </c>
      <c r="B201" s="68"/>
      <c r="D201" s="52" t="s">
        <v>27</v>
      </c>
      <c r="E201" s="52"/>
      <c r="F201" s="52"/>
      <c r="G201" s="73" t="s">
        <v>28</v>
      </c>
      <c r="H201" s="73"/>
      <c r="I201" s="73"/>
      <c r="J201" s="52" t="s">
        <v>29</v>
      </c>
      <c r="K201" s="52"/>
      <c r="L201" s="52"/>
      <c r="M201" s="73" t="s">
        <v>30</v>
      </c>
      <c r="N201" s="73"/>
      <c r="O201" s="73"/>
      <c r="P201" s="52" t="s">
        <v>31</v>
      </c>
      <c r="Q201" s="52"/>
      <c r="R201" s="52"/>
      <c r="S201" s="73" t="s">
        <v>32</v>
      </c>
      <c r="T201" s="73"/>
      <c r="U201" s="73"/>
      <c r="V201" s="52" t="s">
        <v>33</v>
      </c>
      <c r="W201" s="52"/>
      <c r="X201" s="52"/>
      <c r="Y201" s="73" t="s">
        <v>34</v>
      </c>
      <c r="Z201" s="73"/>
      <c r="AA201" s="73"/>
      <c r="AB201" s="52" t="s">
        <v>35</v>
      </c>
      <c r="AC201" s="52"/>
      <c r="AD201" s="52"/>
      <c r="AE201" s="73" t="s">
        <v>36</v>
      </c>
      <c r="AF201" s="73"/>
      <c r="AG201" s="73"/>
    </row>
    <row r="202" spans="1:33" ht="15.75" thickBot="1" x14ac:dyDescent="0.3">
      <c r="A202" s="68"/>
      <c r="B202" s="68"/>
      <c r="C202" s="105" t="s">
        <v>243</v>
      </c>
      <c r="D202" s="75">
        <v>0</v>
      </c>
      <c r="E202" s="75"/>
      <c r="F202" s="76"/>
      <c r="G202" s="74">
        <v>0</v>
      </c>
      <c r="H202" s="75"/>
      <c r="I202" s="76"/>
      <c r="J202" s="74">
        <v>0</v>
      </c>
      <c r="K202" s="75"/>
      <c r="L202" s="76"/>
      <c r="M202" s="74">
        <v>0</v>
      </c>
      <c r="N202" s="75"/>
      <c r="O202" s="76"/>
      <c r="P202" s="74">
        <v>0</v>
      </c>
      <c r="Q202" s="75"/>
      <c r="R202" s="76"/>
      <c r="S202" s="74">
        <v>0</v>
      </c>
      <c r="T202" s="75"/>
      <c r="U202" s="76"/>
      <c r="V202" s="74">
        <v>0</v>
      </c>
      <c r="W202" s="75"/>
      <c r="X202" s="76"/>
      <c r="Y202" s="74">
        <v>0</v>
      </c>
      <c r="Z202" s="75"/>
      <c r="AA202" s="76"/>
      <c r="AB202" s="74">
        <v>0</v>
      </c>
      <c r="AC202" s="75"/>
      <c r="AD202" s="76"/>
      <c r="AE202" s="74">
        <v>0</v>
      </c>
      <c r="AF202" s="75"/>
      <c r="AG202" s="76"/>
    </row>
    <row r="203" spans="1:33" ht="15.75" thickBot="1" x14ac:dyDescent="0.3">
      <c r="A203" s="68"/>
      <c r="B203" s="68"/>
      <c r="C203" s="106" t="s">
        <v>244</v>
      </c>
      <c r="D203" s="82">
        <v>0</v>
      </c>
      <c r="E203" s="82"/>
      <c r="F203" s="84"/>
      <c r="G203" s="85">
        <v>0</v>
      </c>
      <c r="H203" s="82"/>
      <c r="I203" s="84"/>
      <c r="J203" s="85">
        <v>0</v>
      </c>
      <c r="K203" s="82"/>
      <c r="L203" s="84"/>
      <c r="M203" s="85">
        <v>0</v>
      </c>
      <c r="N203" s="82"/>
      <c r="O203" s="82"/>
      <c r="P203" s="81">
        <v>0</v>
      </c>
      <c r="Q203" s="82"/>
      <c r="R203" s="83"/>
      <c r="S203" s="82">
        <v>0</v>
      </c>
      <c r="T203" s="82"/>
      <c r="U203" s="84"/>
      <c r="V203" s="85">
        <v>0</v>
      </c>
      <c r="W203" s="82"/>
      <c r="X203" s="84"/>
      <c r="Y203" s="85">
        <v>0</v>
      </c>
      <c r="Z203" s="82"/>
      <c r="AA203" s="84"/>
      <c r="AB203" s="85">
        <v>0</v>
      </c>
      <c r="AC203" s="82"/>
      <c r="AD203" s="84"/>
      <c r="AE203" s="85">
        <v>0</v>
      </c>
      <c r="AF203" s="82"/>
      <c r="AG203" s="84"/>
    </row>
    <row r="204" spans="1:33" ht="15.75" thickBot="1" x14ac:dyDescent="0.3">
      <c r="A204" s="68"/>
      <c r="B204" s="68"/>
      <c r="C204" s="107" t="s">
        <v>37</v>
      </c>
      <c r="D204" s="104"/>
      <c r="E204" s="86"/>
      <c r="F204" s="89"/>
      <c r="G204" s="86"/>
      <c r="H204" s="86"/>
      <c r="I204" s="89"/>
      <c r="J204" s="86"/>
      <c r="K204" s="86"/>
      <c r="L204" s="89"/>
      <c r="M204" s="86"/>
      <c r="N204" s="86"/>
      <c r="O204" s="89"/>
      <c r="P204" s="86"/>
      <c r="Q204" s="86"/>
      <c r="R204" s="89"/>
      <c r="S204" s="86"/>
      <c r="T204" s="86"/>
      <c r="U204" s="89"/>
      <c r="V204" s="86"/>
      <c r="W204" s="86"/>
      <c r="X204" s="89"/>
      <c r="Y204" s="86"/>
      <c r="Z204" s="86"/>
      <c r="AA204" s="89"/>
      <c r="AB204" s="86"/>
      <c r="AC204" s="86"/>
      <c r="AD204" s="89"/>
      <c r="AE204" s="86"/>
      <c r="AF204" s="86"/>
      <c r="AG204" s="89"/>
    </row>
    <row r="205" spans="1:33" ht="15.75" thickBot="1" x14ac:dyDescent="0.3">
      <c r="A205" s="68"/>
      <c r="B205" s="68"/>
      <c r="D205" s="87"/>
      <c r="E205" s="87"/>
      <c r="F205" s="90"/>
      <c r="G205" s="87"/>
      <c r="H205" s="87"/>
      <c r="I205" s="90"/>
      <c r="J205" s="87"/>
      <c r="K205" s="87"/>
      <c r="L205" s="90"/>
      <c r="M205" s="87"/>
      <c r="N205" s="87"/>
      <c r="O205" s="90"/>
      <c r="P205" s="87"/>
      <c r="Q205" s="87"/>
      <c r="R205" s="90"/>
      <c r="S205" s="87"/>
      <c r="T205" s="87"/>
      <c r="U205" s="90"/>
      <c r="V205" s="87"/>
      <c r="W205" s="87"/>
      <c r="X205" s="90"/>
      <c r="Y205" s="87"/>
      <c r="Z205" s="87"/>
      <c r="AA205" s="90"/>
      <c r="AB205" s="87"/>
      <c r="AC205" s="87"/>
      <c r="AD205" s="90"/>
      <c r="AE205" s="87"/>
      <c r="AF205" s="87"/>
      <c r="AG205" s="90"/>
    </row>
    <row r="206" spans="1:33" ht="15.75" thickBot="1" x14ac:dyDescent="0.3">
      <c r="A206" s="68"/>
      <c r="B206" s="68"/>
      <c r="D206" s="88"/>
      <c r="E206" s="88"/>
      <c r="F206" s="91"/>
      <c r="G206" s="88"/>
      <c r="H206" s="88"/>
      <c r="I206" s="91"/>
      <c r="J206" s="88"/>
      <c r="K206" s="88"/>
      <c r="L206" s="91"/>
      <c r="M206" s="88"/>
      <c r="N206" s="88"/>
      <c r="O206" s="91"/>
      <c r="P206" s="88"/>
      <c r="Q206" s="88"/>
      <c r="R206" s="91"/>
      <c r="S206" s="88"/>
      <c r="T206" s="88"/>
      <c r="U206" s="91"/>
      <c r="V206" s="88"/>
      <c r="W206" s="88"/>
      <c r="X206" s="91"/>
      <c r="Y206" s="88"/>
      <c r="Z206" s="88"/>
      <c r="AA206" s="91"/>
      <c r="AB206" s="88"/>
      <c r="AC206" s="88"/>
      <c r="AD206" s="91"/>
      <c r="AE206" s="88"/>
      <c r="AF206" s="88"/>
      <c r="AG206" s="91"/>
    </row>
    <row r="208" spans="1:33" ht="15.75" thickBot="1" x14ac:dyDescent="0.3"/>
    <row r="209" spans="1:33" ht="15.75" thickBot="1" x14ac:dyDescent="0.3">
      <c r="A209" s="68" t="s">
        <v>91</v>
      </c>
      <c r="B209" s="68"/>
      <c r="D209" s="52" t="s">
        <v>27</v>
      </c>
      <c r="E209" s="52"/>
      <c r="F209" s="52"/>
      <c r="G209" s="73" t="s">
        <v>28</v>
      </c>
      <c r="H209" s="73"/>
      <c r="I209" s="73"/>
      <c r="J209" s="52" t="s">
        <v>29</v>
      </c>
      <c r="K209" s="52"/>
      <c r="L209" s="52"/>
      <c r="M209" s="73" t="s">
        <v>30</v>
      </c>
      <c r="N209" s="73"/>
      <c r="O209" s="73"/>
      <c r="P209" s="52" t="s">
        <v>31</v>
      </c>
      <c r="Q209" s="52"/>
      <c r="R209" s="52"/>
      <c r="S209" s="73" t="s">
        <v>32</v>
      </c>
      <c r="T209" s="73"/>
      <c r="U209" s="73"/>
      <c r="V209" s="52" t="s">
        <v>33</v>
      </c>
      <c r="W209" s="52"/>
      <c r="X209" s="52"/>
      <c r="Y209" s="73" t="s">
        <v>34</v>
      </c>
      <c r="Z209" s="73"/>
      <c r="AA209" s="73"/>
      <c r="AB209" s="52" t="s">
        <v>35</v>
      </c>
      <c r="AC209" s="52"/>
      <c r="AD209" s="52"/>
      <c r="AE209" s="73" t="s">
        <v>36</v>
      </c>
      <c r="AF209" s="73"/>
      <c r="AG209" s="73"/>
    </row>
    <row r="210" spans="1:33" ht="15.75" thickBot="1" x14ac:dyDescent="0.3">
      <c r="A210" s="68"/>
      <c r="B210" s="68"/>
      <c r="C210" s="105" t="s">
        <v>243</v>
      </c>
      <c r="D210" s="75">
        <v>0</v>
      </c>
      <c r="E210" s="75"/>
      <c r="F210" s="76"/>
      <c r="G210" s="74">
        <v>0</v>
      </c>
      <c r="H210" s="75"/>
      <c r="I210" s="76"/>
      <c r="J210" s="74">
        <v>0</v>
      </c>
      <c r="K210" s="75"/>
      <c r="L210" s="76"/>
      <c r="M210" s="74">
        <v>0</v>
      </c>
      <c r="N210" s="75"/>
      <c r="O210" s="76"/>
      <c r="P210" s="74">
        <v>0</v>
      </c>
      <c r="Q210" s="75"/>
      <c r="R210" s="76"/>
      <c r="S210" s="74">
        <v>0</v>
      </c>
      <c r="T210" s="75"/>
      <c r="U210" s="76"/>
      <c r="V210" s="74">
        <v>0</v>
      </c>
      <c r="W210" s="75"/>
      <c r="X210" s="76"/>
      <c r="Y210" s="74">
        <v>0</v>
      </c>
      <c r="Z210" s="75"/>
      <c r="AA210" s="76"/>
      <c r="AB210" s="74">
        <v>0</v>
      </c>
      <c r="AC210" s="75"/>
      <c r="AD210" s="76"/>
      <c r="AE210" s="74">
        <v>0</v>
      </c>
      <c r="AF210" s="75"/>
      <c r="AG210" s="76"/>
    </row>
    <row r="211" spans="1:33" ht="15.75" thickBot="1" x14ac:dyDescent="0.3">
      <c r="A211" s="68"/>
      <c r="B211" s="68"/>
      <c r="C211" s="106" t="s">
        <v>244</v>
      </c>
      <c r="D211" s="82">
        <v>0</v>
      </c>
      <c r="E211" s="82"/>
      <c r="F211" s="84"/>
      <c r="G211" s="85">
        <v>0</v>
      </c>
      <c r="H211" s="82"/>
      <c r="I211" s="84"/>
      <c r="J211" s="85">
        <v>0</v>
      </c>
      <c r="K211" s="82"/>
      <c r="L211" s="84"/>
      <c r="M211" s="85">
        <v>0</v>
      </c>
      <c r="N211" s="82"/>
      <c r="O211" s="82"/>
      <c r="P211" s="81">
        <v>0</v>
      </c>
      <c r="Q211" s="82"/>
      <c r="R211" s="83"/>
      <c r="S211" s="82">
        <v>0</v>
      </c>
      <c r="T211" s="82"/>
      <c r="U211" s="84"/>
      <c r="V211" s="85">
        <v>0</v>
      </c>
      <c r="W211" s="82"/>
      <c r="X211" s="84"/>
      <c r="Y211" s="85">
        <v>0</v>
      </c>
      <c r="Z211" s="82"/>
      <c r="AA211" s="84"/>
      <c r="AB211" s="85">
        <v>0</v>
      </c>
      <c r="AC211" s="82"/>
      <c r="AD211" s="84"/>
      <c r="AE211" s="85">
        <v>0</v>
      </c>
      <c r="AF211" s="82"/>
      <c r="AG211" s="84"/>
    </row>
    <row r="212" spans="1:33" ht="15.75" thickBot="1" x14ac:dyDescent="0.3">
      <c r="A212" s="68"/>
      <c r="B212" s="68"/>
      <c r="C212" s="107" t="s">
        <v>37</v>
      </c>
      <c r="D212" s="104"/>
      <c r="E212" s="86"/>
      <c r="F212" s="89"/>
      <c r="G212" s="86"/>
      <c r="H212" s="86"/>
      <c r="I212" s="89"/>
      <c r="J212" s="86"/>
      <c r="K212" s="86"/>
      <c r="L212" s="89"/>
      <c r="M212" s="86"/>
      <c r="N212" s="86"/>
      <c r="O212" s="89"/>
      <c r="P212" s="86"/>
      <c r="Q212" s="86"/>
      <c r="R212" s="89"/>
      <c r="S212" s="86"/>
      <c r="T212" s="86"/>
      <c r="U212" s="89"/>
      <c r="V212" s="86"/>
      <c r="W212" s="86"/>
      <c r="X212" s="89"/>
      <c r="Y212" s="86"/>
      <c r="Z212" s="86"/>
      <c r="AA212" s="89"/>
      <c r="AB212" s="86"/>
      <c r="AC212" s="86"/>
      <c r="AD212" s="89"/>
      <c r="AE212" s="86"/>
      <c r="AF212" s="86"/>
      <c r="AG212" s="89"/>
    </row>
    <row r="213" spans="1:33" ht="15.75" thickBot="1" x14ac:dyDescent="0.3">
      <c r="A213" s="68"/>
      <c r="B213" s="68"/>
      <c r="D213" s="87"/>
      <c r="E213" s="87"/>
      <c r="F213" s="90"/>
      <c r="G213" s="87"/>
      <c r="H213" s="87"/>
      <c r="I213" s="90"/>
      <c r="J213" s="87"/>
      <c r="K213" s="87"/>
      <c r="L213" s="90"/>
      <c r="M213" s="87"/>
      <c r="N213" s="87"/>
      <c r="O213" s="90"/>
      <c r="P213" s="87"/>
      <c r="Q213" s="87"/>
      <c r="R213" s="90"/>
      <c r="S213" s="87"/>
      <c r="T213" s="87"/>
      <c r="U213" s="90"/>
      <c r="V213" s="87"/>
      <c r="W213" s="87"/>
      <c r="X213" s="90"/>
      <c r="Y213" s="87"/>
      <c r="Z213" s="87"/>
      <c r="AA213" s="90"/>
      <c r="AB213" s="87"/>
      <c r="AC213" s="87"/>
      <c r="AD213" s="90"/>
      <c r="AE213" s="87"/>
      <c r="AF213" s="87"/>
      <c r="AG213" s="90"/>
    </row>
    <row r="214" spans="1:33" ht="15.75" thickBot="1" x14ac:dyDescent="0.3">
      <c r="A214" s="68"/>
      <c r="B214" s="68"/>
      <c r="D214" s="88"/>
      <c r="E214" s="88"/>
      <c r="F214" s="91"/>
      <c r="G214" s="88"/>
      <c r="H214" s="88"/>
      <c r="I214" s="91"/>
      <c r="J214" s="88"/>
      <c r="K214" s="88"/>
      <c r="L214" s="91"/>
      <c r="M214" s="88"/>
      <c r="N214" s="88"/>
      <c r="O214" s="91"/>
      <c r="P214" s="88"/>
      <c r="Q214" s="88"/>
      <c r="R214" s="91"/>
      <c r="S214" s="88"/>
      <c r="T214" s="88"/>
      <c r="U214" s="91"/>
      <c r="V214" s="88"/>
      <c r="W214" s="88"/>
      <c r="X214" s="91"/>
      <c r="Y214" s="88"/>
      <c r="Z214" s="88"/>
      <c r="AA214" s="91"/>
      <c r="AB214" s="88"/>
      <c r="AC214" s="88"/>
      <c r="AD214" s="91"/>
      <c r="AE214" s="88"/>
      <c r="AF214" s="88"/>
      <c r="AG214" s="91"/>
    </row>
    <row r="216" spans="1:33" ht="15.75" thickBot="1" x14ac:dyDescent="0.3"/>
    <row r="217" spans="1:33" ht="15.75" thickBot="1" x14ac:dyDescent="0.3">
      <c r="A217" s="68" t="s">
        <v>257</v>
      </c>
      <c r="B217" s="68"/>
      <c r="D217" s="52" t="s">
        <v>27</v>
      </c>
      <c r="E217" s="52"/>
      <c r="F217" s="52"/>
      <c r="G217" s="73" t="s">
        <v>28</v>
      </c>
      <c r="H217" s="73"/>
      <c r="I217" s="73"/>
      <c r="J217" s="52" t="s">
        <v>29</v>
      </c>
      <c r="K217" s="52"/>
      <c r="L217" s="52"/>
      <c r="M217" s="73" t="s">
        <v>30</v>
      </c>
      <c r="N217" s="73"/>
      <c r="O217" s="73"/>
      <c r="P217" s="52" t="s">
        <v>31</v>
      </c>
      <c r="Q217" s="52"/>
      <c r="R217" s="52"/>
      <c r="S217" s="73" t="s">
        <v>32</v>
      </c>
      <c r="T217" s="73"/>
      <c r="U217" s="73"/>
      <c r="V217" s="52" t="s">
        <v>33</v>
      </c>
      <c r="W217" s="52"/>
      <c r="X217" s="52"/>
      <c r="Y217" s="73" t="s">
        <v>34</v>
      </c>
      <c r="Z217" s="73"/>
      <c r="AA217" s="73"/>
      <c r="AB217" s="52" t="s">
        <v>35</v>
      </c>
      <c r="AC217" s="52"/>
      <c r="AD217" s="52"/>
      <c r="AE217" s="73" t="s">
        <v>36</v>
      </c>
      <c r="AF217" s="73"/>
      <c r="AG217" s="73"/>
    </row>
    <row r="218" spans="1:33" ht="15.75" thickBot="1" x14ac:dyDescent="0.3">
      <c r="A218" s="68"/>
      <c r="B218" s="68"/>
      <c r="C218" s="105" t="s">
        <v>243</v>
      </c>
      <c r="D218" s="75">
        <v>0</v>
      </c>
      <c r="E218" s="75"/>
      <c r="F218" s="76"/>
      <c r="G218" s="74">
        <v>0</v>
      </c>
      <c r="H218" s="75"/>
      <c r="I218" s="76"/>
      <c r="J218" s="74">
        <v>0</v>
      </c>
      <c r="K218" s="75"/>
      <c r="L218" s="76"/>
      <c r="M218" s="74">
        <v>0</v>
      </c>
      <c r="N218" s="75"/>
      <c r="O218" s="76"/>
      <c r="P218" s="74">
        <v>0</v>
      </c>
      <c r="Q218" s="75"/>
      <c r="R218" s="76"/>
      <c r="S218" s="74">
        <v>0</v>
      </c>
      <c r="T218" s="75"/>
      <c r="U218" s="76"/>
      <c r="V218" s="74">
        <v>0</v>
      </c>
      <c r="W218" s="75"/>
      <c r="X218" s="76"/>
      <c r="Y218" s="74">
        <v>0</v>
      </c>
      <c r="Z218" s="75"/>
      <c r="AA218" s="76"/>
      <c r="AB218" s="74">
        <v>0</v>
      </c>
      <c r="AC218" s="75"/>
      <c r="AD218" s="76"/>
      <c r="AE218" s="74">
        <v>0</v>
      </c>
      <c r="AF218" s="75"/>
      <c r="AG218" s="76"/>
    </row>
    <row r="219" spans="1:33" ht="15.75" thickBot="1" x14ac:dyDescent="0.3">
      <c r="A219" s="68"/>
      <c r="B219" s="68"/>
      <c r="C219" s="106" t="s">
        <v>244</v>
      </c>
      <c r="D219" s="82">
        <v>0</v>
      </c>
      <c r="E219" s="82"/>
      <c r="F219" s="84"/>
      <c r="G219" s="85">
        <v>0</v>
      </c>
      <c r="H219" s="82"/>
      <c r="I219" s="84"/>
      <c r="J219" s="85">
        <v>0</v>
      </c>
      <c r="K219" s="82"/>
      <c r="L219" s="84"/>
      <c r="M219" s="85">
        <v>0</v>
      </c>
      <c r="N219" s="82"/>
      <c r="O219" s="82"/>
      <c r="P219" s="81">
        <v>0</v>
      </c>
      <c r="Q219" s="82"/>
      <c r="R219" s="83"/>
      <c r="S219" s="82">
        <v>0</v>
      </c>
      <c r="T219" s="82"/>
      <c r="U219" s="84"/>
      <c r="V219" s="85">
        <v>0</v>
      </c>
      <c r="W219" s="82"/>
      <c r="X219" s="84"/>
      <c r="Y219" s="85">
        <v>0</v>
      </c>
      <c r="Z219" s="82"/>
      <c r="AA219" s="84"/>
      <c r="AB219" s="85">
        <v>0</v>
      </c>
      <c r="AC219" s="82"/>
      <c r="AD219" s="84"/>
      <c r="AE219" s="85">
        <v>0</v>
      </c>
      <c r="AF219" s="82"/>
      <c r="AG219" s="84"/>
    </row>
    <row r="220" spans="1:33" ht="15.75" thickBot="1" x14ac:dyDescent="0.3">
      <c r="A220" s="68"/>
      <c r="B220" s="68"/>
      <c r="C220" s="107" t="s">
        <v>37</v>
      </c>
      <c r="D220" s="104"/>
      <c r="E220" s="86"/>
      <c r="F220" s="89"/>
      <c r="G220" s="86"/>
      <c r="H220" s="86"/>
      <c r="I220" s="89"/>
      <c r="J220" s="86"/>
      <c r="K220" s="86"/>
      <c r="L220" s="89"/>
      <c r="M220" s="86"/>
      <c r="N220" s="86"/>
      <c r="O220" s="89"/>
      <c r="P220" s="86"/>
      <c r="Q220" s="86"/>
      <c r="R220" s="89"/>
      <c r="S220" s="86"/>
      <c r="T220" s="86"/>
      <c r="U220" s="89"/>
      <c r="V220" s="86"/>
      <c r="W220" s="86"/>
      <c r="X220" s="89"/>
      <c r="Y220" s="86"/>
      <c r="Z220" s="86"/>
      <c r="AA220" s="89"/>
      <c r="AB220" s="86"/>
      <c r="AC220" s="86"/>
      <c r="AD220" s="89"/>
      <c r="AE220" s="86"/>
      <c r="AF220" s="86"/>
      <c r="AG220" s="89"/>
    </row>
    <row r="221" spans="1:33" ht="15.75" thickBot="1" x14ac:dyDescent="0.3">
      <c r="A221" s="68"/>
      <c r="B221" s="68"/>
      <c r="D221" s="87"/>
      <c r="E221" s="87"/>
      <c r="F221" s="90"/>
      <c r="G221" s="87"/>
      <c r="H221" s="87"/>
      <c r="I221" s="90"/>
      <c r="J221" s="87"/>
      <c r="K221" s="87"/>
      <c r="L221" s="90"/>
      <c r="M221" s="87"/>
      <c r="N221" s="87"/>
      <c r="O221" s="90"/>
      <c r="P221" s="87"/>
      <c r="Q221" s="87"/>
      <c r="R221" s="90"/>
      <c r="S221" s="87"/>
      <c r="T221" s="87"/>
      <c r="U221" s="90"/>
      <c r="V221" s="87"/>
      <c r="W221" s="87"/>
      <c r="X221" s="90"/>
      <c r="Y221" s="87"/>
      <c r="Z221" s="87"/>
      <c r="AA221" s="90"/>
      <c r="AB221" s="87"/>
      <c r="AC221" s="87"/>
      <c r="AD221" s="90"/>
      <c r="AE221" s="87"/>
      <c r="AF221" s="87"/>
      <c r="AG221" s="90"/>
    </row>
    <row r="222" spans="1:33" ht="15.75" thickBot="1" x14ac:dyDescent="0.3">
      <c r="A222" s="68"/>
      <c r="B222" s="68"/>
      <c r="D222" s="88"/>
      <c r="E222" s="88"/>
      <c r="F222" s="91"/>
      <c r="G222" s="88"/>
      <c r="H222" s="88"/>
      <c r="I222" s="91"/>
      <c r="J222" s="88"/>
      <c r="K222" s="88"/>
      <c r="L222" s="91"/>
      <c r="M222" s="88"/>
      <c r="N222" s="88"/>
      <c r="O222" s="91"/>
      <c r="P222" s="88"/>
      <c r="Q222" s="88"/>
      <c r="R222" s="91"/>
      <c r="S222" s="88"/>
      <c r="T222" s="88"/>
      <c r="U222" s="91"/>
      <c r="V222" s="88"/>
      <c r="W222" s="88"/>
      <c r="X222" s="91"/>
      <c r="Y222" s="88"/>
      <c r="Z222" s="88"/>
      <c r="AA222" s="91"/>
      <c r="AB222" s="88"/>
      <c r="AC222" s="88"/>
      <c r="AD222" s="91"/>
      <c r="AE222" s="88"/>
      <c r="AF222" s="88"/>
      <c r="AG222" s="91"/>
    </row>
    <row r="224" spans="1:33" ht="15.75" thickBot="1" x14ac:dyDescent="0.3"/>
    <row r="225" spans="1:33" ht="15.75" thickBot="1" x14ac:dyDescent="0.3">
      <c r="A225" s="68" t="s">
        <v>258</v>
      </c>
      <c r="B225" s="68"/>
      <c r="D225" s="52" t="s">
        <v>27</v>
      </c>
      <c r="E225" s="52"/>
      <c r="F225" s="52"/>
      <c r="G225" s="73" t="s">
        <v>28</v>
      </c>
      <c r="H225" s="73"/>
      <c r="I225" s="73"/>
      <c r="J225" s="52" t="s">
        <v>29</v>
      </c>
      <c r="K225" s="52"/>
      <c r="L225" s="52"/>
      <c r="M225" s="73" t="s">
        <v>30</v>
      </c>
      <c r="N225" s="73"/>
      <c r="O225" s="73"/>
      <c r="P225" s="52" t="s">
        <v>31</v>
      </c>
      <c r="Q225" s="52"/>
      <c r="R225" s="52"/>
      <c r="S225" s="73" t="s">
        <v>32</v>
      </c>
      <c r="T225" s="73"/>
      <c r="U225" s="73"/>
      <c r="V225" s="52" t="s">
        <v>33</v>
      </c>
      <c r="W225" s="52"/>
      <c r="X225" s="52"/>
      <c r="Y225" s="73" t="s">
        <v>34</v>
      </c>
      <c r="Z225" s="73"/>
      <c r="AA225" s="73"/>
      <c r="AB225" s="52" t="s">
        <v>35</v>
      </c>
      <c r="AC225" s="52"/>
      <c r="AD225" s="52"/>
      <c r="AE225" s="73" t="s">
        <v>36</v>
      </c>
      <c r="AF225" s="73"/>
      <c r="AG225" s="73"/>
    </row>
    <row r="226" spans="1:33" ht="15.75" thickBot="1" x14ac:dyDescent="0.3">
      <c r="A226" s="68"/>
      <c r="B226" s="68"/>
      <c r="C226" s="105" t="s">
        <v>243</v>
      </c>
      <c r="D226" s="75">
        <v>0</v>
      </c>
      <c r="E226" s="75"/>
      <c r="F226" s="76"/>
      <c r="G226" s="74">
        <v>0</v>
      </c>
      <c r="H226" s="75"/>
      <c r="I226" s="76"/>
      <c r="J226" s="74">
        <v>0</v>
      </c>
      <c r="K226" s="75"/>
      <c r="L226" s="76"/>
      <c r="M226" s="74">
        <v>0</v>
      </c>
      <c r="N226" s="75"/>
      <c r="O226" s="76"/>
      <c r="P226" s="74">
        <v>0</v>
      </c>
      <c r="Q226" s="75"/>
      <c r="R226" s="76"/>
      <c r="S226" s="74">
        <v>0</v>
      </c>
      <c r="T226" s="75"/>
      <c r="U226" s="76"/>
      <c r="V226" s="74">
        <v>0</v>
      </c>
      <c r="W226" s="75"/>
      <c r="X226" s="76"/>
      <c r="Y226" s="74">
        <v>0</v>
      </c>
      <c r="Z226" s="75"/>
      <c r="AA226" s="76"/>
      <c r="AB226" s="74">
        <v>0</v>
      </c>
      <c r="AC226" s="75"/>
      <c r="AD226" s="76"/>
      <c r="AE226" s="74">
        <v>0</v>
      </c>
      <c r="AF226" s="75"/>
      <c r="AG226" s="76"/>
    </row>
    <row r="227" spans="1:33" ht="15.75" thickBot="1" x14ac:dyDescent="0.3">
      <c r="A227" s="68"/>
      <c r="B227" s="68"/>
      <c r="C227" s="106" t="s">
        <v>244</v>
      </c>
      <c r="D227" s="82">
        <v>0</v>
      </c>
      <c r="E227" s="82"/>
      <c r="F227" s="84"/>
      <c r="G227" s="85">
        <v>0</v>
      </c>
      <c r="H227" s="82"/>
      <c r="I227" s="84"/>
      <c r="J227" s="85">
        <v>0</v>
      </c>
      <c r="K227" s="82"/>
      <c r="L227" s="84"/>
      <c r="M227" s="85">
        <v>0</v>
      </c>
      <c r="N227" s="82"/>
      <c r="O227" s="82"/>
      <c r="P227" s="81">
        <v>0</v>
      </c>
      <c r="Q227" s="82"/>
      <c r="R227" s="83"/>
      <c r="S227" s="82">
        <v>0</v>
      </c>
      <c r="T227" s="82"/>
      <c r="U227" s="84"/>
      <c r="V227" s="85">
        <v>0</v>
      </c>
      <c r="W227" s="82"/>
      <c r="X227" s="84"/>
      <c r="Y227" s="85">
        <v>0</v>
      </c>
      <c r="Z227" s="82"/>
      <c r="AA227" s="84"/>
      <c r="AB227" s="85">
        <v>0</v>
      </c>
      <c r="AC227" s="82"/>
      <c r="AD227" s="84"/>
      <c r="AE227" s="85">
        <v>0</v>
      </c>
      <c r="AF227" s="82"/>
      <c r="AG227" s="84"/>
    </row>
    <row r="228" spans="1:33" ht="15.75" thickBot="1" x14ac:dyDescent="0.3">
      <c r="A228" s="68"/>
      <c r="B228" s="68"/>
      <c r="C228" s="107" t="s">
        <v>37</v>
      </c>
      <c r="D228" s="104"/>
      <c r="E228" s="86"/>
      <c r="F228" s="89"/>
      <c r="G228" s="86"/>
      <c r="H228" s="86"/>
      <c r="I228" s="89"/>
      <c r="J228" s="86"/>
      <c r="K228" s="86"/>
      <c r="L228" s="89"/>
      <c r="M228" s="86"/>
      <c r="N228" s="86"/>
      <c r="O228" s="89"/>
      <c r="P228" s="86"/>
      <c r="Q228" s="86"/>
      <c r="R228" s="89"/>
      <c r="S228" s="86"/>
      <c r="T228" s="86"/>
      <c r="U228" s="89"/>
      <c r="V228" s="86"/>
      <c r="W228" s="86"/>
      <c r="X228" s="89"/>
      <c r="Y228" s="86"/>
      <c r="Z228" s="86"/>
      <c r="AA228" s="89"/>
      <c r="AB228" s="86"/>
      <c r="AC228" s="86"/>
      <c r="AD228" s="89"/>
      <c r="AE228" s="86"/>
      <c r="AF228" s="86"/>
      <c r="AG228" s="89"/>
    </row>
    <row r="229" spans="1:33" ht="15.75" thickBot="1" x14ac:dyDescent="0.3">
      <c r="A229" s="68"/>
      <c r="B229" s="68"/>
      <c r="D229" s="87"/>
      <c r="E229" s="87"/>
      <c r="F229" s="90"/>
      <c r="G229" s="87"/>
      <c r="H229" s="87"/>
      <c r="I229" s="90"/>
      <c r="J229" s="87"/>
      <c r="K229" s="87"/>
      <c r="L229" s="90"/>
      <c r="M229" s="87"/>
      <c r="N229" s="87"/>
      <c r="O229" s="90"/>
      <c r="P229" s="87"/>
      <c r="Q229" s="87"/>
      <c r="R229" s="90"/>
      <c r="S229" s="87"/>
      <c r="T229" s="87"/>
      <c r="U229" s="90"/>
      <c r="V229" s="87"/>
      <c r="W229" s="87"/>
      <c r="X229" s="90"/>
      <c r="Y229" s="87"/>
      <c r="Z229" s="87"/>
      <c r="AA229" s="90"/>
      <c r="AB229" s="87"/>
      <c r="AC229" s="87"/>
      <c r="AD229" s="90"/>
      <c r="AE229" s="87"/>
      <c r="AF229" s="87"/>
      <c r="AG229" s="90"/>
    </row>
    <row r="230" spans="1:33" ht="15.75" thickBot="1" x14ac:dyDescent="0.3">
      <c r="A230" s="68"/>
      <c r="B230" s="68"/>
      <c r="D230" s="88"/>
      <c r="E230" s="88"/>
      <c r="F230" s="91"/>
      <c r="G230" s="88"/>
      <c r="H230" s="88"/>
      <c r="I230" s="91"/>
      <c r="J230" s="88"/>
      <c r="K230" s="88"/>
      <c r="L230" s="91"/>
      <c r="M230" s="88"/>
      <c r="N230" s="88"/>
      <c r="O230" s="91"/>
      <c r="P230" s="88"/>
      <c r="Q230" s="88"/>
      <c r="R230" s="91"/>
      <c r="S230" s="88"/>
      <c r="T230" s="88"/>
      <c r="U230" s="91"/>
      <c r="V230" s="88"/>
      <c r="W230" s="88"/>
      <c r="X230" s="91"/>
      <c r="Y230" s="88"/>
      <c r="Z230" s="88"/>
      <c r="AA230" s="91"/>
      <c r="AB230" s="88"/>
      <c r="AC230" s="88"/>
      <c r="AD230" s="91"/>
      <c r="AE230" s="88"/>
      <c r="AF230" s="88"/>
      <c r="AG230" s="91"/>
    </row>
    <row r="232" spans="1:33" ht="15.75" thickBot="1" x14ac:dyDescent="0.3"/>
    <row r="233" spans="1:33" ht="15.75" thickBot="1" x14ac:dyDescent="0.3">
      <c r="A233" s="68" t="s">
        <v>259</v>
      </c>
      <c r="B233" s="68"/>
      <c r="D233" s="52" t="s">
        <v>27</v>
      </c>
      <c r="E233" s="52"/>
      <c r="F233" s="52"/>
      <c r="G233" s="73" t="s">
        <v>28</v>
      </c>
      <c r="H233" s="73"/>
      <c r="I233" s="73"/>
      <c r="J233" s="52" t="s">
        <v>29</v>
      </c>
      <c r="K233" s="52"/>
      <c r="L233" s="52"/>
      <c r="M233" s="73" t="s">
        <v>30</v>
      </c>
      <c r="N233" s="73"/>
      <c r="O233" s="73"/>
      <c r="P233" s="52" t="s">
        <v>31</v>
      </c>
      <c r="Q233" s="52"/>
      <c r="R233" s="52"/>
      <c r="S233" s="73" t="s">
        <v>32</v>
      </c>
      <c r="T233" s="73"/>
      <c r="U233" s="73"/>
      <c r="V233" s="52" t="s">
        <v>33</v>
      </c>
      <c r="W233" s="52"/>
      <c r="X233" s="52"/>
      <c r="Y233" s="73" t="s">
        <v>34</v>
      </c>
      <c r="Z233" s="73"/>
      <c r="AA233" s="73"/>
      <c r="AB233" s="52" t="s">
        <v>35</v>
      </c>
      <c r="AC233" s="52"/>
      <c r="AD233" s="52"/>
      <c r="AE233" s="73" t="s">
        <v>36</v>
      </c>
      <c r="AF233" s="73"/>
      <c r="AG233" s="73"/>
    </row>
    <row r="234" spans="1:33" ht="15.75" thickBot="1" x14ac:dyDescent="0.3">
      <c r="A234" s="68"/>
      <c r="B234" s="68"/>
      <c r="C234" s="105" t="s">
        <v>243</v>
      </c>
      <c r="D234" s="75">
        <v>0</v>
      </c>
      <c r="E234" s="75"/>
      <c r="F234" s="76"/>
      <c r="G234" s="74">
        <v>0</v>
      </c>
      <c r="H234" s="75"/>
      <c r="I234" s="76"/>
      <c r="J234" s="74">
        <v>0</v>
      </c>
      <c r="K234" s="75"/>
      <c r="L234" s="76"/>
      <c r="M234" s="74">
        <v>0</v>
      </c>
      <c r="N234" s="75"/>
      <c r="O234" s="76"/>
      <c r="P234" s="74">
        <v>0</v>
      </c>
      <c r="Q234" s="75"/>
      <c r="R234" s="76"/>
      <c r="S234" s="74">
        <v>0</v>
      </c>
      <c r="T234" s="75"/>
      <c r="U234" s="76"/>
      <c r="V234" s="74">
        <v>0</v>
      </c>
      <c r="W234" s="75"/>
      <c r="X234" s="76"/>
      <c r="Y234" s="74">
        <v>0</v>
      </c>
      <c r="Z234" s="75"/>
      <c r="AA234" s="76"/>
      <c r="AB234" s="74">
        <v>0</v>
      </c>
      <c r="AC234" s="75"/>
      <c r="AD234" s="76"/>
      <c r="AE234" s="74">
        <v>0</v>
      </c>
      <c r="AF234" s="75"/>
      <c r="AG234" s="76"/>
    </row>
    <row r="235" spans="1:33" ht="15.75" thickBot="1" x14ac:dyDescent="0.3">
      <c r="A235" s="68"/>
      <c r="B235" s="68"/>
      <c r="C235" s="106" t="s">
        <v>244</v>
      </c>
      <c r="D235" s="82">
        <v>0</v>
      </c>
      <c r="E235" s="82"/>
      <c r="F235" s="84"/>
      <c r="G235" s="85">
        <v>0</v>
      </c>
      <c r="H235" s="82"/>
      <c r="I235" s="84"/>
      <c r="J235" s="85">
        <v>0</v>
      </c>
      <c r="K235" s="82"/>
      <c r="L235" s="84"/>
      <c r="M235" s="85">
        <v>0</v>
      </c>
      <c r="N235" s="82"/>
      <c r="O235" s="82"/>
      <c r="P235" s="81">
        <v>0</v>
      </c>
      <c r="Q235" s="82"/>
      <c r="R235" s="83"/>
      <c r="S235" s="82">
        <v>0</v>
      </c>
      <c r="T235" s="82"/>
      <c r="U235" s="84"/>
      <c r="V235" s="85">
        <v>0</v>
      </c>
      <c r="W235" s="82"/>
      <c r="X235" s="84"/>
      <c r="Y235" s="85">
        <v>0</v>
      </c>
      <c r="Z235" s="82"/>
      <c r="AA235" s="84"/>
      <c r="AB235" s="85">
        <v>0</v>
      </c>
      <c r="AC235" s="82"/>
      <c r="AD235" s="84"/>
      <c r="AE235" s="85">
        <v>0</v>
      </c>
      <c r="AF235" s="82"/>
      <c r="AG235" s="84"/>
    </row>
    <row r="236" spans="1:33" ht="15.75" thickBot="1" x14ac:dyDescent="0.3">
      <c r="A236" s="68"/>
      <c r="B236" s="68"/>
      <c r="C236" s="107" t="s">
        <v>37</v>
      </c>
      <c r="D236" s="104"/>
      <c r="E236" s="86"/>
      <c r="F236" s="89"/>
      <c r="G236" s="86"/>
      <c r="H236" s="86"/>
      <c r="I236" s="89"/>
      <c r="J236" s="86"/>
      <c r="K236" s="86"/>
      <c r="L236" s="89"/>
      <c r="M236" s="86"/>
      <c r="N236" s="86"/>
      <c r="O236" s="89"/>
      <c r="P236" s="86"/>
      <c r="Q236" s="86"/>
      <c r="R236" s="89"/>
      <c r="S236" s="86"/>
      <c r="T236" s="86"/>
      <c r="U236" s="89"/>
      <c r="V236" s="86"/>
      <c r="W236" s="86"/>
      <c r="X236" s="89"/>
      <c r="Y236" s="86"/>
      <c r="Z236" s="86"/>
      <c r="AA236" s="89"/>
      <c r="AB236" s="86"/>
      <c r="AC236" s="86"/>
      <c r="AD236" s="89"/>
      <c r="AE236" s="86"/>
      <c r="AF236" s="86"/>
      <c r="AG236" s="89"/>
    </row>
    <row r="237" spans="1:33" ht="15.75" thickBot="1" x14ac:dyDescent="0.3">
      <c r="A237" s="68"/>
      <c r="B237" s="68"/>
      <c r="D237" s="87"/>
      <c r="E237" s="87"/>
      <c r="F237" s="90"/>
      <c r="G237" s="87"/>
      <c r="H237" s="87"/>
      <c r="I237" s="90"/>
      <c r="J237" s="87"/>
      <c r="K237" s="87"/>
      <c r="L237" s="90"/>
      <c r="M237" s="87"/>
      <c r="N237" s="87"/>
      <c r="O237" s="90"/>
      <c r="P237" s="87"/>
      <c r="Q237" s="87"/>
      <c r="R237" s="90"/>
      <c r="S237" s="87"/>
      <c r="T237" s="87"/>
      <c r="U237" s="90"/>
      <c r="V237" s="87"/>
      <c r="W237" s="87"/>
      <c r="X237" s="90"/>
      <c r="Y237" s="87"/>
      <c r="Z237" s="87"/>
      <c r="AA237" s="90"/>
      <c r="AB237" s="87"/>
      <c r="AC237" s="87"/>
      <c r="AD237" s="90"/>
      <c r="AE237" s="87"/>
      <c r="AF237" s="87"/>
      <c r="AG237" s="90"/>
    </row>
    <row r="238" spans="1:33" ht="15.75" thickBot="1" x14ac:dyDescent="0.3">
      <c r="A238" s="68"/>
      <c r="B238" s="68"/>
      <c r="D238" s="88"/>
      <c r="E238" s="88"/>
      <c r="F238" s="91"/>
      <c r="G238" s="88"/>
      <c r="H238" s="88"/>
      <c r="I238" s="91"/>
      <c r="J238" s="88"/>
      <c r="K238" s="88"/>
      <c r="L238" s="91"/>
      <c r="M238" s="88"/>
      <c r="N238" s="88"/>
      <c r="O238" s="91"/>
      <c r="P238" s="88"/>
      <c r="Q238" s="88"/>
      <c r="R238" s="91"/>
      <c r="S238" s="88"/>
      <c r="T238" s="88"/>
      <c r="U238" s="91"/>
      <c r="V238" s="88"/>
      <c r="W238" s="88"/>
      <c r="X238" s="91"/>
      <c r="Y238" s="88"/>
      <c r="Z238" s="88"/>
      <c r="AA238" s="91"/>
      <c r="AB238" s="88"/>
      <c r="AC238" s="88"/>
      <c r="AD238" s="91"/>
      <c r="AE238" s="88"/>
      <c r="AF238" s="88"/>
      <c r="AG238" s="91"/>
    </row>
    <row r="240" spans="1:33" ht="15.75" thickBot="1" x14ac:dyDescent="0.3"/>
    <row r="241" spans="1:33" ht="15.75" thickBot="1" x14ac:dyDescent="0.3">
      <c r="A241" s="68" t="s">
        <v>92</v>
      </c>
      <c r="B241" s="68"/>
      <c r="D241" s="52" t="s">
        <v>27</v>
      </c>
      <c r="E241" s="52"/>
      <c r="F241" s="52"/>
      <c r="G241" s="73" t="s">
        <v>28</v>
      </c>
      <c r="H241" s="73"/>
      <c r="I241" s="73"/>
      <c r="J241" s="52" t="s">
        <v>29</v>
      </c>
      <c r="K241" s="52"/>
      <c r="L241" s="52"/>
      <c r="M241" s="73" t="s">
        <v>30</v>
      </c>
      <c r="N241" s="73"/>
      <c r="O241" s="73"/>
      <c r="P241" s="52" t="s">
        <v>31</v>
      </c>
      <c r="Q241" s="52"/>
      <c r="R241" s="52"/>
      <c r="S241" s="73" t="s">
        <v>32</v>
      </c>
      <c r="T241" s="73"/>
      <c r="U241" s="73"/>
      <c r="V241" s="52" t="s">
        <v>33</v>
      </c>
      <c r="W241" s="52"/>
      <c r="X241" s="52"/>
      <c r="Y241" s="73" t="s">
        <v>34</v>
      </c>
      <c r="Z241" s="73"/>
      <c r="AA241" s="73"/>
      <c r="AB241" s="52" t="s">
        <v>35</v>
      </c>
      <c r="AC241" s="52"/>
      <c r="AD241" s="52"/>
      <c r="AE241" s="73" t="s">
        <v>36</v>
      </c>
      <c r="AF241" s="73"/>
      <c r="AG241" s="73"/>
    </row>
    <row r="242" spans="1:33" ht="15.75" thickBot="1" x14ac:dyDescent="0.3">
      <c r="A242" s="68"/>
      <c r="B242" s="68"/>
      <c r="C242" s="105" t="s">
        <v>243</v>
      </c>
      <c r="D242" s="75">
        <v>0</v>
      </c>
      <c r="E242" s="75"/>
      <c r="F242" s="76"/>
      <c r="G242" s="74">
        <v>0</v>
      </c>
      <c r="H242" s="75"/>
      <c r="I242" s="76"/>
      <c r="J242" s="74">
        <v>0</v>
      </c>
      <c r="K242" s="75"/>
      <c r="L242" s="76"/>
      <c r="M242" s="74">
        <v>0</v>
      </c>
      <c r="N242" s="75"/>
      <c r="O242" s="76"/>
      <c r="P242" s="74">
        <v>0</v>
      </c>
      <c r="Q242" s="75"/>
      <c r="R242" s="76"/>
      <c r="S242" s="74">
        <v>0</v>
      </c>
      <c r="T242" s="75"/>
      <c r="U242" s="76"/>
      <c r="V242" s="74">
        <v>0</v>
      </c>
      <c r="W242" s="75"/>
      <c r="X242" s="76"/>
      <c r="Y242" s="74">
        <v>0</v>
      </c>
      <c r="Z242" s="75"/>
      <c r="AA242" s="76"/>
      <c r="AB242" s="74">
        <v>0</v>
      </c>
      <c r="AC242" s="75"/>
      <c r="AD242" s="76"/>
      <c r="AE242" s="74">
        <v>0</v>
      </c>
      <c r="AF242" s="75"/>
      <c r="AG242" s="76"/>
    </row>
    <row r="243" spans="1:33" ht="15.75" thickBot="1" x14ac:dyDescent="0.3">
      <c r="A243" s="68"/>
      <c r="B243" s="68"/>
      <c r="C243" s="106" t="s">
        <v>244</v>
      </c>
      <c r="D243" s="82">
        <v>0</v>
      </c>
      <c r="E243" s="82"/>
      <c r="F243" s="84"/>
      <c r="G243" s="85">
        <v>0</v>
      </c>
      <c r="H243" s="82"/>
      <c r="I243" s="84"/>
      <c r="J243" s="85">
        <v>0</v>
      </c>
      <c r="K243" s="82"/>
      <c r="L243" s="84"/>
      <c r="M243" s="85">
        <v>0</v>
      </c>
      <c r="N243" s="82"/>
      <c r="O243" s="82"/>
      <c r="P243" s="81">
        <v>0</v>
      </c>
      <c r="Q243" s="82"/>
      <c r="R243" s="83"/>
      <c r="S243" s="82">
        <v>0</v>
      </c>
      <c r="T243" s="82"/>
      <c r="U243" s="84"/>
      <c r="V243" s="85">
        <v>0</v>
      </c>
      <c r="W243" s="82"/>
      <c r="X243" s="84"/>
      <c r="Y243" s="85">
        <v>0</v>
      </c>
      <c r="Z243" s="82"/>
      <c r="AA243" s="84"/>
      <c r="AB243" s="85">
        <v>0</v>
      </c>
      <c r="AC243" s="82"/>
      <c r="AD243" s="84"/>
      <c r="AE243" s="85">
        <v>0</v>
      </c>
      <c r="AF243" s="82"/>
      <c r="AG243" s="84"/>
    </row>
    <row r="244" spans="1:33" ht="15.75" thickBot="1" x14ac:dyDescent="0.3">
      <c r="A244" s="68"/>
      <c r="B244" s="68"/>
      <c r="C244" s="107" t="s">
        <v>37</v>
      </c>
      <c r="D244" s="104"/>
      <c r="E244" s="86"/>
      <c r="F244" s="89"/>
      <c r="G244" s="86"/>
      <c r="H244" s="86"/>
      <c r="I244" s="89"/>
      <c r="J244" s="86"/>
      <c r="K244" s="86"/>
      <c r="L244" s="89"/>
      <c r="M244" s="86"/>
      <c r="N244" s="86"/>
      <c r="O244" s="89"/>
      <c r="P244" s="86"/>
      <c r="Q244" s="86"/>
      <c r="R244" s="89"/>
      <c r="S244" s="86"/>
      <c r="T244" s="86"/>
      <c r="U244" s="89"/>
      <c r="V244" s="86"/>
      <c r="W244" s="86"/>
      <c r="X244" s="89"/>
      <c r="Y244" s="86"/>
      <c r="Z244" s="86"/>
      <c r="AA244" s="89"/>
      <c r="AB244" s="86"/>
      <c r="AC244" s="86"/>
      <c r="AD244" s="89"/>
      <c r="AE244" s="86"/>
      <c r="AF244" s="86"/>
      <c r="AG244" s="89"/>
    </row>
    <row r="245" spans="1:33" ht="15.75" thickBot="1" x14ac:dyDescent="0.3">
      <c r="A245" s="68"/>
      <c r="B245" s="68"/>
      <c r="D245" s="87"/>
      <c r="E245" s="87"/>
      <c r="F245" s="90"/>
      <c r="G245" s="87"/>
      <c r="H245" s="87"/>
      <c r="I245" s="90"/>
      <c r="J245" s="87"/>
      <c r="K245" s="87"/>
      <c r="L245" s="90"/>
      <c r="M245" s="87"/>
      <c r="N245" s="87"/>
      <c r="O245" s="90"/>
      <c r="P245" s="87"/>
      <c r="Q245" s="87"/>
      <c r="R245" s="90"/>
      <c r="S245" s="87"/>
      <c r="T245" s="87"/>
      <c r="U245" s="90"/>
      <c r="V245" s="87"/>
      <c r="W245" s="87"/>
      <c r="X245" s="90"/>
      <c r="Y245" s="87"/>
      <c r="Z245" s="87"/>
      <c r="AA245" s="90"/>
      <c r="AB245" s="87"/>
      <c r="AC245" s="87"/>
      <c r="AD245" s="90"/>
      <c r="AE245" s="87"/>
      <c r="AF245" s="87"/>
      <c r="AG245" s="90"/>
    </row>
    <row r="246" spans="1:33" ht="15.75" thickBot="1" x14ac:dyDescent="0.3">
      <c r="A246" s="68"/>
      <c r="B246" s="68"/>
      <c r="D246" s="88"/>
      <c r="E246" s="88"/>
      <c r="F246" s="91"/>
      <c r="G246" s="88"/>
      <c r="H246" s="88"/>
      <c r="I246" s="91"/>
      <c r="J246" s="88"/>
      <c r="K246" s="88"/>
      <c r="L246" s="91"/>
      <c r="M246" s="88"/>
      <c r="N246" s="88"/>
      <c r="O246" s="91"/>
      <c r="P246" s="88"/>
      <c r="Q246" s="88"/>
      <c r="R246" s="91"/>
      <c r="S246" s="88"/>
      <c r="T246" s="88"/>
      <c r="U246" s="91"/>
      <c r="V246" s="88"/>
      <c r="W246" s="88"/>
      <c r="X246" s="91"/>
      <c r="Y246" s="88"/>
      <c r="Z246" s="88"/>
      <c r="AA246" s="91"/>
      <c r="AB246" s="88"/>
      <c r="AC246" s="88"/>
      <c r="AD246" s="91"/>
      <c r="AE246" s="88"/>
      <c r="AF246" s="88"/>
      <c r="AG246" s="91"/>
    </row>
    <row r="248" spans="1:33" ht="15.75" thickBot="1" x14ac:dyDescent="0.3"/>
    <row r="249" spans="1:33" ht="15.75" thickBot="1" x14ac:dyDescent="0.3">
      <c r="A249" s="68" t="s">
        <v>260</v>
      </c>
      <c r="B249" s="68"/>
      <c r="D249" s="52" t="s">
        <v>27</v>
      </c>
      <c r="E249" s="52"/>
      <c r="F249" s="52"/>
      <c r="G249" s="73" t="s">
        <v>28</v>
      </c>
      <c r="H249" s="73"/>
      <c r="I249" s="73"/>
      <c r="J249" s="52" t="s">
        <v>29</v>
      </c>
      <c r="K249" s="52"/>
      <c r="L249" s="52"/>
      <c r="M249" s="73" t="s">
        <v>30</v>
      </c>
      <c r="N249" s="73"/>
      <c r="O249" s="73"/>
      <c r="P249" s="52" t="s">
        <v>31</v>
      </c>
      <c r="Q249" s="52"/>
      <c r="R249" s="52"/>
      <c r="S249" s="73" t="s">
        <v>32</v>
      </c>
      <c r="T249" s="73"/>
      <c r="U249" s="73"/>
      <c r="V249" s="52" t="s">
        <v>33</v>
      </c>
      <c r="W249" s="52"/>
      <c r="X249" s="52"/>
      <c r="Y249" s="73" t="s">
        <v>34</v>
      </c>
      <c r="Z249" s="73"/>
      <c r="AA249" s="73"/>
      <c r="AB249" s="52" t="s">
        <v>35</v>
      </c>
      <c r="AC249" s="52"/>
      <c r="AD249" s="52"/>
      <c r="AE249" s="73" t="s">
        <v>36</v>
      </c>
      <c r="AF249" s="73"/>
      <c r="AG249" s="73"/>
    </row>
    <row r="250" spans="1:33" ht="15.75" thickBot="1" x14ac:dyDescent="0.3">
      <c r="A250" s="68"/>
      <c r="B250" s="68"/>
      <c r="C250" s="105" t="s">
        <v>243</v>
      </c>
      <c r="D250" s="75">
        <v>0</v>
      </c>
      <c r="E250" s="75"/>
      <c r="F250" s="76"/>
      <c r="G250" s="74">
        <v>0</v>
      </c>
      <c r="H250" s="75"/>
      <c r="I250" s="76"/>
      <c r="J250" s="74">
        <v>0</v>
      </c>
      <c r="K250" s="75"/>
      <c r="L250" s="76"/>
      <c r="M250" s="74">
        <v>0</v>
      </c>
      <c r="N250" s="75"/>
      <c r="O250" s="76"/>
      <c r="P250" s="74">
        <v>0</v>
      </c>
      <c r="Q250" s="75"/>
      <c r="R250" s="76"/>
      <c r="S250" s="74">
        <v>0</v>
      </c>
      <c r="T250" s="75"/>
      <c r="U250" s="76"/>
      <c r="V250" s="74">
        <v>0</v>
      </c>
      <c r="W250" s="75"/>
      <c r="X250" s="76"/>
      <c r="Y250" s="74">
        <v>0</v>
      </c>
      <c r="Z250" s="75"/>
      <c r="AA250" s="76"/>
      <c r="AB250" s="74">
        <v>0</v>
      </c>
      <c r="AC250" s="75"/>
      <c r="AD250" s="76"/>
      <c r="AE250" s="74">
        <v>0</v>
      </c>
      <c r="AF250" s="75"/>
      <c r="AG250" s="76"/>
    </row>
    <row r="251" spans="1:33" ht="15.75" thickBot="1" x14ac:dyDescent="0.3">
      <c r="A251" s="68"/>
      <c r="B251" s="68"/>
      <c r="C251" s="106" t="s">
        <v>244</v>
      </c>
      <c r="D251" s="82">
        <v>0</v>
      </c>
      <c r="E251" s="82"/>
      <c r="F251" s="84"/>
      <c r="G251" s="85">
        <v>0</v>
      </c>
      <c r="H251" s="82"/>
      <c r="I251" s="84"/>
      <c r="J251" s="85">
        <v>0</v>
      </c>
      <c r="K251" s="82"/>
      <c r="L251" s="84"/>
      <c r="M251" s="85">
        <v>0</v>
      </c>
      <c r="N251" s="82"/>
      <c r="O251" s="82"/>
      <c r="P251" s="81">
        <v>0</v>
      </c>
      <c r="Q251" s="82"/>
      <c r="R251" s="83"/>
      <c r="S251" s="82">
        <v>0</v>
      </c>
      <c r="T251" s="82"/>
      <c r="U251" s="84"/>
      <c r="V251" s="85">
        <v>0</v>
      </c>
      <c r="W251" s="82"/>
      <c r="X251" s="84"/>
      <c r="Y251" s="85">
        <v>0</v>
      </c>
      <c r="Z251" s="82"/>
      <c r="AA251" s="84"/>
      <c r="AB251" s="85">
        <v>0</v>
      </c>
      <c r="AC251" s="82"/>
      <c r="AD251" s="84"/>
      <c r="AE251" s="85">
        <v>0</v>
      </c>
      <c r="AF251" s="82"/>
      <c r="AG251" s="84"/>
    </row>
    <row r="252" spans="1:33" ht="15.75" thickBot="1" x14ac:dyDescent="0.3">
      <c r="A252" s="68"/>
      <c r="B252" s="68"/>
      <c r="C252" s="107" t="s">
        <v>37</v>
      </c>
      <c r="D252" s="104"/>
      <c r="E252" s="86"/>
      <c r="F252" s="89"/>
      <c r="G252" s="86"/>
      <c r="H252" s="86"/>
      <c r="I252" s="89"/>
      <c r="J252" s="86"/>
      <c r="K252" s="86"/>
      <c r="L252" s="89"/>
      <c r="M252" s="86"/>
      <c r="N252" s="86"/>
      <c r="O252" s="89"/>
      <c r="P252" s="86"/>
      <c r="Q252" s="86"/>
      <c r="R252" s="89"/>
      <c r="S252" s="86"/>
      <c r="T252" s="86"/>
      <c r="U252" s="89"/>
      <c r="V252" s="86"/>
      <c r="W252" s="86"/>
      <c r="X252" s="89"/>
      <c r="Y252" s="86"/>
      <c r="Z252" s="86"/>
      <c r="AA252" s="89"/>
      <c r="AB252" s="86"/>
      <c r="AC252" s="86"/>
      <c r="AD252" s="89"/>
      <c r="AE252" s="86"/>
      <c r="AF252" s="86"/>
      <c r="AG252" s="89"/>
    </row>
    <row r="253" spans="1:33" ht="15.75" thickBot="1" x14ac:dyDescent="0.3">
      <c r="A253" s="68"/>
      <c r="B253" s="68"/>
      <c r="D253" s="87"/>
      <c r="E253" s="87"/>
      <c r="F253" s="90"/>
      <c r="G253" s="87"/>
      <c r="H253" s="87"/>
      <c r="I253" s="90"/>
      <c r="J253" s="87"/>
      <c r="K253" s="87"/>
      <c r="L253" s="90"/>
      <c r="M253" s="87"/>
      <c r="N253" s="87"/>
      <c r="O253" s="90"/>
      <c r="P253" s="87"/>
      <c r="Q253" s="87"/>
      <c r="R253" s="90"/>
      <c r="S253" s="87"/>
      <c r="T253" s="87"/>
      <c r="U253" s="90"/>
      <c r="V253" s="87"/>
      <c r="W253" s="87"/>
      <c r="X253" s="90"/>
      <c r="Y253" s="87"/>
      <c r="Z253" s="87"/>
      <c r="AA253" s="90"/>
      <c r="AB253" s="87"/>
      <c r="AC253" s="87"/>
      <c r="AD253" s="90"/>
      <c r="AE253" s="87"/>
      <c r="AF253" s="87"/>
      <c r="AG253" s="90"/>
    </row>
    <row r="254" spans="1:33" ht="15.75" thickBot="1" x14ac:dyDescent="0.3">
      <c r="A254" s="68"/>
      <c r="B254" s="68"/>
      <c r="D254" s="88"/>
      <c r="E254" s="88"/>
      <c r="F254" s="91"/>
      <c r="G254" s="88"/>
      <c r="H254" s="88"/>
      <c r="I254" s="91"/>
      <c r="J254" s="88"/>
      <c r="K254" s="88"/>
      <c r="L254" s="91"/>
      <c r="M254" s="88"/>
      <c r="N254" s="88"/>
      <c r="O254" s="91"/>
      <c r="P254" s="88"/>
      <c r="Q254" s="88"/>
      <c r="R254" s="91"/>
      <c r="S254" s="88"/>
      <c r="T254" s="88"/>
      <c r="U254" s="91"/>
      <c r="V254" s="88"/>
      <c r="W254" s="88"/>
      <c r="X254" s="91"/>
      <c r="Y254" s="88"/>
      <c r="Z254" s="88"/>
      <c r="AA254" s="91"/>
      <c r="AB254" s="88"/>
      <c r="AC254" s="88"/>
      <c r="AD254" s="91"/>
      <c r="AE254" s="88"/>
      <c r="AF254" s="88"/>
      <c r="AG254" s="91"/>
    </row>
    <row r="256" spans="1:33" ht="15.75" thickBot="1" x14ac:dyDescent="0.3"/>
    <row r="257" spans="1:33" ht="15.75" thickBot="1" x14ac:dyDescent="0.3">
      <c r="A257" s="68" t="s">
        <v>93</v>
      </c>
      <c r="B257" s="68"/>
      <c r="D257" s="52" t="s">
        <v>27</v>
      </c>
      <c r="E257" s="52"/>
      <c r="F257" s="52"/>
      <c r="G257" s="73" t="s">
        <v>28</v>
      </c>
      <c r="H257" s="73"/>
      <c r="I257" s="73"/>
      <c r="J257" s="52" t="s">
        <v>29</v>
      </c>
      <c r="K257" s="52"/>
      <c r="L257" s="52"/>
      <c r="M257" s="73" t="s">
        <v>30</v>
      </c>
      <c r="N257" s="73"/>
      <c r="O257" s="73"/>
      <c r="P257" s="52" t="s">
        <v>31</v>
      </c>
      <c r="Q257" s="52"/>
      <c r="R257" s="52"/>
      <c r="S257" s="73" t="s">
        <v>32</v>
      </c>
      <c r="T257" s="73"/>
      <c r="U257" s="73"/>
      <c r="V257" s="52" t="s">
        <v>33</v>
      </c>
      <c r="W257" s="52"/>
      <c r="X257" s="52"/>
      <c r="Y257" s="73" t="s">
        <v>34</v>
      </c>
      <c r="Z257" s="73"/>
      <c r="AA257" s="73"/>
      <c r="AB257" s="52" t="s">
        <v>35</v>
      </c>
      <c r="AC257" s="52"/>
      <c r="AD257" s="52"/>
      <c r="AE257" s="73" t="s">
        <v>36</v>
      </c>
      <c r="AF257" s="73"/>
      <c r="AG257" s="73"/>
    </row>
    <row r="258" spans="1:33" ht="15.75" thickBot="1" x14ac:dyDescent="0.3">
      <c r="A258" s="68"/>
      <c r="B258" s="68"/>
      <c r="C258" s="105" t="s">
        <v>243</v>
      </c>
      <c r="D258" s="75">
        <v>0</v>
      </c>
      <c r="E258" s="75"/>
      <c r="F258" s="76"/>
      <c r="G258" s="74">
        <v>0</v>
      </c>
      <c r="H258" s="75"/>
      <c r="I258" s="76"/>
      <c r="J258" s="74">
        <v>0</v>
      </c>
      <c r="K258" s="75"/>
      <c r="L258" s="76"/>
      <c r="M258" s="74">
        <v>0</v>
      </c>
      <c r="N258" s="75"/>
      <c r="O258" s="76"/>
      <c r="P258" s="74">
        <v>0</v>
      </c>
      <c r="Q258" s="75"/>
      <c r="R258" s="76"/>
      <c r="S258" s="74">
        <v>0</v>
      </c>
      <c r="T258" s="75"/>
      <c r="U258" s="76"/>
      <c r="V258" s="74">
        <v>0</v>
      </c>
      <c r="W258" s="75"/>
      <c r="X258" s="76"/>
      <c r="Y258" s="74">
        <v>0</v>
      </c>
      <c r="Z258" s="75"/>
      <c r="AA258" s="76"/>
      <c r="AB258" s="74">
        <v>0</v>
      </c>
      <c r="AC258" s="75"/>
      <c r="AD258" s="76"/>
      <c r="AE258" s="74">
        <v>0</v>
      </c>
      <c r="AF258" s="75"/>
      <c r="AG258" s="76"/>
    </row>
    <row r="259" spans="1:33" ht="15.75" thickBot="1" x14ac:dyDescent="0.3">
      <c r="A259" s="68"/>
      <c r="B259" s="68"/>
      <c r="C259" s="106" t="s">
        <v>244</v>
      </c>
      <c r="D259" s="82">
        <v>0</v>
      </c>
      <c r="E259" s="82"/>
      <c r="F259" s="84"/>
      <c r="G259" s="85">
        <v>0</v>
      </c>
      <c r="H259" s="82"/>
      <c r="I259" s="84"/>
      <c r="J259" s="85">
        <v>0</v>
      </c>
      <c r="K259" s="82"/>
      <c r="L259" s="84"/>
      <c r="M259" s="85">
        <v>0</v>
      </c>
      <c r="N259" s="82"/>
      <c r="O259" s="82"/>
      <c r="P259" s="81">
        <v>0</v>
      </c>
      <c r="Q259" s="82"/>
      <c r="R259" s="83"/>
      <c r="S259" s="82">
        <v>0</v>
      </c>
      <c r="T259" s="82"/>
      <c r="U259" s="84"/>
      <c r="V259" s="85">
        <v>0</v>
      </c>
      <c r="W259" s="82"/>
      <c r="X259" s="84"/>
      <c r="Y259" s="85">
        <v>0</v>
      </c>
      <c r="Z259" s="82"/>
      <c r="AA259" s="84"/>
      <c r="AB259" s="85">
        <v>0</v>
      </c>
      <c r="AC259" s="82"/>
      <c r="AD259" s="84"/>
      <c r="AE259" s="85">
        <v>0</v>
      </c>
      <c r="AF259" s="82"/>
      <c r="AG259" s="84"/>
    </row>
    <row r="260" spans="1:33" ht="15.75" thickBot="1" x14ac:dyDescent="0.3">
      <c r="A260" s="68"/>
      <c r="B260" s="68"/>
      <c r="C260" s="107" t="s">
        <v>37</v>
      </c>
      <c r="D260" s="104"/>
      <c r="E260" s="86"/>
      <c r="F260" s="89"/>
      <c r="G260" s="86"/>
      <c r="H260" s="86"/>
      <c r="I260" s="89"/>
      <c r="J260" s="86"/>
      <c r="K260" s="86"/>
      <c r="L260" s="89"/>
      <c r="M260" s="86"/>
      <c r="N260" s="86"/>
      <c r="O260" s="89"/>
      <c r="P260" s="86"/>
      <c r="Q260" s="86"/>
      <c r="R260" s="89"/>
      <c r="S260" s="86"/>
      <c r="T260" s="86"/>
      <c r="U260" s="89"/>
      <c r="V260" s="86"/>
      <c r="W260" s="86"/>
      <c r="X260" s="89"/>
      <c r="Y260" s="86"/>
      <c r="Z260" s="86"/>
      <c r="AA260" s="89"/>
      <c r="AB260" s="86"/>
      <c r="AC260" s="86"/>
      <c r="AD260" s="89"/>
      <c r="AE260" s="86"/>
      <c r="AF260" s="86"/>
      <c r="AG260" s="89"/>
    </row>
    <row r="261" spans="1:33" ht="15.75" thickBot="1" x14ac:dyDescent="0.3">
      <c r="A261" s="68"/>
      <c r="B261" s="68"/>
      <c r="D261" s="87"/>
      <c r="E261" s="87"/>
      <c r="F261" s="90"/>
      <c r="G261" s="87"/>
      <c r="H261" s="87"/>
      <c r="I261" s="90"/>
      <c r="J261" s="87"/>
      <c r="K261" s="87"/>
      <c r="L261" s="90"/>
      <c r="M261" s="87"/>
      <c r="N261" s="87"/>
      <c r="O261" s="90"/>
      <c r="P261" s="87"/>
      <c r="Q261" s="87"/>
      <c r="R261" s="90"/>
      <c r="S261" s="87"/>
      <c r="T261" s="87"/>
      <c r="U261" s="90"/>
      <c r="V261" s="87"/>
      <c r="W261" s="87"/>
      <c r="X261" s="90"/>
      <c r="Y261" s="87"/>
      <c r="Z261" s="87"/>
      <c r="AA261" s="90"/>
      <c r="AB261" s="87"/>
      <c r="AC261" s="87"/>
      <c r="AD261" s="90"/>
      <c r="AE261" s="87"/>
      <c r="AF261" s="87"/>
      <c r="AG261" s="90"/>
    </row>
    <row r="262" spans="1:33" ht="15.75" thickBot="1" x14ac:dyDescent="0.3">
      <c r="A262" s="68"/>
      <c r="B262" s="68"/>
      <c r="D262" s="88"/>
      <c r="E262" s="88"/>
      <c r="F262" s="91"/>
      <c r="G262" s="88"/>
      <c r="H262" s="88"/>
      <c r="I262" s="91"/>
      <c r="J262" s="88"/>
      <c r="K262" s="88"/>
      <c r="L262" s="91"/>
      <c r="M262" s="88"/>
      <c r="N262" s="88"/>
      <c r="O262" s="91"/>
      <c r="P262" s="88"/>
      <c r="Q262" s="88"/>
      <c r="R262" s="91"/>
      <c r="S262" s="88"/>
      <c r="T262" s="88"/>
      <c r="U262" s="91"/>
      <c r="V262" s="88"/>
      <c r="W262" s="88"/>
      <c r="X262" s="91"/>
      <c r="Y262" s="88"/>
      <c r="Z262" s="88"/>
      <c r="AA262" s="91"/>
      <c r="AB262" s="88"/>
      <c r="AC262" s="88"/>
      <c r="AD262" s="91"/>
      <c r="AE262" s="88"/>
      <c r="AF262" s="88"/>
      <c r="AG262" s="91"/>
    </row>
    <row r="264" spans="1:33" ht="15.75" thickBot="1" x14ac:dyDescent="0.3"/>
    <row r="265" spans="1:33" ht="15.75" thickBot="1" x14ac:dyDescent="0.3">
      <c r="A265" s="68" t="s">
        <v>94</v>
      </c>
      <c r="B265" s="68"/>
      <c r="D265" s="52" t="s">
        <v>27</v>
      </c>
      <c r="E265" s="52"/>
      <c r="F265" s="52"/>
      <c r="G265" s="73" t="s">
        <v>28</v>
      </c>
      <c r="H265" s="73"/>
      <c r="I265" s="73"/>
      <c r="J265" s="52" t="s">
        <v>29</v>
      </c>
      <c r="K265" s="52"/>
      <c r="L265" s="52"/>
      <c r="M265" s="73" t="s">
        <v>30</v>
      </c>
      <c r="N265" s="73"/>
      <c r="O265" s="73"/>
      <c r="P265" s="52" t="s">
        <v>31</v>
      </c>
      <c r="Q265" s="52"/>
      <c r="R265" s="52"/>
      <c r="S265" s="73" t="s">
        <v>32</v>
      </c>
      <c r="T265" s="73"/>
      <c r="U265" s="73"/>
      <c r="V265" s="52" t="s">
        <v>33</v>
      </c>
      <c r="W265" s="52"/>
      <c r="X265" s="52"/>
      <c r="Y265" s="73" t="s">
        <v>34</v>
      </c>
      <c r="Z265" s="73"/>
      <c r="AA265" s="73"/>
      <c r="AB265" s="52" t="s">
        <v>35</v>
      </c>
      <c r="AC265" s="52"/>
      <c r="AD265" s="52"/>
      <c r="AE265" s="73" t="s">
        <v>36</v>
      </c>
      <c r="AF265" s="73"/>
      <c r="AG265" s="73"/>
    </row>
    <row r="266" spans="1:33" ht="15.75" thickBot="1" x14ac:dyDescent="0.3">
      <c r="A266" s="68"/>
      <c r="B266" s="68"/>
      <c r="C266" s="105" t="s">
        <v>243</v>
      </c>
      <c r="D266" s="75">
        <v>0</v>
      </c>
      <c r="E266" s="75"/>
      <c r="F266" s="76"/>
      <c r="G266" s="74">
        <v>0</v>
      </c>
      <c r="H266" s="75"/>
      <c r="I266" s="76"/>
      <c r="J266" s="74">
        <v>0</v>
      </c>
      <c r="K266" s="75"/>
      <c r="L266" s="76"/>
      <c r="M266" s="74">
        <v>0</v>
      </c>
      <c r="N266" s="75"/>
      <c r="O266" s="76"/>
      <c r="P266" s="74">
        <v>0</v>
      </c>
      <c r="Q266" s="75"/>
      <c r="R266" s="76"/>
      <c r="S266" s="74">
        <v>0</v>
      </c>
      <c r="T266" s="75"/>
      <c r="U266" s="76"/>
      <c r="V266" s="74">
        <v>0</v>
      </c>
      <c r="W266" s="75"/>
      <c r="X266" s="76"/>
      <c r="Y266" s="74">
        <v>0</v>
      </c>
      <c r="Z266" s="75"/>
      <c r="AA266" s="76"/>
      <c r="AB266" s="74">
        <v>0</v>
      </c>
      <c r="AC266" s="75"/>
      <c r="AD266" s="76"/>
      <c r="AE266" s="74">
        <v>0</v>
      </c>
      <c r="AF266" s="75"/>
      <c r="AG266" s="76"/>
    </row>
    <row r="267" spans="1:33" ht="15.75" thickBot="1" x14ac:dyDescent="0.3">
      <c r="A267" s="68"/>
      <c r="B267" s="68"/>
      <c r="C267" s="106" t="s">
        <v>244</v>
      </c>
      <c r="D267" s="82">
        <v>0</v>
      </c>
      <c r="E267" s="82"/>
      <c r="F267" s="84"/>
      <c r="G267" s="85">
        <v>0</v>
      </c>
      <c r="H267" s="82"/>
      <c r="I267" s="84"/>
      <c r="J267" s="85">
        <v>0</v>
      </c>
      <c r="K267" s="82"/>
      <c r="L267" s="84"/>
      <c r="M267" s="85">
        <v>0</v>
      </c>
      <c r="N267" s="82"/>
      <c r="O267" s="82"/>
      <c r="P267" s="81">
        <v>0</v>
      </c>
      <c r="Q267" s="82"/>
      <c r="R267" s="83"/>
      <c r="S267" s="82">
        <v>0</v>
      </c>
      <c r="T267" s="82"/>
      <c r="U267" s="84"/>
      <c r="V267" s="85">
        <v>0</v>
      </c>
      <c r="W267" s="82"/>
      <c r="X267" s="84"/>
      <c r="Y267" s="85">
        <v>0</v>
      </c>
      <c r="Z267" s="82"/>
      <c r="AA267" s="84"/>
      <c r="AB267" s="85">
        <v>0</v>
      </c>
      <c r="AC267" s="82"/>
      <c r="AD267" s="84"/>
      <c r="AE267" s="85">
        <v>0</v>
      </c>
      <c r="AF267" s="82"/>
      <c r="AG267" s="84"/>
    </row>
    <row r="268" spans="1:33" ht="15.75" thickBot="1" x14ac:dyDescent="0.3">
      <c r="A268" s="68"/>
      <c r="B268" s="68"/>
      <c r="C268" s="107" t="s">
        <v>37</v>
      </c>
      <c r="D268" s="104"/>
      <c r="E268" s="86"/>
      <c r="F268" s="89"/>
      <c r="G268" s="86"/>
      <c r="H268" s="86"/>
      <c r="I268" s="89"/>
      <c r="J268" s="86"/>
      <c r="K268" s="86"/>
      <c r="L268" s="89"/>
      <c r="M268" s="86"/>
      <c r="N268" s="86"/>
      <c r="O268" s="89"/>
      <c r="P268" s="86"/>
      <c r="Q268" s="86"/>
      <c r="R268" s="89"/>
      <c r="S268" s="86"/>
      <c r="T268" s="86"/>
      <c r="U268" s="89"/>
      <c r="V268" s="86"/>
      <c r="W268" s="86"/>
      <c r="X268" s="89"/>
      <c r="Y268" s="86"/>
      <c r="Z268" s="86"/>
      <c r="AA268" s="89"/>
      <c r="AB268" s="86"/>
      <c r="AC268" s="86"/>
      <c r="AD268" s="89"/>
      <c r="AE268" s="86"/>
      <c r="AF268" s="86"/>
      <c r="AG268" s="89"/>
    </row>
    <row r="269" spans="1:33" ht="15.75" thickBot="1" x14ac:dyDescent="0.3">
      <c r="A269" s="68"/>
      <c r="B269" s="68"/>
      <c r="D269" s="87"/>
      <c r="E269" s="87"/>
      <c r="F269" s="90"/>
      <c r="G269" s="87"/>
      <c r="H269" s="87"/>
      <c r="I269" s="90"/>
      <c r="J269" s="87"/>
      <c r="K269" s="87"/>
      <c r="L269" s="90"/>
      <c r="M269" s="87"/>
      <c r="N269" s="87"/>
      <c r="O269" s="90"/>
      <c r="P269" s="87"/>
      <c r="Q269" s="87"/>
      <c r="R269" s="90"/>
      <c r="S269" s="87"/>
      <c r="T269" s="87"/>
      <c r="U269" s="90"/>
      <c r="V269" s="87"/>
      <c r="W269" s="87"/>
      <c r="X269" s="90"/>
      <c r="Y269" s="87"/>
      <c r="Z269" s="87"/>
      <c r="AA269" s="90"/>
      <c r="AB269" s="87"/>
      <c r="AC269" s="87"/>
      <c r="AD269" s="90"/>
      <c r="AE269" s="87"/>
      <c r="AF269" s="87"/>
      <c r="AG269" s="90"/>
    </row>
    <row r="270" spans="1:33" ht="15.75" thickBot="1" x14ac:dyDescent="0.3">
      <c r="A270" s="68"/>
      <c r="B270" s="68"/>
      <c r="D270" s="88"/>
      <c r="E270" s="88"/>
      <c r="F270" s="91"/>
      <c r="G270" s="88"/>
      <c r="H270" s="88"/>
      <c r="I270" s="91"/>
      <c r="J270" s="88"/>
      <c r="K270" s="88"/>
      <c r="L270" s="91"/>
      <c r="M270" s="88"/>
      <c r="N270" s="88"/>
      <c r="O270" s="91"/>
      <c r="P270" s="88"/>
      <c r="Q270" s="88"/>
      <c r="R270" s="91"/>
      <c r="S270" s="88"/>
      <c r="T270" s="88"/>
      <c r="U270" s="91"/>
      <c r="V270" s="88"/>
      <c r="W270" s="88"/>
      <c r="X270" s="91"/>
      <c r="Y270" s="88"/>
      <c r="Z270" s="88"/>
      <c r="AA270" s="91"/>
      <c r="AB270" s="88"/>
      <c r="AC270" s="88"/>
      <c r="AD270" s="91"/>
      <c r="AE270" s="88"/>
      <c r="AF270" s="88"/>
      <c r="AG270" s="91"/>
    </row>
    <row r="272" spans="1:33" ht="15.75" thickBot="1" x14ac:dyDescent="0.3"/>
    <row r="273" spans="1:33" ht="15.75" thickBot="1" x14ac:dyDescent="0.3">
      <c r="A273" s="68" t="s">
        <v>95</v>
      </c>
      <c r="B273" s="68"/>
      <c r="D273" s="52" t="s">
        <v>27</v>
      </c>
      <c r="E273" s="52"/>
      <c r="F273" s="52"/>
      <c r="G273" s="73" t="s">
        <v>28</v>
      </c>
      <c r="H273" s="73"/>
      <c r="I273" s="73"/>
      <c r="J273" s="52" t="s">
        <v>29</v>
      </c>
      <c r="K273" s="52"/>
      <c r="L273" s="52"/>
      <c r="M273" s="73" t="s">
        <v>30</v>
      </c>
      <c r="N273" s="73"/>
      <c r="O273" s="73"/>
      <c r="P273" s="52" t="s">
        <v>31</v>
      </c>
      <c r="Q273" s="52"/>
      <c r="R273" s="52"/>
      <c r="S273" s="73" t="s">
        <v>32</v>
      </c>
      <c r="T273" s="73"/>
      <c r="U273" s="73"/>
      <c r="V273" s="52" t="s">
        <v>33</v>
      </c>
      <c r="W273" s="52"/>
      <c r="X273" s="52"/>
      <c r="Y273" s="73" t="s">
        <v>34</v>
      </c>
      <c r="Z273" s="73"/>
      <c r="AA273" s="73"/>
      <c r="AB273" s="52" t="s">
        <v>35</v>
      </c>
      <c r="AC273" s="52"/>
      <c r="AD273" s="52"/>
      <c r="AE273" s="73" t="s">
        <v>36</v>
      </c>
      <c r="AF273" s="73"/>
      <c r="AG273" s="73"/>
    </row>
    <row r="274" spans="1:33" ht="15.75" thickBot="1" x14ac:dyDescent="0.3">
      <c r="A274" s="68"/>
      <c r="B274" s="68"/>
      <c r="C274" s="105" t="s">
        <v>243</v>
      </c>
      <c r="D274" s="75">
        <v>0</v>
      </c>
      <c r="E274" s="75"/>
      <c r="F274" s="76"/>
      <c r="G274" s="74">
        <v>0</v>
      </c>
      <c r="H274" s="75"/>
      <c r="I274" s="76"/>
      <c r="J274" s="74">
        <v>0</v>
      </c>
      <c r="K274" s="75"/>
      <c r="L274" s="76"/>
      <c r="M274" s="74">
        <v>0</v>
      </c>
      <c r="N274" s="75"/>
      <c r="O274" s="76"/>
      <c r="P274" s="74">
        <v>0</v>
      </c>
      <c r="Q274" s="75"/>
      <c r="R274" s="76"/>
      <c r="S274" s="74">
        <v>0</v>
      </c>
      <c r="T274" s="75"/>
      <c r="U274" s="76"/>
      <c r="V274" s="74">
        <v>0</v>
      </c>
      <c r="W274" s="75"/>
      <c r="X274" s="76"/>
      <c r="Y274" s="74">
        <v>0</v>
      </c>
      <c r="Z274" s="75"/>
      <c r="AA274" s="76"/>
      <c r="AB274" s="74">
        <v>0</v>
      </c>
      <c r="AC274" s="75"/>
      <c r="AD274" s="76"/>
      <c r="AE274" s="74">
        <v>0</v>
      </c>
      <c r="AF274" s="75"/>
      <c r="AG274" s="76"/>
    </row>
    <row r="275" spans="1:33" ht="15.75" thickBot="1" x14ac:dyDescent="0.3">
      <c r="A275" s="68"/>
      <c r="B275" s="68"/>
      <c r="C275" s="106" t="s">
        <v>244</v>
      </c>
      <c r="D275" s="82">
        <v>0</v>
      </c>
      <c r="E275" s="82"/>
      <c r="F275" s="84"/>
      <c r="G275" s="85">
        <v>0</v>
      </c>
      <c r="H275" s="82"/>
      <c r="I275" s="84"/>
      <c r="J275" s="85">
        <v>0</v>
      </c>
      <c r="K275" s="82"/>
      <c r="L275" s="84"/>
      <c r="M275" s="85">
        <v>0</v>
      </c>
      <c r="N275" s="82"/>
      <c r="O275" s="82"/>
      <c r="P275" s="81">
        <v>0</v>
      </c>
      <c r="Q275" s="82"/>
      <c r="R275" s="83"/>
      <c r="S275" s="82">
        <v>0</v>
      </c>
      <c r="T275" s="82"/>
      <c r="U275" s="84"/>
      <c r="V275" s="85">
        <v>0</v>
      </c>
      <c r="W275" s="82"/>
      <c r="X275" s="84"/>
      <c r="Y275" s="85">
        <v>0</v>
      </c>
      <c r="Z275" s="82"/>
      <c r="AA275" s="84"/>
      <c r="AB275" s="85">
        <v>0</v>
      </c>
      <c r="AC275" s="82"/>
      <c r="AD275" s="84"/>
      <c r="AE275" s="85">
        <v>0</v>
      </c>
      <c r="AF275" s="82"/>
      <c r="AG275" s="84"/>
    </row>
    <row r="276" spans="1:33" ht="15.75" thickBot="1" x14ac:dyDescent="0.3">
      <c r="A276" s="68"/>
      <c r="B276" s="68"/>
      <c r="C276" s="107" t="s">
        <v>37</v>
      </c>
      <c r="D276" s="104"/>
      <c r="E276" s="86"/>
      <c r="F276" s="89"/>
      <c r="G276" s="86"/>
      <c r="H276" s="86"/>
      <c r="I276" s="89"/>
      <c r="J276" s="86"/>
      <c r="K276" s="86"/>
      <c r="L276" s="89"/>
      <c r="M276" s="86"/>
      <c r="N276" s="86"/>
      <c r="O276" s="89"/>
      <c r="P276" s="86"/>
      <c r="Q276" s="86"/>
      <c r="R276" s="89"/>
      <c r="S276" s="86"/>
      <c r="T276" s="86"/>
      <c r="U276" s="89"/>
      <c r="V276" s="86"/>
      <c r="W276" s="86"/>
      <c r="X276" s="89"/>
      <c r="Y276" s="86"/>
      <c r="Z276" s="86"/>
      <c r="AA276" s="89"/>
      <c r="AB276" s="86"/>
      <c r="AC276" s="86"/>
      <c r="AD276" s="89"/>
      <c r="AE276" s="86"/>
      <c r="AF276" s="86"/>
      <c r="AG276" s="89"/>
    </row>
    <row r="277" spans="1:33" ht="15.75" thickBot="1" x14ac:dyDescent="0.3">
      <c r="A277" s="68"/>
      <c r="B277" s="68"/>
      <c r="D277" s="87"/>
      <c r="E277" s="87"/>
      <c r="F277" s="90"/>
      <c r="G277" s="87"/>
      <c r="H277" s="87"/>
      <c r="I277" s="90"/>
      <c r="J277" s="87"/>
      <c r="K277" s="87"/>
      <c r="L277" s="90"/>
      <c r="M277" s="87"/>
      <c r="N277" s="87"/>
      <c r="O277" s="90"/>
      <c r="P277" s="87"/>
      <c r="Q277" s="87"/>
      <c r="R277" s="90"/>
      <c r="S277" s="87"/>
      <c r="T277" s="87"/>
      <c r="U277" s="90"/>
      <c r="V277" s="87"/>
      <c r="W277" s="87"/>
      <c r="X277" s="90"/>
      <c r="Y277" s="87"/>
      <c r="Z277" s="87"/>
      <c r="AA277" s="90"/>
      <c r="AB277" s="87"/>
      <c r="AC277" s="87"/>
      <c r="AD277" s="90"/>
      <c r="AE277" s="87"/>
      <c r="AF277" s="87"/>
      <c r="AG277" s="90"/>
    </row>
    <row r="278" spans="1:33" ht="15.75" thickBot="1" x14ac:dyDescent="0.3">
      <c r="A278" s="68"/>
      <c r="B278" s="68"/>
      <c r="D278" s="88"/>
      <c r="E278" s="88"/>
      <c r="F278" s="91"/>
      <c r="G278" s="88"/>
      <c r="H278" s="88"/>
      <c r="I278" s="91"/>
      <c r="J278" s="88"/>
      <c r="K278" s="88"/>
      <c r="L278" s="91"/>
      <c r="M278" s="88"/>
      <c r="N278" s="88"/>
      <c r="O278" s="91"/>
      <c r="P278" s="88"/>
      <c r="Q278" s="88"/>
      <c r="R278" s="91"/>
      <c r="S278" s="88"/>
      <c r="T278" s="88"/>
      <c r="U278" s="91"/>
      <c r="V278" s="88"/>
      <c r="W278" s="88"/>
      <c r="X278" s="91"/>
      <c r="Y278" s="88"/>
      <c r="Z278" s="88"/>
      <c r="AA278" s="91"/>
      <c r="AB278" s="88"/>
      <c r="AC278" s="88"/>
      <c r="AD278" s="91"/>
      <c r="AE278" s="88"/>
      <c r="AF278" s="88"/>
      <c r="AG278" s="91"/>
    </row>
    <row r="280" spans="1:33" ht="15.75" thickBot="1" x14ac:dyDescent="0.3"/>
    <row r="281" spans="1:33" ht="15.75" thickBot="1" x14ac:dyDescent="0.3">
      <c r="A281" s="68" t="s">
        <v>261</v>
      </c>
      <c r="B281" s="68"/>
      <c r="D281" s="52" t="s">
        <v>27</v>
      </c>
      <c r="E281" s="52"/>
      <c r="F281" s="52"/>
      <c r="G281" s="73" t="s">
        <v>28</v>
      </c>
      <c r="H281" s="73"/>
      <c r="I281" s="73"/>
      <c r="J281" s="52" t="s">
        <v>29</v>
      </c>
      <c r="K281" s="52"/>
      <c r="L281" s="52"/>
      <c r="M281" s="73" t="s">
        <v>30</v>
      </c>
      <c r="N281" s="73"/>
      <c r="O281" s="73"/>
      <c r="P281" s="52" t="s">
        <v>31</v>
      </c>
      <c r="Q281" s="52"/>
      <c r="R281" s="52"/>
      <c r="S281" s="73" t="s">
        <v>32</v>
      </c>
      <c r="T281" s="73"/>
      <c r="U281" s="73"/>
      <c r="V281" s="52" t="s">
        <v>33</v>
      </c>
      <c r="W281" s="52"/>
      <c r="X281" s="52"/>
      <c r="Y281" s="73" t="s">
        <v>34</v>
      </c>
      <c r="Z281" s="73"/>
      <c r="AA281" s="73"/>
      <c r="AB281" s="52" t="s">
        <v>35</v>
      </c>
      <c r="AC281" s="52"/>
      <c r="AD281" s="52"/>
      <c r="AE281" s="73" t="s">
        <v>36</v>
      </c>
      <c r="AF281" s="73"/>
      <c r="AG281" s="73"/>
    </row>
    <row r="282" spans="1:33" ht="15.75" thickBot="1" x14ac:dyDescent="0.3">
      <c r="A282" s="68"/>
      <c r="B282" s="68"/>
      <c r="C282" s="105" t="s">
        <v>243</v>
      </c>
      <c r="D282" s="75">
        <v>0</v>
      </c>
      <c r="E282" s="75"/>
      <c r="F282" s="76"/>
      <c r="G282" s="74">
        <v>0</v>
      </c>
      <c r="H282" s="75"/>
      <c r="I282" s="76"/>
      <c r="J282" s="74">
        <v>0</v>
      </c>
      <c r="K282" s="75"/>
      <c r="L282" s="76"/>
      <c r="M282" s="74">
        <v>0</v>
      </c>
      <c r="N282" s="75"/>
      <c r="O282" s="76"/>
      <c r="P282" s="74">
        <v>0</v>
      </c>
      <c r="Q282" s="75"/>
      <c r="R282" s="76"/>
      <c r="S282" s="74">
        <v>0</v>
      </c>
      <c r="T282" s="75"/>
      <c r="U282" s="76"/>
      <c r="V282" s="74">
        <v>0</v>
      </c>
      <c r="W282" s="75"/>
      <c r="X282" s="76"/>
      <c r="Y282" s="74">
        <v>0</v>
      </c>
      <c r="Z282" s="75"/>
      <c r="AA282" s="76"/>
      <c r="AB282" s="74">
        <v>0</v>
      </c>
      <c r="AC282" s="75"/>
      <c r="AD282" s="76"/>
      <c r="AE282" s="74">
        <v>0</v>
      </c>
      <c r="AF282" s="75"/>
      <c r="AG282" s="76"/>
    </row>
    <row r="283" spans="1:33" ht="15.75" thickBot="1" x14ac:dyDescent="0.3">
      <c r="A283" s="68"/>
      <c r="B283" s="68"/>
      <c r="C283" s="106" t="s">
        <v>244</v>
      </c>
      <c r="D283" s="82">
        <v>0</v>
      </c>
      <c r="E283" s="82"/>
      <c r="F283" s="84"/>
      <c r="G283" s="85">
        <v>0</v>
      </c>
      <c r="H283" s="82"/>
      <c r="I283" s="84"/>
      <c r="J283" s="85">
        <v>0</v>
      </c>
      <c r="K283" s="82"/>
      <c r="L283" s="84"/>
      <c r="M283" s="85">
        <v>0</v>
      </c>
      <c r="N283" s="82"/>
      <c r="O283" s="82"/>
      <c r="P283" s="81">
        <v>0</v>
      </c>
      <c r="Q283" s="82"/>
      <c r="R283" s="83"/>
      <c r="S283" s="82">
        <v>0</v>
      </c>
      <c r="T283" s="82"/>
      <c r="U283" s="84"/>
      <c r="V283" s="85">
        <v>0</v>
      </c>
      <c r="W283" s="82"/>
      <c r="X283" s="84"/>
      <c r="Y283" s="85">
        <v>0</v>
      </c>
      <c r="Z283" s="82"/>
      <c r="AA283" s="84"/>
      <c r="AB283" s="85">
        <v>0</v>
      </c>
      <c r="AC283" s="82"/>
      <c r="AD283" s="84"/>
      <c r="AE283" s="85">
        <v>0</v>
      </c>
      <c r="AF283" s="82"/>
      <c r="AG283" s="84"/>
    </row>
    <row r="284" spans="1:33" ht="15.75" thickBot="1" x14ac:dyDescent="0.3">
      <c r="A284" s="68"/>
      <c r="B284" s="68"/>
      <c r="C284" s="107" t="s">
        <v>37</v>
      </c>
      <c r="D284" s="104"/>
      <c r="E284" s="86"/>
      <c r="F284" s="89"/>
      <c r="G284" s="86"/>
      <c r="H284" s="86"/>
      <c r="I284" s="89"/>
      <c r="J284" s="86"/>
      <c r="K284" s="86"/>
      <c r="L284" s="89"/>
      <c r="M284" s="86"/>
      <c r="N284" s="86"/>
      <c r="O284" s="89"/>
      <c r="P284" s="86"/>
      <c r="Q284" s="86"/>
      <c r="R284" s="89"/>
      <c r="S284" s="86"/>
      <c r="T284" s="86"/>
      <c r="U284" s="89"/>
      <c r="V284" s="86"/>
      <c r="W284" s="86"/>
      <c r="X284" s="89"/>
      <c r="Y284" s="86"/>
      <c r="Z284" s="86"/>
      <c r="AA284" s="89"/>
      <c r="AB284" s="86"/>
      <c r="AC284" s="86"/>
      <c r="AD284" s="89"/>
      <c r="AE284" s="86"/>
      <c r="AF284" s="86"/>
      <c r="AG284" s="89"/>
    </row>
    <row r="285" spans="1:33" ht="15.75" thickBot="1" x14ac:dyDescent="0.3">
      <c r="A285" s="68"/>
      <c r="B285" s="68"/>
      <c r="D285" s="87"/>
      <c r="E285" s="87"/>
      <c r="F285" s="90"/>
      <c r="G285" s="87"/>
      <c r="H285" s="87"/>
      <c r="I285" s="90"/>
      <c r="J285" s="87"/>
      <c r="K285" s="87"/>
      <c r="L285" s="90"/>
      <c r="M285" s="87"/>
      <c r="N285" s="87"/>
      <c r="O285" s="90"/>
      <c r="P285" s="87"/>
      <c r="Q285" s="87"/>
      <c r="R285" s="90"/>
      <c r="S285" s="87"/>
      <c r="T285" s="87"/>
      <c r="U285" s="90"/>
      <c r="V285" s="87"/>
      <c r="W285" s="87"/>
      <c r="X285" s="90"/>
      <c r="Y285" s="87"/>
      <c r="Z285" s="87"/>
      <c r="AA285" s="90"/>
      <c r="AB285" s="87"/>
      <c r="AC285" s="87"/>
      <c r="AD285" s="90"/>
      <c r="AE285" s="87"/>
      <c r="AF285" s="87"/>
      <c r="AG285" s="90"/>
    </row>
    <row r="286" spans="1:33" ht="15.75" thickBot="1" x14ac:dyDescent="0.3">
      <c r="A286" s="68"/>
      <c r="B286" s="68"/>
      <c r="D286" s="88"/>
      <c r="E286" s="88"/>
      <c r="F286" s="91"/>
      <c r="G286" s="88"/>
      <c r="H286" s="88"/>
      <c r="I286" s="91"/>
      <c r="J286" s="88"/>
      <c r="K286" s="88"/>
      <c r="L286" s="91"/>
      <c r="M286" s="88"/>
      <c r="N286" s="88"/>
      <c r="O286" s="91"/>
      <c r="P286" s="88"/>
      <c r="Q286" s="88"/>
      <c r="R286" s="91"/>
      <c r="S286" s="88"/>
      <c r="T286" s="88"/>
      <c r="U286" s="91"/>
      <c r="V286" s="88"/>
      <c r="W286" s="88"/>
      <c r="X286" s="91"/>
      <c r="Y286" s="88"/>
      <c r="Z286" s="88"/>
      <c r="AA286" s="91"/>
      <c r="AB286" s="88"/>
      <c r="AC286" s="88"/>
      <c r="AD286" s="91"/>
      <c r="AE286" s="88"/>
      <c r="AF286" s="88"/>
      <c r="AG286" s="91"/>
    </row>
    <row r="288" spans="1:33" ht="15.75" thickBot="1" x14ac:dyDescent="0.3"/>
    <row r="289" spans="1:33" ht="15.75" thickBot="1" x14ac:dyDescent="0.3">
      <c r="A289" s="68" t="s">
        <v>96</v>
      </c>
      <c r="B289" s="68"/>
      <c r="D289" s="52" t="s">
        <v>27</v>
      </c>
      <c r="E289" s="52"/>
      <c r="F289" s="52"/>
      <c r="G289" s="73" t="s">
        <v>28</v>
      </c>
      <c r="H289" s="73"/>
      <c r="I289" s="73"/>
      <c r="J289" s="52" t="s">
        <v>29</v>
      </c>
      <c r="K289" s="52"/>
      <c r="L289" s="52"/>
      <c r="M289" s="73" t="s">
        <v>30</v>
      </c>
      <c r="N289" s="73"/>
      <c r="O289" s="73"/>
      <c r="P289" s="52" t="s">
        <v>31</v>
      </c>
      <c r="Q289" s="52"/>
      <c r="R289" s="52"/>
      <c r="S289" s="73" t="s">
        <v>32</v>
      </c>
      <c r="T289" s="73"/>
      <c r="U289" s="73"/>
      <c r="V289" s="52" t="s">
        <v>33</v>
      </c>
      <c r="W289" s="52"/>
      <c r="X289" s="52"/>
      <c r="Y289" s="73" t="s">
        <v>34</v>
      </c>
      <c r="Z289" s="73"/>
      <c r="AA289" s="73"/>
      <c r="AB289" s="52" t="s">
        <v>35</v>
      </c>
      <c r="AC289" s="52"/>
      <c r="AD289" s="52"/>
      <c r="AE289" s="73" t="s">
        <v>36</v>
      </c>
      <c r="AF289" s="73"/>
      <c r="AG289" s="73"/>
    </row>
    <row r="290" spans="1:33" ht="15.75" thickBot="1" x14ac:dyDescent="0.3">
      <c r="A290" s="68"/>
      <c r="B290" s="68"/>
      <c r="C290" s="105" t="s">
        <v>243</v>
      </c>
      <c r="D290" s="75">
        <v>0</v>
      </c>
      <c r="E290" s="75"/>
      <c r="F290" s="76"/>
      <c r="G290" s="74">
        <v>0</v>
      </c>
      <c r="H290" s="75"/>
      <c r="I290" s="76"/>
      <c r="J290" s="74">
        <v>0</v>
      </c>
      <c r="K290" s="75"/>
      <c r="L290" s="76"/>
      <c r="M290" s="74">
        <v>0</v>
      </c>
      <c r="N290" s="75"/>
      <c r="O290" s="76"/>
      <c r="P290" s="74">
        <v>0</v>
      </c>
      <c r="Q290" s="75"/>
      <c r="R290" s="76"/>
      <c r="S290" s="74">
        <v>0</v>
      </c>
      <c r="T290" s="75"/>
      <c r="U290" s="76"/>
      <c r="V290" s="74">
        <v>0</v>
      </c>
      <c r="W290" s="75"/>
      <c r="X290" s="76"/>
      <c r="Y290" s="74">
        <v>0</v>
      </c>
      <c r="Z290" s="75"/>
      <c r="AA290" s="76"/>
      <c r="AB290" s="74">
        <v>0</v>
      </c>
      <c r="AC290" s="75"/>
      <c r="AD290" s="76"/>
      <c r="AE290" s="74">
        <v>0</v>
      </c>
      <c r="AF290" s="75"/>
      <c r="AG290" s="76"/>
    </row>
    <row r="291" spans="1:33" ht="15.75" thickBot="1" x14ac:dyDescent="0.3">
      <c r="A291" s="68"/>
      <c r="B291" s="68"/>
      <c r="C291" s="106" t="s">
        <v>244</v>
      </c>
      <c r="D291" s="82">
        <v>0</v>
      </c>
      <c r="E291" s="82"/>
      <c r="F291" s="84"/>
      <c r="G291" s="85">
        <v>0</v>
      </c>
      <c r="H291" s="82"/>
      <c r="I291" s="84"/>
      <c r="J291" s="85">
        <v>0</v>
      </c>
      <c r="K291" s="82"/>
      <c r="L291" s="84"/>
      <c r="M291" s="85">
        <v>0</v>
      </c>
      <c r="N291" s="82"/>
      <c r="O291" s="82"/>
      <c r="P291" s="81">
        <v>0</v>
      </c>
      <c r="Q291" s="82"/>
      <c r="R291" s="83"/>
      <c r="S291" s="82">
        <v>0</v>
      </c>
      <c r="T291" s="82"/>
      <c r="U291" s="84"/>
      <c r="V291" s="85">
        <v>0</v>
      </c>
      <c r="W291" s="82"/>
      <c r="X291" s="84"/>
      <c r="Y291" s="85">
        <v>0</v>
      </c>
      <c r="Z291" s="82"/>
      <c r="AA291" s="84"/>
      <c r="AB291" s="85">
        <v>0</v>
      </c>
      <c r="AC291" s="82"/>
      <c r="AD291" s="84"/>
      <c r="AE291" s="85">
        <v>0</v>
      </c>
      <c r="AF291" s="82"/>
      <c r="AG291" s="84"/>
    </row>
    <row r="292" spans="1:33" ht="15.75" thickBot="1" x14ac:dyDescent="0.3">
      <c r="A292" s="68"/>
      <c r="B292" s="68"/>
      <c r="C292" s="107" t="s">
        <v>37</v>
      </c>
      <c r="D292" s="104"/>
      <c r="E292" s="86"/>
      <c r="F292" s="89"/>
      <c r="G292" s="86"/>
      <c r="H292" s="86"/>
      <c r="I292" s="89"/>
      <c r="J292" s="86"/>
      <c r="K292" s="86"/>
      <c r="L292" s="89"/>
      <c r="M292" s="86"/>
      <c r="N292" s="86"/>
      <c r="O292" s="89"/>
      <c r="P292" s="86"/>
      <c r="Q292" s="86"/>
      <c r="R292" s="89"/>
      <c r="S292" s="86"/>
      <c r="T292" s="86"/>
      <c r="U292" s="89"/>
      <c r="V292" s="86"/>
      <c r="W292" s="86"/>
      <c r="X292" s="89"/>
      <c r="Y292" s="86"/>
      <c r="Z292" s="86"/>
      <c r="AA292" s="89"/>
      <c r="AB292" s="86"/>
      <c r="AC292" s="86"/>
      <c r="AD292" s="89"/>
      <c r="AE292" s="86"/>
      <c r="AF292" s="86"/>
      <c r="AG292" s="89"/>
    </row>
    <row r="293" spans="1:33" ht="15.75" thickBot="1" x14ac:dyDescent="0.3">
      <c r="A293" s="68"/>
      <c r="B293" s="68"/>
      <c r="D293" s="87"/>
      <c r="E293" s="87"/>
      <c r="F293" s="90"/>
      <c r="G293" s="87"/>
      <c r="H293" s="87"/>
      <c r="I293" s="90"/>
      <c r="J293" s="87"/>
      <c r="K293" s="87"/>
      <c r="L293" s="90"/>
      <c r="M293" s="87"/>
      <c r="N293" s="87"/>
      <c r="O293" s="90"/>
      <c r="P293" s="87"/>
      <c r="Q293" s="87"/>
      <c r="R293" s="90"/>
      <c r="S293" s="87"/>
      <c r="T293" s="87"/>
      <c r="U293" s="90"/>
      <c r="V293" s="87"/>
      <c r="W293" s="87"/>
      <c r="X293" s="90"/>
      <c r="Y293" s="87"/>
      <c r="Z293" s="87"/>
      <c r="AA293" s="90"/>
      <c r="AB293" s="87"/>
      <c r="AC293" s="87"/>
      <c r="AD293" s="90"/>
      <c r="AE293" s="87"/>
      <c r="AF293" s="87"/>
      <c r="AG293" s="90"/>
    </row>
    <row r="294" spans="1:33" ht="15.75" thickBot="1" x14ac:dyDescent="0.3">
      <c r="A294" s="68"/>
      <c r="B294" s="68"/>
      <c r="D294" s="88"/>
      <c r="E294" s="88"/>
      <c r="F294" s="91"/>
      <c r="G294" s="88"/>
      <c r="H294" s="88"/>
      <c r="I294" s="91"/>
      <c r="J294" s="88"/>
      <c r="K294" s="88"/>
      <c r="L294" s="91"/>
      <c r="M294" s="88"/>
      <c r="N294" s="88"/>
      <c r="O294" s="91"/>
      <c r="P294" s="88"/>
      <c r="Q294" s="88"/>
      <c r="R294" s="91"/>
      <c r="S294" s="88"/>
      <c r="T294" s="88"/>
      <c r="U294" s="91"/>
      <c r="V294" s="88"/>
      <c r="W294" s="88"/>
      <c r="X294" s="91"/>
      <c r="Y294" s="88"/>
      <c r="Z294" s="88"/>
      <c r="AA294" s="91"/>
      <c r="AB294" s="88"/>
      <c r="AC294" s="88"/>
      <c r="AD294" s="91"/>
      <c r="AE294" s="88"/>
      <c r="AF294" s="88"/>
      <c r="AG294" s="91"/>
    </row>
    <row r="296" spans="1:33" ht="15.75" thickBot="1" x14ac:dyDescent="0.3"/>
    <row r="297" spans="1:33" ht="15.75" thickBot="1" x14ac:dyDescent="0.3">
      <c r="A297" s="68" t="s">
        <v>97</v>
      </c>
      <c r="B297" s="68"/>
      <c r="D297" s="52" t="s">
        <v>27</v>
      </c>
      <c r="E297" s="52"/>
      <c r="F297" s="52"/>
      <c r="G297" s="73" t="s">
        <v>28</v>
      </c>
      <c r="H297" s="73"/>
      <c r="I297" s="73"/>
      <c r="J297" s="52" t="s">
        <v>29</v>
      </c>
      <c r="K297" s="52"/>
      <c r="L297" s="52"/>
      <c r="M297" s="73" t="s">
        <v>30</v>
      </c>
      <c r="N297" s="73"/>
      <c r="O297" s="73"/>
      <c r="P297" s="52" t="s">
        <v>31</v>
      </c>
      <c r="Q297" s="52"/>
      <c r="R297" s="52"/>
      <c r="S297" s="73" t="s">
        <v>32</v>
      </c>
      <c r="T297" s="73"/>
      <c r="U297" s="73"/>
      <c r="V297" s="52" t="s">
        <v>33</v>
      </c>
      <c r="W297" s="52"/>
      <c r="X297" s="52"/>
      <c r="Y297" s="73" t="s">
        <v>34</v>
      </c>
      <c r="Z297" s="73"/>
      <c r="AA297" s="73"/>
      <c r="AB297" s="52" t="s">
        <v>35</v>
      </c>
      <c r="AC297" s="52"/>
      <c r="AD297" s="52"/>
      <c r="AE297" s="73" t="s">
        <v>36</v>
      </c>
      <c r="AF297" s="73"/>
      <c r="AG297" s="73"/>
    </row>
    <row r="298" spans="1:33" ht="15.75" thickBot="1" x14ac:dyDescent="0.3">
      <c r="A298" s="68"/>
      <c r="B298" s="68"/>
      <c r="C298" s="105" t="s">
        <v>243</v>
      </c>
      <c r="D298" s="75">
        <v>0</v>
      </c>
      <c r="E298" s="75"/>
      <c r="F298" s="76"/>
      <c r="G298" s="74">
        <v>0</v>
      </c>
      <c r="H298" s="75"/>
      <c r="I298" s="76"/>
      <c r="J298" s="74">
        <v>0</v>
      </c>
      <c r="K298" s="75"/>
      <c r="L298" s="76"/>
      <c r="M298" s="74">
        <v>0</v>
      </c>
      <c r="N298" s="75"/>
      <c r="O298" s="76"/>
      <c r="P298" s="74">
        <v>0</v>
      </c>
      <c r="Q298" s="75"/>
      <c r="R298" s="76"/>
      <c r="S298" s="74">
        <v>0</v>
      </c>
      <c r="T298" s="75"/>
      <c r="U298" s="76"/>
      <c r="V298" s="74">
        <v>0</v>
      </c>
      <c r="W298" s="75"/>
      <c r="X298" s="76"/>
      <c r="Y298" s="74">
        <v>0</v>
      </c>
      <c r="Z298" s="75"/>
      <c r="AA298" s="76"/>
      <c r="AB298" s="74">
        <v>0</v>
      </c>
      <c r="AC298" s="75"/>
      <c r="AD298" s="76"/>
      <c r="AE298" s="74">
        <v>0</v>
      </c>
      <c r="AF298" s="75"/>
      <c r="AG298" s="76"/>
    </row>
    <row r="299" spans="1:33" ht="15.75" thickBot="1" x14ac:dyDescent="0.3">
      <c r="A299" s="68"/>
      <c r="B299" s="68"/>
      <c r="C299" s="106" t="s">
        <v>244</v>
      </c>
      <c r="D299" s="82">
        <v>0</v>
      </c>
      <c r="E299" s="82"/>
      <c r="F299" s="84"/>
      <c r="G299" s="85">
        <v>0</v>
      </c>
      <c r="H299" s="82"/>
      <c r="I299" s="84"/>
      <c r="J299" s="85">
        <v>0</v>
      </c>
      <c r="K299" s="82"/>
      <c r="L299" s="84"/>
      <c r="M299" s="85">
        <v>0</v>
      </c>
      <c r="N299" s="82"/>
      <c r="O299" s="82"/>
      <c r="P299" s="81">
        <v>0</v>
      </c>
      <c r="Q299" s="82"/>
      <c r="R299" s="83"/>
      <c r="S299" s="82">
        <v>0</v>
      </c>
      <c r="T299" s="82"/>
      <c r="U299" s="84"/>
      <c r="V299" s="85">
        <v>0</v>
      </c>
      <c r="W299" s="82"/>
      <c r="X299" s="84"/>
      <c r="Y299" s="85">
        <v>0</v>
      </c>
      <c r="Z299" s="82"/>
      <c r="AA299" s="84"/>
      <c r="AB299" s="85">
        <v>0</v>
      </c>
      <c r="AC299" s="82"/>
      <c r="AD299" s="84"/>
      <c r="AE299" s="85">
        <v>0</v>
      </c>
      <c r="AF299" s="82"/>
      <c r="AG299" s="84"/>
    </row>
    <row r="300" spans="1:33" ht="15.75" thickBot="1" x14ac:dyDescent="0.3">
      <c r="A300" s="68"/>
      <c r="B300" s="68"/>
      <c r="C300" s="107" t="s">
        <v>37</v>
      </c>
      <c r="D300" s="104"/>
      <c r="E300" s="86"/>
      <c r="F300" s="89"/>
      <c r="G300" s="86"/>
      <c r="H300" s="86"/>
      <c r="I300" s="89"/>
      <c r="J300" s="86"/>
      <c r="K300" s="86"/>
      <c r="L300" s="89"/>
      <c r="M300" s="86"/>
      <c r="N300" s="86"/>
      <c r="O300" s="89"/>
      <c r="P300" s="86"/>
      <c r="Q300" s="86"/>
      <c r="R300" s="89"/>
      <c r="S300" s="86"/>
      <c r="T300" s="86"/>
      <c r="U300" s="89"/>
      <c r="V300" s="86"/>
      <c r="W300" s="86"/>
      <c r="X300" s="89"/>
      <c r="Y300" s="86"/>
      <c r="Z300" s="86"/>
      <c r="AA300" s="89"/>
      <c r="AB300" s="86"/>
      <c r="AC300" s="86"/>
      <c r="AD300" s="89"/>
      <c r="AE300" s="86"/>
      <c r="AF300" s="86"/>
      <c r="AG300" s="89"/>
    </row>
    <row r="301" spans="1:33" ht="15.75" thickBot="1" x14ac:dyDescent="0.3">
      <c r="A301" s="68"/>
      <c r="B301" s="68"/>
      <c r="D301" s="87"/>
      <c r="E301" s="87"/>
      <c r="F301" s="90"/>
      <c r="G301" s="87"/>
      <c r="H301" s="87"/>
      <c r="I301" s="90"/>
      <c r="J301" s="87"/>
      <c r="K301" s="87"/>
      <c r="L301" s="90"/>
      <c r="M301" s="87"/>
      <c r="N301" s="87"/>
      <c r="O301" s="90"/>
      <c r="P301" s="87"/>
      <c r="Q301" s="87"/>
      <c r="R301" s="90"/>
      <c r="S301" s="87"/>
      <c r="T301" s="87"/>
      <c r="U301" s="90"/>
      <c r="V301" s="87"/>
      <c r="W301" s="87"/>
      <c r="X301" s="90"/>
      <c r="Y301" s="87"/>
      <c r="Z301" s="87"/>
      <c r="AA301" s="90"/>
      <c r="AB301" s="87"/>
      <c r="AC301" s="87"/>
      <c r="AD301" s="90"/>
      <c r="AE301" s="87"/>
      <c r="AF301" s="87"/>
      <c r="AG301" s="90"/>
    </row>
    <row r="302" spans="1:33" ht="15.75" thickBot="1" x14ac:dyDescent="0.3">
      <c r="A302" s="68"/>
      <c r="B302" s="68"/>
      <c r="D302" s="88"/>
      <c r="E302" s="88"/>
      <c r="F302" s="91"/>
      <c r="G302" s="88"/>
      <c r="H302" s="88"/>
      <c r="I302" s="91"/>
      <c r="J302" s="88"/>
      <c r="K302" s="88"/>
      <c r="L302" s="91"/>
      <c r="M302" s="88"/>
      <c r="N302" s="88"/>
      <c r="O302" s="91"/>
      <c r="P302" s="88"/>
      <c r="Q302" s="88"/>
      <c r="R302" s="91"/>
      <c r="S302" s="88"/>
      <c r="T302" s="88"/>
      <c r="U302" s="91"/>
      <c r="V302" s="88"/>
      <c r="W302" s="88"/>
      <c r="X302" s="91"/>
      <c r="Y302" s="88"/>
      <c r="Z302" s="88"/>
      <c r="AA302" s="91"/>
      <c r="AB302" s="88"/>
      <c r="AC302" s="88"/>
      <c r="AD302" s="91"/>
      <c r="AE302" s="88"/>
      <c r="AF302" s="88"/>
      <c r="AG302" s="91"/>
    </row>
    <row r="304" spans="1:33" ht="15.75" thickBot="1" x14ac:dyDescent="0.3"/>
    <row r="305" spans="1:33" ht="15.75" thickBot="1" x14ac:dyDescent="0.3">
      <c r="A305" s="68" t="s">
        <v>98</v>
      </c>
      <c r="B305" s="68"/>
      <c r="D305" s="52" t="s">
        <v>27</v>
      </c>
      <c r="E305" s="52"/>
      <c r="F305" s="52"/>
      <c r="G305" s="73" t="s">
        <v>28</v>
      </c>
      <c r="H305" s="73"/>
      <c r="I305" s="73"/>
      <c r="J305" s="52" t="s">
        <v>29</v>
      </c>
      <c r="K305" s="52"/>
      <c r="L305" s="52"/>
      <c r="M305" s="73" t="s">
        <v>30</v>
      </c>
      <c r="N305" s="73"/>
      <c r="O305" s="73"/>
      <c r="P305" s="52" t="s">
        <v>31</v>
      </c>
      <c r="Q305" s="52"/>
      <c r="R305" s="52"/>
      <c r="S305" s="73" t="s">
        <v>32</v>
      </c>
      <c r="T305" s="73"/>
      <c r="U305" s="73"/>
      <c r="V305" s="52" t="s">
        <v>33</v>
      </c>
      <c r="W305" s="52"/>
      <c r="X305" s="52"/>
      <c r="Y305" s="73" t="s">
        <v>34</v>
      </c>
      <c r="Z305" s="73"/>
      <c r="AA305" s="73"/>
      <c r="AB305" s="52" t="s">
        <v>35</v>
      </c>
      <c r="AC305" s="52"/>
      <c r="AD305" s="52"/>
      <c r="AE305" s="73" t="s">
        <v>36</v>
      </c>
      <c r="AF305" s="73"/>
      <c r="AG305" s="73"/>
    </row>
    <row r="306" spans="1:33" ht="15.75" thickBot="1" x14ac:dyDescent="0.3">
      <c r="A306" s="68"/>
      <c r="B306" s="68"/>
      <c r="C306" s="105" t="s">
        <v>243</v>
      </c>
      <c r="D306" s="75">
        <v>0</v>
      </c>
      <c r="E306" s="75"/>
      <c r="F306" s="76"/>
      <c r="G306" s="74">
        <v>0</v>
      </c>
      <c r="H306" s="75"/>
      <c r="I306" s="76"/>
      <c r="J306" s="74">
        <v>0</v>
      </c>
      <c r="K306" s="75"/>
      <c r="L306" s="76"/>
      <c r="M306" s="74">
        <v>0</v>
      </c>
      <c r="N306" s="75"/>
      <c r="O306" s="76"/>
      <c r="P306" s="74">
        <v>0</v>
      </c>
      <c r="Q306" s="75"/>
      <c r="R306" s="76"/>
      <c r="S306" s="74">
        <v>0</v>
      </c>
      <c r="T306" s="75"/>
      <c r="U306" s="76"/>
      <c r="V306" s="74">
        <v>0</v>
      </c>
      <c r="W306" s="75"/>
      <c r="X306" s="76"/>
      <c r="Y306" s="74">
        <v>0</v>
      </c>
      <c r="Z306" s="75"/>
      <c r="AA306" s="76"/>
      <c r="AB306" s="74">
        <v>0</v>
      </c>
      <c r="AC306" s="75"/>
      <c r="AD306" s="76"/>
      <c r="AE306" s="74">
        <v>0</v>
      </c>
      <c r="AF306" s="75"/>
      <c r="AG306" s="76"/>
    </row>
    <row r="307" spans="1:33" ht="15.75" thickBot="1" x14ac:dyDescent="0.3">
      <c r="A307" s="68"/>
      <c r="B307" s="68"/>
      <c r="C307" s="106" t="s">
        <v>244</v>
      </c>
      <c r="D307" s="82">
        <v>0</v>
      </c>
      <c r="E307" s="82"/>
      <c r="F307" s="84"/>
      <c r="G307" s="85">
        <v>0</v>
      </c>
      <c r="H307" s="82"/>
      <c r="I307" s="84"/>
      <c r="J307" s="85">
        <v>0</v>
      </c>
      <c r="K307" s="82"/>
      <c r="L307" s="84"/>
      <c r="M307" s="85">
        <v>0</v>
      </c>
      <c r="N307" s="82"/>
      <c r="O307" s="82"/>
      <c r="P307" s="81">
        <v>0</v>
      </c>
      <c r="Q307" s="82"/>
      <c r="R307" s="83"/>
      <c r="S307" s="82">
        <v>0</v>
      </c>
      <c r="T307" s="82"/>
      <c r="U307" s="84"/>
      <c r="V307" s="85">
        <v>0</v>
      </c>
      <c r="W307" s="82"/>
      <c r="X307" s="84"/>
      <c r="Y307" s="85">
        <v>0</v>
      </c>
      <c r="Z307" s="82"/>
      <c r="AA307" s="84"/>
      <c r="AB307" s="85">
        <v>0</v>
      </c>
      <c r="AC307" s="82"/>
      <c r="AD307" s="84"/>
      <c r="AE307" s="85">
        <v>0</v>
      </c>
      <c r="AF307" s="82"/>
      <c r="AG307" s="84"/>
    </row>
    <row r="308" spans="1:33" ht="15.75" thickBot="1" x14ac:dyDescent="0.3">
      <c r="A308" s="68"/>
      <c r="B308" s="68"/>
      <c r="C308" s="107" t="s">
        <v>37</v>
      </c>
      <c r="D308" s="104"/>
      <c r="E308" s="86"/>
      <c r="F308" s="89"/>
      <c r="G308" s="86"/>
      <c r="H308" s="86"/>
      <c r="I308" s="89"/>
      <c r="J308" s="86"/>
      <c r="K308" s="86"/>
      <c r="L308" s="89"/>
      <c r="M308" s="86"/>
      <c r="N308" s="86"/>
      <c r="O308" s="89"/>
      <c r="P308" s="86"/>
      <c r="Q308" s="86"/>
      <c r="R308" s="89"/>
      <c r="S308" s="86"/>
      <c r="T308" s="86"/>
      <c r="U308" s="89"/>
      <c r="V308" s="86"/>
      <c r="W308" s="86"/>
      <c r="X308" s="89"/>
      <c r="Y308" s="86"/>
      <c r="Z308" s="86"/>
      <c r="AA308" s="89"/>
      <c r="AB308" s="86"/>
      <c r="AC308" s="86"/>
      <c r="AD308" s="89"/>
      <c r="AE308" s="86"/>
      <c r="AF308" s="86"/>
      <c r="AG308" s="89"/>
    </row>
    <row r="309" spans="1:33" ht="15.75" thickBot="1" x14ac:dyDescent="0.3">
      <c r="A309" s="68"/>
      <c r="B309" s="68"/>
      <c r="D309" s="87"/>
      <c r="E309" s="87"/>
      <c r="F309" s="90"/>
      <c r="G309" s="87"/>
      <c r="H309" s="87"/>
      <c r="I309" s="90"/>
      <c r="J309" s="87"/>
      <c r="K309" s="87"/>
      <c r="L309" s="90"/>
      <c r="M309" s="87"/>
      <c r="N309" s="87"/>
      <c r="O309" s="90"/>
      <c r="P309" s="87"/>
      <c r="Q309" s="87"/>
      <c r="R309" s="90"/>
      <c r="S309" s="87"/>
      <c r="T309" s="87"/>
      <c r="U309" s="90"/>
      <c r="V309" s="87"/>
      <c r="W309" s="87"/>
      <c r="X309" s="90"/>
      <c r="Y309" s="87"/>
      <c r="Z309" s="87"/>
      <c r="AA309" s="90"/>
      <c r="AB309" s="87"/>
      <c r="AC309" s="87"/>
      <c r="AD309" s="90"/>
      <c r="AE309" s="87"/>
      <c r="AF309" s="87"/>
      <c r="AG309" s="90"/>
    </row>
    <row r="310" spans="1:33" ht="15.75" thickBot="1" x14ac:dyDescent="0.3">
      <c r="A310" s="68"/>
      <c r="B310" s="68"/>
      <c r="D310" s="88"/>
      <c r="E310" s="88"/>
      <c r="F310" s="91"/>
      <c r="G310" s="88"/>
      <c r="H310" s="88"/>
      <c r="I310" s="91"/>
      <c r="J310" s="88"/>
      <c r="K310" s="88"/>
      <c r="L310" s="91"/>
      <c r="M310" s="88"/>
      <c r="N310" s="88"/>
      <c r="O310" s="91"/>
      <c r="P310" s="88"/>
      <c r="Q310" s="88"/>
      <c r="R310" s="91"/>
      <c r="S310" s="88"/>
      <c r="T310" s="88"/>
      <c r="U310" s="91"/>
      <c r="V310" s="88"/>
      <c r="W310" s="88"/>
      <c r="X310" s="91"/>
      <c r="Y310" s="88"/>
      <c r="Z310" s="88"/>
      <c r="AA310" s="91"/>
      <c r="AB310" s="88"/>
      <c r="AC310" s="88"/>
      <c r="AD310" s="91"/>
      <c r="AE310" s="88"/>
      <c r="AF310" s="88"/>
      <c r="AG310" s="91"/>
    </row>
    <row r="312" spans="1:33" ht="15.75" thickBot="1" x14ac:dyDescent="0.3"/>
    <row r="313" spans="1:33" ht="15.75" thickBot="1" x14ac:dyDescent="0.3">
      <c r="A313" s="68" t="s">
        <v>100</v>
      </c>
      <c r="B313" s="68"/>
      <c r="D313" s="52" t="s">
        <v>27</v>
      </c>
      <c r="E313" s="52"/>
      <c r="F313" s="52"/>
      <c r="G313" s="73" t="s">
        <v>28</v>
      </c>
      <c r="H313" s="73"/>
      <c r="I313" s="73"/>
      <c r="J313" s="52" t="s">
        <v>29</v>
      </c>
      <c r="K313" s="52"/>
      <c r="L313" s="52"/>
      <c r="M313" s="73" t="s">
        <v>30</v>
      </c>
      <c r="N313" s="73"/>
      <c r="O313" s="73"/>
      <c r="P313" s="52" t="s">
        <v>31</v>
      </c>
      <c r="Q313" s="52"/>
      <c r="R313" s="52"/>
      <c r="S313" s="73" t="s">
        <v>32</v>
      </c>
      <c r="T313" s="73"/>
      <c r="U313" s="73"/>
      <c r="V313" s="52" t="s">
        <v>33</v>
      </c>
      <c r="W313" s="52"/>
      <c r="X313" s="52"/>
      <c r="Y313" s="73" t="s">
        <v>34</v>
      </c>
      <c r="Z313" s="73"/>
      <c r="AA313" s="73"/>
      <c r="AB313" s="52" t="s">
        <v>35</v>
      </c>
      <c r="AC313" s="52"/>
      <c r="AD313" s="52"/>
      <c r="AE313" s="73" t="s">
        <v>36</v>
      </c>
      <c r="AF313" s="73"/>
      <c r="AG313" s="73"/>
    </row>
    <row r="314" spans="1:33" ht="15.75" thickBot="1" x14ac:dyDescent="0.3">
      <c r="A314" s="68"/>
      <c r="B314" s="68"/>
      <c r="C314" s="105" t="s">
        <v>243</v>
      </c>
      <c r="D314" s="75">
        <v>0</v>
      </c>
      <c r="E314" s="75"/>
      <c r="F314" s="76"/>
      <c r="G314" s="74">
        <v>0</v>
      </c>
      <c r="H314" s="75"/>
      <c r="I314" s="76"/>
      <c r="J314" s="74">
        <v>0</v>
      </c>
      <c r="K314" s="75"/>
      <c r="L314" s="76"/>
      <c r="M314" s="74">
        <v>0</v>
      </c>
      <c r="N314" s="75"/>
      <c r="O314" s="76"/>
      <c r="P314" s="74">
        <v>0</v>
      </c>
      <c r="Q314" s="75"/>
      <c r="R314" s="76"/>
      <c r="S314" s="74">
        <v>0</v>
      </c>
      <c r="T314" s="75"/>
      <c r="U314" s="76"/>
      <c r="V314" s="74">
        <v>0</v>
      </c>
      <c r="W314" s="75"/>
      <c r="X314" s="76"/>
      <c r="Y314" s="74">
        <v>0</v>
      </c>
      <c r="Z314" s="75"/>
      <c r="AA314" s="76"/>
      <c r="AB314" s="74">
        <v>0</v>
      </c>
      <c r="AC314" s="75"/>
      <c r="AD314" s="76"/>
      <c r="AE314" s="74">
        <v>0</v>
      </c>
      <c r="AF314" s="75"/>
      <c r="AG314" s="76"/>
    </row>
    <row r="315" spans="1:33" ht="15.75" thickBot="1" x14ac:dyDescent="0.3">
      <c r="A315" s="68"/>
      <c r="B315" s="68"/>
      <c r="C315" s="106" t="s">
        <v>244</v>
      </c>
      <c r="D315" s="82">
        <v>0</v>
      </c>
      <c r="E315" s="82"/>
      <c r="F315" s="84"/>
      <c r="G315" s="85">
        <v>0</v>
      </c>
      <c r="H315" s="82"/>
      <c r="I315" s="84"/>
      <c r="J315" s="85">
        <v>0</v>
      </c>
      <c r="K315" s="82"/>
      <c r="L315" s="84"/>
      <c r="M315" s="85">
        <v>0</v>
      </c>
      <c r="N315" s="82"/>
      <c r="O315" s="82"/>
      <c r="P315" s="81">
        <v>0</v>
      </c>
      <c r="Q315" s="82"/>
      <c r="R315" s="83"/>
      <c r="S315" s="82">
        <v>0</v>
      </c>
      <c r="T315" s="82"/>
      <c r="U315" s="84"/>
      <c r="V315" s="85">
        <v>0</v>
      </c>
      <c r="W315" s="82"/>
      <c r="X315" s="84"/>
      <c r="Y315" s="85">
        <v>0</v>
      </c>
      <c r="Z315" s="82"/>
      <c r="AA315" s="84"/>
      <c r="AB315" s="85">
        <v>0</v>
      </c>
      <c r="AC315" s="82"/>
      <c r="AD315" s="84"/>
      <c r="AE315" s="85">
        <v>0</v>
      </c>
      <c r="AF315" s="82"/>
      <c r="AG315" s="84"/>
    </row>
    <row r="316" spans="1:33" ht="15.75" thickBot="1" x14ac:dyDescent="0.3">
      <c r="A316" s="68"/>
      <c r="B316" s="68"/>
      <c r="C316" s="107" t="s">
        <v>37</v>
      </c>
      <c r="D316" s="104"/>
      <c r="E316" s="86"/>
      <c r="F316" s="89"/>
      <c r="G316" s="86"/>
      <c r="H316" s="86"/>
      <c r="I316" s="89"/>
      <c r="J316" s="86"/>
      <c r="K316" s="86"/>
      <c r="L316" s="89"/>
      <c r="M316" s="86"/>
      <c r="N316" s="86"/>
      <c r="O316" s="89"/>
      <c r="P316" s="86"/>
      <c r="Q316" s="86"/>
      <c r="R316" s="89"/>
      <c r="S316" s="86"/>
      <c r="T316" s="86"/>
      <c r="U316" s="89"/>
      <c r="V316" s="86"/>
      <c r="W316" s="86"/>
      <c r="X316" s="89"/>
      <c r="Y316" s="86"/>
      <c r="Z316" s="86"/>
      <c r="AA316" s="89"/>
      <c r="AB316" s="86"/>
      <c r="AC316" s="86"/>
      <c r="AD316" s="89"/>
      <c r="AE316" s="86"/>
      <c r="AF316" s="86"/>
      <c r="AG316" s="89"/>
    </row>
    <row r="317" spans="1:33" ht="15.75" thickBot="1" x14ac:dyDescent="0.3">
      <c r="A317" s="68"/>
      <c r="B317" s="68"/>
      <c r="D317" s="87"/>
      <c r="E317" s="87"/>
      <c r="F317" s="90"/>
      <c r="G317" s="87"/>
      <c r="H317" s="87"/>
      <c r="I317" s="90"/>
      <c r="J317" s="87"/>
      <c r="K317" s="87"/>
      <c r="L317" s="90"/>
      <c r="M317" s="87"/>
      <c r="N317" s="87"/>
      <c r="O317" s="90"/>
      <c r="P317" s="87"/>
      <c r="Q317" s="87"/>
      <c r="R317" s="90"/>
      <c r="S317" s="87"/>
      <c r="T317" s="87"/>
      <c r="U317" s="90"/>
      <c r="V317" s="87"/>
      <c r="W317" s="87"/>
      <c r="X317" s="90"/>
      <c r="Y317" s="87"/>
      <c r="Z317" s="87"/>
      <c r="AA317" s="90"/>
      <c r="AB317" s="87"/>
      <c r="AC317" s="87"/>
      <c r="AD317" s="90"/>
      <c r="AE317" s="87"/>
      <c r="AF317" s="87"/>
      <c r="AG317" s="90"/>
    </row>
    <row r="318" spans="1:33" ht="15.75" thickBot="1" x14ac:dyDescent="0.3">
      <c r="A318" s="68"/>
      <c r="B318" s="68"/>
      <c r="D318" s="88"/>
      <c r="E318" s="88"/>
      <c r="F318" s="91"/>
      <c r="G318" s="88"/>
      <c r="H318" s="88"/>
      <c r="I318" s="91"/>
      <c r="J318" s="88"/>
      <c r="K318" s="88"/>
      <c r="L318" s="91"/>
      <c r="M318" s="88"/>
      <c r="N318" s="88"/>
      <c r="O318" s="91"/>
      <c r="P318" s="88"/>
      <c r="Q318" s="88"/>
      <c r="R318" s="91"/>
      <c r="S318" s="88"/>
      <c r="T318" s="88"/>
      <c r="U318" s="91"/>
      <c r="V318" s="88"/>
      <c r="W318" s="88"/>
      <c r="X318" s="91"/>
      <c r="Y318" s="88"/>
      <c r="Z318" s="88"/>
      <c r="AA318" s="91"/>
      <c r="AB318" s="88"/>
      <c r="AC318" s="88"/>
      <c r="AD318" s="91"/>
      <c r="AE318" s="88"/>
      <c r="AF318" s="88"/>
      <c r="AG318" s="91"/>
    </row>
    <row r="320" spans="1:33" ht="15.75" thickBot="1" x14ac:dyDescent="0.3"/>
    <row r="321" spans="1:33" ht="15.75" thickBot="1" x14ac:dyDescent="0.3">
      <c r="A321" s="68" t="s">
        <v>101</v>
      </c>
      <c r="B321" s="68"/>
      <c r="D321" s="52" t="s">
        <v>27</v>
      </c>
      <c r="E321" s="52"/>
      <c r="F321" s="52"/>
      <c r="G321" s="73" t="s">
        <v>28</v>
      </c>
      <c r="H321" s="73"/>
      <c r="I321" s="73"/>
      <c r="J321" s="52" t="s">
        <v>29</v>
      </c>
      <c r="K321" s="52"/>
      <c r="L321" s="52"/>
      <c r="M321" s="73" t="s">
        <v>30</v>
      </c>
      <c r="N321" s="73"/>
      <c r="O321" s="73"/>
      <c r="P321" s="52" t="s">
        <v>31</v>
      </c>
      <c r="Q321" s="52"/>
      <c r="R321" s="52"/>
      <c r="S321" s="73" t="s">
        <v>32</v>
      </c>
      <c r="T321" s="73"/>
      <c r="U321" s="73"/>
      <c r="V321" s="52" t="s">
        <v>33</v>
      </c>
      <c r="W321" s="52"/>
      <c r="X321" s="52"/>
      <c r="Y321" s="73" t="s">
        <v>34</v>
      </c>
      <c r="Z321" s="73"/>
      <c r="AA321" s="73"/>
      <c r="AB321" s="52" t="s">
        <v>35</v>
      </c>
      <c r="AC321" s="52"/>
      <c r="AD321" s="52"/>
      <c r="AE321" s="73" t="s">
        <v>36</v>
      </c>
      <c r="AF321" s="73"/>
      <c r="AG321" s="73"/>
    </row>
    <row r="322" spans="1:33" ht="15.75" thickBot="1" x14ac:dyDescent="0.3">
      <c r="A322" s="68"/>
      <c r="B322" s="68"/>
      <c r="C322" s="105" t="s">
        <v>243</v>
      </c>
      <c r="D322" s="75">
        <v>0</v>
      </c>
      <c r="E322" s="75"/>
      <c r="F322" s="76"/>
      <c r="G322" s="74">
        <v>0</v>
      </c>
      <c r="H322" s="75"/>
      <c r="I322" s="76"/>
      <c r="J322" s="74">
        <v>0</v>
      </c>
      <c r="K322" s="75"/>
      <c r="L322" s="76"/>
      <c r="M322" s="74">
        <v>0</v>
      </c>
      <c r="N322" s="75"/>
      <c r="O322" s="76"/>
      <c r="P322" s="74">
        <v>0</v>
      </c>
      <c r="Q322" s="75"/>
      <c r="R322" s="76"/>
      <c r="S322" s="74">
        <v>0</v>
      </c>
      <c r="T322" s="75"/>
      <c r="U322" s="76"/>
      <c r="V322" s="74">
        <v>0</v>
      </c>
      <c r="W322" s="75"/>
      <c r="X322" s="76"/>
      <c r="Y322" s="74">
        <v>0</v>
      </c>
      <c r="Z322" s="75"/>
      <c r="AA322" s="76"/>
      <c r="AB322" s="74">
        <v>0</v>
      </c>
      <c r="AC322" s="75"/>
      <c r="AD322" s="76"/>
      <c r="AE322" s="74">
        <v>0</v>
      </c>
      <c r="AF322" s="75"/>
      <c r="AG322" s="76"/>
    </row>
    <row r="323" spans="1:33" ht="15.75" thickBot="1" x14ac:dyDescent="0.3">
      <c r="A323" s="68"/>
      <c r="B323" s="68"/>
      <c r="C323" s="106" t="s">
        <v>244</v>
      </c>
      <c r="D323" s="82">
        <v>0</v>
      </c>
      <c r="E323" s="82"/>
      <c r="F323" s="84"/>
      <c r="G323" s="85">
        <v>0</v>
      </c>
      <c r="H323" s="82"/>
      <c r="I323" s="84"/>
      <c r="J323" s="85">
        <v>0</v>
      </c>
      <c r="K323" s="82"/>
      <c r="L323" s="84"/>
      <c r="M323" s="85">
        <v>0</v>
      </c>
      <c r="N323" s="82"/>
      <c r="O323" s="82"/>
      <c r="P323" s="81">
        <v>0</v>
      </c>
      <c r="Q323" s="82"/>
      <c r="R323" s="83"/>
      <c r="S323" s="82">
        <v>0</v>
      </c>
      <c r="T323" s="82"/>
      <c r="U323" s="84"/>
      <c r="V323" s="85">
        <v>0</v>
      </c>
      <c r="W323" s="82"/>
      <c r="X323" s="84"/>
      <c r="Y323" s="85">
        <v>0</v>
      </c>
      <c r="Z323" s="82"/>
      <c r="AA323" s="84"/>
      <c r="AB323" s="85">
        <v>0</v>
      </c>
      <c r="AC323" s="82"/>
      <c r="AD323" s="84"/>
      <c r="AE323" s="85">
        <v>0</v>
      </c>
      <c r="AF323" s="82"/>
      <c r="AG323" s="84"/>
    </row>
    <row r="324" spans="1:33" ht="15.75" thickBot="1" x14ac:dyDescent="0.3">
      <c r="A324" s="68"/>
      <c r="B324" s="68"/>
      <c r="C324" s="107" t="s">
        <v>37</v>
      </c>
      <c r="D324" s="104"/>
      <c r="E324" s="86"/>
      <c r="F324" s="89"/>
      <c r="G324" s="86"/>
      <c r="H324" s="86"/>
      <c r="I324" s="89"/>
      <c r="J324" s="86"/>
      <c r="K324" s="86"/>
      <c r="L324" s="89"/>
      <c r="M324" s="86"/>
      <c r="N324" s="86"/>
      <c r="O324" s="89"/>
      <c r="P324" s="86"/>
      <c r="Q324" s="86"/>
      <c r="R324" s="89"/>
      <c r="S324" s="86"/>
      <c r="T324" s="86"/>
      <c r="U324" s="89"/>
      <c r="V324" s="86"/>
      <c r="W324" s="86"/>
      <c r="X324" s="89"/>
      <c r="Y324" s="86"/>
      <c r="Z324" s="86"/>
      <c r="AA324" s="89"/>
      <c r="AB324" s="86"/>
      <c r="AC324" s="86"/>
      <c r="AD324" s="89"/>
      <c r="AE324" s="86"/>
      <c r="AF324" s="86"/>
      <c r="AG324" s="89"/>
    </row>
    <row r="325" spans="1:33" ht="15.75" thickBot="1" x14ac:dyDescent="0.3">
      <c r="A325" s="68"/>
      <c r="B325" s="68"/>
      <c r="D325" s="87"/>
      <c r="E325" s="87"/>
      <c r="F325" s="90"/>
      <c r="G325" s="87"/>
      <c r="H325" s="87"/>
      <c r="I325" s="90"/>
      <c r="J325" s="87"/>
      <c r="K325" s="87"/>
      <c r="L325" s="90"/>
      <c r="M325" s="87"/>
      <c r="N325" s="87"/>
      <c r="O325" s="90"/>
      <c r="P325" s="87"/>
      <c r="Q325" s="87"/>
      <c r="R325" s="90"/>
      <c r="S325" s="87"/>
      <c r="T325" s="87"/>
      <c r="U325" s="90"/>
      <c r="V325" s="87"/>
      <c r="W325" s="87"/>
      <c r="X325" s="90"/>
      <c r="Y325" s="87"/>
      <c r="Z325" s="87"/>
      <c r="AA325" s="90"/>
      <c r="AB325" s="87"/>
      <c r="AC325" s="87"/>
      <c r="AD325" s="90"/>
      <c r="AE325" s="87"/>
      <c r="AF325" s="87"/>
      <c r="AG325" s="90"/>
    </row>
    <row r="326" spans="1:33" ht="15.75" thickBot="1" x14ac:dyDescent="0.3">
      <c r="A326" s="68"/>
      <c r="B326" s="68"/>
      <c r="D326" s="88"/>
      <c r="E326" s="88"/>
      <c r="F326" s="91"/>
      <c r="G326" s="88"/>
      <c r="H326" s="88"/>
      <c r="I326" s="91"/>
      <c r="J326" s="88"/>
      <c r="K326" s="88"/>
      <c r="L326" s="91"/>
      <c r="M326" s="88"/>
      <c r="N326" s="88"/>
      <c r="O326" s="91"/>
      <c r="P326" s="88"/>
      <c r="Q326" s="88"/>
      <c r="R326" s="91"/>
      <c r="S326" s="88"/>
      <c r="T326" s="88"/>
      <c r="U326" s="91"/>
      <c r="V326" s="88"/>
      <c r="W326" s="88"/>
      <c r="X326" s="91"/>
      <c r="Y326" s="88"/>
      <c r="Z326" s="88"/>
      <c r="AA326" s="91"/>
      <c r="AB326" s="88"/>
      <c r="AC326" s="88"/>
      <c r="AD326" s="91"/>
      <c r="AE326" s="88"/>
      <c r="AF326" s="88"/>
      <c r="AG326" s="91"/>
    </row>
    <row r="328" spans="1:33" ht="15.75" thickBot="1" x14ac:dyDescent="0.3"/>
    <row r="329" spans="1:33" ht="15.75" thickBot="1" x14ac:dyDescent="0.3">
      <c r="A329" s="68" t="s">
        <v>262</v>
      </c>
      <c r="B329" s="68"/>
      <c r="D329" s="52" t="s">
        <v>27</v>
      </c>
      <c r="E329" s="52"/>
      <c r="F329" s="52"/>
      <c r="G329" s="73" t="s">
        <v>28</v>
      </c>
      <c r="H329" s="73"/>
      <c r="I329" s="73"/>
      <c r="J329" s="52" t="s">
        <v>29</v>
      </c>
      <c r="K329" s="52"/>
      <c r="L329" s="52"/>
      <c r="M329" s="73" t="s">
        <v>30</v>
      </c>
      <c r="N329" s="73"/>
      <c r="O329" s="73"/>
      <c r="P329" s="52" t="s">
        <v>31</v>
      </c>
      <c r="Q329" s="52"/>
      <c r="R329" s="52"/>
      <c r="S329" s="73" t="s">
        <v>32</v>
      </c>
      <c r="T329" s="73"/>
      <c r="U329" s="73"/>
      <c r="V329" s="52" t="s">
        <v>33</v>
      </c>
      <c r="W329" s="52"/>
      <c r="X329" s="52"/>
      <c r="Y329" s="73" t="s">
        <v>34</v>
      </c>
      <c r="Z329" s="73"/>
      <c r="AA329" s="73"/>
      <c r="AB329" s="52" t="s">
        <v>35</v>
      </c>
      <c r="AC329" s="52"/>
      <c r="AD329" s="52"/>
      <c r="AE329" s="73" t="s">
        <v>36</v>
      </c>
      <c r="AF329" s="73"/>
      <c r="AG329" s="73"/>
    </row>
    <row r="330" spans="1:33" ht="15.75" thickBot="1" x14ac:dyDescent="0.3">
      <c r="A330" s="68"/>
      <c r="B330" s="68"/>
      <c r="C330" s="105" t="s">
        <v>243</v>
      </c>
      <c r="D330" s="75">
        <v>0</v>
      </c>
      <c r="E330" s="75"/>
      <c r="F330" s="76"/>
      <c r="G330" s="74">
        <v>0</v>
      </c>
      <c r="H330" s="75"/>
      <c r="I330" s="76"/>
      <c r="J330" s="74">
        <v>0</v>
      </c>
      <c r="K330" s="75"/>
      <c r="L330" s="76"/>
      <c r="M330" s="74">
        <v>0</v>
      </c>
      <c r="N330" s="75"/>
      <c r="O330" s="76"/>
      <c r="P330" s="74">
        <v>0</v>
      </c>
      <c r="Q330" s="75"/>
      <c r="R330" s="76"/>
      <c r="S330" s="74">
        <v>0</v>
      </c>
      <c r="T330" s="75"/>
      <c r="U330" s="76"/>
      <c r="V330" s="74">
        <v>0</v>
      </c>
      <c r="W330" s="75"/>
      <c r="X330" s="76"/>
      <c r="Y330" s="74">
        <v>0</v>
      </c>
      <c r="Z330" s="75"/>
      <c r="AA330" s="76"/>
      <c r="AB330" s="74">
        <v>0</v>
      </c>
      <c r="AC330" s="75"/>
      <c r="AD330" s="76"/>
      <c r="AE330" s="74">
        <v>0</v>
      </c>
      <c r="AF330" s="75"/>
      <c r="AG330" s="76"/>
    </row>
    <row r="331" spans="1:33" ht="15.75" thickBot="1" x14ac:dyDescent="0.3">
      <c r="A331" s="68"/>
      <c r="B331" s="68"/>
      <c r="C331" s="106" t="s">
        <v>244</v>
      </c>
      <c r="D331" s="82">
        <v>0</v>
      </c>
      <c r="E331" s="82"/>
      <c r="F331" s="84"/>
      <c r="G331" s="85">
        <v>0</v>
      </c>
      <c r="H331" s="82"/>
      <c r="I331" s="84"/>
      <c r="J331" s="85">
        <v>0</v>
      </c>
      <c r="K331" s="82"/>
      <c r="L331" s="84"/>
      <c r="M331" s="85">
        <v>0</v>
      </c>
      <c r="N331" s="82"/>
      <c r="O331" s="82"/>
      <c r="P331" s="81">
        <v>0</v>
      </c>
      <c r="Q331" s="82"/>
      <c r="R331" s="83"/>
      <c r="S331" s="82">
        <v>0</v>
      </c>
      <c r="T331" s="82"/>
      <c r="U331" s="84"/>
      <c r="V331" s="85">
        <v>0</v>
      </c>
      <c r="W331" s="82"/>
      <c r="X331" s="84"/>
      <c r="Y331" s="85">
        <v>0</v>
      </c>
      <c r="Z331" s="82"/>
      <c r="AA331" s="84"/>
      <c r="AB331" s="85">
        <v>0</v>
      </c>
      <c r="AC331" s="82"/>
      <c r="AD331" s="84"/>
      <c r="AE331" s="85">
        <v>0</v>
      </c>
      <c r="AF331" s="82"/>
      <c r="AG331" s="84"/>
    </row>
    <row r="332" spans="1:33" ht="15.75" thickBot="1" x14ac:dyDescent="0.3">
      <c r="A332" s="68"/>
      <c r="B332" s="68"/>
      <c r="C332" s="107" t="s">
        <v>37</v>
      </c>
      <c r="D332" s="104"/>
      <c r="E332" s="86"/>
      <c r="F332" s="89"/>
      <c r="G332" s="86"/>
      <c r="H332" s="86"/>
      <c r="I332" s="89"/>
      <c r="J332" s="86"/>
      <c r="K332" s="86"/>
      <c r="L332" s="89"/>
      <c r="M332" s="86"/>
      <c r="N332" s="86"/>
      <c r="O332" s="89"/>
      <c r="P332" s="86"/>
      <c r="Q332" s="86"/>
      <c r="R332" s="89"/>
      <c r="S332" s="86"/>
      <c r="T332" s="86"/>
      <c r="U332" s="89"/>
      <c r="V332" s="86"/>
      <c r="W332" s="86"/>
      <c r="X332" s="89"/>
      <c r="Y332" s="86"/>
      <c r="Z332" s="86"/>
      <c r="AA332" s="89"/>
      <c r="AB332" s="86"/>
      <c r="AC332" s="86"/>
      <c r="AD332" s="89"/>
      <c r="AE332" s="86"/>
      <c r="AF332" s="86"/>
      <c r="AG332" s="89"/>
    </row>
    <row r="333" spans="1:33" ht="15.75" thickBot="1" x14ac:dyDescent="0.3">
      <c r="A333" s="68"/>
      <c r="B333" s="68"/>
      <c r="D333" s="87"/>
      <c r="E333" s="87"/>
      <c r="F333" s="90"/>
      <c r="G333" s="87"/>
      <c r="H333" s="87"/>
      <c r="I333" s="90"/>
      <c r="J333" s="87"/>
      <c r="K333" s="87"/>
      <c r="L333" s="90"/>
      <c r="M333" s="87"/>
      <c r="N333" s="87"/>
      <c r="O333" s="90"/>
      <c r="P333" s="87"/>
      <c r="Q333" s="87"/>
      <c r="R333" s="90"/>
      <c r="S333" s="87"/>
      <c r="T333" s="87"/>
      <c r="U333" s="90"/>
      <c r="V333" s="87"/>
      <c r="W333" s="87"/>
      <c r="X333" s="90"/>
      <c r="Y333" s="87"/>
      <c r="Z333" s="87"/>
      <c r="AA333" s="90"/>
      <c r="AB333" s="87"/>
      <c r="AC333" s="87"/>
      <c r="AD333" s="90"/>
      <c r="AE333" s="87"/>
      <c r="AF333" s="87"/>
      <c r="AG333" s="90"/>
    </row>
    <row r="334" spans="1:33" ht="15.75" thickBot="1" x14ac:dyDescent="0.3">
      <c r="A334" s="68"/>
      <c r="B334" s="68"/>
      <c r="D334" s="88"/>
      <c r="E334" s="88"/>
      <c r="F334" s="91"/>
      <c r="G334" s="88"/>
      <c r="H334" s="88"/>
      <c r="I334" s="91"/>
      <c r="J334" s="88"/>
      <c r="K334" s="88"/>
      <c r="L334" s="91"/>
      <c r="M334" s="88"/>
      <c r="N334" s="88"/>
      <c r="O334" s="91"/>
      <c r="P334" s="88"/>
      <c r="Q334" s="88"/>
      <c r="R334" s="91"/>
      <c r="S334" s="88"/>
      <c r="T334" s="88"/>
      <c r="U334" s="91"/>
      <c r="V334" s="88"/>
      <c r="W334" s="88"/>
      <c r="X334" s="91"/>
      <c r="Y334" s="88"/>
      <c r="Z334" s="88"/>
      <c r="AA334" s="91"/>
      <c r="AB334" s="88"/>
      <c r="AC334" s="88"/>
      <c r="AD334" s="91"/>
      <c r="AE334" s="88"/>
      <c r="AF334" s="88"/>
      <c r="AG334" s="91"/>
    </row>
    <row r="336" spans="1:33" ht="15.75" thickBot="1" x14ac:dyDescent="0.3"/>
    <row r="337" spans="1:33" ht="15.75" thickBot="1" x14ac:dyDescent="0.3">
      <c r="A337" s="68" t="s">
        <v>102</v>
      </c>
      <c r="B337" s="68"/>
      <c r="D337" s="52" t="s">
        <v>27</v>
      </c>
      <c r="E337" s="52"/>
      <c r="F337" s="52"/>
      <c r="G337" s="73" t="s">
        <v>28</v>
      </c>
      <c r="H337" s="73"/>
      <c r="I337" s="73"/>
      <c r="J337" s="52" t="s">
        <v>29</v>
      </c>
      <c r="K337" s="52"/>
      <c r="L337" s="52"/>
      <c r="M337" s="73" t="s">
        <v>30</v>
      </c>
      <c r="N337" s="73"/>
      <c r="O337" s="73"/>
      <c r="P337" s="52" t="s">
        <v>31</v>
      </c>
      <c r="Q337" s="52"/>
      <c r="R337" s="52"/>
      <c r="S337" s="73" t="s">
        <v>32</v>
      </c>
      <c r="T337" s="73"/>
      <c r="U337" s="73"/>
      <c r="V337" s="52" t="s">
        <v>33</v>
      </c>
      <c r="W337" s="52"/>
      <c r="X337" s="52"/>
      <c r="Y337" s="73" t="s">
        <v>34</v>
      </c>
      <c r="Z337" s="73"/>
      <c r="AA337" s="73"/>
      <c r="AB337" s="52" t="s">
        <v>35</v>
      </c>
      <c r="AC337" s="52"/>
      <c r="AD337" s="52"/>
      <c r="AE337" s="73" t="s">
        <v>36</v>
      </c>
      <c r="AF337" s="73"/>
      <c r="AG337" s="73"/>
    </row>
    <row r="338" spans="1:33" ht="15.75" thickBot="1" x14ac:dyDescent="0.3">
      <c r="A338" s="68"/>
      <c r="B338" s="68"/>
      <c r="C338" s="105" t="s">
        <v>243</v>
      </c>
      <c r="D338" s="75">
        <v>0</v>
      </c>
      <c r="E338" s="75"/>
      <c r="F338" s="76"/>
      <c r="G338" s="74">
        <v>0</v>
      </c>
      <c r="H338" s="75"/>
      <c r="I338" s="76"/>
      <c r="J338" s="74">
        <v>0</v>
      </c>
      <c r="K338" s="75"/>
      <c r="L338" s="76"/>
      <c r="M338" s="74">
        <v>0</v>
      </c>
      <c r="N338" s="75"/>
      <c r="O338" s="76"/>
      <c r="P338" s="74">
        <v>0</v>
      </c>
      <c r="Q338" s="75"/>
      <c r="R338" s="76"/>
      <c r="S338" s="74">
        <v>0</v>
      </c>
      <c r="T338" s="75"/>
      <c r="U338" s="76"/>
      <c r="V338" s="74">
        <v>0</v>
      </c>
      <c r="W338" s="75"/>
      <c r="X338" s="76"/>
      <c r="Y338" s="74">
        <v>0</v>
      </c>
      <c r="Z338" s="75"/>
      <c r="AA338" s="76"/>
      <c r="AB338" s="74">
        <v>0</v>
      </c>
      <c r="AC338" s="75"/>
      <c r="AD338" s="76"/>
      <c r="AE338" s="74">
        <v>0</v>
      </c>
      <c r="AF338" s="75"/>
      <c r="AG338" s="76"/>
    </row>
    <row r="339" spans="1:33" ht="15.75" thickBot="1" x14ac:dyDescent="0.3">
      <c r="A339" s="68"/>
      <c r="B339" s="68"/>
      <c r="C339" s="106" t="s">
        <v>244</v>
      </c>
      <c r="D339" s="82">
        <v>0</v>
      </c>
      <c r="E339" s="82"/>
      <c r="F339" s="84"/>
      <c r="G339" s="85">
        <v>0</v>
      </c>
      <c r="H339" s="82"/>
      <c r="I339" s="84"/>
      <c r="J339" s="85">
        <v>0</v>
      </c>
      <c r="K339" s="82"/>
      <c r="L339" s="84"/>
      <c r="M339" s="85">
        <v>0</v>
      </c>
      <c r="N339" s="82"/>
      <c r="O339" s="82"/>
      <c r="P339" s="81">
        <v>0</v>
      </c>
      <c r="Q339" s="82"/>
      <c r="R339" s="83"/>
      <c r="S339" s="82">
        <v>0</v>
      </c>
      <c r="T339" s="82"/>
      <c r="U339" s="84"/>
      <c r="V339" s="85">
        <v>0</v>
      </c>
      <c r="W339" s="82"/>
      <c r="X339" s="84"/>
      <c r="Y339" s="85">
        <v>0</v>
      </c>
      <c r="Z339" s="82"/>
      <c r="AA339" s="84"/>
      <c r="AB339" s="85">
        <v>0</v>
      </c>
      <c r="AC339" s="82"/>
      <c r="AD339" s="84"/>
      <c r="AE339" s="85">
        <v>0</v>
      </c>
      <c r="AF339" s="82"/>
      <c r="AG339" s="84"/>
    </row>
    <row r="340" spans="1:33" ht="15.75" thickBot="1" x14ac:dyDescent="0.3">
      <c r="A340" s="68"/>
      <c r="B340" s="68"/>
      <c r="C340" s="107" t="s">
        <v>37</v>
      </c>
      <c r="D340" s="104"/>
      <c r="E340" s="86"/>
      <c r="F340" s="89"/>
      <c r="G340" s="86"/>
      <c r="H340" s="86"/>
      <c r="I340" s="89"/>
      <c r="J340" s="86"/>
      <c r="K340" s="86"/>
      <c r="L340" s="89"/>
      <c r="M340" s="86"/>
      <c r="N340" s="86"/>
      <c r="O340" s="89"/>
      <c r="P340" s="86"/>
      <c r="Q340" s="86"/>
      <c r="R340" s="89"/>
      <c r="S340" s="86"/>
      <c r="T340" s="86"/>
      <c r="U340" s="89"/>
      <c r="V340" s="86"/>
      <c r="W340" s="86"/>
      <c r="X340" s="89"/>
      <c r="Y340" s="86"/>
      <c r="Z340" s="86"/>
      <c r="AA340" s="89"/>
      <c r="AB340" s="86"/>
      <c r="AC340" s="86"/>
      <c r="AD340" s="89"/>
      <c r="AE340" s="86"/>
      <c r="AF340" s="86"/>
      <c r="AG340" s="89"/>
    </row>
    <row r="341" spans="1:33" ht="15.75" thickBot="1" x14ac:dyDescent="0.3">
      <c r="A341" s="68"/>
      <c r="B341" s="68"/>
      <c r="D341" s="87"/>
      <c r="E341" s="87"/>
      <c r="F341" s="90"/>
      <c r="G341" s="87"/>
      <c r="H341" s="87"/>
      <c r="I341" s="90"/>
      <c r="J341" s="87"/>
      <c r="K341" s="87"/>
      <c r="L341" s="90"/>
      <c r="M341" s="87"/>
      <c r="N341" s="87"/>
      <c r="O341" s="90"/>
      <c r="P341" s="87"/>
      <c r="Q341" s="87"/>
      <c r="R341" s="90"/>
      <c r="S341" s="87"/>
      <c r="T341" s="87"/>
      <c r="U341" s="90"/>
      <c r="V341" s="87"/>
      <c r="W341" s="87"/>
      <c r="X341" s="90"/>
      <c r="Y341" s="87"/>
      <c r="Z341" s="87"/>
      <c r="AA341" s="90"/>
      <c r="AB341" s="87"/>
      <c r="AC341" s="87"/>
      <c r="AD341" s="90"/>
      <c r="AE341" s="87"/>
      <c r="AF341" s="87"/>
      <c r="AG341" s="90"/>
    </row>
    <row r="342" spans="1:33" ht="15.75" thickBot="1" x14ac:dyDescent="0.3">
      <c r="A342" s="68"/>
      <c r="B342" s="68"/>
      <c r="D342" s="88"/>
      <c r="E342" s="88"/>
      <c r="F342" s="91"/>
      <c r="G342" s="88"/>
      <c r="H342" s="88"/>
      <c r="I342" s="91"/>
      <c r="J342" s="88"/>
      <c r="K342" s="88"/>
      <c r="L342" s="91"/>
      <c r="M342" s="88"/>
      <c r="N342" s="88"/>
      <c r="O342" s="91"/>
      <c r="P342" s="88"/>
      <c r="Q342" s="88"/>
      <c r="R342" s="91"/>
      <c r="S342" s="88"/>
      <c r="T342" s="88"/>
      <c r="U342" s="91"/>
      <c r="V342" s="88"/>
      <c r="W342" s="88"/>
      <c r="X342" s="91"/>
      <c r="Y342" s="88"/>
      <c r="Z342" s="88"/>
      <c r="AA342" s="91"/>
      <c r="AB342" s="88"/>
      <c r="AC342" s="88"/>
      <c r="AD342" s="91"/>
      <c r="AE342" s="88"/>
      <c r="AF342" s="88"/>
      <c r="AG342" s="91"/>
    </row>
    <row r="344" spans="1:33" ht="15.75" thickBot="1" x14ac:dyDescent="0.3"/>
    <row r="345" spans="1:33" ht="15.75" thickBot="1" x14ac:dyDescent="0.3">
      <c r="A345" s="68" t="s">
        <v>103</v>
      </c>
      <c r="B345" s="68"/>
      <c r="D345" s="52" t="s">
        <v>27</v>
      </c>
      <c r="E345" s="52"/>
      <c r="F345" s="52"/>
      <c r="G345" s="73" t="s">
        <v>28</v>
      </c>
      <c r="H345" s="73"/>
      <c r="I345" s="73"/>
      <c r="J345" s="52" t="s">
        <v>29</v>
      </c>
      <c r="K345" s="52"/>
      <c r="L345" s="52"/>
      <c r="M345" s="73" t="s">
        <v>30</v>
      </c>
      <c r="N345" s="73"/>
      <c r="O345" s="73"/>
      <c r="P345" s="52" t="s">
        <v>31</v>
      </c>
      <c r="Q345" s="52"/>
      <c r="R345" s="52"/>
      <c r="S345" s="73" t="s">
        <v>32</v>
      </c>
      <c r="T345" s="73"/>
      <c r="U345" s="73"/>
      <c r="V345" s="52" t="s">
        <v>33</v>
      </c>
      <c r="W345" s="52"/>
      <c r="X345" s="52"/>
      <c r="Y345" s="73" t="s">
        <v>34</v>
      </c>
      <c r="Z345" s="73"/>
      <c r="AA345" s="73"/>
      <c r="AB345" s="52" t="s">
        <v>35</v>
      </c>
      <c r="AC345" s="52"/>
      <c r="AD345" s="52"/>
      <c r="AE345" s="73" t="s">
        <v>36</v>
      </c>
      <c r="AF345" s="73"/>
      <c r="AG345" s="73"/>
    </row>
    <row r="346" spans="1:33" ht="15.75" thickBot="1" x14ac:dyDescent="0.3">
      <c r="A346" s="68"/>
      <c r="B346" s="68"/>
      <c r="C346" s="105" t="s">
        <v>243</v>
      </c>
      <c r="D346" s="75">
        <v>0</v>
      </c>
      <c r="E346" s="75"/>
      <c r="F346" s="76"/>
      <c r="G346" s="74">
        <v>0</v>
      </c>
      <c r="H346" s="75"/>
      <c r="I346" s="76"/>
      <c r="J346" s="74">
        <v>0</v>
      </c>
      <c r="K346" s="75"/>
      <c r="L346" s="76"/>
      <c r="M346" s="74">
        <v>0</v>
      </c>
      <c r="N346" s="75"/>
      <c r="O346" s="76"/>
      <c r="P346" s="74">
        <v>0</v>
      </c>
      <c r="Q346" s="75"/>
      <c r="R346" s="76"/>
      <c r="S346" s="74">
        <v>0</v>
      </c>
      <c r="T346" s="75"/>
      <c r="U346" s="76"/>
      <c r="V346" s="74">
        <v>0</v>
      </c>
      <c r="W346" s="75"/>
      <c r="X346" s="76"/>
      <c r="Y346" s="74">
        <v>0</v>
      </c>
      <c r="Z346" s="75"/>
      <c r="AA346" s="76"/>
      <c r="AB346" s="74">
        <v>0</v>
      </c>
      <c r="AC346" s="75"/>
      <c r="AD346" s="76"/>
      <c r="AE346" s="74">
        <v>0</v>
      </c>
      <c r="AF346" s="75"/>
      <c r="AG346" s="76"/>
    </row>
    <row r="347" spans="1:33" ht="15.75" thickBot="1" x14ac:dyDescent="0.3">
      <c r="A347" s="68"/>
      <c r="B347" s="68"/>
      <c r="C347" s="106" t="s">
        <v>244</v>
      </c>
      <c r="D347" s="82">
        <v>0</v>
      </c>
      <c r="E347" s="82"/>
      <c r="F347" s="84"/>
      <c r="G347" s="85">
        <v>0</v>
      </c>
      <c r="H347" s="82"/>
      <c r="I347" s="84"/>
      <c r="J347" s="85">
        <v>0</v>
      </c>
      <c r="K347" s="82"/>
      <c r="L347" s="84"/>
      <c r="M347" s="85">
        <v>0</v>
      </c>
      <c r="N347" s="82"/>
      <c r="O347" s="82"/>
      <c r="P347" s="81">
        <v>1</v>
      </c>
      <c r="Q347" s="82"/>
      <c r="R347" s="83"/>
      <c r="S347" s="82">
        <v>1</v>
      </c>
      <c r="T347" s="82"/>
      <c r="U347" s="84"/>
      <c r="V347" s="85">
        <v>1</v>
      </c>
      <c r="W347" s="82"/>
      <c r="X347" s="84"/>
      <c r="Y347" s="85">
        <v>1</v>
      </c>
      <c r="Z347" s="82"/>
      <c r="AA347" s="84"/>
      <c r="AB347" s="85">
        <v>1</v>
      </c>
      <c r="AC347" s="82"/>
      <c r="AD347" s="84"/>
      <c r="AE347" s="85">
        <v>1</v>
      </c>
      <c r="AF347" s="82"/>
      <c r="AG347" s="84"/>
    </row>
    <row r="348" spans="1:33" ht="15.75" thickBot="1" x14ac:dyDescent="0.3">
      <c r="A348" s="68"/>
      <c r="B348" s="68"/>
      <c r="C348" s="107" t="s">
        <v>37</v>
      </c>
      <c r="D348" s="104"/>
      <c r="E348" s="86"/>
      <c r="F348" s="89"/>
      <c r="G348" s="86"/>
      <c r="H348" s="86"/>
      <c r="I348" s="89"/>
      <c r="J348" s="86"/>
      <c r="K348" s="86"/>
      <c r="L348" s="89"/>
      <c r="M348" s="86"/>
      <c r="N348" s="86"/>
      <c r="O348" s="89"/>
      <c r="P348" s="86" t="s">
        <v>7</v>
      </c>
      <c r="Q348" s="86"/>
      <c r="R348" s="89">
        <v>1</v>
      </c>
      <c r="S348" s="86" t="s">
        <v>7</v>
      </c>
      <c r="T348" s="86"/>
      <c r="U348" s="89">
        <v>1</v>
      </c>
      <c r="V348" s="86" t="s">
        <v>7</v>
      </c>
      <c r="W348" s="86"/>
      <c r="X348" s="89">
        <v>1</v>
      </c>
      <c r="Y348" s="86" t="s">
        <v>7</v>
      </c>
      <c r="Z348" s="86"/>
      <c r="AA348" s="89">
        <v>1</v>
      </c>
      <c r="AB348" s="86"/>
      <c r="AC348" s="86"/>
      <c r="AD348" s="89"/>
      <c r="AE348" s="86"/>
      <c r="AF348" s="86"/>
      <c r="AG348" s="89"/>
    </row>
    <row r="349" spans="1:33" ht="15.75" thickBot="1" x14ac:dyDescent="0.3">
      <c r="A349" s="68"/>
      <c r="B349" s="68"/>
      <c r="D349" s="87"/>
      <c r="E349" s="87"/>
      <c r="F349" s="90"/>
      <c r="G349" s="87"/>
      <c r="H349" s="87"/>
      <c r="I349" s="90"/>
      <c r="J349" s="87"/>
      <c r="K349" s="87"/>
      <c r="L349" s="90"/>
      <c r="M349" s="87"/>
      <c r="N349" s="87"/>
      <c r="O349" s="90"/>
      <c r="P349" s="87"/>
      <c r="Q349" s="87"/>
      <c r="R349" s="90"/>
      <c r="S349" s="87" t="s">
        <v>9</v>
      </c>
      <c r="T349" s="87"/>
      <c r="U349" s="90">
        <v>1</v>
      </c>
      <c r="V349" s="87" t="s">
        <v>9</v>
      </c>
      <c r="W349" s="87"/>
      <c r="X349" s="90">
        <v>1</v>
      </c>
      <c r="Y349" s="87" t="s">
        <v>9</v>
      </c>
      <c r="Z349" s="87"/>
      <c r="AA349" s="90">
        <v>2</v>
      </c>
      <c r="AB349" s="87"/>
      <c r="AC349" s="87"/>
      <c r="AD349" s="90"/>
      <c r="AE349" s="87"/>
      <c r="AF349" s="87"/>
      <c r="AG349" s="90"/>
    </row>
    <row r="350" spans="1:33" ht="15.75" thickBot="1" x14ac:dyDescent="0.3">
      <c r="A350" s="68"/>
      <c r="B350" s="68"/>
      <c r="D350" s="88"/>
      <c r="E350" s="88"/>
      <c r="F350" s="91"/>
      <c r="G350" s="88"/>
      <c r="H350" s="88"/>
      <c r="I350" s="91"/>
      <c r="J350" s="88"/>
      <c r="K350" s="88"/>
      <c r="L350" s="91"/>
      <c r="M350" s="88"/>
      <c r="N350" s="88"/>
      <c r="O350" s="91"/>
      <c r="P350" s="88"/>
      <c r="Q350" s="88"/>
      <c r="R350" s="91"/>
      <c r="S350" s="88"/>
      <c r="T350" s="88"/>
      <c r="U350" s="91"/>
      <c r="V350" s="88"/>
      <c r="W350" s="88"/>
      <c r="X350" s="91"/>
      <c r="Y350" s="88"/>
      <c r="Z350" s="88"/>
      <c r="AA350" s="91"/>
      <c r="AB350" s="88"/>
      <c r="AC350" s="88"/>
      <c r="AD350" s="91"/>
      <c r="AE350" s="88"/>
      <c r="AF350" s="88"/>
      <c r="AG350" s="91"/>
    </row>
    <row r="352" spans="1:33" ht="15.75" thickBot="1" x14ac:dyDescent="0.3"/>
    <row r="353" spans="1:33" ht="15.75" thickBot="1" x14ac:dyDescent="0.3">
      <c r="A353" s="68" t="s">
        <v>263</v>
      </c>
      <c r="B353" s="68"/>
      <c r="D353" s="52" t="s">
        <v>27</v>
      </c>
      <c r="E353" s="52"/>
      <c r="F353" s="52"/>
      <c r="G353" s="73" t="s">
        <v>28</v>
      </c>
      <c r="H353" s="73"/>
      <c r="I353" s="73"/>
      <c r="J353" s="52" t="s">
        <v>29</v>
      </c>
      <c r="K353" s="52"/>
      <c r="L353" s="52"/>
      <c r="M353" s="73" t="s">
        <v>30</v>
      </c>
      <c r="N353" s="73"/>
      <c r="O353" s="73"/>
      <c r="P353" s="52" t="s">
        <v>31</v>
      </c>
      <c r="Q353" s="52"/>
      <c r="R353" s="52"/>
      <c r="S353" s="73" t="s">
        <v>32</v>
      </c>
      <c r="T353" s="73"/>
      <c r="U353" s="73"/>
      <c r="V353" s="52" t="s">
        <v>33</v>
      </c>
      <c r="W353" s="52"/>
      <c r="X353" s="52"/>
      <c r="Y353" s="73" t="s">
        <v>34</v>
      </c>
      <c r="Z353" s="73"/>
      <c r="AA353" s="73"/>
      <c r="AB353" s="52" t="s">
        <v>35</v>
      </c>
      <c r="AC353" s="52"/>
      <c r="AD353" s="52"/>
      <c r="AE353" s="73" t="s">
        <v>36</v>
      </c>
      <c r="AF353" s="73"/>
      <c r="AG353" s="73"/>
    </row>
    <row r="354" spans="1:33" ht="15.75" thickBot="1" x14ac:dyDescent="0.3">
      <c r="A354" s="68"/>
      <c r="B354" s="68"/>
      <c r="C354" s="105" t="s">
        <v>243</v>
      </c>
      <c r="D354" s="75">
        <v>0</v>
      </c>
      <c r="E354" s="75"/>
      <c r="F354" s="76"/>
      <c r="G354" s="74">
        <v>0</v>
      </c>
      <c r="H354" s="75"/>
      <c r="I354" s="76"/>
      <c r="J354" s="74">
        <v>0</v>
      </c>
      <c r="K354" s="75"/>
      <c r="L354" s="76"/>
      <c r="M354" s="74">
        <v>0</v>
      </c>
      <c r="N354" s="75"/>
      <c r="O354" s="76"/>
      <c r="P354" s="74">
        <v>0</v>
      </c>
      <c r="Q354" s="75"/>
      <c r="R354" s="76"/>
      <c r="S354" s="74">
        <v>0</v>
      </c>
      <c r="T354" s="75"/>
      <c r="U354" s="76"/>
      <c r="V354" s="74">
        <v>0</v>
      </c>
      <c r="W354" s="75"/>
      <c r="X354" s="76"/>
      <c r="Y354" s="74">
        <v>0</v>
      </c>
      <c r="Z354" s="75"/>
      <c r="AA354" s="76"/>
      <c r="AB354" s="74">
        <v>0</v>
      </c>
      <c r="AC354" s="75"/>
      <c r="AD354" s="76"/>
      <c r="AE354" s="74">
        <v>0</v>
      </c>
      <c r="AF354" s="75"/>
      <c r="AG354" s="76"/>
    </row>
    <row r="355" spans="1:33" ht="15.75" thickBot="1" x14ac:dyDescent="0.3">
      <c r="A355" s="68"/>
      <c r="B355" s="68"/>
      <c r="C355" s="106" t="s">
        <v>244</v>
      </c>
      <c r="D355" s="82">
        <v>0</v>
      </c>
      <c r="E355" s="82"/>
      <c r="F355" s="84"/>
      <c r="G355" s="85">
        <v>0</v>
      </c>
      <c r="H355" s="82"/>
      <c r="I355" s="84"/>
      <c r="J355" s="85">
        <v>0</v>
      </c>
      <c r="K355" s="82"/>
      <c r="L355" s="84"/>
      <c r="M355" s="85">
        <v>0</v>
      </c>
      <c r="N355" s="82"/>
      <c r="O355" s="82"/>
      <c r="P355" s="81">
        <v>0</v>
      </c>
      <c r="Q355" s="82"/>
      <c r="R355" s="83"/>
      <c r="S355" s="82">
        <v>0</v>
      </c>
      <c r="T355" s="82"/>
      <c r="U355" s="84"/>
      <c r="V355" s="85">
        <v>0</v>
      </c>
      <c r="W355" s="82"/>
      <c r="X355" s="84"/>
      <c r="Y355" s="85">
        <v>0</v>
      </c>
      <c r="Z355" s="82"/>
      <c r="AA355" s="84"/>
      <c r="AB355" s="85">
        <v>0</v>
      </c>
      <c r="AC355" s="82"/>
      <c r="AD355" s="84"/>
      <c r="AE355" s="85">
        <v>0</v>
      </c>
      <c r="AF355" s="82"/>
      <c r="AG355" s="84"/>
    </row>
    <row r="356" spans="1:33" ht="15.75" thickBot="1" x14ac:dyDescent="0.3">
      <c r="A356" s="68"/>
      <c r="B356" s="68"/>
      <c r="C356" s="107" t="s">
        <v>37</v>
      </c>
      <c r="D356" s="104"/>
      <c r="E356" s="86"/>
      <c r="F356" s="89"/>
      <c r="G356" s="86"/>
      <c r="H356" s="86"/>
      <c r="I356" s="89"/>
      <c r="J356" s="86"/>
      <c r="K356" s="86"/>
      <c r="L356" s="89"/>
      <c r="M356" s="86"/>
      <c r="N356" s="86"/>
      <c r="O356" s="89"/>
      <c r="P356" s="86"/>
      <c r="Q356" s="86"/>
      <c r="R356" s="89"/>
      <c r="S356" s="86"/>
      <c r="T356" s="86"/>
      <c r="U356" s="89"/>
      <c r="V356" s="86"/>
      <c r="W356" s="86"/>
      <c r="X356" s="89"/>
      <c r="Y356" s="86"/>
      <c r="Z356" s="86"/>
      <c r="AA356" s="89"/>
      <c r="AB356" s="86"/>
      <c r="AC356" s="86"/>
      <c r="AD356" s="89"/>
      <c r="AE356" s="86"/>
      <c r="AF356" s="86"/>
      <c r="AG356" s="89"/>
    </row>
    <row r="357" spans="1:33" ht="15.75" thickBot="1" x14ac:dyDescent="0.3">
      <c r="A357" s="68"/>
      <c r="B357" s="68"/>
      <c r="D357" s="87"/>
      <c r="E357" s="87"/>
      <c r="F357" s="90"/>
      <c r="G357" s="87"/>
      <c r="H357" s="87"/>
      <c r="I357" s="90"/>
      <c r="J357" s="87"/>
      <c r="K357" s="87"/>
      <c r="L357" s="90"/>
      <c r="M357" s="87"/>
      <c r="N357" s="87"/>
      <c r="O357" s="90"/>
      <c r="P357" s="87"/>
      <c r="Q357" s="87"/>
      <c r="R357" s="90"/>
      <c r="S357" s="87"/>
      <c r="T357" s="87"/>
      <c r="U357" s="90"/>
      <c r="V357" s="87"/>
      <c r="W357" s="87"/>
      <c r="X357" s="90"/>
      <c r="Y357" s="87"/>
      <c r="Z357" s="87"/>
      <c r="AA357" s="90"/>
      <c r="AB357" s="87"/>
      <c r="AC357" s="87"/>
      <c r="AD357" s="90"/>
      <c r="AE357" s="87"/>
      <c r="AF357" s="87"/>
      <c r="AG357" s="90"/>
    </row>
    <row r="358" spans="1:33" ht="15.75" thickBot="1" x14ac:dyDescent="0.3">
      <c r="A358" s="68"/>
      <c r="B358" s="68"/>
      <c r="D358" s="88"/>
      <c r="E358" s="88"/>
      <c r="F358" s="91"/>
      <c r="G358" s="88"/>
      <c r="H358" s="88"/>
      <c r="I358" s="91"/>
      <c r="J358" s="88"/>
      <c r="K358" s="88"/>
      <c r="L358" s="91"/>
      <c r="M358" s="88"/>
      <c r="N358" s="88"/>
      <c r="O358" s="91"/>
      <c r="P358" s="88"/>
      <c r="Q358" s="88"/>
      <c r="R358" s="91"/>
      <c r="S358" s="88"/>
      <c r="T358" s="88"/>
      <c r="U358" s="91"/>
      <c r="V358" s="88"/>
      <c r="W358" s="88"/>
      <c r="X358" s="91"/>
      <c r="Y358" s="88"/>
      <c r="Z358" s="88"/>
      <c r="AA358" s="91"/>
      <c r="AB358" s="88"/>
      <c r="AC358" s="88"/>
      <c r="AD358" s="91"/>
      <c r="AE358" s="88"/>
      <c r="AF358" s="88"/>
      <c r="AG358" s="91"/>
    </row>
    <row r="360" spans="1:33" ht="15.75" thickBot="1" x14ac:dyDescent="0.3"/>
    <row r="361" spans="1:33" ht="15.75" thickBot="1" x14ac:dyDescent="0.3">
      <c r="A361" s="68" t="s">
        <v>104</v>
      </c>
      <c r="B361" s="68"/>
      <c r="D361" s="52" t="s">
        <v>27</v>
      </c>
      <c r="E361" s="52"/>
      <c r="F361" s="52"/>
      <c r="G361" s="73" t="s">
        <v>28</v>
      </c>
      <c r="H361" s="73"/>
      <c r="I361" s="73"/>
      <c r="J361" s="52" t="s">
        <v>29</v>
      </c>
      <c r="K361" s="52"/>
      <c r="L361" s="52"/>
      <c r="M361" s="73" t="s">
        <v>30</v>
      </c>
      <c r="N361" s="73"/>
      <c r="O361" s="73"/>
      <c r="P361" s="52" t="s">
        <v>31</v>
      </c>
      <c r="Q361" s="52"/>
      <c r="R361" s="52"/>
      <c r="S361" s="73" t="s">
        <v>32</v>
      </c>
      <c r="T361" s="73"/>
      <c r="U361" s="73"/>
      <c r="V361" s="52" t="s">
        <v>33</v>
      </c>
      <c r="W361" s="52"/>
      <c r="X361" s="52"/>
      <c r="Y361" s="73" t="s">
        <v>34</v>
      </c>
      <c r="Z361" s="73"/>
      <c r="AA361" s="73"/>
      <c r="AB361" s="52" t="s">
        <v>35</v>
      </c>
      <c r="AC361" s="52"/>
      <c r="AD361" s="52"/>
      <c r="AE361" s="73" t="s">
        <v>36</v>
      </c>
      <c r="AF361" s="73"/>
      <c r="AG361" s="73"/>
    </row>
    <row r="362" spans="1:33" ht="15.75" thickBot="1" x14ac:dyDescent="0.3">
      <c r="A362" s="68"/>
      <c r="B362" s="68"/>
      <c r="C362" s="105" t="s">
        <v>243</v>
      </c>
      <c r="D362" s="75">
        <v>0</v>
      </c>
      <c r="E362" s="75"/>
      <c r="F362" s="76"/>
      <c r="G362" s="74">
        <v>0</v>
      </c>
      <c r="H362" s="75"/>
      <c r="I362" s="76"/>
      <c r="J362" s="74">
        <v>0</v>
      </c>
      <c r="K362" s="75"/>
      <c r="L362" s="76"/>
      <c r="M362" s="74">
        <v>0</v>
      </c>
      <c r="N362" s="75"/>
      <c r="O362" s="76"/>
      <c r="P362" s="74">
        <v>0</v>
      </c>
      <c r="Q362" s="75"/>
      <c r="R362" s="76"/>
      <c r="S362" s="74">
        <v>0</v>
      </c>
      <c r="T362" s="75"/>
      <c r="U362" s="76"/>
      <c r="V362" s="74">
        <v>0</v>
      </c>
      <c r="W362" s="75"/>
      <c r="X362" s="76"/>
      <c r="Y362" s="74">
        <v>0</v>
      </c>
      <c r="Z362" s="75"/>
      <c r="AA362" s="76"/>
      <c r="AB362" s="74">
        <v>0</v>
      </c>
      <c r="AC362" s="75"/>
      <c r="AD362" s="76"/>
      <c r="AE362" s="74">
        <v>0</v>
      </c>
      <c r="AF362" s="75"/>
      <c r="AG362" s="76"/>
    </row>
    <row r="363" spans="1:33" ht="15.75" thickBot="1" x14ac:dyDescent="0.3">
      <c r="A363" s="68"/>
      <c r="B363" s="68"/>
      <c r="C363" s="106" t="s">
        <v>244</v>
      </c>
      <c r="D363" s="82">
        <v>0</v>
      </c>
      <c r="E363" s="82"/>
      <c r="F363" s="84"/>
      <c r="G363" s="85">
        <v>0</v>
      </c>
      <c r="H363" s="82"/>
      <c r="I363" s="84"/>
      <c r="J363" s="85">
        <v>0</v>
      </c>
      <c r="K363" s="82"/>
      <c r="L363" s="84"/>
      <c r="M363" s="85">
        <v>0</v>
      </c>
      <c r="N363" s="82"/>
      <c r="O363" s="82"/>
      <c r="P363" s="81">
        <v>0</v>
      </c>
      <c r="Q363" s="82"/>
      <c r="R363" s="83"/>
      <c r="S363" s="82">
        <v>0</v>
      </c>
      <c r="T363" s="82"/>
      <c r="U363" s="84"/>
      <c r="V363" s="85">
        <v>0</v>
      </c>
      <c r="W363" s="82"/>
      <c r="X363" s="84"/>
      <c r="Y363" s="85">
        <v>0</v>
      </c>
      <c r="Z363" s="82"/>
      <c r="AA363" s="84"/>
      <c r="AB363" s="85">
        <v>0</v>
      </c>
      <c r="AC363" s="82"/>
      <c r="AD363" s="84"/>
      <c r="AE363" s="85">
        <v>0</v>
      </c>
      <c r="AF363" s="82"/>
      <c r="AG363" s="84"/>
    </row>
    <row r="364" spans="1:33" ht="15.75" thickBot="1" x14ac:dyDescent="0.3">
      <c r="A364" s="68"/>
      <c r="B364" s="68"/>
      <c r="C364" s="107" t="s">
        <v>37</v>
      </c>
      <c r="D364" s="104"/>
      <c r="E364" s="86"/>
      <c r="F364" s="89"/>
      <c r="G364" s="86"/>
      <c r="H364" s="86"/>
      <c r="I364" s="89"/>
      <c r="J364" s="86"/>
      <c r="K364" s="86"/>
      <c r="L364" s="89"/>
      <c r="M364" s="86"/>
      <c r="N364" s="86"/>
      <c r="O364" s="89"/>
      <c r="P364" s="86"/>
      <c r="Q364" s="86"/>
      <c r="R364" s="89"/>
      <c r="S364" s="86"/>
      <c r="T364" s="86"/>
      <c r="U364" s="89"/>
      <c r="V364" s="86"/>
      <c r="W364" s="86"/>
      <c r="X364" s="89"/>
      <c r="Y364" s="86"/>
      <c r="Z364" s="86"/>
      <c r="AA364" s="89"/>
      <c r="AB364" s="86"/>
      <c r="AC364" s="86"/>
      <c r="AD364" s="89"/>
      <c r="AE364" s="86"/>
      <c r="AF364" s="86"/>
      <c r="AG364" s="89"/>
    </row>
    <row r="365" spans="1:33" ht="15.75" thickBot="1" x14ac:dyDescent="0.3">
      <c r="A365" s="68"/>
      <c r="B365" s="68"/>
      <c r="D365" s="87"/>
      <c r="E365" s="87"/>
      <c r="F365" s="90"/>
      <c r="G365" s="87"/>
      <c r="H365" s="87"/>
      <c r="I365" s="90"/>
      <c r="J365" s="87"/>
      <c r="K365" s="87"/>
      <c r="L365" s="90"/>
      <c r="M365" s="87"/>
      <c r="N365" s="87"/>
      <c r="O365" s="90"/>
      <c r="P365" s="87"/>
      <c r="Q365" s="87"/>
      <c r="R365" s="90"/>
      <c r="S365" s="87"/>
      <c r="T365" s="87"/>
      <c r="U365" s="90"/>
      <c r="V365" s="87"/>
      <c r="W365" s="87"/>
      <c r="X365" s="90"/>
      <c r="Y365" s="87"/>
      <c r="Z365" s="87"/>
      <c r="AA365" s="90"/>
      <c r="AB365" s="87"/>
      <c r="AC365" s="87"/>
      <c r="AD365" s="90"/>
      <c r="AE365" s="87"/>
      <c r="AF365" s="87"/>
      <c r="AG365" s="90"/>
    </row>
    <row r="366" spans="1:33" ht="15.75" thickBot="1" x14ac:dyDescent="0.3">
      <c r="A366" s="68"/>
      <c r="B366" s="68"/>
      <c r="D366" s="88"/>
      <c r="E366" s="88"/>
      <c r="F366" s="91"/>
      <c r="G366" s="88"/>
      <c r="H366" s="88"/>
      <c r="I366" s="91"/>
      <c r="J366" s="88"/>
      <c r="K366" s="88"/>
      <c r="L366" s="91"/>
      <c r="M366" s="88"/>
      <c r="N366" s="88"/>
      <c r="O366" s="91"/>
      <c r="P366" s="88"/>
      <c r="Q366" s="88"/>
      <c r="R366" s="91"/>
      <c r="S366" s="88"/>
      <c r="T366" s="88"/>
      <c r="U366" s="91"/>
      <c r="V366" s="88"/>
      <c r="W366" s="88"/>
      <c r="X366" s="91"/>
      <c r="Y366" s="88"/>
      <c r="Z366" s="88"/>
      <c r="AA366" s="91"/>
      <c r="AB366" s="88"/>
      <c r="AC366" s="88"/>
      <c r="AD366" s="91"/>
      <c r="AE366" s="88"/>
      <c r="AF366" s="88"/>
      <c r="AG366" s="91"/>
    </row>
    <row r="368" spans="1:33" ht="15.75" thickBot="1" x14ac:dyDescent="0.3"/>
    <row r="369" spans="1:33" ht="15.75" thickBot="1" x14ac:dyDescent="0.3">
      <c r="A369" s="68" t="s">
        <v>264</v>
      </c>
      <c r="B369" s="68"/>
      <c r="D369" s="52" t="s">
        <v>27</v>
      </c>
      <c r="E369" s="52"/>
      <c r="F369" s="52"/>
      <c r="G369" s="73" t="s">
        <v>28</v>
      </c>
      <c r="H369" s="73"/>
      <c r="I369" s="73"/>
      <c r="J369" s="52" t="s">
        <v>29</v>
      </c>
      <c r="K369" s="52"/>
      <c r="L369" s="52"/>
      <c r="M369" s="73" t="s">
        <v>30</v>
      </c>
      <c r="N369" s="73"/>
      <c r="O369" s="73"/>
      <c r="P369" s="52" t="s">
        <v>31</v>
      </c>
      <c r="Q369" s="52"/>
      <c r="R369" s="52"/>
      <c r="S369" s="73" t="s">
        <v>32</v>
      </c>
      <c r="T369" s="73"/>
      <c r="U369" s="73"/>
      <c r="V369" s="52" t="s">
        <v>33</v>
      </c>
      <c r="W369" s="52"/>
      <c r="X369" s="52"/>
      <c r="Y369" s="73" t="s">
        <v>34</v>
      </c>
      <c r="Z369" s="73"/>
      <c r="AA369" s="73"/>
      <c r="AB369" s="52" t="s">
        <v>35</v>
      </c>
      <c r="AC369" s="52"/>
      <c r="AD369" s="52"/>
      <c r="AE369" s="73" t="s">
        <v>36</v>
      </c>
      <c r="AF369" s="73"/>
      <c r="AG369" s="73"/>
    </row>
    <row r="370" spans="1:33" ht="15.75" thickBot="1" x14ac:dyDescent="0.3">
      <c r="A370" s="68"/>
      <c r="B370" s="68"/>
      <c r="C370" s="105" t="s">
        <v>243</v>
      </c>
      <c r="D370" s="75">
        <v>0</v>
      </c>
      <c r="E370" s="75"/>
      <c r="F370" s="76"/>
      <c r="G370" s="74">
        <v>0</v>
      </c>
      <c r="H370" s="75"/>
      <c r="I370" s="76"/>
      <c r="J370" s="74">
        <v>0</v>
      </c>
      <c r="K370" s="75"/>
      <c r="L370" s="76"/>
      <c r="M370" s="74">
        <v>0</v>
      </c>
      <c r="N370" s="75"/>
      <c r="O370" s="76"/>
      <c r="P370" s="74">
        <v>0</v>
      </c>
      <c r="Q370" s="75"/>
      <c r="R370" s="76"/>
      <c r="S370" s="74">
        <v>0</v>
      </c>
      <c r="T370" s="75"/>
      <c r="U370" s="76"/>
      <c r="V370" s="74">
        <v>0</v>
      </c>
      <c r="W370" s="75"/>
      <c r="X370" s="76"/>
      <c r="Y370" s="74">
        <v>0</v>
      </c>
      <c r="Z370" s="75"/>
      <c r="AA370" s="76"/>
      <c r="AB370" s="74">
        <v>0</v>
      </c>
      <c r="AC370" s="75"/>
      <c r="AD370" s="76"/>
      <c r="AE370" s="74">
        <v>0</v>
      </c>
      <c r="AF370" s="75"/>
      <c r="AG370" s="76"/>
    </row>
    <row r="371" spans="1:33" ht="15.75" thickBot="1" x14ac:dyDescent="0.3">
      <c r="A371" s="68"/>
      <c r="B371" s="68"/>
      <c r="C371" s="106" t="s">
        <v>244</v>
      </c>
      <c r="D371" s="82">
        <v>0</v>
      </c>
      <c r="E371" s="82"/>
      <c r="F371" s="84"/>
      <c r="G371" s="85">
        <v>0</v>
      </c>
      <c r="H371" s="82"/>
      <c r="I371" s="84"/>
      <c r="J371" s="85">
        <v>0</v>
      </c>
      <c r="K371" s="82"/>
      <c r="L371" s="84"/>
      <c r="M371" s="85">
        <v>0</v>
      </c>
      <c r="N371" s="82"/>
      <c r="O371" s="82"/>
      <c r="P371" s="81">
        <v>0</v>
      </c>
      <c r="Q371" s="82"/>
      <c r="R371" s="83"/>
      <c r="S371" s="82">
        <v>0</v>
      </c>
      <c r="T371" s="82"/>
      <c r="U371" s="84"/>
      <c r="V371" s="85">
        <v>0</v>
      </c>
      <c r="W371" s="82"/>
      <c r="X371" s="84"/>
      <c r="Y371" s="85">
        <v>0</v>
      </c>
      <c r="Z371" s="82"/>
      <c r="AA371" s="84"/>
      <c r="AB371" s="85">
        <v>0</v>
      </c>
      <c r="AC371" s="82"/>
      <c r="AD371" s="84"/>
      <c r="AE371" s="85">
        <v>0</v>
      </c>
      <c r="AF371" s="82"/>
      <c r="AG371" s="84"/>
    </row>
    <row r="372" spans="1:33" ht="15.75" thickBot="1" x14ac:dyDescent="0.3">
      <c r="A372" s="68"/>
      <c r="B372" s="68"/>
      <c r="C372" s="107" t="s">
        <v>37</v>
      </c>
      <c r="D372" s="104"/>
      <c r="E372" s="86"/>
      <c r="F372" s="89"/>
      <c r="G372" s="86"/>
      <c r="H372" s="86"/>
      <c r="I372" s="89"/>
      <c r="J372" s="86"/>
      <c r="K372" s="86"/>
      <c r="L372" s="89"/>
      <c r="M372" s="86"/>
      <c r="N372" s="86"/>
      <c r="O372" s="89"/>
      <c r="P372" s="86"/>
      <c r="Q372" s="86"/>
      <c r="R372" s="89"/>
      <c r="S372" s="86"/>
      <c r="T372" s="86"/>
      <c r="U372" s="89"/>
      <c r="V372" s="86"/>
      <c r="W372" s="86"/>
      <c r="X372" s="89"/>
      <c r="Y372" s="86"/>
      <c r="Z372" s="86"/>
      <c r="AA372" s="89"/>
      <c r="AB372" s="86"/>
      <c r="AC372" s="86"/>
      <c r="AD372" s="89"/>
      <c r="AE372" s="86"/>
      <c r="AF372" s="86"/>
      <c r="AG372" s="89"/>
    </row>
    <row r="373" spans="1:33" ht="15.75" thickBot="1" x14ac:dyDescent="0.3">
      <c r="A373" s="68"/>
      <c r="B373" s="68"/>
      <c r="D373" s="87"/>
      <c r="E373" s="87"/>
      <c r="F373" s="90"/>
      <c r="G373" s="87"/>
      <c r="H373" s="87"/>
      <c r="I373" s="90"/>
      <c r="J373" s="87"/>
      <c r="K373" s="87"/>
      <c r="L373" s="90"/>
      <c r="M373" s="87"/>
      <c r="N373" s="87"/>
      <c r="O373" s="90"/>
      <c r="P373" s="87"/>
      <c r="Q373" s="87"/>
      <c r="R373" s="90"/>
      <c r="S373" s="87"/>
      <c r="T373" s="87"/>
      <c r="U373" s="90"/>
      <c r="V373" s="87"/>
      <c r="W373" s="87"/>
      <c r="X373" s="90"/>
      <c r="Y373" s="87"/>
      <c r="Z373" s="87"/>
      <c r="AA373" s="90"/>
      <c r="AB373" s="87"/>
      <c r="AC373" s="87"/>
      <c r="AD373" s="90"/>
      <c r="AE373" s="87"/>
      <c r="AF373" s="87"/>
      <c r="AG373" s="90"/>
    </row>
    <row r="374" spans="1:33" ht="15.75" thickBot="1" x14ac:dyDescent="0.3">
      <c r="A374" s="68"/>
      <c r="B374" s="68"/>
      <c r="D374" s="88"/>
      <c r="E374" s="88"/>
      <c r="F374" s="91"/>
      <c r="G374" s="88"/>
      <c r="H374" s="88"/>
      <c r="I374" s="91"/>
      <c r="J374" s="88"/>
      <c r="K374" s="88"/>
      <c r="L374" s="91"/>
      <c r="M374" s="88"/>
      <c r="N374" s="88"/>
      <c r="O374" s="91"/>
      <c r="P374" s="88"/>
      <c r="Q374" s="88"/>
      <c r="R374" s="91"/>
      <c r="S374" s="88"/>
      <c r="T374" s="88"/>
      <c r="U374" s="91"/>
      <c r="V374" s="88"/>
      <c r="W374" s="88"/>
      <c r="X374" s="91"/>
      <c r="Y374" s="88"/>
      <c r="Z374" s="88"/>
      <c r="AA374" s="91"/>
      <c r="AB374" s="88"/>
      <c r="AC374" s="88"/>
      <c r="AD374" s="91"/>
      <c r="AE374" s="88"/>
      <c r="AF374" s="88"/>
      <c r="AG374" s="91"/>
    </row>
    <row r="376" spans="1:33" ht="15.75" thickBot="1" x14ac:dyDescent="0.3"/>
    <row r="377" spans="1:33" ht="15.75" thickBot="1" x14ac:dyDescent="0.3">
      <c r="A377" s="68" t="s">
        <v>265</v>
      </c>
      <c r="B377" s="68"/>
      <c r="D377" s="52" t="s">
        <v>27</v>
      </c>
      <c r="E377" s="52"/>
      <c r="F377" s="52"/>
      <c r="G377" s="73" t="s">
        <v>28</v>
      </c>
      <c r="H377" s="73"/>
      <c r="I377" s="73"/>
      <c r="J377" s="52" t="s">
        <v>29</v>
      </c>
      <c r="K377" s="52"/>
      <c r="L377" s="52"/>
      <c r="M377" s="73" t="s">
        <v>30</v>
      </c>
      <c r="N377" s="73"/>
      <c r="O377" s="73"/>
      <c r="P377" s="52" t="s">
        <v>31</v>
      </c>
      <c r="Q377" s="52"/>
      <c r="R377" s="52"/>
      <c r="S377" s="73" t="s">
        <v>32</v>
      </c>
      <c r="T377" s="73"/>
      <c r="U377" s="73"/>
      <c r="V377" s="52" t="s">
        <v>33</v>
      </c>
      <c r="W377" s="52"/>
      <c r="X377" s="52"/>
      <c r="Y377" s="73" t="s">
        <v>34</v>
      </c>
      <c r="Z377" s="73"/>
      <c r="AA377" s="73"/>
      <c r="AB377" s="52" t="s">
        <v>35</v>
      </c>
      <c r="AC377" s="52"/>
      <c r="AD377" s="52"/>
      <c r="AE377" s="73" t="s">
        <v>36</v>
      </c>
      <c r="AF377" s="73"/>
      <c r="AG377" s="73"/>
    </row>
    <row r="378" spans="1:33" ht="15.75" thickBot="1" x14ac:dyDescent="0.3">
      <c r="A378" s="68"/>
      <c r="B378" s="68"/>
      <c r="C378" s="105" t="s">
        <v>243</v>
      </c>
      <c r="D378" s="75">
        <v>0</v>
      </c>
      <c r="E378" s="75"/>
      <c r="F378" s="76"/>
      <c r="G378" s="74">
        <v>0</v>
      </c>
      <c r="H378" s="75"/>
      <c r="I378" s="76"/>
      <c r="J378" s="74">
        <v>0</v>
      </c>
      <c r="K378" s="75"/>
      <c r="L378" s="76"/>
      <c r="M378" s="74">
        <v>0</v>
      </c>
      <c r="N378" s="75"/>
      <c r="O378" s="76"/>
      <c r="P378" s="74">
        <v>0</v>
      </c>
      <c r="Q378" s="75"/>
      <c r="R378" s="76"/>
      <c r="S378" s="74">
        <v>0</v>
      </c>
      <c r="T378" s="75"/>
      <c r="U378" s="76"/>
      <c r="V378" s="74">
        <v>0</v>
      </c>
      <c r="W378" s="75"/>
      <c r="X378" s="76"/>
      <c r="Y378" s="74">
        <v>0</v>
      </c>
      <c r="Z378" s="75"/>
      <c r="AA378" s="76"/>
      <c r="AB378" s="74">
        <v>0</v>
      </c>
      <c r="AC378" s="75"/>
      <c r="AD378" s="76"/>
      <c r="AE378" s="74">
        <v>0</v>
      </c>
      <c r="AF378" s="75"/>
      <c r="AG378" s="76"/>
    </row>
    <row r="379" spans="1:33" ht="15.75" thickBot="1" x14ac:dyDescent="0.3">
      <c r="A379" s="68"/>
      <c r="B379" s="68"/>
      <c r="C379" s="106" t="s">
        <v>244</v>
      </c>
      <c r="D379" s="82">
        <v>0</v>
      </c>
      <c r="E379" s="82"/>
      <c r="F379" s="84"/>
      <c r="G379" s="85">
        <v>0</v>
      </c>
      <c r="H379" s="82"/>
      <c r="I379" s="84"/>
      <c r="J379" s="85">
        <v>0</v>
      </c>
      <c r="K379" s="82"/>
      <c r="L379" s="84"/>
      <c r="M379" s="85">
        <v>0</v>
      </c>
      <c r="N379" s="82"/>
      <c r="O379" s="82"/>
      <c r="P379" s="81">
        <v>0</v>
      </c>
      <c r="Q379" s="82"/>
      <c r="R379" s="83"/>
      <c r="S379" s="82">
        <v>0</v>
      </c>
      <c r="T379" s="82"/>
      <c r="U379" s="84"/>
      <c r="V379" s="85">
        <v>0</v>
      </c>
      <c r="W379" s="82"/>
      <c r="X379" s="84"/>
      <c r="Y379" s="85">
        <v>0</v>
      </c>
      <c r="Z379" s="82"/>
      <c r="AA379" s="84"/>
      <c r="AB379" s="85">
        <v>0</v>
      </c>
      <c r="AC379" s="82"/>
      <c r="AD379" s="84"/>
      <c r="AE379" s="85">
        <v>0</v>
      </c>
      <c r="AF379" s="82"/>
      <c r="AG379" s="84"/>
    </row>
    <row r="380" spans="1:33" ht="15.75" thickBot="1" x14ac:dyDescent="0.3">
      <c r="A380" s="68"/>
      <c r="B380" s="68"/>
      <c r="C380" s="107" t="s">
        <v>37</v>
      </c>
      <c r="D380" s="104"/>
      <c r="E380" s="86"/>
      <c r="F380" s="89"/>
      <c r="G380" s="86"/>
      <c r="H380" s="86"/>
      <c r="I380" s="89"/>
      <c r="J380" s="86"/>
      <c r="K380" s="86"/>
      <c r="L380" s="89"/>
      <c r="M380" s="86"/>
      <c r="N380" s="86"/>
      <c r="O380" s="89"/>
      <c r="P380" s="86"/>
      <c r="Q380" s="86"/>
      <c r="R380" s="89"/>
      <c r="S380" s="86"/>
      <c r="T380" s="86"/>
      <c r="U380" s="89"/>
      <c r="V380" s="86"/>
      <c r="W380" s="86"/>
      <c r="X380" s="89"/>
      <c r="Y380" s="86"/>
      <c r="Z380" s="86"/>
      <c r="AA380" s="89"/>
      <c r="AB380" s="86"/>
      <c r="AC380" s="86"/>
      <c r="AD380" s="89"/>
      <c r="AE380" s="86"/>
      <c r="AF380" s="86"/>
      <c r="AG380" s="89"/>
    </row>
    <row r="381" spans="1:33" ht="15.75" thickBot="1" x14ac:dyDescent="0.3">
      <c r="A381" s="68"/>
      <c r="B381" s="68"/>
      <c r="D381" s="87"/>
      <c r="E381" s="87"/>
      <c r="F381" s="90"/>
      <c r="G381" s="87"/>
      <c r="H381" s="87"/>
      <c r="I381" s="90"/>
      <c r="J381" s="87"/>
      <c r="K381" s="87"/>
      <c r="L381" s="90"/>
      <c r="M381" s="87"/>
      <c r="N381" s="87"/>
      <c r="O381" s="90"/>
      <c r="P381" s="87"/>
      <c r="Q381" s="87"/>
      <c r="R381" s="90"/>
      <c r="S381" s="87"/>
      <c r="T381" s="87"/>
      <c r="U381" s="90"/>
      <c r="V381" s="87"/>
      <c r="W381" s="87"/>
      <c r="X381" s="90"/>
      <c r="Y381" s="87"/>
      <c r="Z381" s="87"/>
      <c r="AA381" s="90"/>
      <c r="AB381" s="87"/>
      <c r="AC381" s="87"/>
      <c r="AD381" s="90"/>
      <c r="AE381" s="87"/>
      <c r="AF381" s="87"/>
      <c r="AG381" s="90"/>
    </row>
    <row r="382" spans="1:33" ht="15.75" thickBot="1" x14ac:dyDescent="0.3">
      <c r="A382" s="68"/>
      <c r="B382" s="68"/>
      <c r="D382" s="88"/>
      <c r="E382" s="88"/>
      <c r="F382" s="91"/>
      <c r="G382" s="88"/>
      <c r="H382" s="88"/>
      <c r="I382" s="91"/>
      <c r="J382" s="88"/>
      <c r="K382" s="88"/>
      <c r="L382" s="91"/>
      <c r="M382" s="88"/>
      <c r="N382" s="88"/>
      <c r="O382" s="91"/>
      <c r="P382" s="88"/>
      <c r="Q382" s="88"/>
      <c r="R382" s="91"/>
      <c r="S382" s="88"/>
      <c r="T382" s="88"/>
      <c r="U382" s="91"/>
      <c r="V382" s="88"/>
      <c r="W382" s="88"/>
      <c r="X382" s="91"/>
      <c r="Y382" s="88"/>
      <c r="Z382" s="88"/>
      <c r="AA382" s="91"/>
      <c r="AB382" s="88"/>
      <c r="AC382" s="88"/>
      <c r="AD382" s="91"/>
      <c r="AE382" s="88"/>
      <c r="AF382" s="88"/>
      <c r="AG382" s="91"/>
    </row>
    <row r="384" spans="1:33" ht="15.75" thickBot="1" x14ac:dyDescent="0.3"/>
    <row r="385" spans="1:33" ht="15.75" thickBot="1" x14ac:dyDescent="0.3">
      <c r="A385" s="68" t="s">
        <v>105</v>
      </c>
      <c r="B385" s="68"/>
      <c r="D385" s="52" t="s">
        <v>27</v>
      </c>
      <c r="E385" s="52"/>
      <c r="F385" s="52"/>
      <c r="G385" s="73" t="s">
        <v>28</v>
      </c>
      <c r="H385" s="73"/>
      <c r="I385" s="73"/>
      <c r="J385" s="52" t="s">
        <v>29</v>
      </c>
      <c r="K385" s="52"/>
      <c r="L385" s="52"/>
      <c r="M385" s="73" t="s">
        <v>30</v>
      </c>
      <c r="N385" s="73"/>
      <c r="O385" s="73"/>
      <c r="P385" s="52" t="s">
        <v>31</v>
      </c>
      <c r="Q385" s="52"/>
      <c r="R385" s="52"/>
      <c r="S385" s="73" t="s">
        <v>32</v>
      </c>
      <c r="T385" s="73"/>
      <c r="U385" s="73"/>
      <c r="V385" s="52" t="s">
        <v>33</v>
      </c>
      <c r="W385" s="52"/>
      <c r="X385" s="52"/>
      <c r="Y385" s="73" t="s">
        <v>34</v>
      </c>
      <c r="Z385" s="73"/>
      <c r="AA385" s="73"/>
      <c r="AB385" s="52" t="s">
        <v>35</v>
      </c>
      <c r="AC385" s="52"/>
      <c r="AD385" s="52"/>
      <c r="AE385" s="73" t="s">
        <v>36</v>
      </c>
      <c r="AF385" s="73"/>
      <c r="AG385" s="73"/>
    </row>
    <row r="386" spans="1:33" ht="15.75" thickBot="1" x14ac:dyDescent="0.3">
      <c r="A386" s="68"/>
      <c r="B386" s="68"/>
      <c r="C386" s="105" t="s">
        <v>243</v>
      </c>
      <c r="D386" s="75">
        <v>0</v>
      </c>
      <c r="E386" s="75"/>
      <c r="F386" s="76"/>
      <c r="G386" s="74">
        <v>0</v>
      </c>
      <c r="H386" s="75"/>
      <c r="I386" s="76"/>
      <c r="J386" s="74">
        <v>0</v>
      </c>
      <c r="K386" s="75"/>
      <c r="L386" s="76"/>
      <c r="M386" s="74">
        <v>0</v>
      </c>
      <c r="N386" s="75"/>
      <c r="O386" s="76"/>
      <c r="P386" s="74">
        <v>0</v>
      </c>
      <c r="Q386" s="75"/>
      <c r="R386" s="76"/>
      <c r="S386" s="74">
        <v>0</v>
      </c>
      <c r="T386" s="75"/>
      <c r="U386" s="76"/>
      <c r="V386" s="74">
        <v>0</v>
      </c>
      <c r="W386" s="75"/>
      <c r="X386" s="76"/>
      <c r="Y386" s="74">
        <v>0</v>
      </c>
      <c r="Z386" s="75"/>
      <c r="AA386" s="76"/>
      <c r="AB386" s="74">
        <v>0</v>
      </c>
      <c r="AC386" s="75"/>
      <c r="AD386" s="76"/>
      <c r="AE386" s="74">
        <v>0</v>
      </c>
      <c r="AF386" s="75"/>
      <c r="AG386" s="76"/>
    </row>
    <row r="387" spans="1:33" ht="15.75" thickBot="1" x14ac:dyDescent="0.3">
      <c r="A387" s="68"/>
      <c r="B387" s="68"/>
      <c r="C387" s="106" t="s">
        <v>244</v>
      </c>
      <c r="D387" s="82">
        <v>0</v>
      </c>
      <c r="E387" s="82"/>
      <c r="F387" s="84"/>
      <c r="G387" s="85">
        <v>0</v>
      </c>
      <c r="H387" s="82"/>
      <c r="I387" s="84"/>
      <c r="J387" s="85">
        <v>0</v>
      </c>
      <c r="K387" s="82"/>
      <c r="L387" s="84"/>
      <c r="M387" s="85">
        <v>0</v>
      </c>
      <c r="N387" s="82"/>
      <c r="O387" s="82"/>
      <c r="P387" s="81">
        <v>0</v>
      </c>
      <c r="Q387" s="82"/>
      <c r="R387" s="83"/>
      <c r="S387" s="82">
        <v>0</v>
      </c>
      <c r="T387" s="82"/>
      <c r="U387" s="84"/>
      <c r="V387" s="85">
        <v>0</v>
      </c>
      <c r="W387" s="82"/>
      <c r="X387" s="84"/>
      <c r="Y387" s="85">
        <v>0</v>
      </c>
      <c r="Z387" s="82"/>
      <c r="AA387" s="84"/>
      <c r="AB387" s="85">
        <v>0</v>
      </c>
      <c r="AC387" s="82"/>
      <c r="AD387" s="84"/>
      <c r="AE387" s="85">
        <v>0</v>
      </c>
      <c r="AF387" s="82"/>
      <c r="AG387" s="84"/>
    </row>
    <row r="388" spans="1:33" ht="15.75" thickBot="1" x14ac:dyDescent="0.3">
      <c r="A388" s="68"/>
      <c r="B388" s="68"/>
      <c r="C388" s="107" t="s">
        <v>37</v>
      </c>
      <c r="D388" s="104"/>
      <c r="E388" s="86"/>
      <c r="F388" s="89"/>
      <c r="G388" s="86"/>
      <c r="H388" s="86"/>
      <c r="I388" s="89"/>
      <c r="J388" s="86"/>
      <c r="K388" s="86"/>
      <c r="L388" s="89"/>
      <c r="M388" s="86"/>
      <c r="N388" s="86"/>
      <c r="O388" s="89"/>
      <c r="P388" s="86"/>
      <c r="Q388" s="86"/>
      <c r="R388" s="89"/>
      <c r="S388" s="86"/>
      <c r="T388" s="86"/>
      <c r="U388" s="89"/>
      <c r="V388" s="86"/>
      <c r="W388" s="86"/>
      <c r="X388" s="89"/>
      <c r="Y388" s="86"/>
      <c r="Z388" s="86"/>
      <c r="AA388" s="89"/>
      <c r="AB388" s="86"/>
      <c r="AC388" s="86"/>
      <c r="AD388" s="89"/>
      <c r="AE388" s="86"/>
      <c r="AF388" s="86"/>
      <c r="AG388" s="89"/>
    </row>
    <row r="389" spans="1:33" ht="15.75" thickBot="1" x14ac:dyDescent="0.3">
      <c r="A389" s="68"/>
      <c r="B389" s="68"/>
      <c r="D389" s="87"/>
      <c r="E389" s="87"/>
      <c r="F389" s="90"/>
      <c r="G389" s="87"/>
      <c r="H389" s="87"/>
      <c r="I389" s="90"/>
      <c r="J389" s="87"/>
      <c r="K389" s="87"/>
      <c r="L389" s="90"/>
      <c r="M389" s="87"/>
      <c r="N389" s="87"/>
      <c r="O389" s="90"/>
      <c r="P389" s="87"/>
      <c r="Q389" s="87"/>
      <c r="R389" s="90"/>
      <c r="S389" s="87"/>
      <c r="T389" s="87"/>
      <c r="U389" s="90"/>
      <c r="V389" s="87"/>
      <c r="W389" s="87"/>
      <c r="X389" s="90"/>
      <c r="Y389" s="87"/>
      <c r="Z389" s="87"/>
      <c r="AA389" s="90"/>
      <c r="AB389" s="87"/>
      <c r="AC389" s="87"/>
      <c r="AD389" s="90"/>
      <c r="AE389" s="87"/>
      <c r="AF389" s="87"/>
      <c r="AG389" s="90"/>
    </row>
    <row r="390" spans="1:33" ht="15.75" thickBot="1" x14ac:dyDescent="0.3">
      <c r="A390" s="68"/>
      <c r="B390" s="68"/>
      <c r="D390" s="88"/>
      <c r="E390" s="88"/>
      <c r="F390" s="91"/>
      <c r="G390" s="88"/>
      <c r="H390" s="88"/>
      <c r="I390" s="91"/>
      <c r="J390" s="88"/>
      <c r="K390" s="88"/>
      <c r="L390" s="91"/>
      <c r="M390" s="88"/>
      <c r="N390" s="88"/>
      <c r="O390" s="91"/>
      <c r="P390" s="88"/>
      <c r="Q390" s="88"/>
      <c r="R390" s="91"/>
      <c r="S390" s="88"/>
      <c r="T390" s="88"/>
      <c r="U390" s="91"/>
      <c r="V390" s="88"/>
      <c r="W390" s="88"/>
      <c r="X390" s="91"/>
      <c r="Y390" s="88"/>
      <c r="Z390" s="88"/>
      <c r="AA390" s="91"/>
      <c r="AB390" s="88"/>
      <c r="AC390" s="88"/>
      <c r="AD390" s="91"/>
      <c r="AE390" s="88"/>
      <c r="AF390" s="88"/>
      <c r="AG390" s="91"/>
    </row>
    <row r="392" spans="1:33" ht="15.75" thickBot="1" x14ac:dyDescent="0.3"/>
    <row r="393" spans="1:33" ht="15.75" thickBot="1" x14ac:dyDescent="0.3">
      <c r="A393" s="68" t="s">
        <v>106</v>
      </c>
      <c r="B393" s="68"/>
      <c r="D393" s="52" t="s">
        <v>27</v>
      </c>
      <c r="E393" s="52"/>
      <c r="F393" s="52"/>
      <c r="G393" s="73" t="s">
        <v>28</v>
      </c>
      <c r="H393" s="73"/>
      <c r="I393" s="73"/>
      <c r="J393" s="52" t="s">
        <v>29</v>
      </c>
      <c r="K393" s="52"/>
      <c r="L393" s="52"/>
      <c r="M393" s="73" t="s">
        <v>30</v>
      </c>
      <c r="N393" s="73"/>
      <c r="O393" s="73"/>
      <c r="P393" s="52" t="s">
        <v>31</v>
      </c>
      <c r="Q393" s="52"/>
      <c r="R393" s="52"/>
      <c r="S393" s="73" t="s">
        <v>32</v>
      </c>
      <c r="T393" s="73"/>
      <c r="U393" s="73"/>
      <c r="V393" s="52" t="s">
        <v>33</v>
      </c>
      <c r="W393" s="52"/>
      <c r="X393" s="52"/>
      <c r="Y393" s="73" t="s">
        <v>34</v>
      </c>
      <c r="Z393" s="73"/>
      <c r="AA393" s="73"/>
      <c r="AB393" s="52" t="s">
        <v>35</v>
      </c>
      <c r="AC393" s="52"/>
      <c r="AD393" s="52"/>
      <c r="AE393" s="73" t="s">
        <v>36</v>
      </c>
      <c r="AF393" s="73"/>
      <c r="AG393" s="73"/>
    </row>
    <row r="394" spans="1:33" ht="15.75" thickBot="1" x14ac:dyDescent="0.3">
      <c r="A394" s="68"/>
      <c r="B394" s="68"/>
      <c r="C394" s="105" t="s">
        <v>243</v>
      </c>
      <c r="D394" s="75">
        <v>0</v>
      </c>
      <c r="E394" s="75"/>
      <c r="F394" s="76"/>
      <c r="G394" s="74">
        <v>0</v>
      </c>
      <c r="H394" s="75"/>
      <c r="I394" s="76"/>
      <c r="J394" s="74">
        <v>0</v>
      </c>
      <c r="K394" s="75"/>
      <c r="L394" s="76"/>
      <c r="M394" s="74">
        <v>0</v>
      </c>
      <c r="N394" s="75"/>
      <c r="O394" s="76"/>
      <c r="P394" s="74">
        <v>0</v>
      </c>
      <c r="Q394" s="75"/>
      <c r="R394" s="76"/>
      <c r="S394" s="74">
        <v>0</v>
      </c>
      <c r="T394" s="75"/>
      <c r="U394" s="76"/>
      <c r="V394" s="74">
        <v>0</v>
      </c>
      <c r="W394" s="75"/>
      <c r="X394" s="76"/>
      <c r="Y394" s="74">
        <v>0</v>
      </c>
      <c r="Z394" s="75"/>
      <c r="AA394" s="76"/>
      <c r="AB394" s="74">
        <v>0</v>
      </c>
      <c r="AC394" s="75"/>
      <c r="AD394" s="76"/>
      <c r="AE394" s="74">
        <v>0</v>
      </c>
      <c r="AF394" s="75"/>
      <c r="AG394" s="76"/>
    </row>
    <row r="395" spans="1:33" ht="15.75" thickBot="1" x14ac:dyDescent="0.3">
      <c r="A395" s="68"/>
      <c r="B395" s="68"/>
      <c r="C395" s="106" t="s">
        <v>244</v>
      </c>
      <c r="D395" s="82">
        <v>0</v>
      </c>
      <c r="E395" s="82"/>
      <c r="F395" s="84"/>
      <c r="G395" s="85">
        <v>0</v>
      </c>
      <c r="H395" s="82"/>
      <c r="I395" s="84"/>
      <c r="J395" s="85">
        <v>0</v>
      </c>
      <c r="K395" s="82"/>
      <c r="L395" s="84"/>
      <c r="M395" s="85">
        <v>0</v>
      </c>
      <c r="N395" s="82"/>
      <c r="O395" s="82"/>
      <c r="P395" s="81">
        <v>0</v>
      </c>
      <c r="Q395" s="82"/>
      <c r="R395" s="83"/>
      <c r="S395" s="82">
        <v>0</v>
      </c>
      <c r="T395" s="82"/>
      <c r="U395" s="84"/>
      <c r="V395" s="85">
        <v>0</v>
      </c>
      <c r="W395" s="82"/>
      <c r="X395" s="84"/>
      <c r="Y395" s="85">
        <v>0</v>
      </c>
      <c r="Z395" s="82"/>
      <c r="AA395" s="84"/>
      <c r="AB395" s="85">
        <v>0</v>
      </c>
      <c r="AC395" s="82"/>
      <c r="AD395" s="84"/>
      <c r="AE395" s="85">
        <v>0</v>
      </c>
      <c r="AF395" s="82"/>
      <c r="AG395" s="84"/>
    </row>
    <row r="396" spans="1:33" ht="15.75" thickBot="1" x14ac:dyDescent="0.3">
      <c r="A396" s="68"/>
      <c r="B396" s="68"/>
      <c r="C396" s="107" t="s">
        <v>37</v>
      </c>
      <c r="D396" s="104"/>
      <c r="E396" s="86"/>
      <c r="F396" s="89"/>
      <c r="G396" s="86"/>
      <c r="H396" s="86"/>
      <c r="I396" s="89"/>
      <c r="J396" s="86"/>
      <c r="K396" s="86"/>
      <c r="L396" s="89"/>
      <c r="M396" s="86"/>
      <c r="N396" s="86"/>
      <c r="O396" s="89"/>
      <c r="P396" s="86"/>
      <c r="Q396" s="86"/>
      <c r="R396" s="89"/>
      <c r="S396" s="86"/>
      <c r="T396" s="86"/>
      <c r="U396" s="89"/>
      <c r="V396" s="86"/>
      <c r="W396" s="86"/>
      <c r="X396" s="89"/>
      <c r="Y396" s="86"/>
      <c r="Z396" s="86"/>
      <c r="AA396" s="89"/>
      <c r="AB396" s="86"/>
      <c r="AC396" s="86"/>
      <c r="AD396" s="89"/>
      <c r="AE396" s="86"/>
      <c r="AF396" s="86"/>
      <c r="AG396" s="89"/>
    </row>
    <row r="397" spans="1:33" ht="15.75" thickBot="1" x14ac:dyDescent="0.3">
      <c r="A397" s="68"/>
      <c r="B397" s="68"/>
      <c r="D397" s="87"/>
      <c r="E397" s="87"/>
      <c r="F397" s="90"/>
      <c r="G397" s="87"/>
      <c r="H397" s="87"/>
      <c r="I397" s="90"/>
      <c r="J397" s="87"/>
      <c r="K397" s="87"/>
      <c r="L397" s="90"/>
      <c r="M397" s="87"/>
      <c r="N397" s="87"/>
      <c r="O397" s="90"/>
      <c r="P397" s="87"/>
      <c r="Q397" s="87"/>
      <c r="R397" s="90"/>
      <c r="S397" s="87"/>
      <c r="T397" s="87"/>
      <c r="U397" s="90"/>
      <c r="V397" s="87"/>
      <c r="W397" s="87"/>
      <c r="X397" s="90"/>
      <c r="Y397" s="87"/>
      <c r="Z397" s="87"/>
      <c r="AA397" s="90"/>
      <c r="AB397" s="87"/>
      <c r="AC397" s="87"/>
      <c r="AD397" s="90"/>
      <c r="AE397" s="87"/>
      <c r="AF397" s="87"/>
      <c r="AG397" s="90"/>
    </row>
    <row r="398" spans="1:33" ht="15.75" thickBot="1" x14ac:dyDescent="0.3">
      <c r="A398" s="68"/>
      <c r="B398" s="68"/>
      <c r="D398" s="88"/>
      <c r="E398" s="88"/>
      <c r="F398" s="91"/>
      <c r="G398" s="88"/>
      <c r="H398" s="88"/>
      <c r="I398" s="91"/>
      <c r="J398" s="88"/>
      <c r="K398" s="88"/>
      <c r="L398" s="91"/>
      <c r="M398" s="88"/>
      <c r="N398" s="88"/>
      <c r="O398" s="91"/>
      <c r="P398" s="88"/>
      <c r="Q398" s="88"/>
      <c r="R398" s="91"/>
      <c r="S398" s="88"/>
      <c r="T398" s="88"/>
      <c r="U398" s="91"/>
      <c r="V398" s="88"/>
      <c r="W398" s="88"/>
      <c r="X398" s="91"/>
      <c r="Y398" s="88"/>
      <c r="Z398" s="88"/>
      <c r="AA398" s="91"/>
      <c r="AB398" s="88"/>
      <c r="AC398" s="88"/>
      <c r="AD398" s="91"/>
      <c r="AE398" s="88"/>
      <c r="AF398" s="88"/>
      <c r="AG398" s="91"/>
    </row>
    <row r="400" spans="1:33" ht="15.75" thickBot="1" x14ac:dyDescent="0.3"/>
    <row r="401" spans="1:33" ht="15.75" thickBot="1" x14ac:dyDescent="0.3">
      <c r="A401" s="68" t="s">
        <v>266</v>
      </c>
      <c r="B401" s="68"/>
      <c r="D401" s="52" t="s">
        <v>27</v>
      </c>
      <c r="E401" s="52"/>
      <c r="F401" s="52"/>
      <c r="G401" s="73" t="s">
        <v>28</v>
      </c>
      <c r="H401" s="73"/>
      <c r="I401" s="73"/>
      <c r="J401" s="52" t="s">
        <v>29</v>
      </c>
      <c r="K401" s="52"/>
      <c r="L401" s="52"/>
      <c r="M401" s="73" t="s">
        <v>30</v>
      </c>
      <c r="N401" s="73"/>
      <c r="O401" s="73"/>
      <c r="P401" s="52" t="s">
        <v>31</v>
      </c>
      <c r="Q401" s="52"/>
      <c r="R401" s="52"/>
      <c r="S401" s="73" t="s">
        <v>32</v>
      </c>
      <c r="T401" s="73"/>
      <c r="U401" s="73"/>
      <c r="V401" s="52" t="s">
        <v>33</v>
      </c>
      <c r="W401" s="52"/>
      <c r="X401" s="52"/>
      <c r="Y401" s="73" t="s">
        <v>34</v>
      </c>
      <c r="Z401" s="73"/>
      <c r="AA401" s="73"/>
      <c r="AB401" s="52" t="s">
        <v>35</v>
      </c>
      <c r="AC401" s="52"/>
      <c r="AD401" s="52"/>
      <c r="AE401" s="73" t="s">
        <v>36</v>
      </c>
      <c r="AF401" s="73"/>
      <c r="AG401" s="73"/>
    </row>
    <row r="402" spans="1:33" ht="15.75" thickBot="1" x14ac:dyDescent="0.3">
      <c r="A402" s="68"/>
      <c r="B402" s="68"/>
      <c r="C402" s="105" t="s">
        <v>243</v>
      </c>
      <c r="D402" s="75">
        <v>0</v>
      </c>
      <c r="E402" s="75"/>
      <c r="F402" s="76"/>
      <c r="G402" s="74">
        <v>0</v>
      </c>
      <c r="H402" s="75"/>
      <c r="I402" s="76"/>
      <c r="J402" s="74">
        <v>0</v>
      </c>
      <c r="K402" s="75"/>
      <c r="L402" s="76"/>
      <c r="M402" s="74">
        <v>0</v>
      </c>
      <c r="N402" s="75"/>
      <c r="O402" s="76"/>
      <c r="P402" s="74">
        <v>0</v>
      </c>
      <c r="Q402" s="75"/>
      <c r="R402" s="76"/>
      <c r="S402" s="74">
        <v>0</v>
      </c>
      <c r="T402" s="75"/>
      <c r="U402" s="76"/>
      <c r="V402" s="74">
        <v>0</v>
      </c>
      <c r="W402" s="75"/>
      <c r="X402" s="76"/>
      <c r="Y402" s="74">
        <v>0</v>
      </c>
      <c r="Z402" s="75"/>
      <c r="AA402" s="76"/>
      <c r="AB402" s="74">
        <v>0</v>
      </c>
      <c r="AC402" s="75"/>
      <c r="AD402" s="76"/>
      <c r="AE402" s="74">
        <v>0</v>
      </c>
      <c r="AF402" s="75"/>
      <c r="AG402" s="76"/>
    </row>
    <row r="403" spans="1:33" ht="15.75" thickBot="1" x14ac:dyDescent="0.3">
      <c r="A403" s="68"/>
      <c r="B403" s="68"/>
      <c r="C403" s="106" t="s">
        <v>244</v>
      </c>
      <c r="D403" s="82">
        <v>0</v>
      </c>
      <c r="E403" s="82"/>
      <c r="F403" s="84"/>
      <c r="G403" s="85">
        <v>0</v>
      </c>
      <c r="H403" s="82"/>
      <c r="I403" s="84"/>
      <c r="J403" s="85">
        <v>0</v>
      </c>
      <c r="K403" s="82"/>
      <c r="L403" s="84"/>
      <c r="M403" s="85">
        <v>0</v>
      </c>
      <c r="N403" s="82"/>
      <c r="O403" s="82"/>
      <c r="P403" s="81">
        <v>0</v>
      </c>
      <c r="Q403" s="82"/>
      <c r="R403" s="83"/>
      <c r="S403" s="82">
        <v>0</v>
      </c>
      <c r="T403" s="82"/>
      <c r="U403" s="84"/>
      <c r="V403" s="85">
        <v>0</v>
      </c>
      <c r="W403" s="82"/>
      <c r="X403" s="84"/>
      <c r="Y403" s="85">
        <v>0</v>
      </c>
      <c r="Z403" s="82"/>
      <c r="AA403" s="84"/>
      <c r="AB403" s="85">
        <v>0</v>
      </c>
      <c r="AC403" s="82"/>
      <c r="AD403" s="84"/>
      <c r="AE403" s="85">
        <v>0</v>
      </c>
      <c r="AF403" s="82"/>
      <c r="AG403" s="84"/>
    </row>
    <row r="404" spans="1:33" ht="15.75" thickBot="1" x14ac:dyDescent="0.3">
      <c r="A404" s="68"/>
      <c r="B404" s="68"/>
      <c r="C404" s="107" t="s">
        <v>37</v>
      </c>
      <c r="D404" s="104"/>
      <c r="E404" s="86"/>
      <c r="F404" s="89"/>
      <c r="G404" s="86"/>
      <c r="H404" s="86"/>
      <c r="I404" s="89"/>
      <c r="J404" s="86"/>
      <c r="K404" s="86"/>
      <c r="L404" s="89"/>
      <c r="M404" s="86"/>
      <c r="N404" s="86"/>
      <c r="O404" s="89"/>
      <c r="P404" s="86"/>
      <c r="Q404" s="86"/>
      <c r="R404" s="89"/>
      <c r="S404" s="86"/>
      <c r="T404" s="86"/>
      <c r="U404" s="89"/>
      <c r="V404" s="86"/>
      <c r="W404" s="86"/>
      <c r="X404" s="89"/>
      <c r="Y404" s="86"/>
      <c r="Z404" s="86"/>
      <c r="AA404" s="89"/>
      <c r="AB404" s="86"/>
      <c r="AC404" s="86"/>
      <c r="AD404" s="89"/>
      <c r="AE404" s="86"/>
      <c r="AF404" s="86"/>
      <c r="AG404" s="89"/>
    </row>
    <row r="405" spans="1:33" ht="15.75" thickBot="1" x14ac:dyDescent="0.3">
      <c r="A405" s="68"/>
      <c r="B405" s="68"/>
      <c r="D405" s="87"/>
      <c r="E405" s="87"/>
      <c r="F405" s="90"/>
      <c r="G405" s="87"/>
      <c r="H405" s="87"/>
      <c r="I405" s="90"/>
      <c r="J405" s="87"/>
      <c r="K405" s="87"/>
      <c r="L405" s="90"/>
      <c r="M405" s="87"/>
      <c r="N405" s="87"/>
      <c r="O405" s="90"/>
      <c r="P405" s="87"/>
      <c r="Q405" s="87"/>
      <c r="R405" s="90"/>
      <c r="S405" s="87"/>
      <c r="T405" s="87"/>
      <c r="U405" s="90"/>
      <c r="V405" s="87"/>
      <c r="W405" s="87"/>
      <c r="X405" s="90"/>
      <c r="Y405" s="87"/>
      <c r="Z405" s="87"/>
      <c r="AA405" s="90"/>
      <c r="AB405" s="87"/>
      <c r="AC405" s="87"/>
      <c r="AD405" s="90"/>
      <c r="AE405" s="87"/>
      <c r="AF405" s="87"/>
      <c r="AG405" s="90"/>
    </row>
    <row r="406" spans="1:33" ht="15.75" thickBot="1" x14ac:dyDescent="0.3">
      <c r="A406" s="68"/>
      <c r="B406" s="68"/>
      <c r="D406" s="88"/>
      <c r="E406" s="88"/>
      <c r="F406" s="91"/>
      <c r="G406" s="88"/>
      <c r="H406" s="88"/>
      <c r="I406" s="91"/>
      <c r="J406" s="88"/>
      <c r="K406" s="88"/>
      <c r="L406" s="91"/>
      <c r="M406" s="88"/>
      <c r="N406" s="88"/>
      <c r="O406" s="91"/>
      <c r="P406" s="88"/>
      <c r="Q406" s="88"/>
      <c r="R406" s="91"/>
      <c r="S406" s="88"/>
      <c r="T406" s="88"/>
      <c r="U406" s="91"/>
      <c r="V406" s="88"/>
      <c r="W406" s="88"/>
      <c r="X406" s="91"/>
      <c r="Y406" s="88"/>
      <c r="Z406" s="88"/>
      <c r="AA406" s="91"/>
      <c r="AB406" s="88"/>
      <c r="AC406" s="88"/>
      <c r="AD406" s="91"/>
      <c r="AE406" s="88"/>
      <c r="AF406" s="88"/>
      <c r="AG406" s="91"/>
    </row>
    <row r="408" spans="1:33" ht="15.75" thickBot="1" x14ac:dyDescent="0.3"/>
    <row r="409" spans="1:33" ht="15.75" thickBot="1" x14ac:dyDescent="0.3">
      <c r="A409" s="68" t="s">
        <v>267</v>
      </c>
      <c r="B409" s="68"/>
      <c r="D409" s="52" t="s">
        <v>27</v>
      </c>
      <c r="E409" s="52"/>
      <c r="F409" s="52"/>
      <c r="G409" s="73" t="s">
        <v>28</v>
      </c>
      <c r="H409" s="73"/>
      <c r="I409" s="73"/>
      <c r="J409" s="52" t="s">
        <v>29</v>
      </c>
      <c r="K409" s="52"/>
      <c r="L409" s="52"/>
      <c r="M409" s="73" t="s">
        <v>30</v>
      </c>
      <c r="N409" s="73"/>
      <c r="O409" s="73"/>
      <c r="P409" s="52" t="s">
        <v>31</v>
      </c>
      <c r="Q409" s="52"/>
      <c r="R409" s="52"/>
      <c r="S409" s="73" t="s">
        <v>32</v>
      </c>
      <c r="T409" s="73"/>
      <c r="U409" s="73"/>
      <c r="V409" s="52" t="s">
        <v>33</v>
      </c>
      <c r="W409" s="52"/>
      <c r="X409" s="52"/>
      <c r="Y409" s="73" t="s">
        <v>34</v>
      </c>
      <c r="Z409" s="73"/>
      <c r="AA409" s="73"/>
      <c r="AB409" s="52" t="s">
        <v>35</v>
      </c>
      <c r="AC409" s="52"/>
      <c r="AD409" s="52"/>
      <c r="AE409" s="73" t="s">
        <v>36</v>
      </c>
      <c r="AF409" s="73"/>
      <c r="AG409" s="73"/>
    </row>
    <row r="410" spans="1:33" ht="15.75" thickBot="1" x14ac:dyDescent="0.3">
      <c r="A410" s="68"/>
      <c r="B410" s="68"/>
      <c r="C410" s="105" t="s">
        <v>243</v>
      </c>
      <c r="D410" s="75">
        <v>0</v>
      </c>
      <c r="E410" s="75"/>
      <c r="F410" s="76"/>
      <c r="G410" s="74">
        <v>0</v>
      </c>
      <c r="H410" s="75"/>
      <c r="I410" s="76"/>
      <c r="J410" s="74">
        <v>0</v>
      </c>
      <c r="K410" s="75"/>
      <c r="L410" s="76"/>
      <c r="M410" s="74">
        <v>0</v>
      </c>
      <c r="N410" s="75"/>
      <c r="O410" s="76"/>
      <c r="P410" s="74">
        <v>0</v>
      </c>
      <c r="Q410" s="75"/>
      <c r="R410" s="76"/>
      <c r="S410" s="74">
        <v>0</v>
      </c>
      <c r="T410" s="75"/>
      <c r="U410" s="76"/>
      <c r="V410" s="74">
        <v>0</v>
      </c>
      <c r="W410" s="75"/>
      <c r="X410" s="76"/>
      <c r="Y410" s="74">
        <v>0</v>
      </c>
      <c r="Z410" s="75"/>
      <c r="AA410" s="76"/>
      <c r="AB410" s="74">
        <v>0</v>
      </c>
      <c r="AC410" s="75"/>
      <c r="AD410" s="76"/>
      <c r="AE410" s="74">
        <v>0</v>
      </c>
      <c r="AF410" s="75"/>
      <c r="AG410" s="76"/>
    </row>
    <row r="411" spans="1:33" ht="15.75" thickBot="1" x14ac:dyDescent="0.3">
      <c r="A411" s="68"/>
      <c r="B411" s="68"/>
      <c r="C411" s="106" t="s">
        <v>244</v>
      </c>
      <c r="D411" s="82">
        <v>0</v>
      </c>
      <c r="E411" s="82"/>
      <c r="F411" s="84"/>
      <c r="G411" s="85">
        <v>0</v>
      </c>
      <c r="H411" s="82"/>
      <c r="I411" s="84"/>
      <c r="J411" s="85">
        <v>0</v>
      </c>
      <c r="K411" s="82"/>
      <c r="L411" s="84"/>
      <c r="M411" s="85">
        <v>0</v>
      </c>
      <c r="N411" s="82"/>
      <c r="O411" s="82"/>
      <c r="P411" s="81">
        <v>0</v>
      </c>
      <c r="Q411" s="82"/>
      <c r="R411" s="83"/>
      <c r="S411" s="82">
        <v>0</v>
      </c>
      <c r="T411" s="82"/>
      <c r="U411" s="84"/>
      <c r="V411" s="85">
        <v>0</v>
      </c>
      <c r="W411" s="82"/>
      <c r="X411" s="84"/>
      <c r="Y411" s="85">
        <v>0</v>
      </c>
      <c r="Z411" s="82"/>
      <c r="AA411" s="84"/>
      <c r="AB411" s="85">
        <v>0</v>
      </c>
      <c r="AC411" s="82"/>
      <c r="AD411" s="84"/>
      <c r="AE411" s="85">
        <v>0</v>
      </c>
      <c r="AF411" s="82"/>
      <c r="AG411" s="84"/>
    </row>
    <row r="412" spans="1:33" ht="15.75" thickBot="1" x14ac:dyDescent="0.3">
      <c r="A412" s="68"/>
      <c r="B412" s="68"/>
      <c r="C412" s="107" t="s">
        <v>37</v>
      </c>
      <c r="D412" s="104"/>
      <c r="E412" s="86"/>
      <c r="F412" s="89"/>
      <c r="G412" s="86"/>
      <c r="H412" s="86"/>
      <c r="I412" s="89"/>
      <c r="J412" s="86"/>
      <c r="K412" s="86"/>
      <c r="L412" s="89"/>
      <c r="M412" s="86"/>
      <c r="N412" s="86"/>
      <c r="O412" s="89"/>
      <c r="P412" s="86"/>
      <c r="Q412" s="86"/>
      <c r="R412" s="89"/>
      <c r="S412" s="86"/>
      <c r="T412" s="86"/>
      <c r="U412" s="89"/>
      <c r="V412" s="86"/>
      <c r="W412" s="86"/>
      <c r="X412" s="89"/>
      <c r="Y412" s="86"/>
      <c r="Z412" s="86"/>
      <c r="AA412" s="89"/>
      <c r="AB412" s="86"/>
      <c r="AC412" s="86"/>
      <c r="AD412" s="89"/>
      <c r="AE412" s="86"/>
      <c r="AF412" s="86"/>
      <c r="AG412" s="89"/>
    </row>
    <row r="413" spans="1:33" ht="15.75" thickBot="1" x14ac:dyDescent="0.3">
      <c r="A413" s="68"/>
      <c r="B413" s="68"/>
      <c r="D413" s="87"/>
      <c r="E413" s="87"/>
      <c r="F413" s="90"/>
      <c r="G413" s="87"/>
      <c r="H413" s="87"/>
      <c r="I413" s="90"/>
      <c r="J413" s="87"/>
      <c r="K413" s="87"/>
      <c r="L413" s="90"/>
      <c r="M413" s="87"/>
      <c r="N413" s="87"/>
      <c r="O413" s="90"/>
      <c r="P413" s="87"/>
      <c r="Q413" s="87"/>
      <c r="R413" s="90"/>
      <c r="S413" s="87"/>
      <c r="T413" s="87"/>
      <c r="U413" s="90"/>
      <c r="V413" s="87"/>
      <c r="W413" s="87"/>
      <c r="X413" s="90"/>
      <c r="Y413" s="87"/>
      <c r="Z413" s="87"/>
      <c r="AA413" s="90"/>
      <c r="AB413" s="87"/>
      <c r="AC413" s="87"/>
      <c r="AD413" s="90"/>
      <c r="AE413" s="87"/>
      <c r="AF413" s="87"/>
      <c r="AG413" s="90"/>
    </row>
    <row r="414" spans="1:33" ht="15.75" thickBot="1" x14ac:dyDescent="0.3">
      <c r="A414" s="68"/>
      <c r="B414" s="68"/>
      <c r="D414" s="88"/>
      <c r="E414" s="88"/>
      <c r="F414" s="91"/>
      <c r="G414" s="88"/>
      <c r="H414" s="88"/>
      <c r="I414" s="91"/>
      <c r="J414" s="88"/>
      <c r="K414" s="88"/>
      <c r="L414" s="91"/>
      <c r="M414" s="88"/>
      <c r="N414" s="88"/>
      <c r="O414" s="91"/>
      <c r="P414" s="88"/>
      <c r="Q414" s="88"/>
      <c r="R414" s="91"/>
      <c r="S414" s="88"/>
      <c r="T414" s="88"/>
      <c r="U414" s="91"/>
      <c r="V414" s="88"/>
      <c r="W414" s="88"/>
      <c r="X414" s="91"/>
      <c r="Y414" s="88"/>
      <c r="Z414" s="88"/>
      <c r="AA414" s="91"/>
      <c r="AB414" s="88"/>
      <c r="AC414" s="88"/>
      <c r="AD414" s="91"/>
      <c r="AE414" s="88"/>
      <c r="AF414" s="88"/>
      <c r="AG414" s="91"/>
    </row>
    <row r="416" spans="1:33" ht="15.75" thickBot="1" x14ac:dyDescent="0.3"/>
    <row r="417" spans="1:33" ht="15.75" thickBot="1" x14ac:dyDescent="0.3">
      <c r="A417" s="68" t="s">
        <v>268</v>
      </c>
      <c r="B417" s="68"/>
      <c r="D417" s="52" t="s">
        <v>27</v>
      </c>
      <c r="E417" s="52"/>
      <c r="F417" s="52"/>
      <c r="G417" s="73" t="s">
        <v>28</v>
      </c>
      <c r="H417" s="73"/>
      <c r="I417" s="73"/>
      <c r="J417" s="52" t="s">
        <v>29</v>
      </c>
      <c r="K417" s="52"/>
      <c r="L417" s="52"/>
      <c r="M417" s="73" t="s">
        <v>30</v>
      </c>
      <c r="N417" s="73"/>
      <c r="O417" s="73"/>
      <c r="P417" s="52" t="s">
        <v>31</v>
      </c>
      <c r="Q417" s="52"/>
      <c r="R417" s="52"/>
      <c r="S417" s="73" t="s">
        <v>32</v>
      </c>
      <c r="T417" s="73"/>
      <c r="U417" s="73"/>
      <c r="V417" s="52" t="s">
        <v>33</v>
      </c>
      <c r="W417" s="52"/>
      <c r="X417" s="52"/>
      <c r="Y417" s="73" t="s">
        <v>34</v>
      </c>
      <c r="Z417" s="73"/>
      <c r="AA417" s="73"/>
      <c r="AB417" s="52" t="s">
        <v>35</v>
      </c>
      <c r="AC417" s="52"/>
      <c r="AD417" s="52"/>
      <c r="AE417" s="73" t="s">
        <v>36</v>
      </c>
      <c r="AF417" s="73"/>
      <c r="AG417" s="73"/>
    </row>
    <row r="418" spans="1:33" ht="15.75" thickBot="1" x14ac:dyDescent="0.3">
      <c r="A418" s="68"/>
      <c r="B418" s="68"/>
      <c r="C418" s="105" t="s">
        <v>243</v>
      </c>
      <c r="D418" s="75">
        <v>0</v>
      </c>
      <c r="E418" s="75"/>
      <c r="F418" s="76"/>
      <c r="G418" s="74">
        <v>0</v>
      </c>
      <c r="H418" s="75"/>
      <c r="I418" s="76"/>
      <c r="J418" s="74">
        <v>0</v>
      </c>
      <c r="K418" s="75"/>
      <c r="L418" s="76"/>
      <c r="M418" s="74">
        <v>0</v>
      </c>
      <c r="N418" s="75"/>
      <c r="O418" s="76"/>
      <c r="P418" s="74">
        <v>0</v>
      </c>
      <c r="Q418" s="75"/>
      <c r="R418" s="76"/>
      <c r="S418" s="74">
        <v>0</v>
      </c>
      <c r="T418" s="75"/>
      <c r="U418" s="76"/>
      <c r="V418" s="74">
        <v>0</v>
      </c>
      <c r="W418" s="75"/>
      <c r="X418" s="76"/>
      <c r="Y418" s="74">
        <v>0</v>
      </c>
      <c r="Z418" s="75"/>
      <c r="AA418" s="76"/>
      <c r="AB418" s="74">
        <v>0</v>
      </c>
      <c r="AC418" s="75"/>
      <c r="AD418" s="76"/>
      <c r="AE418" s="74">
        <v>0</v>
      </c>
      <c r="AF418" s="75"/>
      <c r="AG418" s="76"/>
    </row>
    <row r="419" spans="1:33" ht="15.75" thickBot="1" x14ac:dyDescent="0.3">
      <c r="A419" s="68"/>
      <c r="B419" s="68"/>
      <c r="C419" s="106" t="s">
        <v>244</v>
      </c>
      <c r="D419" s="82">
        <v>0</v>
      </c>
      <c r="E419" s="82"/>
      <c r="F419" s="84"/>
      <c r="G419" s="85">
        <v>0</v>
      </c>
      <c r="H419" s="82"/>
      <c r="I419" s="84"/>
      <c r="J419" s="85">
        <v>0</v>
      </c>
      <c r="K419" s="82"/>
      <c r="L419" s="84"/>
      <c r="M419" s="85">
        <v>0</v>
      </c>
      <c r="N419" s="82"/>
      <c r="O419" s="82"/>
      <c r="P419" s="81">
        <v>0</v>
      </c>
      <c r="Q419" s="82"/>
      <c r="R419" s="83"/>
      <c r="S419" s="82">
        <v>0</v>
      </c>
      <c r="T419" s="82"/>
      <c r="U419" s="84"/>
      <c r="V419" s="85">
        <v>0</v>
      </c>
      <c r="W419" s="82"/>
      <c r="X419" s="84"/>
      <c r="Y419" s="85">
        <v>0</v>
      </c>
      <c r="Z419" s="82"/>
      <c r="AA419" s="84"/>
      <c r="AB419" s="85">
        <v>0</v>
      </c>
      <c r="AC419" s="82"/>
      <c r="AD419" s="84"/>
      <c r="AE419" s="85">
        <v>0</v>
      </c>
      <c r="AF419" s="82"/>
      <c r="AG419" s="84"/>
    </row>
    <row r="420" spans="1:33" ht="15.75" thickBot="1" x14ac:dyDescent="0.3">
      <c r="A420" s="68"/>
      <c r="B420" s="68"/>
      <c r="C420" s="107" t="s">
        <v>37</v>
      </c>
      <c r="D420" s="104"/>
      <c r="E420" s="86"/>
      <c r="F420" s="89"/>
      <c r="G420" s="86"/>
      <c r="H420" s="86"/>
      <c r="I420" s="89"/>
      <c r="J420" s="86"/>
      <c r="K420" s="86"/>
      <c r="L420" s="89"/>
      <c r="M420" s="86"/>
      <c r="N420" s="86"/>
      <c r="O420" s="89"/>
      <c r="P420" s="86"/>
      <c r="Q420" s="86"/>
      <c r="R420" s="89"/>
      <c r="S420" s="86"/>
      <c r="T420" s="86"/>
      <c r="U420" s="89"/>
      <c r="V420" s="86"/>
      <c r="W420" s="86"/>
      <c r="X420" s="89"/>
      <c r="Y420" s="86"/>
      <c r="Z420" s="86"/>
      <c r="AA420" s="89"/>
      <c r="AB420" s="86"/>
      <c r="AC420" s="86"/>
      <c r="AD420" s="89"/>
      <c r="AE420" s="86"/>
      <c r="AF420" s="86"/>
      <c r="AG420" s="89"/>
    </row>
    <row r="421" spans="1:33" ht="15.75" thickBot="1" x14ac:dyDescent="0.3">
      <c r="A421" s="68"/>
      <c r="B421" s="68"/>
      <c r="D421" s="87"/>
      <c r="E421" s="87"/>
      <c r="F421" s="90"/>
      <c r="G421" s="87"/>
      <c r="H421" s="87"/>
      <c r="I421" s="90"/>
      <c r="J421" s="87"/>
      <c r="K421" s="87"/>
      <c r="L421" s="90"/>
      <c r="M421" s="87"/>
      <c r="N421" s="87"/>
      <c r="O421" s="90"/>
      <c r="P421" s="87"/>
      <c r="Q421" s="87"/>
      <c r="R421" s="90"/>
      <c r="S421" s="87"/>
      <c r="T421" s="87"/>
      <c r="U421" s="90"/>
      <c r="V421" s="87"/>
      <c r="W421" s="87"/>
      <c r="X421" s="90"/>
      <c r="Y421" s="87"/>
      <c r="Z421" s="87"/>
      <c r="AA421" s="90"/>
      <c r="AB421" s="87"/>
      <c r="AC421" s="87"/>
      <c r="AD421" s="90"/>
      <c r="AE421" s="87"/>
      <c r="AF421" s="87"/>
      <c r="AG421" s="90"/>
    </row>
    <row r="422" spans="1:33" ht="15.75" thickBot="1" x14ac:dyDescent="0.3">
      <c r="A422" s="68"/>
      <c r="B422" s="68"/>
      <c r="D422" s="88"/>
      <c r="E422" s="88"/>
      <c r="F422" s="91"/>
      <c r="G422" s="88"/>
      <c r="H422" s="88"/>
      <c r="I422" s="91"/>
      <c r="J422" s="88"/>
      <c r="K422" s="88"/>
      <c r="L422" s="91"/>
      <c r="M422" s="88"/>
      <c r="N422" s="88"/>
      <c r="O422" s="91"/>
      <c r="P422" s="88"/>
      <c r="Q422" s="88"/>
      <c r="R422" s="91"/>
      <c r="S422" s="88"/>
      <c r="T422" s="88"/>
      <c r="U422" s="91"/>
      <c r="V422" s="88"/>
      <c r="W422" s="88"/>
      <c r="X422" s="91"/>
      <c r="Y422" s="88"/>
      <c r="Z422" s="88"/>
      <c r="AA422" s="91"/>
      <c r="AB422" s="88"/>
      <c r="AC422" s="88"/>
      <c r="AD422" s="91"/>
      <c r="AE422" s="88"/>
      <c r="AF422" s="88"/>
      <c r="AG422" s="91"/>
    </row>
    <row r="424" spans="1:33" ht="15.75" thickBot="1" x14ac:dyDescent="0.3"/>
    <row r="425" spans="1:33" ht="15.75" thickBot="1" x14ac:dyDescent="0.3">
      <c r="A425" s="68" t="s">
        <v>107</v>
      </c>
      <c r="B425" s="68"/>
      <c r="D425" s="52" t="s">
        <v>27</v>
      </c>
      <c r="E425" s="52"/>
      <c r="F425" s="52"/>
      <c r="G425" s="73" t="s">
        <v>28</v>
      </c>
      <c r="H425" s="73"/>
      <c r="I425" s="73"/>
      <c r="J425" s="52" t="s">
        <v>29</v>
      </c>
      <c r="K425" s="52"/>
      <c r="L425" s="52"/>
      <c r="M425" s="73" t="s">
        <v>30</v>
      </c>
      <c r="N425" s="73"/>
      <c r="O425" s="73"/>
      <c r="P425" s="52" t="s">
        <v>31</v>
      </c>
      <c r="Q425" s="52"/>
      <c r="R425" s="52"/>
      <c r="S425" s="73" t="s">
        <v>32</v>
      </c>
      <c r="T425" s="73"/>
      <c r="U425" s="73"/>
      <c r="V425" s="52" t="s">
        <v>33</v>
      </c>
      <c r="W425" s="52"/>
      <c r="X425" s="52"/>
      <c r="Y425" s="73" t="s">
        <v>34</v>
      </c>
      <c r="Z425" s="73"/>
      <c r="AA425" s="73"/>
      <c r="AB425" s="52" t="s">
        <v>35</v>
      </c>
      <c r="AC425" s="52"/>
      <c r="AD425" s="52"/>
      <c r="AE425" s="73" t="s">
        <v>36</v>
      </c>
      <c r="AF425" s="73"/>
      <c r="AG425" s="73"/>
    </row>
    <row r="426" spans="1:33" ht="15.75" thickBot="1" x14ac:dyDescent="0.3">
      <c r="A426" s="68"/>
      <c r="B426" s="68"/>
      <c r="C426" s="105" t="s">
        <v>243</v>
      </c>
      <c r="D426" s="75">
        <v>0</v>
      </c>
      <c r="E426" s="75"/>
      <c r="F426" s="76"/>
      <c r="G426" s="74">
        <v>0</v>
      </c>
      <c r="H426" s="75"/>
      <c r="I426" s="76"/>
      <c r="J426" s="74">
        <v>0</v>
      </c>
      <c r="K426" s="75"/>
      <c r="L426" s="76"/>
      <c r="M426" s="74">
        <v>0</v>
      </c>
      <c r="N426" s="75"/>
      <c r="O426" s="76"/>
      <c r="P426" s="74">
        <v>0</v>
      </c>
      <c r="Q426" s="75"/>
      <c r="R426" s="76"/>
      <c r="S426" s="74">
        <v>0</v>
      </c>
      <c r="T426" s="75"/>
      <c r="U426" s="76"/>
      <c r="V426" s="74">
        <v>0</v>
      </c>
      <c r="W426" s="75"/>
      <c r="X426" s="76"/>
      <c r="Y426" s="74">
        <v>0</v>
      </c>
      <c r="Z426" s="75"/>
      <c r="AA426" s="76"/>
      <c r="AB426" s="74">
        <v>0</v>
      </c>
      <c r="AC426" s="75"/>
      <c r="AD426" s="76"/>
      <c r="AE426" s="74">
        <v>0</v>
      </c>
      <c r="AF426" s="75"/>
      <c r="AG426" s="76"/>
    </row>
    <row r="427" spans="1:33" ht="15.75" thickBot="1" x14ac:dyDescent="0.3">
      <c r="A427" s="68"/>
      <c r="B427" s="68"/>
      <c r="C427" s="106" t="s">
        <v>244</v>
      </c>
      <c r="D427" s="82">
        <v>0</v>
      </c>
      <c r="E427" s="82"/>
      <c r="F427" s="84"/>
      <c r="G427" s="85">
        <v>0</v>
      </c>
      <c r="H427" s="82"/>
      <c r="I427" s="84"/>
      <c r="J427" s="85">
        <v>0</v>
      </c>
      <c r="K427" s="82"/>
      <c r="L427" s="84"/>
      <c r="M427" s="85">
        <v>0</v>
      </c>
      <c r="N427" s="82"/>
      <c r="O427" s="82"/>
      <c r="P427" s="81">
        <v>0</v>
      </c>
      <c r="Q427" s="82"/>
      <c r="R427" s="83"/>
      <c r="S427" s="82">
        <v>0</v>
      </c>
      <c r="T427" s="82"/>
      <c r="U427" s="84"/>
      <c r="V427" s="85">
        <v>0</v>
      </c>
      <c r="W427" s="82"/>
      <c r="X427" s="84"/>
      <c r="Y427" s="85">
        <v>0</v>
      </c>
      <c r="Z427" s="82"/>
      <c r="AA427" s="84"/>
      <c r="AB427" s="85">
        <v>0</v>
      </c>
      <c r="AC427" s="82"/>
      <c r="AD427" s="84"/>
      <c r="AE427" s="85">
        <v>0</v>
      </c>
      <c r="AF427" s="82"/>
      <c r="AG427" s="84"/>
    </row>
    <row r="428" spans="1:33" ht="15.75" thickBot="1" x14ac:dyDescent="0.3">
      <c r="A428" s="68"/>
      <c r="B428" s="68"/>
      <c r="C428" s="107" t="s">
        <v>37</v>
      </c>
      <c r="D428" s="104"/>
      <c r="E428" s="86"/>
      <c r="F428" s="89"/>
      <c r="G428" s="86"/>
      <c r="H428" s="86"/>
      <c r="I428" s="89"/>
      <c r="J428" s="86"/>
      <c r="K428" s="86"/>
      <c r="L428" s="89"/>
      <c r="M428" s="86"/>
      <c r="N428" s="86"/>
      <c r="O428" s="89"/>
      <c r="P428" s="86"/>
      <c r="Q428" s="86"/>
      <c r="R428" s="89"/>
      <c r="S428" s="86"/>
      <c r="T428" s="86"/>
      <c r="U428" s="89"/>
      <c r="V428" s="86"/>
      <c r="W428" s="86"/>
      <c r="X428" s="89"/>
      <c r="Y428" s="86"/>
      <c r="Z428" s="86"/>
      <c r="AA428" s="89"/>
      <c r="AB428" s="86"/>
      <c r="AC428" s="86"/>
      <c r="AD428" s="89"/>
      <c r="AE428" s="86"/>
      <c r="AF428" s="86"/>
      <c r="AG428" s="89"/>
    </row>
    <row r="429" spans="1:33" ht="15.75" thickBot="1" x14ac:dyDescent="0.3">
      <c r="A429" s="68"/>
      <c r="B429" s="68"/>
      <c r="D429" s="87"/>
      <c r="E429" s="87"/>
      <c r="F429" s="90"/>
      <c r="G429" s="87"/>
      <c r="H429" s="87"/>
      <c r="I429" s="90"/>
      <c r="J429" s="87"/>
      <c r="K429" s="87"/>
      <c r="L429" s="90"/>
      <c r="M429" s="87"/>
      <c r="N429" s="87"/>
      <c r="O429" s="90"/>
      <c r="P429" s="87"/>
      <c r="Q429" s="87"/>
      <c r="R429" s="90"/>
      <c r="S429" s="87"/>
      <c r="T429" s="87"/>
      <c r="U429" s="90"/>
      <c r="V429" s="87"/>
      <c r="W429" s="87"/>
      <c r="X429" s="90"/>
      <c r="Y429" s="87"/>
      <c r="Z429" s="87"/>
      <c r="AA429" s="90"/>
      <c r="AB429" s="87"/>
      <c r="AC429" s="87"/>
      <c r="AD429" s="90"/>
      <c r="AE429" s="87"/>
      <c r="AF429" s="87"/>
      <c r="AG429" s="90"/>
    </row>
    <row r="430" spans="1:33" ht="15.75" thickBot="1" x14ac:dyDescent="0.3">
      <c r="A430" s="68"/>
      <c r="B430" s="68"/>
      <c r="D430" s="88"/>
      <c r="E430" s="88"/>
      <c r="F430" s="91"/>
      <c r="G430" s="88"/>
      <c r="H430" s="88"/>
      <c r="I430" s="91"/>
      <c r="J430" s="88"/>
      <c r="K430" s="88"/>
      <c r="L430" s="91"/>
      <c r="M430" s="88"/>
      <c r="N430" s="88"/>
      <c r="O430" s="91"/>
      <c r="P430" s="88"/>
      <c r="Q430" s="88"/>
      <c r="R430" s="91"/>
      <c r="S430" s="88"/>
      <c r="T430" s="88"/>
      <c r="U430" s="91"/>
      <c r="V430" s="88"/>
      <c r="W430" s="88"/>
      <c r="X430" s="91"/>
      <c r="Y430" s="88"/>
      <c r="Z430" s="88"/>
      <c r="AA430" s="91"/>
      <c r="AB430" s="88"/>
      <c r="AC430" s="88"/>
      <c r="AD430" s="91"/>
      <c r="AE430" s="88"/>
      <c r="AF430" s="88"/>
      <c r="AG430" s="91"/>
    </row>
    <row r="432" spans="1:33" ht="15.75" thickBot="1" x14ac:dyDescent="0.3"/>
    <row r="433" spans="1:33" ht="15.75" thickBot="1" x14ac:dyDescent="0.3">
      <c r="A433" s="68" t="s">
        <v>108</v>
      </c>
      <c r="B433" s="68"/>
      <c r="D433" s="52" t="s">
        <v>27</v>
      </c>
      <c r="E433" s="52"/>
      <c r="F433" s="52"/>
      <c r="G433" s="73" t="s">
        <v>28</v>
      </c>
      <c r="H433" s="73"/>
      <c r="I433" s="73"/>
      <c r="J433" s="52" t="s">
        <v>29</v>
      </c>
      <c r="K433" s="52"/>
      <c r="L433" s="52"/>
      <c r="M433" s="73" t="s">
        <v>30</v>
      </c>
      <c r="N433" s="73"/>
      <c r="O433" s="73"/>
      <c r="P433" s="52" t="s">
        <v>31</v>
      </c>
      <c r="Q433" s="52"/>
      <c r="R433" s="52"/>
      <c r="S433" s="73" t="s">
        <v>32</v>
      </c>
      <c r="T433" s="73"/>
      <c r="U433" s="73"/>
      <c r="V433" s="52" t="s">
        <v>33</v>
      </c>
      <c r="W433" s="52"/>
      <c r="X433" s="52"/>
      <c r="Y433" s="73" t="s">
        <v>34</v>
      </c>
      <c r="Z433" s="73"/>
      <c r="AA433" s="73"/>
      <c r="AB433" s="52" t="s">
        <v>35</v>
      </c>
      <c r="AC433" s="52"/>
      <c r="AD433" s="52"/>
      <c r="AE433" s="73" t="s">
        <v>36</v>
      </c>
      <c r="AF433" s="73"/>
      <c r="AG433" s="73"/>
    </row>
    <row r="434" spans="1:33" ht="15.75" thickBot="1" x14ac:dyDescent="0.3">
      <c r="A434" s="68"/>
      <c r="B434" s="68"/>
      <c r="C434" s="105" t="s">
        <v>243</v>
      </c>
      <c r="D434" s="75">
        <v>0</v>
      </c>
      <c r="E434" s="75"/>
      <c r="F434" s="76"/>
      <c r="G434" s="74">
        <v>0</v>
      </c>
      <c r="H434" s="75"/>
      <c r="I434" s="76"/>
      <c r="J434" s="74">
        <v>0</v>
      </c>
      <c r="K434" s="75"/>
      <c r="L434" s="76"/>
      <c r="M434" s="74">
        <v>0</v>
      </c>
      <c r="N434" s="75"/>
      <c r="O434" s="76"/>
      <c r="P434" s="74">
        <v>0</v>
      </c>
      <c r="Q434" s="75"/>
      <c r="R434" s="76"/>
      <c r="S434" s="74">
        <v>0</v>
      </c>
      <c r="T434" s="75"/>
      <c r="U434" s="76"/>
      <c r="V434" s="74">
        <v>0</v>
      </c>
      <c r="W434" s="75"/>
      <c r="X434" s="76"/>
      <c r="Y434" s="74">
        <v>0</v>
      </c>
      <c r="Z434" s="75"/>
      <c r="AA434" s="76"/>
      <c r="AB434" s="74">
        <v>0</v>
      </c>
      <c r="AC434" s="75"/>
      <c r="AD434" s="76"/>
      <c r="AE434" s="74">
        <v>0</v>
      </c>
      <c r="AF434" s="75"/>
      <c r="AG434" s="76"/>
    </row>
    <row r="435" spans="1:33" ht="15.75" thickBot="1" x14ac:dyDescent="0.3">
      <c r="A435" s="68"/>
      <c r="B435" s="68"/>
      <c r="C435" s="106" t="s">
        <v>244</v>
      </c>
      <c r="D435" s="82">
        <v>0</v>
      </c>
      <c r="E435" s="82"/>
      <c r="F435" s="84"/>
      <c r="G435" s="85">
        <v>0</v>
      </c>
      <c r="H435" s="82"/>
      <c r="I435" s="84"/>
      <c r="J435" s="85">
        <v>0</v>
      </c>
      <c r="K435" s="82"/>
      <c r="L435" s="84"/>
      <c r="M435" s="85">
        <v>0</v>
      </c>
      <c r="N435" s="82"/>
      <c r="O435" s="82"/>
      <c r="P435" s="81">
        <v>0</v>
      </c>
      <c r="Q435" s="82"/>
      <c r="R435" s="83"/>
      <c r="S435" s="82">
        <v>0</v>
      </c>
      <c r="T435" s="82"/>
      <c r="U435" s="84"/>
      <c r="V435" s="85">
        <v>0</v>
      </c>
      <c r="W435" s="82"/>
      <c r="X435" s="84"/>
      <c r="Y435" s="85">
        <v>0</v>
      </c>
      <c r="Z435" s="82"/>
      <c r="AA435" s="84"/>
      <c r="AB435" s="85">
        <v>0</v>
      </c>
      <c r="AC435" s="82"/>
      <c r="AD435" s="84"/>
      <c r="AE435" s="85">
        <v>0</v>
      </c>
      <c r="AF435" s="82"/>
      <c r="AG435" s="84"/>
    </row>
    <row r="436" spans="1:33" ht="15.75" thickBot="1" x14ac:dyDescent="0.3">
      <c r="A436" s="68"/>
      <c r="B436" s="68"/>
      <c r="C436" s="107" t="s">
        <v>37</v>
      </c>
      <c r="D436" s="104"/>
      <c r="E436" s="86"/>
      <c r="F436" s="89"/>
      <c r="G436" s="86"/>
      <c r="H436" s="86"/>
      <c r="I436" s="89"/>
      <c r="J436" s="86"/>
      <c r="K436" s="86"/>
      <c r="L436" s="89"/>
      <c r="M436" s="86"/>
      <c r="N436" s="86"/>
      <c r="O436" s="89"/>
      <c r="P436" s="86"/>
      <c r="Q436" s="86"/>
      <c r="R436" s="89"/>
      <c r="S436" s="86"/>
      <c r="T436" s="86"/>
      <c r="U436" s="89"/>
      <c r="V436" s="86"/>
      <c r="W436" s="86"/>
      <c r="X436" s="89"/>
      <c r="Y436" s="86"/>
      <c r="Z436" s="86"/>
      <c r="AA436" s="89"/>
      <c r="AB436" s="86"/>
      <c r="AC436" s="86"/>
      <c r="AD436" s="89"/>
      <c r="AE436" s="86"/>
      <c r="AF436" s="86"/>
      <c r="AG436" s="89"/>
    </row>
    <row r="437" spans="1:33" ht="15.75" thickBot="1" x14ac:dyDescent="0.3">
      <c r="A437" s="68"/>
      <c r="B437" s="68"/>
      <c r="D437" s="87"/>
      <c r="E437" s="87"/>
      <c r="F437" s="90"/>
      <c r="G437" s="87"/>
      <c r="H437" s="87"/>
      <c r="I437" s="90"/>
      <c r="J437" s="87"/>
      <c r="K437" s="87"/>
      <c r="L437" s="90"/>
      <c r="M437" s="87"/>
      <c r="N437" s="87"/>
      <c r="O437" s="90"/>
      <c r="P437" s="87"/>
      <c r="Q437" s="87"/>
      <c r="R437" s="90"/>
      <c r="S437" s="87"/>
      <c r="T437" s="87"/>
      <c r="U437" s="90"/>
      <c r="V437" s="87"/>
      <c r="W437" s="87"/>
      <c r="X437" s="90"/>
      <c r="Y437" s="87"/>
      <c r="Z437" s="87"/>
      <c r="AA437" s="90"/>
      <c r="AB437" s="87"/>
      <c r="AC437" s="87"/>
      <c r="AD437" s="90"/>
      <c r="AE437" s="87"/>
      <c r="AF437" s="87"/>
      <c r="AG437" s="90"/>
    </row>
    <row r="438" spans="1:33" ht="15.75" thickBot="1" x14ac:dyDescent="0.3">
      <c r="A438" s="68"/>
      <c r="B438" s="68"/>
      <c r="D438" s="88"/>
      <c r="E438" s="88"/>
      <c r="F438" s="91"/>
      <c r="G438" s="88"/>
      <c r="H438" s="88"/>
      <c r="I438" s="91"/>
      <c r="J438" s="88"/>
      <c r="K438" s="88"/>
      <c r="L438" s="91"/>
      <c r="M438" s="88"/>
      <c r="N438" s="88"/>
      <c r="O438" s="91"/>
      <c r="P438" s="88"/>
      <c r="Q438" s="88"/>
      <c r="R438" s="91"/>
      <c r="S438" s="88"/>
      <c r="T438" s="88"/>
      <c r="U438" s="91"/>
      <c r="V438" s="88"/>
      <c r="W438" s="88"/>
      <c r="X438" s="91"/>
      <c r="Y438" s="88"/>
      <c r="Z438" s="88"/>
      <c r="AA438" s="91"/>
      <c r="AB438" s="88"/>
      <c r="AC438" s="88"/>
      <c r="AD438" s="91"/>
      <c r="AE438" s="88"/>
      <c r="AF438" s="88"/>
      <c r="AG438" s="91"/>
    </row>
    <row r="440" spans="1:33" ht="15.75" thickBot="1" x14ac:dyDescent="0.3"/>
    <row r="441" spans="1:33" ht="15.75" thickBot="1" x14ac:dyDescent="0.3">
      <c r="A441" s="68" t="s">
        <v>109</v>
      </c>
      <c r="B441" s="68"/>
      <c r="D441" s="52" t="s">
        <v>27</v>
      </c>
      <c r="E441" s="52"/>
      <c r="F441" s="52"/>
      <c r="G441" s="73" t="s">
        <v>28</v>
      </c>
      <c r="H441" s="73"/>
      <c r="I441" s="73"/>
      <c r="J441" s="52" t="s">
        <v>29</v>
      </c>
      <c r="K441" s="52"/>
      <c r="L441" s="52"/>
      <c r="M441" s="73" t="s">
        <v>30</v>
      </c>
      <c r="N441" s="73"/>
      <c r="O441" s="73"/>
      <c r="P441" s="52" t="s">
        <v>31</v>
      </c>
      <c r="Q441" s="52"/>
      <c r="R441" s="52"/>
      <c r="S441" s="73" t="s">
        <v>32</v>
      </c>
      <c r="T441" s="73"/>
      <c r="U441" s="73"/>
      <c r="V441" s="52" t="s">
        <v>33</v>
      </c>
      <c r="W441" s="52"/>
      <c r="X441" s="52"/>
      <c r="Y441" s="73" t="s">
        <v>34</v>
      </c>
      <c r="Z441" s="73"/>
      <c r="AA441" s="73"/>
      <c r="AB441" s="52" t="s">
        <v>35</v>
      </c>
      <c r="AC441" s="52"/>
      <c r="AD441" s="52"/>
      <c r="AE441" s="73" t="s">
        <v>36</v>
      </c>
      <c r="AF441" s="73"/>
      <c r="AG441" s="73"/>
    </row>
    <row r="442" spans="1:33" ht="15.75" thickBot="1" x14ac:dyDescent="0.3">
      <c r="A442" s="68"/>
      <c r="B442" s="68"/>
      <c r="C442" s="105" t="s">
        <v>243</v>
      </c>
      <c r="D442" s="75">
        <v>0</v>
      </c>
      <c r="E442" s="75"/>
      <c r="F442" s="76"/>
      <c r="G442" s="74">
        <v>0</v>
      </c>
      <c r="H442" s="75"/>
      <c r="I442" s="76"/>
      <c r="J442" s="74">
        <v>0</v>
      </c>
      <c r="K442" s="75"/>
      <c r="L442" s="76"/>
      <c r="M442" s="74">
        <v>0</v>
      </c>
      <c r="N442" s="75"/>
      <c r="O442" s="76"/>
      <c r="P442" s="74">
        <v>0</v>
      </c>
      <c r="Q442" s="75"/>
      <c r="R442" s="76"/>
      <c r="S442" s="74">
        <v>0</v>
      </c>
      <c r="T442" s="75"/>
      <c r="U442" s="76"/>
      <c r="V442" s="74">
        <v>0</v>
      </c>
      <c r="W442" s="75"/>
      <c r="X442" s="76"/>
      <c r="Y442" s="74">
        <v>0</v>
      </c>
      <c r="Z442" s="75"/>
      <c r="AA442" s="76"/>
      <c r="AB442" s="74">
        <v>0</v>
      </c>
      <c r="AC442" s="75"/>
      <c r="AD442" s="76"/>
      <c r="AE442" s="74">
        <v>0</v>
      </c>
      <c r="AF442" s="75"/>
      <c r="AG442" s="76"/>
    </row>
    <row r="443" spans="1:33" ht="15.75" thickBot="1" x14ac:dyDescent="0.3">
      <c r="A443" s="68"/>
      <c r="B443" s="68"/>
      <c r="C443" s="106" t="s">
        <v>244</v>
      </c>
      <c r="D443" s="82">
        <v>0</v>
      </c>
      <c r="E443" s="82"/>
      <c r="F443" s="84"/>
      <c r="G443" s="85">
        <v>0</v>
      </c>
      <c r="H443" s="82"/>
      <c r="I443" s="84"/>
      <c r="J443" s="85">
        <v>0</v>
      </c>
      <c r="K443" s="82"/>
      <c r="L443" s="84"/>
      <c r="M443" s="85">
        <v>0</v>
      </c>
      <c r="N443" s="82"/>
      <c r="O443" s="82"/>
      <c r="P443" s="81">
        <v>0</v>
      </c>
      <c r="Q443" s="82"/>
      <c r="R443" s="83"/>
      <c r="S443" s="82">
        <v>0</v>
      </c>
      <c r="T443" s="82"/>
      <c r="U443" s="84"/>
      <c r="V443" s="85">
        <v>0</v>
      </c>
      <c r="W443" s="82"/>
      <c r="X443" s="84"/>
      <c r="Y443" s="85">
        <v>0</v>
      </c>
      <c r="Z443" s="82"/>
      <c r="AA443" s="84"/>
      <c r="AB443" s="85">
        <v>0</v>
      </c>
      <c r="AC443" s="82"/>
      <c r="AD443" s="84"/>
      <c r="AE443" s="85">
        <v>0</v>
      </c>
      <c r="AF443" s="82"/>
      <c r="AG443" s="84"/>
    </row>
    <row r="444" spans="1:33" ht="15.75" thickBot="1" x14ac:dyDescent="0.3">
      <c r="A444" s="68"/>
      <c r="B444" s="68"/>
      <c r="C444" s="107" t="s">
        <v>37</v>
      </c>
      <c r="D444" s="104"/>
      <c r="E444" s="86"/>
      <c r="F444" s="89"/>
      <c r="G444" s="86"/>
      <c r="H444" s="86"/>
      <c r="I444" s="89"/>
      <c r="J444" s="86"/>
      <c r="K444" s="86"/>
      <c r="L444" s="89"/>
      <c r="M444" s="86"/>
      <c r="N444" s="86"/>
      <c r="O444" s="89"/>
      <c r="P444" s="86"/>
      <c r="Q444" s="86"/>
      <c r="R444" s="89"/>
      <c r="S444" s="86"/>
      <c r="T444" s="86"/>
      <c r="U444" s="89"/>
      <c r="V444" s="86"/>
      <c r="W444" s="86"/>
      <c r="X444" s="89"/>
      <c r="Y444" s="86"/>
      <c r="Z444" s="86"/>
      <c r="AA444" s="89"/>
      <c r="AB444" s="86"/>
      <c r="AC444" s="86"/>
      <c r="AD444" s="89"/>
      <c r="AE444" s="86"/>
      <c r="AF444" s="86"/>
      <c r="AG444" s="89"/>
    </row>
    <row r="445" spans="1:33" ht="15.75" thickBot="1" x14ac:dyDescent="0.3">
      <c r="A445" s="68"/>
      <c r="B445" s="68"/>
      <c r="D445" s="87"/>
      <c r="E445" s="87"/>
      <c r="F445" s="90"/>
      <c r="G445" s="87"/>
      <c r="H445" s="87"/>
      <c r="I445" s="90"/>
      <c r="J445" s="87"/>
      <c r="K445" s="87"/>
      <c r="L445" s="90"/>
      <c r="M445" s="87"/>
      <c r="N445" s="87"/>
      <c r="O445" s="90"/>
      <c r="P445" s="87"/>
      <c r="Q445" s="87"/>
      <c r="R445" s="90"/>
      <c r="S445" s="87"/>
      <c r="T445" s="87"/>
      <c r="U445" s="90"/>
      <c r="V445" s="87"/>
      <c r="W445" s="87"/>
      <c r="X445" s="90"/>
      <c r="Y445" s="87"/>
      <c r="Z445" s="87"/>
      <c r="AA445" s="90"/>
      <c r="AB445" s="87"/>
      <c r="AC445" s="87"/>
      <c r="AD445" s="90"/>
      <c r="AE445" s="87"/>
      <c r="AF445" s="87"/>
      <c r="AG445" s="90"/>
    </row>
    <row r="446" spans="1:33" ht="15.75" thickBot="1" x14ac:dyDescent="0.3">
      <c r="A446" s="68"/>
      <c r="B446" s="68"/>
      <c r="D446" s="88"/>
      <c r="E446" s="88"/>
      <c r="F446" s="91"/>
      <c r="G446" s="88"/>
      <c r="H446" s="88"/>
      <c r="I446" s="91"/>
      <c r="J446" s="88"/>
      <c r="K446" s="88"/>
      <c r="L446" s="91"/>
      <c r="M446" s="88"/>
      <c r="N446" s="88"/>
      <c r="O446" s="91"/>
      <c r="P446" s="88"/>
      <c r="Q446" s="88"/>
      <c r="R446" s="91"/>
      <c r="S446" s="88"/>
      <c r="T446" s="88"/>
      <c r="U446" s="91"/>
      <c r="V446" s="88"/>
      <c r="W446" s="88"/>
      <c r="X446" s="91"/>
      <c r="Y446" s="88"/>
      <c r="Z446" s="88"/>
      <c r="AA446" s="91"/>
      <c r="AB446" s="88"/>
      <c r="AC446" s="88"/>
      <c r="AD446" s="91"/>
      <c r="AE446" s="88"/>
      <c r="AF446" s="88"/>
      <c r="AG446" s="91"/>
    </row>
    <row r="448" spans="1:33" ht="15.75" thickBot="1" x14ac:dyDescent="0.3"/>
    <row r="449" spans="1:33" ht="15.75" thickBot="1" x14ac:dyDescent="0.3">
      <c r="A449" s="68" t="s">
        <v>110</v>
      </c>
      <c r="B449" s="68"/>
      <c r="D449" s="52" t="s">
        <v>27</v>
      </c>
      <c r="E449" s="52"/>
      <c r="F449" s="52"/>
      <c r="G449" s="73" t="s">
        <v>28</v>
      </c>
      <c r="H449" s="73"/>
      <c r="I449" s="73"/>
      <c r="J449" s="52" t="s">
        <v>29</v>
      </c>
      <c r="K449" s="52"/>
      <c r="L449" s="52"/>
      <c r="M449" s="73" t="s">
        <v>30</v>
      </c>
      <c r="N449" s="73"/>
      <c r="O449" s="73"/>
      <c r="P449" s="52" t="s">
        <v>31</v>
      </c>
      <c r="Q449" s="52"/>
      <c r="R449" s="52"/>
      <c r="S449" s="73" t="s">
        <v>32</v>
      </c>
      <c r="T449" s="73"/>
      <c r="U449" s="73"/>
      <c r="V449" s="52" t="s">
        <v>33</v>
      </c>
      <c r="W449" s="52"/>
      <c r="X449" s="52"/>
      <c r="Y449" s="73" t="s">
        <v>34</v>
      </c>
      <c r="Z449" s="73"/>
      <c r="AA449" s="73"/>
      <c r="AB449" s="52" t="s">
        <v>35</v>
      </c>
      <c r="AC449" s="52"/>
      <c r="AD449" s="52"/>
      <c r="AE449" s="73" t="s">
        <v>36</v>
      </c>
      <c r="AF449" s="73"/>
      <c r="AG449" s="73"/>
    </row>
    <row r="450" spans="1:33" ht="15.75" thickBot="1" x14ac:dyDescent="0.3">
      <c r="A450" s="68"/>
      <c r="B450" s="68"/>
      <c r="C450" s="105" t="s">
        <v>243</v>
      </c>
      <c r="D450" s="75">
        <v>0</v>
      </c>
      <c r="E450" s="75"/>
      <c r="F450" s="76"/>
      <c r="G450" s="74">
        <v>0</v>
      </c>
      <c r="H450" s="75"/>
      <c r="I450" s="76"/>
      <c r="J450" s="74">
        <v>0</v>
      </c>
      <c r="K450" s="75"/>
      <c r="L450" s="76"/>
      <c r="M450" s="74">
        <v>0</v>
      </c>
      <c r="N450" s="75"/>
      <c r="O450" s="76"/>
      <c r="P450" s="74">
        <v>0</v>
      </c>
      <c r="Q450" s="75"/>
      <c r="R450" s="76"/>
      <c r="S450" s="74">
        <v>0</v>
      </c>
      <c r="T450" s="75"/>
      <c r="U450" s="76"/>
      <c r="V450" s="74">
        <v>0</v>
      </c>
      <c r="W450" s="75"/>
      <c r="X450" s="76"/>
      <c r="Y450" s="74">
        <v>0</v>
      </c>
      <c r="Z450" s="75"/>
      <c r="AA450" s="76"/>
      <c r="AB450" s="74">
        <v>0</v>
      </c>
      <c r="AC450" s="75"/>
      <c r="AD450" s="76"/>
      <c r="AE450" s="74">
        <v>0</v>
      </c>
      <c r="AF450" s="75"/>
      <c r="AG450" s="76"/>
    </row>
    <row r="451" spans="1:33" ht="15.75" thickBot="1" x14ac:dyDescent="0.3">
      <c r="A451" s="68"/>
      <c r="B451" s="68"/>
      <c r="C451" s="106" t="s">
        <v>244</v>
      </c>
      <c r="D451" s="82">
        <v>0</v>
      </c>
      <c r="E451" s="82"/>
      <c r="F451" s="84"/>
      <c r="G451" s="85">
        <v>0</v>
      </c>
      <c r="H451" s="82"/>
      <c r="I451" s="84"/>
      <c r="J451" s="85">
        <v>0</v>
      </c>
      <c r="K451" s="82"/>
      <c r="L451" s="84"/>
      <c r="M451" s="85">
        <v>0</v>
      </c>
      <c r="N451" s="82"/>
      <c r="O451" s="82"/>
      <c r="P451" s="81">
        <v>0</v>
      </c>
      <c r="Q451" s="82"/>
      <c r="R451" s="83"/>
      <c r="S451" s="82">
        <v>0</v>
      </c>
      <c r="T451" s="82"/>
      <c r="U451" s="84"/>
      <c r="V451" s="85">
        <v>0</v>
      </c>
      <c r="W451" s="82"/>
      <c r="X451" s="84"/>
      <c r="Y451" s="85">
        <v>0</v>
      </c>
      <c r="Z451" s="82"/>
      <c r="AA451" s="84"/>
      <c r="AB451" s="85">
        <v>0</v>
      </c>
      <c r="AC451" s="82"/>
      <c r="AD451" s="84"/>
      <c r="AE451" s="85">
        <v>0</v>
      </c>
      <c r="AF451" s="82"/>
      <c r="AG451" s="84"/>
    </row>
    <row r="452" spans="1:33" ht="15.75" thickBot="1" x14ac:dyDescent="0.3">
      <c r="A452" s="68"/>
      <c r="B452" s="68"/>
      <c r="C452" s="107" t="s">
        <v>37</v>
      </c>
      <c r="D452" s="104"/>
      <c r="E452" s="86"/>
      <c r="F452" s="89"/>
      <c r="G452" s="86"/>
      <c r="H452" s="86"/>
      <c r="I452" s="89"/>
      <c r="J452" s="86"/>
      <c r="K452" s="86"/>
      <c r="L452" s="89"/>
      <c r="M452" s="86"/>
      <c r="N452" s="86"/>
      <c r="O452" s="89"/>
      <c r="P452" s="86"/>
      <c r="Q452" s="86"/>
      <c r="R452" s="89"/>
      <c r="S452" s="86"/>
      <c r="T452" s="86"/>
      <c r="U452" s="89"/>
      <c r="V452" s="86"/>
      <c r="W452" s="86"/>
      <c r="X452" s="89"/>
      <c r="Y452" s="86"/>
      <c r="Z452" s="86"/>
      <c r="AA452" s="89"/>
      <c r="AB452" s="86"/>
      <c r="AC452" s="86"/>
      <c r="AD452" s="89"/>
      <c r="AE452" s="86"/>
      <c r="AF452" s="86"/>
      <c r="AG452" s="89"/>
    </row>
    <row r="453" spans="1:33" ht="15.75" thickBot="1" x14ac:dyDescent="0.3">
      <c r="A453" s="68"/>
      <c r="B453" s="68"/>
      <c r="D453" s="87"/>
      <c r="E453" s="87"/>
      <c r="F453" s="90"/>
      <c r="G453" s="87"/>
      <c r="H453" s="87"/>
      <c r="I453" s="90"/>
      <c r="J453" s="87"/>
      <c r="K453" s="87"/>
      <c r="L453" s="90"/>
      <c r="M453" s="87"/>
      <c r="N453" s="87"/>
      <c r="O453" s="90"/>
      <c r="P453" s="87"/>
      <c r="Q453" s="87"/>
      <c r="R453" s="90"/>
      <c r="S453" s="87"/>
      <c r="T453" s="87"/>
      <c r="U453" s="90"/>
      <c r="V453" s="87"/>
      <c r="W453" s="87"/>
      <c r="X453" s="90"/>
      <c r="Y453" s="87"/>
      <c r="Z453" s="87"/>
      <c r="AA453" s="90"/>
      <c r="AB453" s="87"/>
      <c r="AC453" s="87"/>
      <c r="AD453" s="90"/>
      <c r="AE453" s="87"/>
      <c r="AF453" s="87"/>
      <c r="AG453" s="90"/>
    </row>
    <row r="454" spans="1:33" ht="15.75" thickBot="1" x14ac:dyDescent="0.3">
      <c r="A454" s="68"/>
      <c r="B454" s="68"/>
      <c r="D454" s="88"/>
      <c r="E454" s="88"/>
      <c r="F454" s="91"/>
      <c r="G454" s="88"/>
      <c r="H454" s="88"/>
      <c r="I454" s="91"/>
      <c r="J454" s="88"/>
      <c r="K454" s="88"/>
      <c r="L454" s="91"/>
      <c r="M454" s="88"/>
      <c r="N454" s="88"/>
      <c r="O454" s="91"/>
      <c r="P454" s="88"/>
      <c r="Q454" s="88"/>
      <c r="R454" s="91"/>
      <c r="S454" s="88"/>
      <c r="T454" s="88"/>
      <c r="U454" s="91"/>
      <c r="V454" s="88"/>
      <c r="W454" s="88"/>
      <c r="X454" s="91"/>
      <c r="Y454" s="88"/>
      <c r="Z454" s="88"/>
      <c r="AA454" s="91"/>
      <c r="AB454" s="88"/>
      <c r="AC454" s="88"/>
      <c r="AD454" s="91"/>
      <c r="AE454" s="88"/>
      <c r="AF454" s="88"/>
      <c r="AG454" s="91"/>
    </row>
    <row r="456" spans="1:33" ht="15.75" thickBot="1" x14ac:dyDescent="0.3"/>
    <row r="457" spans="1:33" ht="15.75" thickBot="1" x14ac:dyDescent="0.3">
      <c r="A457" s="68" t="s">
        <v>111</v>
      </c>
      <c r="B457" s="68"/>
      <c r="D457" s="52" t="s">
        <v>27</v>
      </c>
      <c r="E457" s="52"/>
      <c r="F457" s="52"/>
      <c r="G457" s="73" t="s">
        <v>28</v>
      </c>
      <c r="H457" s="73"/>
      <c r="I457" s="73"/>
      <c r="J457" s="52" t="s">
        <v>29</v>
      </c>
      <c r="K457" s="52"/>
      <c r="L457" s="52"/>
      <c r="M457" s="73" t="s">
        <v>30</v>
      </c>
      <c r="N457" s="73"/>
      <c r="O457" s="73"/>
      <c r="P457" s="52" t="s">
        <v>31</v>
      </c>
      <c r="Q457" s="52"/>
      <c r="R457" s="52"/>
      <c r="S457" s="73" t="s">
        <v>32</v>
      </c>
      <c r="T457" s="73"/>
      <c r="U457" s="73"/>
      <c r="V457" s="52" t="s">
        <v>33</v>
      </c>
      <c r="W457" s="52"/>
      <c r="X457" s="52"/>
      <c r="Y457" s="73" t="s">
        <v>34</v>
      </c>
      <c r="Z457" s="73"/>
      <c r="AA457" s="73"/>
      <c r="AB457" s="52" t="s">
        <v>35</v>
      </c>
      <c r="AC457" s="52"/>
      <c r="AD457" s="52"/>
      <c r="AE457" s="73" t="s">
        <v>36</v>
      </c>
      <c r="AF457" s="73"/>
      <c r="AG457" s="73"/>
    </row>
    <row r="458" spans="1:33" ht="15.75" thickBot="1" x14ac:dyDescent="0.3">
      <c r="A458" s="68"/>
      <c r="B458" s="68"/>
      <c r="C458" s="105" t="s">
        <v>243</v>
      </c>
      <c r="D458" s="75">
        <v>0</v>
      </c>
      <c r="E458" s="75"/>
      <c r="F458" s="76"/>
      <c r="G458" s="74">
        <v>0</v>
      </c>
      <c r="H458" s="75"/>
      <c r="I458" s="76"/>
      <c r="J458" s="74">
        <v>0</v>
      </c>
      <c r="K458" s="75"/>
      <c r="L458" s="76"/>
      <c r="M458" s="74">
        <v>0</v>
      </c>
      <c r="N458" s="75"/>
      <c r="O458" s="76"/>
      <c r="P458" s="74">
        <v>0</v>
      </c>
      <c r="Q458" s="75"/>
      <c r="R458" s="76"/>
      <c r="S458" s="74">
        <v>0</v>
      </c>
      <c r="T458" s="75"/>
      <c r="U458" s="76"/>
      <c r="V458" s="74">
        <v>0</v>
      </c>
      <c r="W458" s="75"/>
      <c r="X458" s="76"/>
      <c r="Y458" s="74">
        <v>0</v>
      </c>
      <c r="Z458" s="75"/>
      <c r="AA458" s="76"/>
      <c r="AB458" s="74">
        <v>0</v>
      </c>
      <c r="AC458" s="75"/>
      <c r="AD458" s="76"/>
      <c r="AE458" s="74">
        <v>0</v>
      </c>
      <c r="AF458" s="75"/>
      <c r="AG458" s="76"/>
    </row>
    <row r="459" spans="1:33" ht="15.75" thickBot="1" x14ac:dyDescent="0.3">
      <c r="A459" s="68"/>
      <c r="B459" s="68"/>
      <c r="C459" s="106" t="s">
        <v>244</v>
      </c>
      <c r="D459" s="82">
        <v>0</v>
      </c>
      <c r="E459" s="82"/>
      <c r="F459" s="84"/>
      <c r="G459" s="85">
        <v>0</v>
      </c>
      <c r="H459" s="82"/>
      <c r="I459" s="84"/>
      <c r="J459" s="85">
        <v>0</v>
      </c>
      <c r="K459" s="82"/>
      <c r="L459" s="84"/>
      <c r="M459" s="85">
        <v>0</v>
      </c>
      <c r="N459" s="82"/>
      <c r="O459" s="82"/>
      <c r="P459" s="81">
        <v>0</v>
      </c>
      <c r="Q459" s="82"/>
      <c r="R459" s="83"/>
      <c r="S459" s="82">
        <v>0</v>
      </c>
      <c r="T459" s="82"/>
      <c r="U459" s="84"/>
      <c r="V459" s="85">
        <v>0</v>
      </c>
      <c r="W459" s="82"/>
      <c r="X459" s="84"/>
      <c r="Y459" s="85">
        <v>0</v>
      </c>
      <c r="Z459" s="82"/>
      <c r="AA459" s="84"/>
      <c r="AB459" s="85">
        <v>0</v>
      </c>
      <c r="AC459" s="82"/>
      <c r="AD459" s="84"/>
      <c r="AE459" s="85">
        <v>0</v>
      </c>
      <c r="AF459" s="82"/>
      <c r="AG459" s="84"/>
    </row>
    <row r="460" spans="1:33" ht="15.75" thickBot="1" x14ac:dyDescent="0.3">
      <c r="A460" s="68"/>
      <c r="B460" s="68"/>
      <c r="C460" s="107" t="s">
        <v>37</v>
      </c>
      <c r="D460" s="104"/>
      <c r="E460" s="86"/>
      <c r="F460" s="89"/>
      <c r="G460" s="86"/>
      <c r="H460" s="86"/>
      <c r="I460" s="89"/>
      <c r="J460" s="86"/>
      <c r="K460" s="86"/>
      <c r="L460" s="89"/>
      <c r="M460" s="86"/>
      <c r="N460" s="86"/>
      <c r="O460" s="89"/>
      <c r="P460" s="86"/>
      <c r="Q460" s="86"/>
      <c r="R460" s="89"/>
      <c r="S460" s="86"/>
      <c r="T460" s="86"/>
      <c r="U460" s="89"/>
      <c r="V460" s="86"/>
      <c r="W460" s="86"/>
      <c r="X460" s="89"/>
      <c r="Y460" s="86"/>
      <c r="Z460" s="86"/>
      <c r="AA460" s="89"/>
      <c r="AB460" s="86"/>
      <c r="AC460" s="86"/>
      <c r="AD460" s="89"/>
      <c r="AE460" s="86"/>
      <c r="AF460" s="86"/>
      <c r="AG460" s="89"/>
    </row>
    <row r="461" spans="1:33" ht="15.75" thickBot="1" x14ac:dyDescent="0.3">
      <c r="A461" s="68"/>
      <c r="B461" s="68"/>
      <c r="D461" s="87"/>
      <c r="E461" s="87"/>
      <c r="F461" s="90"/>
      <c r="G461" s="87"/>
      <c r="H461" s="87"/>
      <c r="I461" s="90"/>
      <c r="J461" s="87"/>
      <c r="K461" s="87"/>
      <c r="L461" s="90"/>
      <c r="M461" s="87"/>
      <c r="N461" s="87"/>
      <c r="O461" s="90"/>
      <c r="P461" s="87"/>
      <c r="Q461" s="87"/>
      <c r="R461" s="90"/>
      <c r="S461" s="87"/>
      <c r="T461" s="87"/>
      <c r="U461" s="90"/>
      <c r="V461" s="87"/>
      <c r="W461" s="87"/>
      <c r="X461" s="90"/>
      <c r="Y461" s="87"/>
      <c r="Z461" s="87"/>
      <c r="AA461" s="90"/>
      <c r="AB461" s="87"/>
      <c r="AC461" s="87"/>
      <c r="AD461" s="90"/>
      <c r="AE461" s="87"/>
      <c r="AF461" s="87"/>
      <c r="AG461" s="90"/>
    </row>
    <row r="462" spans="1:33" ht="15.75" thickBot="1" x14ac:dyDescent="0.3">
      <c r="A462" s="68"/>
      <c r="B462" s="68"/>
      <c r="D462" s="88"/>
      <c r="E462" s="88"/>
      <c r="F462" s="91"/>
      <c r="G462" s="88"/>
      <c r="H462" s="88"/>
      <c r="I462" s="91"/>
      <c r="J462" s="88"/>
      <c r="K462" s="88"/>
      <c r="L462" s="91"/>
      <c r="M462" s="88"/>
      <c r="N462" s="88"/>
      <c r="O462" s="91"/>
      <c r="P462" s="88"/>
      <c r="Q462" s="88"/>
      <c r="R462" s="91"/>
      <c r="S462" s="88"/>
      <c r="T462" s="88"/>
      <c r="U462" s="91"/>
      <c r="V462" s="88"/>
      <c r="W462" s="88"/>
      <c r="X462" s="91"/>
      <c r="Y462" s="88"/>
      <c r="Z462" s="88"/>
      <c r="AA462" s="91"/>
      <c r="AB462" s="88"/>
      <c r="AC462" s="88"/>
      <c r="AD462" s="91"/>
      <c r="AE462" s="88"/>
      <c r="AF462" s="88"/>
      <c r="AG462" s="91"/>
    </row>
    <row r="464" spans="1:33" ht="15.75" thickBot="1" x14ac:dyDescent="0.3"/>
    <row r="465" spans="1:33" ht="15.75" thickBot="1" x14ac:dyDescent="0.3">
      <c r="A465" s="68" t="s">
        <v>112</v>
      </c>
      <c r="B465" s="68"/>
      <c r="D465" s="52" t="s">
        <v>27</v>
      </c>
      <c r="E465" s="52"/>
      <c r="F465" s="52"/>
      <c r="G465" s="73" t="s">
        <v>28</v>
      </c>
      <c r="H465" s="73"/>
      <c r="I465" s="73"/>
      <c r="J465" s="52" t="s">
        <v>29</v>
      </c>
      <c r="K465" s="52"/>
      <c r="L465" s="52"/>
      <c r="M465" s="73" t="s">
        <v>30</v>
      </c>
      <c r="N465" s="73"/>
      <c r="O465" s="73"/>
      <c r="P465" s="52" t="s">
        <v>31</v>
      </c>
      <c r="Q465" s="52"/>
      <c r="R465" s="52"/>
      <c r="S465" s="73" t="s">
        <v>32</v>
      </c>
      <c r="T465" s="73"/>
      <c r="U465" s="73"/>
      <c r="V465" s="52" t="s">
        <v>33</v>
      </c>
      <c r="W465" s="52"/>
      <c r="X465" s="52"/>
      <c r="Y465" s="73" t="s">
        <v>34</v>
      </c>
      <c r="Z465" s="73"/>
      <c r="AA465" s="73"/>
      <c r="AB465" s="52" t="s">
        <v>35</v>
      </c>
      <c r="AC465" s="52"/>
      <c r="AD465" s="52"/>
      <c r="AE465" s="73" t="s">
        <v>36</v>
      </c>
      <c r="AF465" s="73"/>
      <c r="AG465" s="73"/>
    </row>
    <row r="466" spans="1:33" ht="15.75" thickBot="1" x14ac:dyDescent="0.3">
      <c r="A466" s="68"/>
      <c r="B466" s="68"/>
      <c r="C466" s="105" t="s">
        <v>243</v>
      </c>
      <c r="D466" s="75">
        <v>0</v>
      </c>
      <c r="E466" s="75"/>
      <c r="F466" s="76"/>
      <c r="G466" s="74">
        <v>0</v>
      </c>
      <c r="H466" s="75"/>
      <c r="I466" s="76"/>
      <c r="J466" s="74">
        <v>0</v>
      </c>
      <c r="K466" s="75"/>
      <c r="L466" s="76"/>
      <c r="M466" s="74">
        <v>0</v>
      </c>
      <c r="N466" s="75"/>
      <c r="O466" s="76"/>
      <c r="P466" s="74">
        <v>0</v>
      </c>
      <c r="Q466" s="75"/>
      <c r="R466" s="76"/>
      <c r="S466" s="74">
        <v>0</v>
      </c>
      <c r="T466" s="75"/>
      <c r="U466" s="76"/>
      <c r="V466" s="74">
        <v>0</v>
      </c>
      <c r="W466" s="75"/>
      <c r="X466" s="76"/>
      <c r="Y466" s="74">
        <v>0</v>
      </c>
      <c r="Z466" s="75"/>
      <c r="AA466" s="76"/>
      <c r="AB466" s="74">
        <v>0</v>
      </c>
      <c r="AC466" s="75"/>
      <c r="AD466" s="76"/>
      <c r="AE466" s="74">
        <v>0</v>
      </c>
      <c r="AF466" s="75"/>
      <c r="AG466" s="76"/>
    </row>
    <row r="467" spans="1:33" ht="15.75" thickBot="1" x14ac:dyDescent="0.3">
      <c r="A467" s="68"/>
      <c r="B467" s="68"/>
      <c r="C467" s="106" t="s">
        <v>244</v>
      </c>
      <c r="D467" s="82">
        <v>0</v>
      </c>
      <c r="E467" s="82"/>
      <c r="F467" s="84"/>
      <c r="G467" s="85">
        <v>0</v>
      </c>
      <c r="H467" s="82"/>
      <c r="I467" s="84"/>
      <c r="J467" s="85">
        <v>0</v>
      </c>
      <c r="K467" s="82"/>
      <c r="L467" s="84"/>
      <c r="M467" s="85">
        <v>0</v>
      </c>
      <c r="N467" s="82"/>
      <c r="O467" s="82"/>
      <c r="P467" s="81">
        <v>0</v>
      </c>
      <c r="Q467" s="82"/>
      <c r="R467" s="83"/>
      <c r="S467" s="82">
        <v>0</v>
      </c>
      <c r="T467" s="82"/>
      <c r="U467" s="84"/>
      <c r="V467" s="85">
        <v>0</v>
      </c>
      <c r="W467" s="82"/>
      <c r="X467" s="84"/>
      <c r="Y467" s="85">
        <v>0</v>
      </c>
      <c r="Z467" s="82"/>
      <c r="AA467" s="84"/>
      <c r="AB467" s="85">
        <v>0</v>
      </c>
      <c r="AC467" s="82"/>
      <c r="AD467" s="84"/>
      <c r="AE467" s="85">
        <v>0</v>
      </c>
      <c r="AF467" s="82"/>
      <c r="AG467" s="84"/>
    </row>
    <row r="468" spans="1:33" ht="15.75" thickBot="1" x14ac:dyDescent="0.3">
      <c r="A468" s="68"/>
      <c r="B468" s="68"/>
      <c r="C468" s="107" t="s">
        <v>37</v>
      </c>
      <c r="D468" s="104"/>
      <c r="E468" s="86"/>
      <c r="F468" s="89"/>
      <c r="G468" s="86"/>
      <c r="H468" s="86"/>
      <c r="I468" s="89"/>
      <c r="J468" s="86"/>
      <c r="K468" s="86"/>
      <c r="L468" s="89"/>
      <c r="M468" s="86"/>
      <c r="N468" s="86"/>
      <c r="O468" s="89"/>
      <c r="P468" s="86"/>
      <c r="Q468" s="86"/>
      <c r="R468" s="89"/>
      <c r="S468" s="86"/>
      <c r="T468" s="86"/>
      <c r="U468" s="89"/>
      <c r="V468" s="86"/>
      <c r="W468" s="86"/>
      <c r="X468" s="89"/>
      <c r="Y468" s="86"/>
      <c r="Z468" s="86"/>
      <c r="AA468" s="89"/>
      <c r="AB468" s="86"/>
      <c r="AC468" s="86"/>
      <c r="AD468" s="89"/>
      <c r="AE468" s="86"/>
      <c r="AF468" s="86"/>
      <c r="AG468" s="89"/>
    </row>
    <row r="469" spans="1:33" ht="15.75" thickBot="1" x14ac:dyDescent="0.3">
      <c r="A469" s="68"/>
      <c r="B469" s="68"/>
      <c r="D469" s="87"/>
      <c r="E469" s="87"/>
      <c r="F469" s="90"/>
      <c r="G469" s="87"/>
      <c r="H469" s="87"/>
      <c r="I469" s="90"/>
      <c r="J469" s="87"/>
      <c r="K469" s="87"/>
      <c r="L469" s="90"/>
      <c r="M469" s="87"/>
      <c r="N469" s="87"/>
      <c r="O469" s="90"/>
      <c r="P469" s="87"/>
      <c r="Q469" s="87"/>
      <c r="R469" s="90"/>
      <c r="S469" s="87"/>
      <c r="T469" s="87"/>
      <c r="U469" s="90"/>
      <c r="V469" s="87"/>
      <c r="W469" s="87"/>
      <c r="X469" s="90"/>
      <c r="Y469" s="87"/>
      <c r="Z469" s="87"/>
      <c r="AA469" s="90"/>
      <c r="AB469" s="87"/>
      <c r="AC469" s="87"/>
      <c r="AD469" s="90"/>
      <c r="AE469" s="87"/>
      <c r="AF469" s="87"/>
      <c r="AG469" s="90"/>
    </row>
    <row r="470" spans="1:33" ht="15.75" thickBot="1" x14ac:dyDescent="0.3">
      <c r="A470" s="68"/>
      <c r="B470" s="68"/>
      <c r="D470" s="88"/>
      <c r="E470" s="88"/>
      <c r="F470" s="91"/>
      <c r="G470" s="88"/>
      <c r="H470" s="88"/>
      <c r="I470" s="91"/>
      <c r="J470" s="88"/>
      <c r="K470" s="88"/>
      <c r="L470" s="91"/>
      <c r="M470" s="88"/>
      <c r="N470" s="88"/>
      <c r="O470" s="91"/>
      <c r="P470" s="88"/>
      <c r="Q470" s="88"/>
      <c r="R470" s="91"/>
      <c r="S470" s="88"/>
      <c r="T470" s="88"/>
      <c r="U470" s="91"/>
      <c r="V470" s="88"/>
      <c r="W470" s="88"/>
      <c r="X470" s="91"/>
      <c r="Y470" s="88"/>
      <c r="Z470" s="88"/>
      <c r="AA470" s="91"/>
      <c r="AB470" s="88"/>
      <c r="AC470" s="88"/>
      <c r="AD470" s="91"/>
      <c r="AE470" s="88"/>
      <c r="AF470" s="88"/>
      <c r="AG470" s="91"/>
    </row>
    <row r="472" spans="1:33" ht="15.75" thickBot="1" x14ac:dyDescent="0.3"/>
    <row r="473" spans="1:33" ht="15.75" thickBot="1" x14ac:dyDescent="0.3">
      <c r="A473" s="68" t="s">
        <v>238</v>
      </c>
      <c r="B473" s="68"/>
      <c r="D473" s="52" t="s">
        <v>27</v>
      </c>
      <c r="E473" s="52"/>
      <c r="F473" s="52"/>
      <c r="G473" s="73" t="s">
        <v>28</v>
      </c>
      <c r="H473" s="73"/>
      <c r="I473" s="73"/>
      <c r="J473" s="52" t="s">
        <v>29</v>
      </c>
      <c r="K473" s="52"/>
      <c r="L473" s="52"/>
      <c r="M473" s="73" t="s">
        <v>30</v>
      </c>
      <c r="N473" s="73"/>
      <c r="O473" s="73"/>
      <c r="P473" s="52" t="s">
        <v>31</v>
      </c>
      <c r="Q473" s="52"/>
      <c r="R473" s="52"/>
      <c r="S473" s="73" t="s">
        <v>32</v>
      </c>
      <c r="T473" s="73"/>
      <c r="U473" s="73"/>
      <c r="V473" s="52" t="s">
        <v>33</v>
      </c>
      <c r="W473" s="52"/>
      <c r="X473" s="52"/>
      <c r="Y473" s="73" t="s">
        <v>34</v>
      </c>
      <c r="Z473" s="73"/>
      <c r="AA473" s="73"/>
      <c r="AB473" s="52" t="s">
        <v>35</v>
      </c>
      <c r="AC473" s="52"/>
      <c r="AD473" s="52"/>
      <c r="AE473" s="73" t="s">
        <v>36</v>
      </c>
      <c r="AF473" s="73"/>
      <c r="AG473" s="73"/>
    </row>
    <row r="474" spans="1:33" ht="15.75" thickBot="1" x14ac:dyDescent="0.3">
      <c r="A474" s="68"/>
      <c r="B474" s="68"/>
      <c r="C474" s="105" t="s">
        <v>243</v>
      </c>
      <c r="D474" s="75">
        <v>0</v>
      </c>
      <c r="E474" s="75"/>
      <c r="F474" s="76"/>
      <c r="G474" s="74">
        <v>0</v>
      </c>
      <c r="H474" s="75"/>
      <c r="I474" s="76"/>
      <c r="J474" s="74">
        <v>0</v>
      </c>
      <c r="K474" s="75"/>
      <c r="L474" s="76"/>
      <c r="M474" s="74">
        <v>0</v>
      </c>
      <c r="N474" s="75"/>
      <c r="O474" s="76"/>
      <c r="P474" s="74">
        <v>0</v>
      </c>
      <c r="Q474" s="75"/>
      <c r="R474" s="76"/>
      <c r="S474" s="74">
        <v>0</v>
      </c>
      <c r="T474" s="75"/>
      <c r="U474" s="76"/>
      <c r="V474" s="74">
        <v>0</v>
      </c>
      <c r="W474" s="75"/>
      <c r="X474" s="76"/>
      <c r="Y474" s="74">
        <v>0</v>
      </c>
      <c r="Z474" s="75"/>
      <c r="AA474" s="76"/>
      <c r="AB474" s="74">
        <v>0</v>
      </c>
      <c r="AC474" s="75"/>
      <c r="AD474" s="76"/>
      <c r="AE474" s="74">
        <v>0</v>
      </c>
      <c r="AF474" s="75"/>
      <c r="AG474" s="76"/>
    </row>
    <row r="475" spans="1:33" ht="15.75" thickBot="1" x14ac:dyDescent="0.3">
      <c r="A475" s="68"/>
      <c r="B475" s="68"/>
      <c r="C475" s="106" t="s">
        <v>244</v>
      </c>
      <c r="D475" s="82">
        <v>0</v>
      </c>
      <c r="E475" s="82"/>
      <c r="F475" s="84"/>
      <c r="G475" s="85">
        <v>0</v>
      </c>
      <c r="H475" s="82"/>
      <c r="I475" s="84"/>
      <c r="J475" s="85">
        <v>0</v>
      </c>
      <c r="K475" s="82"/>
      <c r="L475" s="84"/>
      <c r="M475" s="85">
        <v>0</v>
      </c>
      <c r="N475" s="82"/>
      <c r="O475" s="82"/>
      <c r="P475" s="81">
        <v>0</v>
      </c>
      <c r="Q475" s="82"/>
      <c r="R475" s="83"/>
      <c r="S475" s="82">
        <v>0</v>
      </c>
      <c r="T475" s="82"/>
      <c r="U475" s="84"/>
      <c r="V475" s="85">
        <v>0</v>
      </c>
      <c r="W475" s="82"/>
      <c r="X475" s="84"/>
      <c r="Y475" s="85">
        <v>0</v>
      </c>
      <c r="Z475" s="82"/>
      <c r="AA475" s="84"/>
      <c r="AB475" s="85">
        <v>0</v>
      </c>
      <c r="AC475" s="82"/>
      <c r="AD475" s="84"/>
      <c r="AE475" s="85">
        <v>0</v>
      </c>
      <c r="AF475" s="82"/>
      <c r="AG475" s="84"/>
    </row>
    <row r="476" spans="1:33" ht="15.75" thickBot="1" x14ac:dyDescent="0.3">
      <c r="A476" s="68"/>
      <c r="B476" s="68"/>
      <c r="C476" s="107" t="s">
        <v>37</v>
      </c>
      <c r="D476" s="104"/>
      <c r="E476" s="86"/>
      <c r="F476" s="89"/>
      <c r="G476" s="86"/>
      <c r="H476" s="86"/>
      <c r="I476" s="89"/>
      <c r="J476" s="86"/>
      <c r="K476" s="86"/>
      <c r="L476" s="89"/>
      <c r="M476" s="86"/>
      <c r="N476" s="86"/>
      <c r="O476" s="89"/>
      <c r="P476" s="86"/>
      <c r="Q476" s="86"/>
      <c r="R476" s="89"/>
      <c r="S476" s="86"/>
      <c r="T476" s="86"/>
      <c r="U476" s="89"/>
      <c r="V476" s="86"/>
      <c r="W476" s="86"/>
      <c r="X476" s="89"/>
      <c r="Y476" s="86"/>
      <c r="Z476" s="86"/>
      <c r="AA476" s="89"/>
      <c r="AB476" s="86"/>
      <c r="AC476" s="86"/>
      <c r="AD476" s="89"/>
      <c r="AE476" s="86"/>
      <c r="AF476" s="86"/>
      <c r="AG476" s="89"/>
    </row>
    <row r="477" spans="1:33" ht="15.75" thickBot="1" x14ac:dyDescent="0.3">
      <c r="A477" s="68"/>
      <c r="B477" s="68"/>
      <c r="D477" s="87"/>
      <c r="E477" s="87"/>
      <c r="F477" s="90"/>
      <c r="G477" s="87"/>
      <c r="H477" s="87"/>
      <c r="I477" s="90"/>
      <c r="J477" s="87"/>
      <c r="K477" s="87"/>
      <c r="L477" s="90"/>
      <c r="M477" s="87"/>
      <c r="N477" s="87"/>
      <c r="O477" s="90"/>
      <c r="P477" s="87"/>
      <c r="Q477" s="87"/>
      <c r="R477" s="90"/>
      <c r="S477" s="87"/>
      <c r="T477" s="87"/>
      <c r="U477" s="90"/>
      <c r="V477" s="87"/>
      <c r="W477" s="87"/>
      <c r="X477" s="90"/>
      <c r="Y477" s="87"/>
      <c r="Z477" s="87"/>
      <c r="AA477" s="90"/>
      <c r="AB477" s="87"/>
      <c r="AC477" s="87"/>
      <c r="AD477" s="90"/>
      <c r="AE477" s="87"/>
      <c r="AF477" s="87"/>
      <c r="AG477" s="90"/>
    </row>
    <row r="478" spans="1:33" ht="15.75" thickBot="1" x14ac:dyDescent="0.3">
      <c r="A478" s="68"/>
      <c r="B478" s="68"/>
      <c r="D478" s="88"/>
      <c r="E478" s="88"/>
      <c r="F478" s="91"/>
      <c r="G478" s="88"/>
      <c r="H478" s="88"/>
      <c r="I478" s="91"/>
      <c r="J478" s="88"/>
      <c r="K478" s="88"/>
      <c r="L478" s="91"/>
      <c r="M478" s="88"/>
      <c r="N478" s="88"/>
      <c r="O478" s="91"/>
      <c r="P478" s="88"/>
      <c r="Q478" s="88"/>
      <c r="R478" s="91"/>
      <c r="S478" s="88"/>
      <c r="T478" s="88"/>
      <c r="U478" s="91"/>
      <c r="V478" s="88"/>
      <c r="W478" s="88"/>
      <c r="X478" s="91"/>
      <c r="Y478" s="88"/>
      <c r="Z478" s="88"/>
      <c r="AA478" s="91"/>
      <c r="AB478" s="88"/>
      <c r="AC478" s="88"/>
      <c r="AD478" s="91"/>
      <c r="AE478" s="88"/>
      <c r="AF478" s="88"/>
      <c r="AG478" s="91"/>
    </row>
    <row r="480" spans="1:33" ht="15.75" thickBot="1" x14ac:dyDescent="0.3"/>
    <row r="481" spans="1:33" ht="15.75" thickBot="1" x14ac:dyDescent="0.3">
      <c r="A481" s="68" t="s">
        <v>269</v>
      </c>
      <c r="B481" s="68"/>
      <c r="D481" s="52" t="s">
        <v>27</v>
      </c>
      <c r="E481" s="52"/>
      <c r="F481" s="52"/>
      <c r="G481" s="73" t="s">
        <v>28</v>
      </c>
      <c r="H481" s="73"/>
      <c r="I481" s="73"/>
      <c r="J481" s="52" t="s">
        <v>29</v>
      </c>
      <c r="K481" s="52"/>
      <c r="L481" s="52"/>
      <c r="M481" s="73" t="s">
        <v>30</v>
      </c>
      <c r="N481" s="73"/>
      <c r="O481" s="73"/>
      <c r="P481" s="52" t="s">
        <v>31</v>
      </c>
      <c r="Q481" s="52"/>
      <c r="R481" s="52"/>
      <c r="S481" s="73" t="s">
        <v>32</v>
      </c>
      <c r="T481" s="73"/>
      <c r="U481" s="73"/>
      <c r="V481" s="52" t="s">
        <v>33</v>
      </c>
      <c r="W481" s="52"/>
      <c r="X481" s="52"/>
      <c r="Y481" s="73" t="s">
        <v>34</v>
      </c>
      <c r="Z481" s="73"/>
      <c r="AA481" s="73"/>
      <c r="AB481" s="52" t="s">
        <v>35</v>
      </c>
      <c r="AC481" s="52"/>
      <c r="AD481" s="52"/>
      <c r="AE481" s="73" t="s">
        <v>36</v>
      </c>
      <c r="AF481" s="73"/>
      <c r="AG481" s="73"/>
    </row>
    <row r="482" spans="1:33" ht="15.75" thickBot="1" x14ac:dyDescent="0.3">
      <c r="A482" s="68"/>
      <c r="B482" s="68"/>
      <c r="C482" s="105" t="s">
        <v>243</v>
      </c>
      <c r="D482" s="75">
        <v>0</v>
      </c>
      <c r="E482" s="75"/>
      <c r="F482" s="76"/>
      <c r="G482" s="74">
        <v>0</v>
      </c>
      <c r="H482" s="75"/>
      <c r="I482" s="76"/>
      <c r="J482" s="74">
        <v>0</v>
      </c>
      <c r="K482" s="75"/>
      <c r="L482" s="76"/>
      <c r="M482" s="74">
        <v>0</v>
      </c>
      <c r="N482" s="75"/>
      <c r="O482" s="76"/>
      <c r="P482" s="74">
        <v>0</v>
      </c>
      <c r="Q482" s="75"/>
      <c r="R482" s="76"/>
      <c r="S482" s="74">
        <v>0</v>
      </c>
      <c r="T482" s="75"/>
      <c r="U482" s="76"/>
      <c r="V482" s="74">
        <v>0</v>
      </c>
      <c r="W482" s="75"/>
      <c r="X482" s="76"/>
      <c r="Y482" s="74">
        <v>0</v>
      </c>
      <c r="Z482" s="75"/>
      <c r="AA482" s="76"/>
      <c r="AB482" s="74">
        <v>0</v>
      </c>
      <c r="AC482" s="75"/>
      <c r="AD482" s="76"/>
      <c r="AE482" s="74">
        <v>0</v>
      </c>
      <c r="AF482" s="75"/>
      <c r="AG482" s="76"/>
    </row>
    <row r="483" spans="1:33" ht="15.75" thickBot="1" x14ac:dyDescent="0.3">
      <c r="A483" s="68"/>
      <c r="B483" s="68"/>
      <c r="C483" s="106" t="s">
        <v>244</v>
      </c>
      <c r="D483" s="82">
        <v>0</v>
      </c>
      <c r="E483" s="82"/>
      <c r="F483" s="84"/>
      <c r="G483" s="85">
        <v>0</v>
      </c>
      <c r="H483" s="82"/>
      <c r="I483" s="84"/>
      <c r="J483" s="85">
        <v>0</v>
      </c>
      <c r="K483" s="82"/>
      <c r="L483" s="84"/>
      <c r="M483" s="85">
        <v>0</v>
      </c>
      <c r="N483" s="82"/>
      <c r="O483" s="82"/>
      <c r="P483" s="81">
        <v>0</v>
      </c>
      <c r="Q483" s="82"/>
      <c r="R483" s="83"/>
      <c r="S483" s="82">
        <v>0</v>
      </c>
      <c r="T483" s="82"/>
      <c r="U483" s="84"/>
      <c r="V483" s="85">
        <v>0</v>
      </c>
      <c r="W483" s="82"/>
      <c r="X483" s="84"/>
      <c r="Y483" s="85">
        <v>0</v>
      </c>
      <c r="Z483" s="82"/>
      <c r="AA483" s="84"/>
      <c r="AB483" s="85">
        <v>0</v>
      </c>
      <c r="AC483" s="82"/>
      <c r="AD483" s="84"/>
      <c r="AE483" s="85">
        <v>0</v>
      </c>
      <c r="AF483" s="82"/>
      <c r="AG483" s="84"/>
    </row>
    <row r="484" spans="1:33" ht="15.75" thickBot="1" x14ac:dyDescent="0.3">
      <c r="A484" s="68"/>
      <c r="B484" s="68"/>
      <c r="C484" s="107" t="s">
        <v>37</v>
      </c>
      <c r="D484" s="104"/>
      <c r="E484" s="86"/>
      <c r="F484" s="89"/>
      <c r="G484" s="86"/>
      <c r="H484" s="86"/>
      <c r="I484" s="89"/>
      <c r="J484" s="86"/>
      <c r="K484" s="86"/>
      <c r="L484" s="89"/>
      <c r="M484" s="86"/>
      <c r="N484" s="86"/>
      <c r="O484" s="89"/>
      <c r="P484" s="86"/>
      <c r="Q484" s="86"/>
      <c r="R484" s="89"/>
      <c r="S484" s="86"/>
      <c r="T484" s="86"/>
      <c r="U484" s="89"/>
      <c r="V484" s="86"/>
      <c r="W484" s="86"/>
      <c r="X484" s="89"/>
      <c r="Y484" s="86"/>
      <c r="Z484" s="86"/>
      <c r="AA484" s="89"/>
      <c r="AB484" s="86"/>
      <c r="AC484" s="86"/>
      <c r="AD484" s="89"/>
      <c r="AE484" s="86"/>
      <c r="AF484" s="86"/>
      <c r="AG484" s="89"/>
    </row>
    <row r="485" spans="1:33" ht="15.75" thickBot="1" x14ac:dyDescent="0.3">
      <c r="A485" s="68"/>
      <c r="B485" s="68"/>
      <c r="D485" s="87"/>
      <c r="E485" s="87"/>
      <c r="F485" s="90"/>
      <c r="G485" s="87"/>
      <c r="H485" s="87"/>
      <c r="I485" s="90"/>
      <c r="J485" s="87"/>
      <c r="K485" s="87"/>
      <c r="L485" s="90"/>
      <c r="M485" s="87"/>
      <c r="N485" s="87"/>
      <c r="O485" s="90"/>
      <c r="P485" s="87"/>
      <c r="Q485" s="87"/>
      <c r="R485" s="90"/>
      <c r="S485" s="87"/>
      <c r="T485" s="87"/>
      <c r="U485" s="90"/>
      <c r="V485" s="87"/>
      <c r="W485" s="87"/>
      <c r="X485" s="90"/>
      <c r="Y485" s="87"/>
      <c r="Z485" s="87"/>
      <c r="AA485" s="90"/>
      <c r="AB485" s="87"/>
      <c r="AC485" s="87"/>
      <c r="AD485" s="90"/>
      <c r="AE485" s="87"/>
      <c r="AF485" s="87"/>
      <c r="AG485" s="90"/>
    </row>
    <row r="486" spans="1:33" ht="15.75" thickBot="1" x14ac:dyDescent="0.3">
      <c r="A486" s="68"/>
      <c r="B486" s="68"/>
      <c r="D486" s="88"/>
      <c r="E486" s="88"/>
      <c r="F486" s="91"/>
      <c r="G486" s="88"/>
      <c r="H486" s="88"/>
      <c r="I486" s="91"/>
      <c r="J486" s="88"/>
      <c r="K486" s="88"/>
      <c r="L486" s="91"/>
      <c r="M486" s="88"/>
      <c r="N486" s="88"/>
      <c r="O486" s="91"/>
      <c r="P486" s="88"/>
      <c r="Q486" s="88"/>
      <c r="R486" s="91"/>
      <c r="S486" s="88"/>
      <c r="T486" s="88"/>
      <c r="U486" s="91"/>
      <c r="V486" s="88"/>
      <c r="W486" s="88"/>
      <c r="X486" s="91"/>
      <c r="Y486" s="88"/>
      <c r="Z486" s="88"/>
      <c r="AA486" s="91"/>
      <c r="AB486" s="88"/>
      <c r="AC486" s="88"/>
      <c r="AD486" s="91"/>
      <c r="AE486" s="88"/>
      <c r="AF486" s="88"/>
      <c r="AG486" s="91"/>
    </row>
    <row r="488" spans="1:33" ht="15.75" thickBot="1" x14ac:dyDescent="0.3"/>
    <row r="489" spans="1:33" ht="15.75" thickBot="1" x14ac:dyDescent="0.3">
      <c r="A489" s="68" t="s">
        <v>239</v>
      </c>
      <c r="B489" s="68"/>
      <c r="D489" s="52" t="s">
        <v>27</v>
      </c>
      <c r="E489" s="52"/>
      <c r="F489" s="52"/>
      <c r="G489" s="73" t="s">
        <v>28</v>
      </c>
      <c r="H489" s="73"/>
      <c r="I489" s="73"/>
      <c r="J489" s="52" t="s">
        <v>29</v>
      </c>
      <c r="K489" s="52"/>
      <c r="L489" s="52"/>
      <c r="M489" s="73" t="s">
        <v>30</v>
      </c>
      <c r="N489" s="73"/>
      <c r="O489" s="73"/>
      <c r="P489" s="52" t="s">
        <v>31</v>
      </c>
      <c r="Q489" s="52"/>
      <c r="R489" s="52"/>
      <c r="S489" s="73" t="s">
        <v>32</v>
      </c>
      <c r="T489" s="73"/>
      <c r="U489" s="73"/>
      <c r="V489" s="52" t="s">
        <v>33</v>
      </c>
      <c r="W489" s="52"/>
      <c r="X489" s="52"/>
      <c r="Y489" s="73" t="s">
        <v>34</v>
      </c>
      <c r="Z489" s="73"/>
      <c r="AA489" s="73"/>
      <c r="AB489" s="52" t="s">
        <v>35</v>
      </c>
      <c r="AC489" s="52"/>
      <c r="AD489" s="52"/>
      <c r="AE489" s="73" t="s">
        <v>36</v>
      </c>
      <c r="AF489" s="73"/>
      <c r="AG489" s="73"/>
    </row>
    <row r="490" spans="1:33" ht="15.75" thickBot="1" x14ac:dyDescent="0.3">
      <c r="A490" s="68"/>
      <c r="B490" s="68"/>
      <c r="C490" s="105" t="s">
        <v>243</v>
      </c>
      <c r="D490" s="75">
        <v>0</v>
      </c>
      <c r="E490" s="75"/>
      <c r="F490" s="76"/>
      <c r="G490" s="74">
        <v>0</v>
      </c>
      <c r="H490" s="75"/>
      <c r="I490" s="76"/>
      <c r="J490" s="74">
        <v>0</v>
      </c>
      <c r="K490" s="75"/>
      <c r="L490" s="76"/>
      <c r="M490" s="74">
        <v>0</v>
      </c>
      <c r="N490" s="75"/>
      <c r="O490" s="76"/>
      <c r="P490" s="74">
        <v>0</v>
      </c>
      <c r="Q490" s="75"/>
      <c r="R490" s="76"/>
      <c r="S490" s="74">
        <v>0</v>
      </c>
      <c r="T490" s="75"/>
      <c r="U490" s="76"/>
      <c r="V490" s="74">
        <v>0</v>
      </c>
      <c r="W490" s="75"/>
      <c r="X490" s="76"/>
      <c r="Y490" s="74">
        <v>0</v>
      </c>
      <c r="Z490" s="75"/>
      <c r="AA490" s="76"/>
      <c r="AB490" s="74">
        <v>0</v>
      </c>
      <c r="AC490" s="75"/>
      <c r="AD490" s="76"/>
      <c r="AE490" s="74">
        <v>0</v>
      </c>
      <c r="AF490" s="75"/>
      <c r="AG490" s="76"/>
    </row>
    <row r="491" spans="1:33" ht="15.75" thickBot="1" x14ac:dyDescent="0.3">
      <c r="A491" s="68"/>
      <c r="B491" s="68"/>
      <c r="C491" s="106" t="s">
        <v>244</v>
      </c>
      <c r="D491" s="82">
        <v>0</v>
      </c>
      <c r="E491" s="82"/>
      <c r="F491" s="84"/>
      <c r="G491" s="85">
        <v>0</v>
      </c>
      <c r="H491" s="82"/>
      <c r="I491" s="84"/>
      <c r="J491" s="85">
        <v>0</v>
      </c>
      <c r="K491" s="82"/>
      <c r="L491" s="84"/>
      <c r="M491" s="85">
        <v>0</v>
      </c>
      <c r="N491" s="82"/>
      <c r="O491" s="82"/>
      <c r="P491" s="81">
        <v>0</v>
      </c>
      <c r="Q491" s="82"/>
      <c r="R491" s="83"/>
      <c r="S491" s="82">
        <v>0</v>
      </c>
      <c r="T491" s="82"/>
      <c r="U491" s="84"/>
      <c r="V491" s="85">
        <v>0</v>
      </c>
      <c r="W491" s="82"/>
      <c r="X491" s="84"/>
      <c r="Y491" s="85">
        <v>0</v>
      </c>
      <c r="Z491" s="82"/>
      <c r="AA491" s="84"/>
      <c r="AB491" s="85">
        <v>0</v>
      </c>
      <c r="AC491" s="82"/>
      <c r="AD491" s="84"/>
      <c r="AE491" s="85">
        <v>0</v>
      </c>
      <c r="AF491" s="82"/>
      <c r="AG491" s="84"/>
    </row>
    <row r="492" spans="1:33" ht="15.75" thickBot="1" x14ac:dyDescent="0.3">
      <c r="A492" s="68"/>
      <c r="B492" s="68"/>
      <c r="C492" s="107" t="s">
        <v>37</v>
      </c>
      <c r="D492" s="104"/>
      <c r="E492" s="86"/>
      <c r="F492" s="89"/>
      <c r="G492" s="86"/>
      <c r="H492" s="86"/>
      <c r="I492" s="89"/>
      <c r="J492" s="86"/>
      <c r="K492" s="86"/>
      <c r="L492" s="89"/>
      <c r="M492" s="86"/>
      <c r="N492" s="86"/>
      <c r="O492" s="89"/>
      <c r="P492" s="86"/>
      <c r="Q492" s="86"/>
      <c r="R492" s="89"/>
      <c r="S492" s="86"/>
      <c r="T492" s="86"/>
      <c r="U492" s="89"/>
      <c r="V492" s="86"/>
      <c r="W492" s="86"/>
      <c r="X492" s="89"/>
      <c r="Y492" s="86"/>
      <c r="Z492" s="86"/>
      <c r="AA492" s="89"/>
      <c r="AB492" s="86"/>
      <c r="AC492" s="86"/>
      <c r="AD492" s="89"/>
      <c r="AE492" s="86"/>
      <c r="AF492" s="86"/>
      <c r="AG492" s="89"/>
    </row>
    <row r="493" spans="1:33" ht="15.75" thickBot="1" x14ac:dyDescent="0.3">
      <c r="A493" s="68"/>
      <c r="B493" s="68"/>
      <c r="D493" s="87"/>
      <c r="E493" s="87"/>
      <c r="F493" s="90"/>
      <c r="G493" s="87"/>
      <c r="H493" s="87"/>
      <c r="I493" s="90"/>
      <c r="J493" s="87"/>
      <c r="K493" s="87"/>
      <c r="L493" s="90"/>
      <c r="M493" s="87"/>
      <c r="N493" s="87"/>
      <c r="O493" s="90"/>
      <c r="P493" s="87"/>
      <c r="Q493" s="87"/>
      <c r="R493" s="90"/>
      <c r="S493" s="87"/>
      <c r="T493" s="87"/>
      <c r="U493" s="90"/>
      <c r="V493" s="87"/>
      <c r="W493" s="87"/>
      <c r="X493" s="90"/>
      <c r="Y493" s="87"/>
      <c r="Z493" s="87"/>
      <c r="AA493" s="90"/>
      <c r="AB493" s="87"/>
      <c r="AC493" s="87"/>
      <c r="AD493" s="90"/>
      <c r="AE493" s="87"/>
      <c r="AF493" s="87"/>
      <c r="AG493" s="90"/>
    </row>
    <row r="494" spans="1:33" ht="15.75" thickBot="1" x14ac:dyDescent="0.3">
      <c r="A494" s="68"/>
      <c r="B494" s="68"/>
      <c r="D494" s="88"/>
      <c r="E494" s="88"/>
      <c r="F494" s="91"/>
      <c r="G494" s="88"/>
      <c r="H494" s="88"/>
      <c r="I494" s="91"/>
      <c r="J494" s="88"/>
      <c r="K494" s="88"/>
      <c r="L494" s="91"/>
      <c r="M494" s="88"/>
      <c r="N494" s="88"/>
      <c r="O494" s="91"/>
      <c r="P494" s="88"/>
      <c r="Q494" s="88"/>
      <c r="R494" s="91"/>
      <c r="S494" s="88"/>
      <c r="T494" s="88"/>
      <c r="U494" s="91"/>
      <c r="V494" s="88"/>
      <c r="W494" s="88"/>
      <c r="X494" s="91"/>
      <c r="Y494" s="88"/>
      <c r="Z494" s="88"/>
      <c r="AA494" s="91"/>
      <c r="AB494" s="88"/>
      <c r="AC494" s="88"/>
      <c r="AD494" s="91"/>
      <c r="AE494" s="88"/>
      <c r="AF494" s="88"/>
      <c r="AG494" s="91"/>
    </row>
    <row r="496" spans="1:33" ht="15.75" thickBot="1" x14ac:dyDescent="0.3"/>
    <row r="497" spans="1:33" ht="15.75" thickBot="1" x14ac:dyDescent="0.3">
      <c r="A497" s="68" t="s">
        <v>270</v>
      </c>
      <c r="B497" s="68"/>
      <c r="D497" s="52" t="s">
        <v>27</v>
      </c>
      <c r="E497" s="52"/>
      <c r="F497" s="52"/>
      <c r="G497" s="73" t="s">
        <v>28</v>
      </c>
      <c r="H497" s="73"/>
      <c r="I497" s="73"/>
      <c r="J497" s="52" t="s">
        <v>29</v>
      </c>
      <c r="K497" s="52"/>
      <c r="L497" s="52"/>
      <c r="M497" s="73" t="s">
        <v>30</v>
      </c>
      <c r="N497" s="73"/>
      <c r="O497" s="73"/>
      <c r="P497" s="52" t="s">
        <v>31</v>
      </c>
      <c r="Q497" s="52"/>
      <c r="R497" s="52"/>
      <c r="S497" s="73" t="s">
        <v>32</v>
      </c>
      <c r="T497" s="73"/>
      <c r="U497" s="73"/>
      <c r="V497" s="52" t="s">
        <v>33</v>
      </c>
      <c r="W497" s="52"/>
      <c r="X497" s="52"/>
      <c r="Y497" s="73" t="s">
        <v>34</v>
      </c>
      <c r="Z497" s="73"/>
      <c r="AA497" s="73"/>
      <c r="AB497" s="52" t="s">
        <v>35</v>
      </c>
      <c r="AC497" s="52"/>
      <c r="AD497" s="52"/>
      <c r="AE497" s="73" t="s">
        <v>36</v>
      </c>
      <c r="AF497" s="73"/>
      <c r="AG497" s="73"/>
    </row>
    <row r="498" spans="1:33" ht="15.75" thickBot="1" x14ac:dyDescent="0.3">
      <c r="A498" s="68"/>
      <c r="B498" s="68"/>
      <c r="C498" s="105" t="s">
        <v>243</v>
      </c>
      <c r="D498" s="75">
        <v>0</v>
      </c>
      <c r="E498" s="75"/>
      <c r="F498" s="76"/>
      <c r="G498" s="74">
        <v>0</v>
      </c>
      <c r="H498" s="75"/>
      <c r="I498" s="76"/>
      <c r="J498" s="74">
        <v>0</v>
      </c>
      <c r="K498" s="75"/>
      <c r="L498" s="76"/>
      <c r="M498" s="74">
        <v>0</v>
      </c>
      <c r="N498" s="75"/>
      <c r="O498" s="76"/>
      <c r="P498" s="74">
        <v>0</v>
      </c>
      <c r="Q498" s="75"/>
      <c r="R498" s="76"/>
      <c r="S498" s="74">
        <v>0</v>
      </c>
      <c r="T498" s="75"/>
      <c r="U498" s="76"/>
      <c r="V498" s="74">
        <v>0</v>
      </c>
      <c r="W498" s="75"/>
      <c r="X498" s="76"/>
      <c r="Y498" s="74">
        <v>0</v>
      </c>
      <c r="Z498" s="75"/>
      <c r="AA498" s="76"/>
      <c r="AB498" s="74">
        <v>0</v>
      </c>
      <c r="AC498" s="75"/>
      <c r="AD498" s="76"/>
      <c r="AE498" s="74">
        <v>0</v>
      </c>
      <c r="AF498" s="75"/>
      <c r="AG498" s="76"/>
    </row>
    <row r="499" spans="1:33" ht="15.75" thickBot="1" x14ac:dyDescent="0.3">
      <c r="A499" s="68"/>
      <c r="B499" s="68"/>
      <c r="C499" s="106" t="s">
        <v>244</v>
      </c>
      <c r="D499" s="82">
        <v>0</v>
      </c>
      <c r="E499" s="82"/>
      <c r="F499" s="84"/>
      <c r="G499" s="85">
        <v>0</v>
      </c>
      <c r="H499" s="82"/>
      <c r="I499" s="84"/>
      <c r="J499" s="85">
        <v>0</v>
      </c>
      <c r="K499" s="82"/>
      <c r="L499" s="84"/>
      <c r="M499" s="85">
        <v>0</v>
      </c>
      <c r="N499" s="82"/>
      <c r="O499" s="82"/>
      <c r="P499" s="81">
        <v>0</v>
      </c>
      <c r="Q499" s="82"/>
      <c r="R499" s="83"/>
      <c r="S499" s="82">
        <v>0</v>
      </c>
      <c r="T499" s="82"/>
      <c r="U499" s="84"/>
      <c r="V499" s="85">
        <v>0</v>
      </c>
      <c r="W499" s="82"/>
      <c r="X499" s="84"/>
      <c r="Y499" s="85">
        <v>0</v>
      </c>
      <c r="Z499" s="82"/>
      <c r="AA499" s="84"/>
      <c r="AB499" s="85">
        <v>0</v>
      </c>
      <c r="AC499" s="82"/>
      <c r="AD499" s="84"/>
      <c r="AE499" s="85">
        <v>0</v>
      </c>
      <c r="AF499" s="82"/>
      <c r="AG499" s="84"/>
    </row>
    <row r="500" spans="1:33" ht="15.75" thickBot="1" x14ac:dyDescent="0.3">
      <c r="A500" s="68"/>
      <c r="B500" s="68"/>
      <c r="C500" s="107" t="s">
        <v>37</v>
      </c>
      <c r="D500" s="104"/>
      <c r="E500" s="86"/>
      <c r="F500" s="89"/>
      <c r="G500" s="86"/>
      <c r="H500" s="86"/>
      <c r="I500" s="89"/>
      <c r="J500" s="86"/>
      <c r="K500" s="86"/>
      <c r="L500" s="89"/>
      <c r="M500" s="86"/>
      <c r="N500" s="86"/>
      <c r="O500" s="89"/>
      <c r="P500" s="86"/>
      <c r="Q500" s="86"/>
      <c r="R500" s="89"/>
      <c r="S500" s="86"/>
      <c r="T500" s="86"/>
      <c r="U500" s="89"/>
      <c r="V500" s="86"/>
      <c r="W500" s="86"/>
      <c r="X500" s="89"/>
      <c r="Y500" s="86"/>
      <c r="Z500" s="86"/>
      <c r="AA500" s="89"/>
      <c r="AB500" s="86"/>
      <c r="AC500" s="86"/>
      <c r="AD500" s="89"/>
      <c r="AE500" s="86"/>
      <c r="AF500" s="86"/>
      <c r="AG500" s="89"/>
    </row>
    <row r="501" spans="1:33" ht="15.75" thickBot="1" x14ac:dyDescent="0.3">
      <c r="A501" s="68"/>
      <c r="B501" s="68"/>
      <c r="D501" s="87"/>
      <c r="E501" s="87"/>
      <c r="F501" s="90"/>
      <c r="G501" s="87"/>
      <c r="H501" s="87"/>
      <c r="I501" s="90"/>
      <c r="J501" s="87"/>
      <c r="K501" s="87"/>
      <c r="L501" s="90"/>
      <c r="M501" s="87"/>
      <c r="N501" s="87"/>
      <c r="O501" s="90"/>
      <c r="P501" s="87"/>
      <c r="Q501" s="87"/>
      <c r="R501" s="90"/>
      <c r="S501" s="87"/>
      <c r="T501" s="87"/>
      <c r="U501" s="90"/>
      <c r="V501" s="87"/>
      <c r="W501" s="87"/>
      <c r="X501" s="90"/>
      <c r="Y501" s="87"/>
      <c r="Z501" s="87"/>
      <c r="AA501" s="90"/>
      <c r="AB501" s="87"/>
      <c r="AC501" s="87"/>
      <c r="AD501" s="90"/>
      <c r="AE501" s="87"/>
      <c r="AF501" s="87"/>
      <c r="AG501" s="90"/>
    </row>
    <row r="502" spans="1:33" ht="15.75" thickBot="1" x14ac:dyDescent="0.3">
      <c r="A502" s="68"/>
      <c r="B502" s="68"/>
      <c r="D502" s="88"/>
      <c r="E502" s="88"/>
      <c r="F502" s="91"/>
      <c r="G502" s="88"/>
      <c r="H502" s="88"/>
      <c r="I502" s="91"/>
      <c r="J502" s="88"/>
      <c r="K502" s="88"/>
      <c r="L502" s="91"/>
      <c r="M502" s="88"/>
      <c r="N502" s="88"/>
      <c r="O502" s="91"/>
      <c r="P502" s="88"/>
      <c r="Q502" s="88"/>
      <c r="R502" s="91"/>
      <c r="S502" s="88"/>
      <c r="T502" s="88"/>
      <c r="U502" s="91"/>
      <c r="V502" s="88"/>
      <c r="W502" s="88"/>
      <c r="X502" s="91"/>
      <c r="Y502" s="88"/>
      <c r="Z502" s="88"/>
      <c r="AA502" s="91"/>
      <c r="AB502" s="88"/>
      <c r="AC502" s="88"/>
      <c r="AD502" s="91"/>
      <c r="AE502" s="88"/>
      <c r="AF502" s="88"/>
      <c r="AG502" s="91"/>
    </row>
    <row r="504" spans="1:33" ht="15.75" thickBot="1" x14ac:dyDescent="0.3"/>
    <row r="505" spans="1:33" ht="15.75" thickBot="1" x14ac:dyDescent="0.3">
      <c r="A505" s="68" t="s">
        <v>271</v>
      </c>
      <c r="B505" s="68"/>
      <c r="D505" s="52" t="s">
        <v>27</v>
      </c>
      <c r="E505" s="52"/>
      <c r="F505" s="52"/>
      <c r="G505" s="73" t="s">
        <v>28</v>
      </c>
      <c r="H505" s="73"/>
      <c r="I505" s="73"/>
      <c r="J505" s="52" t="s">
        <v>29</v>
      </c>
      <c r="K505" s="52"/>
      <c r="L505" s="52"/>
      <c r="M505" s="73" t="s">
        <v>30</v>
      </c>
      <c r="N505" s="73"/>
      <c r="O505" s="73"/>
      <c r="P505" s="52" t="s">
        <v>31</v>
      </c>
      <c r="Q505" s="52"/>
      <c r="R505" s="52"/>
      <c r="S505" s="73" t="s">
        <v>32</v>
      </c>
      <c r="T505" s="73"/>
      <c r="U505" s="73"/>
      <c r="V505" s="52" t="s">
        <v>33</v>
      </c>
      <c r="W505" s="52"/>
      <c r="X505" s="52"/>
      <c r="Y505" s="73" t="s">
        <v>34</v>
      </c>
      <c r="Z505" s="73"/>
      <c r="AA505" s="73"/>
      <c r="AB505" s="52" t="s">
        <v>35</v>
      </c>
      <c r="AC505" s="52"/>
      <c r="AD505" s="52"/>
      <c r="AE505" s="73" t="s">
        <v>36</v>
      </c>
      <c r="AF505" s="73"/>
      <c r="AG505" s="73"/>
    </row>
    <row r="506" spans="1:33" ht="15.75" thickBot="1" x14ac:dyDescent="0.3">
      <c r="A506" s="68"/>
      <c r="B506" s="68"/>
      <c r="C506" s="105" t="s">
        <v>243</v>
      </c>
      <c r="D506" s="75">
        <v>0</v>
      </c>
      <c r="E506" s="75"/>
      <c r="F506" s="76"/>
      <c r="G506" s="74">
        <v>0</v>
      </c>
      <c r="H506" s="75"/>
      <c r="I506" s="76"/>
      <c r="J506" s="74">
        <v>0</v>
      </c>
      <c r="K506" s="75"/>
      <c r="L506" s="76"/>
      <c r="M506" s="74">
        <v>0</v>
      </c>
      <c r="N506" s="75"/>
      <c r="O506" s="76"/>
      <c r="P506" s="74">
        <v>0</v>
      </c>
      <c r="Q506" s="75"/>
      <c r="R506" s="76"/>
      <c r="S506" s="74">
        <v>0</v>
      </c>
      <c r="T506" s="75"/>
      <c r="U506" s="76"/>
      <c r="V506" s="74">
        <v>0</v>
      </c>
      <c r="W506" s="75"/>
      <c r="X506" s="76"/>
      <c r="Y506" s="74">
        <v>0</v>
      </c>
      <c r="Z506" s="75"/>
      <c r="AA506" s="76"/>
      <c r="AB506" s="74">
        <v>0</v>
      </c>
      <c r="AC506" s="75"/>
      <c r="AD506" s="76"/>
      <c r="AE506" s="74">
        <v>0</v>
      </c>
      <c r="AF506" s="75"/>
      <c r="AG506" s="76"/>
    </row>
    <row r="507" spans="1:33" ht="15.75" thickBot="1" x14ac:dyDescent="0.3">
      <c r="A507" s="68"/>
      <c r="B507" s="68"/>
      <c r="C507" s="106" t="s">
        <v>244</v>
      </c>
      <c r="D507" s="82">
        <v>0</v>
      </c>
      <c r="E507" s="82"/>
      <c r="F507" s="84"/>
      <c r="G507" s="85">
        <v>0</v>
      </c>
      <c r="H507" s="82"/>
      <c r="I507" s="84"/>
      <c r="J507" s="85">
        <v>0</v>
      </c>
      <c r="K507" s="82"/>
      <c r="L507" s="84"/>
      <c r="M507" s="85">
        <v>0</v>
      </c>
      <c r="N507" s="82"/>
      <c r="O507" s="82"/>
      <c r="P507" s="81">
        <v>0</v>
      </c>
      <c r="Q507" s="82"/>
      <c r="R507" s="83"/>
      <c r="S507" s="82">
        <v>0</v>
      </c>
      <c r="T507" s="82"/>
      <c r="U507" s="84"/>
      <c r="V507" s="85">
        <v>0</v>
      </c>
      <c r="W507" s="82"/>
      <c r="X507" s="84"/>
      <c r="Y507" s="85">
        <v>0</v>
      </c>
      <c r="Z507" s="82"/>
      <c r="AA507" s="84"/>
      <c r="AB507" s="85">
        <v>0</v>
      </c>
      <c r="AC507" s="82"/>
      <c r="AD507" s="84"/>
      <c r="AE507" s="85">
        <v>0</v>
      </c>
      <c r="AF507" s="82"/>
      <c r="AG507" s="84"/>
    </row>
    <row r="508" spans="1:33" ht="15.75" thickBot="1" x14ac:dyDescent="0.3">
      <c r="A508" s="68"/>
      <c r="B508" s="68"/>
      <c r="C508" s="107" t="s">
        <v>37</v>
      </c>
      <c r="D508" s="104"/>
      <c r="E508" s="86"/>
      <c r="F508" s="89"/>
      <c r="G508" s="86"/>
      <c r="H508" s="86"/>
      <c r="I508" s="89"/>
      <c r="J508" s="86"/>
      <c r="K508" s="86"/>
      <c r="L508" s="89"/>
      <c r="M508" s="86"/>
      <c r="N508" s="86"/>
      <c r="O508" s="89"/>
      <c r="P508" s="86"/>
      <c r="Q508" s="86"/>
      <c r="R508" s="89"/>
      <c r="S508" s="86"/>
      <c r="T508" s="86"/>
      <c r="U508" s="89"/>
      <c r="V508" s="86"/>
      <c r="W508" s="86"/>
      <c r="X508" s="89"/>
      <c r="Y508" s="86"/>
      <c r="Z508" s="86"/>
      <c r="AA508" s="89"/>
      <c r="AB508" s="86"/>
      <c r="AC508" s="86"/>
      <c r="AD508" s="89"/>
      <c r="AE508" s="86"/>
      <c r="AF508" s="86"/>
      <c r="AG508" s="89"/>
    </row>
    <row r="509" spans="1:33" ht="15.75" thickBot="1" x14ac:dyDescent="0.3">
      <c r="A509" s="68"/>
      <c r="B509" s="68"/>
      <c r="D509" s="87"/>
      <c r="E509" s="87"/>
      <c r="F509" s="90"/>
      <c r="G509" s="87"/>
      <c r="H509" s="87"/>
      <c r="I509" s="90"/>
      <c r="J509" s="87"/>
      <c r="K509" s="87"/>
      <c r="L509" s="90"/>
      <c r="M509" s="87"/>
      <c r="N509" s="87"/>
      <c r="O509" s="90"/>
      <c r="P509" s="87"/>
      <c r="Q509" s="87"/>
      <c r="R509" s="90"/>
      <c r="S509" s="87"/>
      <c r="T509" s="87"/>
      <c r="U509" s="90"/>
      <c r="V509" s="87"/>
      <c r="W509" s="87"/>
      <c r="X509" s="90"/>
      <c r="Y509" s="87"/>
      <c r="Z509" s="87"/>
      <c r="AA509" s="90"/>
      <c r="AB509" s="87"/>
      <c r="AC509" s="87"/>
      <c r="AD509" s="90"/>
      <c r="AE509" s="87"/>
      <c r="AF509" s="87"/>
      <c r="AG509" s="90"/>
    </row>
    <row r="510" spans="1:33" ht="15.75" thickBot="1" x14ac:dyDescent="0.3">
      <c r="A510" s="68"/>
      <c r="B510" s="68"/>
      <c r="D510" s="88"/>
      <c r="E510" s="88"/>
      <c r="F510" s="91"/>
      <c r="G510" s="88"/>
      <c r="H510" s="88"/>
      <c r="I510" s="91"/>
      <c r="J510" s="88"/>
      <c r="K510" s="88"/>
      <c r="L510" s="91"/>
      <c r="M510" s="88"/>
      <c r="N510" s="88"/>
      <c r="O510" s="91"/>
      <c r="P510" s="88"/>
      <c r="Q510" s="88"/>
      <c r="R510" s="91"/>
      <c r="S510" s="88"/>
      <c r="T510" s="88"/>
      <c r="U510" s="91"/>
      <c r="V510" s="88"/>
      <c r="W510" s="88"/>
      <c r="X510" s="91"/>
      <c r="Y510" s="88"/>
      <c r="Z510" s="88"/>
      <c r="AA510" s="91"/>
      <c r="AB510" s="88"/>
      <c r="AC510" s="88"/>
      <c r="AD510" s="91"/>
      <c r="AE510" s="88"/>
      <c r="AF510" s="88"/>
      <c r="AG510" s="91"/>
    </row>
    <row r="512" spans="1:33" ht="15.75" thickBot="1" x14ac:dyDescent="0.3"/>
    <row r="513" spans="1:33" ht="15.75" thickBot="1" x14ac:dyDescent="0.3">
      <c r="A513" s="68" t="s">
        <v>272</v>
      </c>
      <c r="B513" s="68"/>
      <c r="D513" s="52" t="s">
        <v>27</v>
      </c>
      <c r="E513" s="52"/>
      <c r="F513" s="52"/>
      <c r="G513" s="73" t="s">
        <v>28</v>
      </c>
      <c r="H513" s="73"/>
      <c r="I513" s="73"/>
      <c r="J513" s="52" t="s">
        <v>29</v>
      </c>
      <c r="K513" s="52"/>
      <c r="L513" s="52"/>
      <c r="M513" s="73" t="s">
        <v>30</v>
      </c>
      <c r="N513" s="73"/>
      <c r="O513" s="73"/>
      <c r="P513" s="52" t="s">
        <v>31</v>
      </c>
      <c r="Q513" s="52"/>
      <c r="R513" s="52"/>
      <c r="S513" s="73" t="s">
        <v>32</v>
      </c>
      <c r="T513" s="73"/>
      <c r="U513" s="73"/>
      <c r="V513" s="52" t="s">
        <v>33</v>
      </c>
      <c r="W513" s="52"/>
      <c r="X513" s="52"/>
      <c r="Y513" s="73" t="s">
        <v>34</v>
      </c>
      <c r="Z513" s="73"/>
      <c r="AA513" s="73"/>
      <c r="AB513" s="52" t="s">
        <v>35</v>
      </c>
      <c r="AC513" s="52"/>
      <c r="AD513" s="52"/>
      <c r="AE513" s="73" t="s">
        <v>36</v>
      </c>
      <c r="AF513" s="73"/>
      <c r="AG513" s="73"/>
    </row>
    <row r="514" spans="1:33" ht="15.75" thickBot="1" x14ac:dyDescent="0.3">
      <c r="A514" s="68"/>
      <c r="B514" s="68"/>
      <c r="C514" s="105" t="s">
        <v>243</v>
      </c>
      <c r="D514" s="75">
        <v>0</v>
      </c>
      <c r="E514" s="75"/>
      <c r="F514" s="76"/>
      <c r="G514" s="74">
        <v>0</v>
      </c>
      <c r="H514" s="75"/>
      <c r="I514" s="76"/>
      <c r="J514" s="74">
        <v>0</v>
      </c>
      <c r="K514" s="75"/>
      <c r="L514" s="76"/>
      <c r="M514" s="74">
        <v>0</v>
      </c>
      <c r="N514" s="75"/>
      <c r="O514" s="76"/>
      <c r="P514" s="74">
        <v>0</v>
      </c>
      <c r="Q514" s="75"/>
      <c r="R514" s="76"/>
      <c r="S514" s="74">
        <v>0</v>
      </c>
      <c r="T514" s="75"/>
      <c r="U514" s="76"/>
      <c r="V514" s="74">
        <v>0</v>
      </c>
      <c r="W514" s="75"/>
      <c r="X514" s="76"/>
      <c r="Y514" s="74">
        <v>0</v>
      </c>
      <c r="Z514" s="75"/>
      <c r="AA514" s="76"/>
      <c r="AB514" s="74">
        <v>0</v>
      </c>
      <c r="AC514" s="75"/>
      <c r="AD514" s="76"/>
      <c r="AE514" s="74">
        <v>0</v>
      </c>
      <c r="AF514" s="75"/>
      <c r="AG514" s="76"/>
    </row>
    <row r="515" spans="1:33" ht="15.75" thickBot="1" x14ac:dyDescent="0.3">
      <c r="A515" s="68"/>
      <c r="B515" s="68"/>
      <c r="C515" s="106" t="s">
        <v>244</v>
      </c>
      <c r="D515" s="82">
        <v>0</v>
      </c>
      <c r="E515" s="82"/>
      <c r="F515" s="84"/>
      <c r="G515" s="85">
        <v>0</v>
      </c>
      <c r="H515" s="82"/>
      <c r="I515" s="84"/>
      <c r="J515" s="85">
        <v>0</v>
      </c>
      <c r="K515" s="82"/>
      <c r="L515" s="84"/>
      <c r="M515" s="85">
        <v>0</v>
      </c>
      <c r="N515" s="82"/>
      <c r="O515" s="82"/>
      <c r="P515" s="81">
        <v>0</v>
      </c>
      <c r="Q515" s="82"/>
      <c r="R515" s="83"/>
      <c r="S515" s="82">
        <v>0</v>
      </c>
      <c r="T515" s="82"/>
      <c r="U515" s="84"/>
      <c r="V515" s="85">
        <v>0</v>
      </c>
      <c r="W515" s="82"/>
      <c r="X515" s="84"/>
      <c r="Y515" s="85">
        <v>0</v>
      </c>
      <c r="Z515" s="82"/>
      <c r="AA515" s="84"/>
      <c r="AB515" s="85">
        <v>0</v>
      </c>
      <c r="AC515" s="82"/>
      <c r="AD515" s="84"/>
      <c r="AE515" s="85">
        <v>0</v>
      </c>
      <c r="AF515" s="82"/>
      <c r="AG515" s="84"/>
    </row>
    <row r="516" spans="1:33" ht="15.75" thickBot="1" x14ac:dyDescent="0.3">
      <c r="A516" s="68"/>
      <c r="B516" s="68"/>
      <c r="C516" s="107" t="s">
        <v>37</v>
      </c>
      <c r="D516" s="104"/>
      <c r="E516" s="86"/>
      <c r="F516" s="89"/>
      <c r="G516" s="86"/>
      <c r="H516" s="86"/>
      <c r="I516" s="89"/>
      <c r="J516" s="86"/>
      <c r="K516" s="86"/>
      <c r="L516" s="89"/>
      <c r="M516" s="86"/>
      <c r="N516" s="86"/>
      <c r="O516" s="89"/>
      <c r="P516" s="86"/>
      <c r="Q516" s="86"/>
      <c r="R516" s="89"/>
      <c r="S516" s="86"/>
      <c r="T516" s="86"/>
      <c r="U516" s="89"/>
      <c r="V516" s="86"/>
      <c r="W516" s="86"/>
      <c r="X516" s="89"/>
      <c r="Y516" s="86"/>
      <c r="Z516" s="86"/>
      <c r="AA516" s="89"/>
      <c r="AB516" s="86"/>
      <c r="AC516" s="86"/>
      <c r="AD516" s="89"/>
      <c r="AE516" s="86"/>
      <c r="AF516" s="86"/>
      <c r="AG516" s="89"/>
    </row>
    <row r="517" spans="1:33" ht="15.75" thickBot="1" x14ac:dyDescent="0.3">
      <c r="A517" s="68"/>
      <c r="B517" s="68"/>
      <c r="D517" s="87"/>
      <c r="E517" s="87"/>
      <c r="F517" s="90"/>
      <c r="G517" s="87"/>
      <c r="H517" s="87"/>
      <c r="I517" s="90"/>
      <c r="J517" s="87"/>
      <c r="K517" s="87"/>
      <c r="L517" s="90"/>
      <c r="M517" s="87"/>
      <c r="N517" s="87"/>
      <c r="O517" s="90"/>
      <c r="P517" s="87"/>
      <c r="Q517" s="87"/>
      <c r="R517" s="90"/>
      <c r="S517" s="87"/>
      <c r="T517" s="87"/>
      <c r="U517" s="90"/>
      <c r="V517" s="87"/>
      <c r="W517" s="87"/>
      <c r="X517" s="90"/>
      <c r="Y517" s="87"/>
      <c r="Z517" s="87"/>
      <c r="AA517" s="90"/>
      <c r="AB517" s="87"/>
      <c r="AC517" s="87"/>
      <c r="AD517" s="90"/>
      <c r="AE517" s="87"/>
      <c r="AF517" s="87"/>
      <c r="AG517" s="90"/>
    </row>
    <row r="518" spans="1:33" ht="15.75" thickBot="1" x14ac:dyDescent="0.3">
      <c r="A518" s="68"/>
      <c r="B518" s="68"/>
      <c r="D518" s="88"/>
      <c r="E518" s="88"/>
      <c r="F518" s="91"/>
      <c r="G518" s="88"/>
      <c r="H518" s="88"/>
      <c r="I518" s="91"/>
      <c r="J518" s="88"/>
      <c r="K518" s="88"/>
      <c r="L518" s="91"/>
      <c r="M518" s="88"/>
      <c r="N518" s="88"/>
      <c r="O518" s="91"/>
      <c r="P518" s="88"/>
      <c r="Q518" s="88"/>
      <c r="R518" s="91"/>
      <c r="S518" s="88"/>
      <c r="T518" s="88"/>
      <c r="U518" s="91"/>
      <c r="V518" s="88"/>
      <c r="W518" s="88"/>
      <c r="X518" s="91"/>
      <c r="Y518" s="88"/>
      <c r="Z518" s="88"/>
      <c r="AA518" s="91"/>
      <c r="AB518" s="88"/>
      <c r="AC518" s="88"/>
      <c r="AD518" s="91"/>
      <c r="AE518" s="88"/>
      <c r="AF518" s="88"/>
      <c r="AG518" s="91"/>
    </row>
    <row r="520" spans="1:33" ht="15.75" thickBot="1" x14ac:dyDescent="0.3"/>
    <row r="521" spans="1:33" ht="15.75" thickBot="1" x14ac:dyDescent="0.3">
      <c r="A521" s="68" t="s">
        <v>240</v>
      </c>
      <c r="B521" s="68"/>
      <c r="D521" s="52" t="s">
        <v>27</v>
      </c>
      <c r="E521" s="52"/>
      <c r="F521" s="52"/>
      <c r="G521" s="73" t="s">
        <v>28</v>
      </c>
      <c r="H521" s="73"/>
      <c r="I521" s="73"/>
      <c r="J521" s="52" t="s">
        <v>29</v>
      </c>
      <c r="K521" s="52"/>
      <c r="L521" s="52"/>
      <c r="M521" s="73" t="s">
        <v>30</v>
      </c>
      <c r="N521" s="73"/>
      <c r="O521" s="73"/>
      <c r="P521" s="52" t="s">
        <v>31</v>
      </c>
      <c r="Q521" s="52"/>
      <c r="R521" s="52"/>
      <c r="S521" s="73" t="s">
        <v>32</v>
      </c>
      <c r="T521" s="73"/>
      <c r="U521" s="73"/>
      <c r="V521" s="52" t="s">
        <v>33</v>
      </c>
      <c r="W521" s="52"/>
      <c r="X521" s="52"/>
      <c r="Y521" s="73" t="s">
        <v>34</v>
      </c>
      <c r="Z521" s="73"/>
      <c r="AA521" s="73"/>
      <c r="AB521" s="52" t="s">
        <v>35</v>
      </c>
      <c r="AC521" s="52"/>
      <c r="AD521" s="52"/>
      <c r="AE521" s="73" t="s">
        <v>36</v>
      </c>
      <c r="AF521" s="73"/>
      <c r="AG521" s="73"/>
    </row>
    <row r="522" spans="1:33" ht="15.75" thickBot="1" x14ac:dyDescent="0.3">
      <c r="A522" s="68"/>
      <c r="B522" s="68"/>
      <c r="C522" s="105" t="s">
        <v>243</v>
      </c>
      <c r="D522" s="75">
        <v>0</v>
      </c>
      <c r="E522" s="75"/>
      <c r="F522" s="76"/>
      <c r="G522" s="74">
        <v>0</v>
      </c>
      <c r="H522" s="75"/>
      <c r="I522" s="76"/>
      <c r="J522" s="74">
        <v>0</v>
      </c>
      <c r="K522" s="75"/>
      <c r="L522" s="76"/>
      <c r="M522" s="74">
        <v>0</v>
      </c>
      <c r="N522" s="75"/>
      <c r="O522" s="76"/>
      <c r="P522" s="74">
        <v>0</v>
      </c>
      <c r="Q522" s="75"/>
      <c r="R522" s="76"/>
      <c r="S522" s="74">
        <v>0</v>
      </c>
      <c r="T522" s="75"/>
      <c r="U522" s="76"/>
      <c r="V522" s="74">
        <v>0</v>
      </c>
      <c r="W522" s="75"/>
      <c r="X522" s="76"/>
      <c r="Y522" s="74">
        <v>0</v>
      </c>
      <c r="Z522" s="75"/>
      <c r="AA522" s="76"/>
      <c r="AB522" s="74">
        <v>0</v>
      </c>
      <c r="AC522" s="75"/>
      <c r="AD522" s="76"/>
      <c r="AE522" s="74">
        <v>0</v>
      </c>
      <c r="AF522" s="75"/>
      <c r="AG522" s="76"/>
    </row>
    <row r="523" spans="1:33" ht="15.75" thickBot="1" x14ac:dyDescent="0.3">
      <c r="A523" s="68"/>
      <c r="B523" s="68"/>
      <c r="C523" s="106" t="s">
        <v>244</v>
      </c>
      <c r="D523" s="82">
        <v>0</v>
      </c>
      <c r="E523" s="82"/>
      <c r="F523" s="84"/>
      <c r="G523" s="85">
        <v>0</v>
      </c>
      <c r="H523" s="82"/>
      <c r="I523" s="84"/>
      <c r="J523" s="85">
        <v>0</v>
      </c>
      <c r="K523" s="82"/>
      <c r="L523" s="84"/>
      <c r="M523" s="85">
        <v>0</v>
      </c>
      <c r="N523" s="82"/>
      <c r="O523" s="82"/>
      <c r="P523" s="81">
        <v>0</v>
      </c>
      <c r="Q523" s="82"/>
      <c r="R523" s="83"/>
      <c r="S523" s="82">
        <v>0</v>
      </c>
      <c r="T523" s="82"/>
      <c r="U523" s="84"/>
      <c r="V523" s="85">
        <v>0</v>
      </c>
      <c r="W523" s="82"/>
      <c r="X523" s="84"/>
      <c r="Y523" s="85">
        <v>0</v>
      </c>
      <c r="Z523" s="82"/>
      <c r="AA523" s="84"/>
      <c r="AB523" s="85">
        <v>0</v>
      </c>
      <c r="AC523" s="82"/>
      <c r="AD523" s="84"/>
      <c r="AE523" s="85">
        <v>0</v>
      </c>
      <c r="AF523" s="82"/>
      <c r="AG523" s="84"/>
    </row>
    <row r="524" spans="1:33" ht="15.75" thickBot="1" x14ac:dyDescent="0.3">
      <c r="A524" s="68"/>
      <c r="B524" s="68"/>
      <c r="C524" s="107" t="s">
        <v>37</v>
      </c>
      <c r="D524" s="104"/>
      <c r="E524" s="86"/>
      <c r="F524" s="89"/>
      <c r="G524" s="86"/>
      <c r="H524" s="86"/>
      <c r="I524" s="89"/>
      <c r="J524" s="86"/>
      <c r="K524" s="86"/>
      <c r="L524" s="89"/>
      <c r="M524" s="86"/>
      <c r="N524" s="86"/>
      <c r="O524" s="89"/>
      <c r="P524" s="86"/>
      <c r="Q524" s="86"/>
      <c r="R524" s="89"/>
      <c r="S524" s="86"/>
      <c r="T524" s="86"/>
      <c r="U524" s="89"/>
      <c r="V524" s="86"/>
      <c r="W524" s="86"/>
      <c r="X524" s="89"/>
      <c r="Y524" s="86"/>
      <c r="Z524" s="86"/>
      <c r="AA524" s="89"/>
      <c r="AB524" s="86"/>
      <c r="AC524" s="86"/>
      <c r="AD524" s="89"/>
      <c r="AE524" s="86"/>
      <c r="AF524" s="86"/>
      <c r="AG524" s="89"/>
    </row>
    <row r="525" spans="1:33" ht="15.75" thickBot="1" x14ac:dyDescent="0.3">
      <c r="A525" s="68"/>
      <c r="B525" s="68"/>
      <c r="D525" s="87"/>
      <c r="E525" s="87"/>
      <c r="F525" s="90"/>
      <c r="G525" s="87"/>
      <c r="H525" s="87"/>
      <c r="I525" s="90"/>
      <c r="J525" s="87"/>
      <c r="K525" s="87"/>
      <c r="L525" s="90"/>
      <c r="M525" s="87"/>
      <c r="N525" s="87"/>
      <c r="O525" s="90"/>
      <c r="P525" s="87"/>
      <c r="Q525" s="87"/>
      <c r="R525" s="90"/>
      <c r="S525" s="87"/>
      <c r="T525" s="87"/>
      <c r="U525" s="90"/>
      <c r="V525" s="87"/>
      <c r="W525" s="87"/>
      <c r="X525" s="90"/>
      <c r="Y525" s="87"/>
      <c r="Z525" s="87"/>
      <c r="AA525" s="90"/>
      <c r="AB525" s="87"/>
      <c r="AC525" s="87"/>
      <c r="AD525" s="90"/>
      <c r="AE525" s="87"/>
      <c r="AF525" s="87"/>
      <c r="AG525" s="90"/>
    </row>
    <row r="526" spans="1:33" ht="15.75" thickBot="1" x14ac:dyDescent="0.3">
      <c r="A526" s="68"/>
      <c r="B526" s="68"/>
      <c r="D526" s="88"/>
      <c r="E526" s="88"/>
      <c r="F526" s="91"/>
      <c r="G526" s="88"/>
      <c r="H526" s="88"/>
      <c r="I526" s="91"/>
      <c r="J526" s="88"/>
      <c r="K526" s="88"/>
      <c r="L526" s="91"/>
      <c r="M526" s="88"/>
      <c r="N526" s="88"/>
      <c r="O526" s="91"/>
      <c r="P526" s="88"/>
      <c r="Q526" s="88"/>
      <c r="R526" s="91"/>
      <c r="S526" s="88"/>
      <c r="T526" s="88"/>
      <c r="U526" s="91"/>
      <c r="V526" s="88"/>
      <c r="W526" s="88"/>
      <c r="X526" s="91"/>
      <c r="Y526" s="88"/>
      <c r="Z526" s="88"/>
      <c r="AA526" s="91"/>
      <c r="AB526" s="88"/>
      <c r="AC526" s="88"/>
      <c r="AD526" s="91"/>
      <c r="AE526" s="88"/>
      <c r="AF526" s="88"/>
      <c r="AG526" s="91"/>
    </row>
    <row r="528" spans="1:33" ht="15.75" thickBot="1" x14ac:dyDescent="0.3"/>
    <row r="529" spans="1:33" ht="15.75" thickBot="1" x14ac:dyDescent="0.3">
      <c r="A529" s="68" t="s">
        <v>273</v>
      </c>
      <c r="B529" s="68"/>
      <c r="D529" s="52" t="s">
        <v>27</v>
      </c>
      <c r="E529" s="52"/>
      <c r="F529" s="52"/>
      <c r="G529" s="73" t="s">
        <v>28</v>
      </c>
      <c r="H529" s="73"/>
      <c r="I529" s="73"/>
      <c r="J529" s="52" t="s">
        <v>29</v>
      </c>
      <c r="K529" s="52"/>
      <c r="L529" s="52"/>
      <c r="M529" s="73" t="s">
        <v>30</v>
      </c>
      <c r="N529" s="73"/>
      <c r="O529" s="73"/>
      <c r="P529" s="52" t="s">
        <v>31</v>
      </c>
      <c r="Q529" s="52"/>
      <c r="R529" s="52"/>
      <c r="S529" s="73" t="s">
        <v>32</v>
      </c>
      <c r="T529" s="73"/>
      <c r="U529" s="73"/>
      <c r="V529" s="52" t="s">
        <v>33</v>
      </c>
      <c r="W529" s="52"/>
      <c r="X529" s="52"/>
      <c r="Y529" s="73" t="s">
        <v>34</v>
      </c>
      <c r="Z529" s="73"/>
      <c r="AA529" s="73"/>
      <c r="AB529" s="52" t="s">
        <v>35</v>
      </c>
      <c r="AC529" s="52"/>
      <c r="AD529" s="52"/>
      <c r="AE529" s="73" t="s">
        <v>36</v>
      </c>
      <c r="AF529" s="73"/>
      <c r="AG529" s="73"/>
    </row>
    <row r="530" spans="1:33" ht="15.75" thickBot="1" x14ac:dyDescent="0.3">
      <c r="A530" s="68"/>
      <c r="B530" s="68"/>
      <c r="C530" s="105" t="s">
        <v>243</v>
      </c>
      <c r="D530" s="75">
        <v>0</v>
      </c>
      <c r="E530" s="75"/>
      <c r="F530" s="76"/>
      <c r="G530" s="74">
        <v>0</v>
      </c>
      <c r="H530" s="75"/>
      <c r="I530" s="76"/>
      <c r="J530" s="74">
        <v>0</v>
      </c>
      <c r="K530" s="75"/>
      <c r="L530" s="76"/>
      <c r="M530" s="74">
        <v>0</v>
      </c>
      <c r="N530" s="75"/>
      <c r="O530" s="76"/>
      <c r="P530" s="74">
        <v>0</v>
      </c>
      <c r="Q530" s="75"/>
      <c r="R530" s="76"/>
      <c r="S530" s="74">
        <v>0</v>
      </c>
      <c r="T530" s="75"/>
      <c r="U530" s="76"/>
      <c r="V530" s="74">
        <v>0</v>
      </c>
      <c r="W530" s="75"/>
      <c r="X530" s="76"/>
      <c r="Y530" s="74">
        <v>0</v>
      </c>
      <c r="Z530" s="75"/>
      <c r="AA530" s="76"/>
      <c r="AB530" s="74">
        <v>0</v>
      </c>
      <c r="AC530" s="75"/>
      <c r="AD530" s="76"/>
      <c r="AE530" s="74">
        <v>0</v>
      </c>
      <c r="AF530" s="75"/>
      <c r="AG530" s="76"/>
    </row>
    <row r="531" spans="1:33" ht="15.75" thickBot="1" x14ac:dyDescent="0.3">
      <c r="A531" s="68"/>
      <c r="B531" s="68"/>
      <c r="C531" s="106" t="s">
        <v>244</v>
      </c>
      <c r="D531" s="82">
        <v>0</v>
      </c>
      <c r="E531" s="82"/>
      <c r="F531" s="84"/>
      <c r="G531" s="85">
        <v>0</v>
      </c>
      <c r="H531" s="82"/>
      <c r="I531" s="84"/>
      <c r="J531" s="85">
        <v>0</v>
      </c>
      <c r="K531" s="82"/>
      <c r="L531" s="84"/>
      <c r="M531" s="85">
        <v>0</v>
      </c>
      <c r="N531" s="82"/>
      <c r="O531" s="82"/>
      <c r="P531" s="81">
        <v>0</v>
      </c>
      <c r="Q531" s="82"/>
      <c r="R531" s="83"/>
      <c r="S531" s="82">
        <v>0</v>
      </c>
      <c r="T531" s="82"/>
      <c r="U531" s="84"/>
      <c r="V531" s="85">
        <v>0</v>
      </c>
      <c r="W531" s="82"/>
      <c r="X531" s="84"/>
      <c r="Y531" s="85">
        <v>0</v>
      </c>
      <c r="Z531" s="82"/>
      <c r="AA531" s="84"/>
      <c r="AB531" s="85">
        <v>0</v>
      </c>
      <c r="AC531" s="82"/>
      <c r="AD531" s="84"/>
      <c r="AE531" s="85">
        <v>0</v>
      </c>
      <c r="AF531" s="82"/>
      <c r="AG531" s="84"/>
    </row>
    <row r="532" spans="1:33" ht="15.75" thickBot="1" x14ac:dyDescent="0.3">
      <c r="A532" s="68"/>
      <c r="B532" s="68"/>
      <c r="C532" s="107" t="s">
        <v>37</v>
      </c>
      <c r="D532" s="104"/>
      <c r="E532" s="86"/>
      <c r="F532" s="89"/>
      <c r="G532" s="86"/>
      <c r="H532" s="86"/>
      <c r="I532" s="89"/>
      <c r="J532" s="86"/>
      <c r="K532" s="86"/>
      <c r="L532" s="89"/>
      <c r="M532" s="86"/>
      <c r="N532" s="86"/>
      <c r="O532" s="89"/>
      <c r="P532" s="86"/>
      <c r="Q532" s="86"/>
      <c r="R532" s="89"/>
      <c r="S532" s="86"/>
      <c r="T532" s="86"/>
      <c r="U532" s="89"/>
      <c r="V532" s="86"/>
      <c r="W532" s="86"/>
      <c r="X532" s="89"/>
      <c r="Y532" s="86"/>
      <c r="Z532" s="86"/>
      <c r="AA532" s="89"/>
      <c r="AB532" s="86"/>
      <c r="AC532" s="86"/>
      <c r="AD532" s="89"/>
      <c r="AE532" s="86"/>
      <c r="AF532" s="86"/>
      <c r="AG532" s="89"/>
    </row>
    <row r="533" spans="1:33" ht="15.75" thickBot="1" x14ac:dyDescent="0.3">
      <c r="A533" s="68"/>
      <c r="B533" s="68"/>
      <c r="D533" s="87"/>
      <c r="E533" s="87"/>
      <c r="F533" s="90"/>
      <c r="G533" s="87"/>
      <c r="H533" s="87"/>
      <c r="I533" s="90"/>
      <c r="J533" s="87"/>
      <c r="K533" s="87"/>
      <c r="L533" s="90"/>
      <c r="M533" s="87"/>
      <c r="N533" s="87"/>
      <c r="O533" s="90"/>
      <c r="P533" s="87"/>
      <c r="Q533" s="87"/>
      <c r="R533" s="90"/>
      <c r="S533" s="87"/>
      <c r="T533" s="87"/>
      <c r="U533" s="90"/>
      <c r="V533" s="87"/>
      <c r="W533" s="87"/>
      <c r="X533" s="90"/>
      <c r="Y533" s="87"/>
      <c r="Z533" s="87"/>
      <c r="AA533" s="90"/>
      <c r="AB533" s="87"/>
      <c r="AC533" s="87"/>
      <c r="AD533" s="90"/>
      <c r="AE533" s="87"/>
      <c r="AF533" s="87"/>
      <c r="AG533" s="90"/>
    </row>
    <row r="534" spans="1:33" ht="15.75" thickBot="1" x14ac:dyDescent="0.3">
      <c r="A534" s="68"/>
      <c r="B534" s="68"/>
      <c r="D534" s="88"/>
      <c r="E534" s="88"/>
      <c r="F534" s="91"/>
      <c r="G534" s="88"/>
      <c r="H534" s="88"/>
      <c r="I534" s="91"/>
      <c r="J534" s="88"/>
      <c r="K534" s="88"/>
      <c r="L534" s="91"/>
      <c r="M534" s="88"/>
      <c r="N534" s="88"/>
      <c r="O534" s="91"/>
      <c r="P534" s="88"/>
      <c r="Q534" s="88"/>
      <c r="R534" s="91"/>
      <c r="S534" s="88"/>
      <c r="T534" s="88"/>
      <c r="U534" s="91"/>
      <c r="V534" s="88"/>
      <c r="W534" s="88"/>
      <c r="X534" s="91"/>
      <c r="Y534" s="88"/>
      <c r="Z534" s="88"/>
      <c r="AA534" s="91"/>
      <c r="AB534" s="88"/>
      <c r="AC534" s="88"/>
      <c r="AD534" s="91"/>
      <c r="AE534" s="88"/>
      <c r="AF534" s="88"/>
      <c r="AG534" s="91"/>
    </row>
    <row r="536" spans="1:33" ht="15.75" thickBot="1" x14ac:dyDescent="0.3"/>
    <row r="537" spans="1:33" ht="15.75" thickBot="1" x14ac:dyDescent="0.3">
      <c r="A537" s="68" t="s">
        <v>274</v>
      </c>
      <c r="B537" s="68"/>
      <c r="D537" s="52" t="s">
        <v>27</v>
      </c>
      <c r="E537" s="52"/>
      <c r="F537" s="52"/>
      <c r="G537" s="73" t="s">
        <v>28</v>
      </c>
      <c r="H537" s="73"/>
      <c r="I537" s="73"/>
      <c r="J537" s="52" t="s">
        <v>29</v>
      </c>
      <c r="K537" s="52"/>
      <c r="L537" s="52"/>
      <c r="M537" s="73" t="s">
        <v>30</v>
      </c>
      <c r="N537" s="73"/>
      <c r="O537" s="73"/>
      <c r="P537" s="52" t="s">
        <v>31</v>
      </c>
      <c r="Q537" s="52"/>
      <c r="R537" s="52"/>
      <c r="S537" s="73" t="s">
        <v>32</v>
      </c>
      <c r="T537" s="73"/>
      <c r="U537" s="73"/>
      <c r="V537" s="52" t="s">
        <v>33</v>
      </c>
      <c r="W537" s="52"/>
      <c r="X537" s="52"/>
      <c r="Y537" s="73" t="s">
        <v>34</v>
      </c>
      <c r="Z537" s="73"/>
      <c r="AA537" s="73"/>
      <c r="AB537" s="52" t="s">
        <v>35</v>
      </c>
      <c r="AC537" s="52"/>
      <c r="AD537" s="52"/>
      <c r="AE537" s="73" t="s">
        <v>36</v>
      </c>
      <c r="AF537" s="73"/>
      <c r="AG537" s="73"/>
    </row>
    <row r="538" spans="1:33" ht="15.75" thickBot="1" x14ac:dyDescent="0.3">
      <c r="A538" s="68"/>
      <c r="B538" s="68"/>
      <c r="C538" s="105" t="s">
        <v>243</v>
      </c>
      <c r="D538" s="75">
        <v>0</v>
      </c>
      <c r="E538" s="75"/>
      <c r="F538" s="76"/>
      <c r="G538" s="74">
        <v>0</v>
      </c>
      <c r="H538" s="75"/>
      <c r="I538" s="76"/>
      <c r="J538" s="74">
        <v>0</v>
      </c>
      <c r="K538" s="75"/>
      <c r="L538" s="76"/>
      <c r="M538" s="74">
        <v>0</v>
      </c>
      <c r="N538" s="75"/>
      <c r="O538" s="76"/>
      <c r="P538" s="74">
        <v>0</v>
      </c>
      <c r="Q538" s="75"/>
      <c r="R538" s="76"/>
      <c r="S538" s="74">
        <v>0</v>
      </c>
      <c r="T538" s="75"/>
      <c r="U538" s="76"/>
      <c r="V538" s="74">
        <v>0</v>
      </c>
      <c r="W538" s="75"/>
      <c r="X538" s="76"/>
      <c r="Y538" s="74">
        <v>0</v>
      </c>
      <c r="Z538" s="75"/>
      <c r="AA538" s="76"/>
      <c r="AB538" s="74">
        <v>0</v>
      </c>
      <c r="AC538" s="75"/>
      <c r="AD538" s="76"/>
      <c r="AE538" s="74">
        <v>0</v>
      </c>
      <c r="AF538" s="75"/>
      <c r="AG538" s="76"/>
    </row>
    <row r="539" spans="1:33" ht="15.75" thickBot="1" x14ac:dyDescent="0.3">
      <c r="A539" s="68"/>
      <c r="B539" s="68"/>
      <c r="C539" s="106" t="s">
        <v>244</v>
      </c>
      <c r="D539" s="82">
        <v>0</v>
      </c>
      <c r="E539" s="82"/>
      <c r="F539" s="84"/>
      <c r="G539" s="85">
        <v>0</v>
      </c>
      <c r="H539" s="82"/>
      <c r="I539" s="84"/>
      <c r="J539" s="85">
        <v>0</v>
      </c>
      <c r="K539" s="82"/>
      <c r="L539" s="84"/>
      <c r="M539" s="85">
        <v>0</v>
      </c>
      <c r="N539" s="82"/>
      <c r="O539" s="82"/>
      <c r="P539" s="81">
        <v>0</v>
      </c>
      <c r="Q539" s="82"/>
      <c r="R539" s="83"/>
      <c r="S539" s="82">
        <v>0</v>
      </c>
      <c r="T539" s="82"/>
      <c r="U539" s="84"/>
      <c r="V539" s="85">
        <v>0</v>
      </c>
      <c r="W539" s="82"/>
      <c r="X539" s="84"/>
      <c r="Y539" s="85">
        <v>0</v>
      </c>
      <c r="Z539" s="82"/>
      <c r="AA539" s="84"/>
      <c r="AB539" s="85">
        <v>0</v>
      </c>
      <c r="AC539" s="82"/>
      <c r="AD539" s="84"/>
      <c r="AE539" s="85">
        <v>0</v>
      </c>
      <c r="AF539" s="82"/>
      <c r="AG539" s="84"/>
    </row>
    <row r="540" spans="1:33" ht="15.75" thickBot="1" x14ac:dyDescent="0.3">
      <c r="A540" s="68"/>
      <c r="B540" s="68"/>
      <c r="C540" s="107" t="s">
        <v>37</v>
      </c>
      <c r="D540" s="104"/>
      <c r="E540" s="86"/>
      <c r="F540" s="89"/>
      <c r="G540" s="86"/>
      <c r="H540" s="86"/>
      <c r="I540" s="89"/>
      <c r="J540" s="86"/>
      <c r="K540" s="86"/>
      <c r="L540" s="89"/>
      <c r="M540" s="86"/>
      <c r="N540" s="86"/>
      <c r="O540" s="89"/>
      <c r="P540" s="86"/>
      <c r="Q540" s="86"/>
      <c r="R540" s="89"/>
      <c r="S540" s="86"/>
      <c r="T540" s="86"/>
      <c r="U540" s="89"/>
      <c r="V540" s="86"/>
      <c r="W540" s="86"/>
      <c r="X540" s="89"/>
      <c r="Y540" s="86"/>
      <c r="Z540" s="86"/>
      <c r="AA540" s="89"/>
      <c r="AB540" s="86"/>
      <c r="AC540" s="86"/>
      <c r="AD540" s="89"/>
      <c r="AE540" s="86"/>
      <c r="AF540" s="86"/>
      <c r="AG540" s="89"/>
    </row>
    <row r="541" spans="1:33" ht="15.75" thickBot="1" x14ac:dyDescent="0.3">
      <c r="A541" s="68"/>
      <c r="B541" s="68"/>
      <c r="D541" s="87"/>
      <c r="E541" s="87"/>
      <c r="F541" s="90"/>
      <c r="G541" s="87"/>
      <c r="H541" s="87"/>
      <c r="I541" s="90"/>
      <c r="J541" s="87"/>
      <c r="K541" s="87"/>
      <c r="L541" s="90"/>
      <c r="M541" s="87"/>
      <c r="N541" s="87"/>
      <c r="O541" s="90"/>
      <c r="P541" s="87"/>
      <c r="Q541" s="87"/>
      <c r="R541" s="90"/>
      <c r="S541" s="87"/>
      <c r="T541" s="87"/>
      <c r="U541" s="90"/>
      <c r="V541" s="87"/>
      <c r="W541" s="87"/>
      <c r="X541" s="90"/>
      <c r="Y541" s="87"/>
      <c r="Z541" s="87"/>
      <c r="AA541" s="90"/>
      <c r="AB541" s="87"/>
      <c r="AC541" s="87"/>
      <c r="AD541" s="90"/>
      <c r="AE541" s="87"/>
      <c r="AF541" s="87"/>
      <c r="AG541" s="90"/>
    </row>
    <row r="542" spans="1:33" ht="15.75" thickBot="1" x14ac:dyDescent="0.3">
      <c r="A542" s="68"/>
      <c r="B542" s="68"/>
      <c r="D542" s="88"/>
      <c r="E542" s="88"/>
      <c r="F542" s="91"/>
      <c r="G542" s="88"/>
      <c r="H542" s="88"/>
      <c r="I542" s="91"/>
      <c r="J542" s="88"/>
      <c r="K542" s="88"/>
      <c r="L542" s="91"/>
      <c r="M542" s="88"/>
      <c r="N542" s="88"/>
      <c r="O542" s="91"/>
      <c r="P542" s="88"/>
      <c r="Q542" s="88"/>
      <c r="R542" s="91"/>
      <c r="S542" s="88"/>
      <c r="T542" s="88"/>
      <c r="U542" s="91"/>
      <c r="V542" s="88"/>
      <c r="W542" s="88"/>
      <c r="X542" s="91"/>
      <c r="Y542" s="88"/>
      <c r="Z542" s="88"/>
      <c r="AA542" s="91"/>
      <c r="AB542" s="88"/>
      <c r="AC542" s="88"/>
      <c r="AD542" s="91"/>
      <c r="AE542" s="88"/>
      <c r="AF542" s="88"/>
      <c r="AG542" s="91"/>
    </row>
  </sheetData>
  <mergeCells count="4148">
    <mergeCell ref="V542:W542"/>
    <mergeCell ref="Y542:Z542"/>
    <mergeCell ref="AB542:AC542"/>
    <mergeCell ref="AE542:AF542"/>
    <mergeCell ref="V541:W541"/>
    <mergeCell ref="Y541:Z541"/>
    <mergeCell ref="AB541:AC541"/>
    <mergeCell ref="AE541:AF541"/>
    <mergeCell ref="D542:E542"/>
    <mergeCell ref="G542:H542"/>
    <mergeCell ref="J542:K542"/>
    <mergeCell ref="M542:N542"/>
    <mergeCell ref="P542:Q542"/>
    <mergeCell ref="S542:T542"/>
    <mergeCell ref="V540:W540"/>
    <mergeCell ref="Y540:Z540"/>
    <mergeCell ref="AB540:AC540"/>
    <mergeCell ref="AE540:AF540"/>
    <mergeCell ref="D541:E541"/>
    <mergeCell ref="G541:H541"/>
    <mergeCell ref="J541:K541"/>
    <mergeCell ref="M541:N541"/>
    <mergeCell ref="P541:Q541"/>
    <mergeCell ref="S541:T541"/>
    <mergeCell ref="V539:X539"/>
    <mergeCell ref="Y539:AA539"/>
    <mergeCell ref="AB539:AD539"/>
    <mergeCell ref="AE539:AG539"/>
    <mergeCell ref="D540:E540"/>
    <mergeCell ref="G540:H540"/>
    <mergeCell ref="J540:K540"/>
    <mergeCell ref="M540:N540"/>
    <mergeCell ref="P540:Q540"/>
    <mergeCell ref="S540:T540"/>
    <mergeCell ref="V538:X538"/>
    <mergeCell ref="Y538:AA538"/>
    <mergeCell ref="AB538:AD538"/>
    <mergeCell ref="AE538:AG538"/>
    <mergeCell ref="D539:F539"/>
    <mergeCell ref="G539:I539"/>
    <mergeCell ref="J539:L539"/>
    <mergeCell ref="M539:O539"/>
    <mergeCell ref="P539:R539"/>
    <mergeCell ref="S539:U539"/>
    <mergeCell ref="D538:F538"/>
    <mergeCell ref="G538:I538"/>
    <mergeCell ref="J538:L538"/>
    <mergeCell ref="M538:O538"/>
    <mergeCell ref="P538:R538"/>
    <mergeCell ref="S538:U538"/>
    <mergeCell ref="P537:R537"/>
    <mergeCell ref="S537:U537"/>
    <mergeCell ref="V537:X537"/>
    <mergeCell ref="Y537:AA537"/>
    <mergeCell ref="AB537:AD537"/>
    <mergeCell ref="AE537:AG537"/>
    <mergeCell ref="S534:T534"/>
    <mergeCell ref="V534:W534"/>
    <mergeCell ref="Y534:Z534"/>
    <mergeCell ref="AB534:AC534"/>
    <mergeCell ref="AE534:AF534"/>
    <mergeCell ref="A537:B542"/>
    <mergeCell ref="D537:F537"/>
    <mergeCell ref="G537:I537"/>
    <mergeCell ref="J537:L537"/>
    <mergeCell ref="M537:O537"/>
    <mergeCell ref="S533:T533"/>
    <mergeCell ref="V533:W533"/>
    <mergeCell ref="Y533:Z533"/>
    <mergeCell ref="AB533:AC533"/>
    <mergeCell ref="AE533:AF533"/>
    <mergeCell ref="D534:E534"/>
    <mergeCell ref="G534:H534"/>
    <mergeCell ref="J534:K534"/>
    <mergeCell ref="M534:N534"/>
    <mergeCell ref="P534:Q534"/>
    <mergeCell ref="S532:T532"/>
    <mergeCell ref="V532:W532"/>
    <mergeCell ref="Y532:Z532"/>
    <mergeCell ref="AB532:AC532"/>
    <mergeCell ref="AE532:AF532"/>
    <mergeCell ref="D533:E533"/>
    <mergeCell ref="G533:H533"/>
    <mergeCell ref="J533:K533"/>
    <mergeCell ref="M533:N533"/>
    <mergeCell ref="P533:Q533"/>
    <mergeCell ref="S531:U531"/>
    <mergeCell ref="V531:X531"/>
    <mergeCell ref="Y531:AA531"/>
    <mergeCell ref="AB531:AD531"/>
    <mergeCell ref="AE531:AG531"/>
    <mergeCell ref="D532:E532"/>
    <mergeCell ref="G532:H532"/>
    <mergeCell ref="J532:K532"/>
    <mergeCell ref="M532:N532"/>
    <mergeCell ref="P532:Q532"/>
    <mergeCell ref="S530:U530"/>
    <mergeCell ref="V530:X530"/>
    <mergeCell ref="Y530:AA530"/>
    <mergeCell ref="AB530:AD530"/>
    <mergeCell ref="AE530:AG530"/>
    <mergeCell ref="D531:F531"/>
    <mergeCell ref="G531:I531"/>
    <mergeCell ref="J531:L531"/>
    <mergeCell ref="M531:O531"/>
    <mergeCell ref="P531:R531"/>
    <mergeCell ref="S529:U529"/>
    <mergeCell ref="V529:X529"/>
    <mergeCell ref="Y529:AA529"/>
    <mergeCell ref="AB529:AD529"/>
    <mergeCell ref="AE529:AG529"/>
    <mergeCell ref="D530:F530"/>
    <mergeCell ref="G530:I530"/>
    <mergeCell ref="J530:L530"/>
    <mergeCell ref="M530:O530"/>
    <mergeCell ref="P530:R530"/>
    <mergeCell ref="V526:W526"/>
    <mergeCell ref="Y526:Z526"/>
    <mergeCell ref="AB526:AC526"/>
    <mergeCell ref="AE526:AF526"/>
    <mergeCell ref="A529:B534"/>
    <mergeCell ref="D529:F529"/>
    <mergeCell ref="G529:I529"/>
    <mergeCell ref="J529:L529"/>
    <mergeCell ref="M529:O529"/>
    <mergeCell ref="P529:R529"/>
    <mergeCell ref="V525:W525"/>
    <mergeCell ref="Y525:Z525"/>
    <mergeCell ref="AB525:AC525"/>
    <mergeCell ref="AE525:AF525"/>
    <mergeCell ref="D526:E526"/>
    <mergeCell ref="G526:H526"/>
    <mergeCell ref="J526:K526"/>
    <mergeCell ref="M526:N526"/>
    <mergeCell ref="P526:Q526"/>
    <mergeCell ref="S526:T526"/>
    <mergeCell ref="V524:W524"/>
    <mergeCell ref="Y524:Z524"/>
    <mergeCell ref="AB524:AC524"/>
    <mergeCell ref="AE524:AF524"/>
    <mergeCell ref="D525:E525"/>
    <mergeCell ref="G525:H525"/>
    <mergeCell ref="J525:K525"/>
    <mergeCell ref="M525:N525"/>
    <mergeCell ref="P525:Q525"/>
    <mergeCell ref="S525:T525"/>
    <mergeCell ref="V523:X523"/>
    <mergeCell ref="Y523:AA523"/>
    <mergeCell ref="AB523:AD523"/>
    <mergeCell ref="AE523:AG523"/>
    <mergeCell ref="D524:E524"/>
    <mergeCell ref="G524:H524"/>
    <mergeCell ref="J524:K524"/>
    <mergeCell ref="M524:N524"/>
    <mergeCell ref="P524:Q524"/>
    <mergeCell ref="S524:T524"/>
    <mergeCell ref="V522:X522"/>
    <mergeCell ref="Y522:AA522"/>
    <mergeCell ref="AB522:AD522"/>
    <mergeCell ref="AE522:AG522"/>
    <mergeCell ref="D523:F523"/>
    <mergeCell ref="G523:I523"/>
    <mergeCell ref="J523:L523"/>
    <mergeCell ref="M523:O523"/>
    <mergeCell ref="P523:R523"/>
    <mergeCell ref="S523:U523"/>
    <mergeCell ref="D522:F522"/>
    <mergeCell ref="G522:I522"/>
    <mergeCell ref="J522:L522"/>
    <mergeCell ref="M522:O522"/>
    <mergeCell ref="P522:R522"/>
    <mergeCell ref="S522:U522"/>
    <mergeCell ref="P521:R521"/>
    <mergeCell ref="S521:U521"/>
    <mergeCell ref="V521:X521"/>
    <mergeCell ref="Y521:AA521"/>
    <mergeCell ref="AB521:AD521"/>
    <mergeCell ref="AE521:AG521"/>
    <mergeCell ref="S518:T518"/>
    <mergeCell ref="V518:W518"/>
    <mergeCell ref="Y518:Z518"/>
    <mergeCell ref="AB518:AC518"/>
    <mergeCell ref="AE518:AF518"/>
    <mergeCell ref="A521:B526"/>
    <mergeCell ref="D521:F521"/>
    <mergeCell ref="G521:I521"/>
    <mergeCell ref="J521:L521"/>
    <mergeCell ref="M521:O521"/>
    <mergeCell ref="S517:T517"/>
    <mergeCell ref="V517:W517"/>
    <mergeCell ref="Y517:Z517"/>
    <mergeCell ref="AB517:AC517"/>
    <mergeCell ref="AE517:AF517"/>
    <mergeCell ref="D518:E518"/>
    <mergeCell ref="G518:H518"/>
    <mergeCell ref="J518:K518"/>
    <mergeCell ref="M518:N518"/>
    <mergeCell ref="P518:Q518"/>
    <mergeCell ref="S516:T516"/>
    <mergeCell ref="V516:W516"/>
    <mergeCell ref="Y516:Z516"/>
    <mergeCell ref="AB516:AC516"/>
    <mergeCell ref="AE516:AF516"/>
    <mergeCell ref="D517:E517"/>
    <mergeCell ref="G517:H517"/>
    <mergeCell ref="J517:K517"/>
    <mergeCell ref="M517:N517"/>
    <mergeCell ref="P517:Q517"/>
    <mergeCell ref="S515:U515"/>
    <mergeCell ref="V515:X515"/>
    <mergeCell ref="Y515:AA515"/>
    <mergeCell ref="AB515:AD515"/>
    <mergeCell ref="AE515:AG515"/>
    <mergeCell ref="D516:E516"/>
    <mergeCell ref="G516:H516"/>
    <mergeCell ref="J516:K516"/>
    <mergeCell ref="M516:N516"/>
    <mergeCell ref="P516:Q516"/>
    <mergeCell ref="S514:U514"/>
    <mergeCell ref="V514:X514"/>
    <mergeCell ref="Y514:AA514"/>
    <mergeCell ref="AB514:AD514"/>
    <mergeCell ref="AE514:AG514"/>
    <mergeCell ref="D515:F515"/>
    <mergeCell ref="G515:I515"/>
    <mergeCell ref="J515:L515"/>
    <mergeCell ref="M515:O515"/>
    <mergeCell ref="P515:R515"/>
    <mergeCell ref="S513:U513"/>
    <mergeCell ref="V513:X513"/>
    <mergeCell ref="Y513:AA513"/>
    <mergeCell ref="AB513:AD513"/>
    <mergeCell ref="AE513:AG513"/>
    <mergeCell ref="D514:F514"/>
    <mergeCell ref="G514:I514"/>
    <mergeCell ref="J514:L514"/>
    <mergeCell ref="M514:O514"/>
    <mergeCell ref="P514:R514"/>
    <mergeCell ref="V510:W510"/>
    <mergeCell ref="Y510:Z510"/>
    <mergeCell ref="AB510:AC510"/>
    <mergeCell ref="AE510:AF510"/>
    <mergeCell ref="A513:B518"/>
    <mergeCell ref="D513:F513"/>
    <mergeCell ref="G513:I513"/>
    <mergeCell ref="J513:L513"/>
    <mergeCell ref="M513:O513"/>
    <mergeCell ref="P513:R513"/>
    <mergeCell ref="V509:W509"/>
    <mergeCell ref="Y509:Z509"/>
    <mergeCell ref="AB509:AC509"/>
    <mergeCell ref="AE509:AF509"/>
    <mergeCell ref="D510:E510"/>
    <mergeCell ref="G510:H510"/>
    <mergeCell ref="J510:K510"/>
    <mergeCell ref="M510:N510"/>
    <mergeCell ref="P510:Q510"/>
    <mergeCell ref="S510:T510"/>
    <mergeCell ref="V508:W508"/>
    <mergeCell ref="Y508:Z508"/>
    <mergeCell ref="AB508:AC508"/>
    <mergeCell ref="AE508:AF508"/>
    <mergeCell ref="D509:E509"/>
    <mergeCell ref="G509:H509"/>
    <mergeCell ref="J509:K509"/>
    <mergeCell ref="M509:N509"/>
    <mergeCell ref="P509:Q509"/>
    <mergeCell ref="S509:T509"/>
    <mergeCell ref="V507:X507"/>
    <mergeCell ref="Y507:AA507"/>
    <mergeCell ref="AB507:AD507"/>
    <mergeCell ref="AE507:AG507"/>
    <mergeCell ref="D508:E508"/>
    <mergeCell ref="G508:H508"/>
    <mergeCell ref="J508:K508"/>
    <mergeCell ref="M508:N508"/>
    <mergeCell ref="P508:Q508"/>
    <mergeCell ref="S508:T508"/>
    <mergeCell ref="V506:X506"/>
    <mergeCell ref="Y506:AA506"/>
    <mergeCell ref="AB506:AD506"/>
    <mergeCell ref="AE506:AG506"/>
    <mergeCell ref="D507:F507"/>
    <mergeCell ref="G507:I507"/>
    <mergeCell ref="J507:L507"/>
    <mergeCell ref="M507:O507"/>
    <mergeCell ref="P507:R507"/>
    <mergeCell ref="S507:U507"/>
    <mergeCell ref="D506:F506"/>
    <mergeCell ref="G506:I506"/>
    <mergeCell ref="J506:L506"/>
    <mergeCell ref="M506:O506"/>
    <mergeCell ref="P506:R506"/>
    <mergeCell ref="S506:U506"/>
    <mergeCell ref="P505:R505"/>
    <mergeCell ref="S505:U505"/>
    <mergeCell ref="V505:X505"/>
    <mergeCell ref="Y505:AA505"/>
    <mergeCell ref="AB505:AD505"/>
    <mergeCell ref="AE505:AG505"/>
    <mergeCell ref="S502:T502"/>
    <mergeCell ref="V502:W502"/>
    <mergeCell ref="Y502:Z502"/>
    <mergeCell ref="AB502:AC502"/>
    <mergeCell ref="AE502:AF502"/>
    <mergeCell ref="A505:B510"/>
    <mergeCell ref="D505:F505"/>
    <mergeCell ref="G505:I505"/>
    <mergeCell ref="J505:L505"/>
    <mergeCell ref="M505:O505"/>
    <mergeCell ref="S501:T501"/>
    <mergeCell ref="V501:W501"/>
    <mergeCell ref="Y501:Z501"/>
    <mergeCell ref="AB501:AC501"/>
    <mergeCell ref="AE501:AF501"/>
    <mergeCell ref="D502:E502"/>
    <mergeCell ref="G502:H502"/>
    <mergeCell ref="J502:K502"/>
    <mergeCell ref="M502:N502"/>
    <mergeCell ref="P502:Q502"/>
    <mergeCell ref="S500:T500"/>
    <mergeCell ref="V500:W500"/>
    <mergeCell ref="Y500:Z500"/>
    <mergeCell ref="AB500:AC500"/>
    <mergeCell ref="AE500:AF500"/>
    <mergeCell ref="D501:E501"/>
    <mergeCell ref="G501:H501"/>
    <mergeCell ref="J501:K501"/>
    <mergeCell ref="M501:N501"/>
    <mergeCell ref="P501:Q501"/>
    <mergeCell ref="S499:U499"/>
    <mergeCell ref="V499:X499"/>
    <mergeCell ref="Y499:AA499"/>
    <mergeCell ref="AB499:AD499"/>
    <mergeCell ref="AE499:AG499"/>
    <mergeCell ref="D500:E500"/>
    <mergeCell ref="G500:H500"/>
    <mergeCell ref="J500:K500"/>
    <mergeCell ref="M500:N500"/>
    <mergeCell ref="P500:Q500"/>
    <mergeCell ref="S498:U498"/>
    <mergeCell ref="V498:X498"/>
    <mergeCell ref="Y498:AA498"/>
    <mergeCell ref="AB498:AD498"/>
    <mergeCell ref="AE498:AG498"/>
    <mergeCell ref="D499:F499"/>
    <mergeCell ref="G499:I499"/>
    <mergeCell ref="J499:L499"/>
    <mergeCell ref="M499:O499"/>
    <mergeCell ref="P499:R499"/>
    <mergeCell ref="S497:U497"/>
    <mergeCell ref="V497:X497"/>
    <mergeCell ref="Y497:AA497"/>
    <mergeCell ref="AB497:AD497"/>
    <mergeCell ref="AE497:AG497"/>
    <mergeCell ref="D498:F498"/>
    <mergeCell ref="G498:I498"/>
    <mergeCell ref="J498:L498"/>
    <mergeCell ref="M498:O498"/>
    <mergeCell ref="P498:R498"/>
    <mergeCell ref="V494:W494"/>
    <mergeCell ref="Y494:Z494"/>
    <mergeCell ref="AB494:AC494"/>
    <mergeCell ref="AE494:AF494"/>
    <mergeCell ref="A497:B502"/>
    <mergeCell ref="D497:F497"/>
    <mergeCell ref="G497:I497"/>
    <mergeCell ref="J497:L497"/>
    <mergeCell ref="M497:O497"/>
    <mergeCell ref="P497:R497"/>
    <mergeCell ref="V493:W493"/>
    <mergeCell ref="Y493:Z493"/>
    <mergeCell ref="AB493:AC493"/>
    <mergeCell ref="AE493:AF493"/>
    <mergeCell ref="D494:E494"/>
    <mergeCell ref="G494:H494"/>
    <mergeCell ref="J494:K494"/>
    <mergeCell ref="M494:N494"/>
    <mergeCell ref="P494:Q494"/>
    <mergeCell ref="S494:T494"/>
    <mergeCell ref="V492:W492"/>
    <mergeCell ref="Y492:Z492"/>
    <mergeCell ref="AB492:AC492"/>
    <mergeCell ref="AE492:AF492"/>
    <mergeCell ref="D493:E493"/>
    <mergeCell ref="G493:H493"/>
    <mergeCell ref="J493:K493"/>
    <mergeCell ref="M493:N493"/>
    <mergeCell ref="P493:Q493"/>
    <mergeCell ref="S493:T493"/>
    <mergeCell ref="V491:X491"/>
    <mergeCell ref="Y491:AA491"/>
    <mergeCell ref="AB491:AD491"/>
    <mergeCell ref="AE491:AG491"/>
    <mergeCell ref="D492:E492"/>
    <mergeCell ref="G492:H492"/>
    <mergeCell ref="J492:K492"/>
    <mergeCell ref="M492:N492"/>
    <mergeCell ref="P492:Q492"/>
    <mergeCell ref="S492:T492"/>
    <mergeCell ref="V490:X490"/>
    <mergeCell ref="Y490:AA490"/>
    <mergeCell ref="AB490:AD490"/>
    <mergeCell ref="AE490:AG490"/>
    <mergeCell ref="D491:F491"/>
    <mergeCell ref="G491:I491"/>
    <mergeCell ref="J491:L491"/>
    <mergeCell ref="M491:O491"/>
    <mergeCell ref="P491:R491"/>
    <mergeCell ref="S491:U491"/>
    <mergeCell ref="D490:F490"/>
    <mergeCell ref="G490:I490"/>
    <mergeCell ref="J490:L490"/>
    <mergeCell ref="M490:O490"/>
    <mergeCell ref="P490:R490"/>
    <mergeCell ref="S490:U490"/>
    <mergeCell ref="P489:R489"/>
    <mergeCell ref="S489:U489"/>
    <mergeCell ref="V489:X489"/>
    <mergeCell ref="Y489:AA489"/>
    <mergeCell ref="AB489:AD489"/>
    <mergeCell ref="AE489:AG489"/>
    <mergeCell ref="S486:T486"/>
    <mergeCell ref="V486:W486"/>
    <mergeCell ref="Y486:Z486"/>
    <mergeCell ref="AB486:AC486"/>
    <mergeCell ref="AE486:AF486"/>
    <mergeCell ref="A489:B494"/>
    <mergeCell ref="D489:F489"/>
    <mergeCell ref="G489:I489"/>
    <mergeCell ref="J489:L489"/>
    <mergeCell ref="M489:O489"/>
    <mergeCell ref="S485:T485"/>
    <mergeCell ref="V485:W485"/>
    <mergeCell ref="Y485:Z485"/>
    <mergeCell ref="AB485:AC485"/>
    <mergeCell ref="AE485:AF485"/>
    <mergeCell ref="D486:E486"/>
    <mergeCell ref="G486:H486"/>
    <mergeCell ref="J486:K486"/>
    <mergeCell ref="M486:N486"/>
    <mergeCell ref="P486:Q486"/>
    <mergeCell ref="S484:T484"/>
    <mergeCell ref="V484:W484"/>
    <mergeCell ref="Y484:Z484"/>
    <mergeCell ref="AB484:AC484"/>
    <mergeCell ref="AE484:AF484"/>
    <mergeCell ref="D485:E485"/>
    <mergeCell ref="G485:H485"/>
    <mergeCell ref="J485:K485"/>
    <mergeCell ref="M485:N485"/>
    <mergeCell ref="P485:Q485"/>
    <mergeCell ref="S483:U483"/>
    <mergeCell ref="V483:X483"/>
    <mergeCell ref="Y483:AA483"/>
    <mergeCell ref="AB483:AD483"/>
    <mergeCell ref="AE483:AG483"/>
    <mergeCell ref="D484:E484"/>
    <mergeCell ref="G484:H484"/>
    <mergeCell ref="J484:K484"/>
    <mergeCell ref="M484:N484"/>
    <mergeCell ref="P484:Q484"/>
    <mergeCell ref="S482:U482"/>
    <mergeCell ref="V482:X482"/>
    <mergeCell ref="Y482:AA482"/>
    <mergeCell ref="AB482:AD482"/>
    <mergeCell ref="AE482:AG482"/>
    <mergeCell ref="D483:F483"/>
    <mergeCell ref="G483:I483"/>
    <mergeCell ref="J483:L483"/>
    <mergeCell ref="M483:O483"/>
    <mergeCell ref="P483:R483"/>
    <mergeCell ref="S481:U481"/>
    <mergeCell ref="V481:X481"/>
    <mergeCell ref="Y481:AA481"/>
    <mergeCell ref="AB481:AD481"/>
    <mergeCell ref="AE481:AG481"/>
    <mergeCell ref="D482:F482"/>
    <mergeCell ref="G482:I482"/>
    <mergeCell ref="J482:L482"/>
    <mergeCell ref="M482:O482"/>
    <mergeCell ref="P482:R482"/>
    <mergeCell ref="V478:W478"/>
    <mergeCell ref="Y478:Z478"/>
    <mergeCell ref="AB478:AC478"/>
    <mergeCell ref="AE478:AF478"/>
    <mergeCell ref="A481:B486"/>
    <mergeCell ref="D481:F481"/>
    <mergeCell ref="G481:I481"/>
    <mergeCell ref="J481:L481"/>
    <mergeCell ref="M481:O481"/>
    <mergeCell ref="P481:R481"/>
    <mergeCell ref="V477:W477"/>
    <mergeCell ref="Y477:Z477"/>
    <mergeCell ref="AB477:AC477"/>
    <mergeCell ref="AE477:AF477"/>
    <mergeCell ref="D478:E478"/>
    <mergeCell ref="G478:H478"/>
    <mergeCell ref="J478:K478"/>
    <mergeCell ref="M478:N478"/>
    <mergeCell ref="P478:Q478"/>
    <mergeCell ref="S478:T478"/>
    <mergeCell ref="V476:W476"/>
    <mergeCell ref="Y476:Z476"/>
    <mergeCell ref="AB476:AC476"/>
    <mergeCell ref="AE476:AF476"/>
    <mergeCell ref="D477:E477"/>
    <mergeCell ref="G477:H477"/>
    <mergeCell ref="J477:K477"/>
    <mergeCell ref="M477:N477"/>
    <mergeCell ref="P477:Q477"/>
    <mergeCell ref="S477:T477"/>
    <mergeCell ref="V475:X475"/>
    <mergeCell ref="Y475:AA475"/>
    <mergeCell ref="AB475:AD475"/>
    <mergeCell ref="AE475:AG475"/>
    <mergeCell ref="D476:E476"/>
    <mergeCell ref="G476:H476"/>
    <mergeCell ref="J476:K476"/>
    <mergeCell ref="M476:N476"/>
    <mergeCell ref="P476:Q476"/>
    <mergeCell ref="S476:T476"/>
    <mergeCell ref="V474:X474"/>
    <mergeCell ref="Y474:AA474"/>
    <mergeCell ref="AB474:AD474"/>
    <mergeCell ref="AE474:AG474"/>
    <mergeCell ref="D475:F475"/>
    <mergeCell ref="G475:I475"/>
    <mergeCell ref="J475:L475"/>
    <mergeCell ref="M475:O475"/>
    <mergeCell ref="P475:R475"/>
    <mergeCell ref="S475:U475"/>
    <mergeCell ref="D474:F474"/>
    <mergeCell ref="G474:I474"/>
    <mergeCell ref="J474:L474"/>
    <mergeCell ref="M474:O474"/>
    <mergeCell ref="P474:R474"/>
    <mergeCell ref="S474:U474"/>
    <mergeCell ref="P473:R473"/>
    <mergeCell ref="S473:U473"/>
    <mergeCell ref="V473:X473"/>
    <mergeCell ref="Y473:AA473"/>
    <mergeCell ref="AB473:AD473"/>
    <mergeCell ref="AE473:AG473"/>
    <mergeCell ref="S470:T470"/>
    <mergeCell ref="V470:W470"/>
    <mergeCell ref="Y470:Z470"/>
    <mergeCell ref="AB470:AC470"/>
    <mergeCell ref="AE470:AF470"/>
    <mergeCell ref="A473:B478"/>
    <mergeCell ref="D473:F473"/>
    <mergeCell ref="G473:I473"/>
    <mergeCell ref="J473:L473"/>
    <mergeCell ref="M473:O473"/>
    <mergeCell ref="S469:T469"/>
    <mergeCell ref="V469:W469"/>
    <mergeCell ref="Y469:Z469"/>
    <mergeCell ref="AB469:AC469"/>
    <mergeCell ref="AE469:AF469"/>
    <mergeCell ref="D470:E470"/>
    <mergeCell ref="G470:H470"/>
    <mergeCell ref="J470:K470"/>
    <mergeCell ref="M470:N470"/>
    <mergeCell ref="P470:Q470"/>
    <mergeCell ref="S468:T468"/>
    <mergeCell ref="V468:W468"/>
    <mergeCell ref="Y468:Z468"/>
    <mergeCell ref="AB468:AC468"/>
    <mergeCell ref="AE468:AF468"/>
    <mergeCell ref="D469:E469"/>
    <mergeCell ref="G469:H469"/>
    <mergeCell ref="J469:K469"/>
    <mergeCell ref="M469:N469"/>
    <mergeCell ref="P469:Q469"/>
    <mergeCell ref="S467:U467"/>
    <mergeCell ref="V467:X467"/>
    <mergeCell ref="Y467:AA467"/>
    <mergeCell ref="AB467:AD467"/>
    <mergeCell ref="AE467:AG467"/>
    <mergeCell ref="D468:E468"/>
    <mergeCell ref="G468:H468"/>
    <mergeCell ref="J468:K468"/>
    <mergeCell ref="M468:N468"/>
    <mergeCell ref="P468:Q468"/>
    <mergeCell ref="S466:U466"/>
    <mergeCell ref="V466:X466"/>
    <mergeCell ref="Y466:AA466"/>
    <mergeCell ref="AB466:AD466"/>
    <mergeCell ref="AE466:AG466"/>
    <mergeCell ref="D467:F467"/>
    <mergeCell ref="G467:I467"/>
    <mergeCell ref="J467:L467"/>
    <mergeCell ref="M467:O467"/>
    <mergeCell ref="P467:R467"/>
    <mergeCell ref="S465:U465"/>
    <mergeCell ref="V465:X465"/>
    <mergeCell ref="Y465:AA465"/>
    <mergeCell ref="AB465:AD465"/>
    <mergeCell ref="AE465:AG465"/>
    <mergeCell ref="D466:F466"/>
    <mergeCell ref="G466:I466"/>
    <mergeCell ref="J466:L466"/>
    <mergeCell ref="M466:O466"/>
    <mergeCell ref="P466:R466"/>
    <mergeCell ref="V462:W462"/>
    <mergeCell ref="Y462:Z462"/>
    <mergeCell ref="AB462:AC462"/>
    <mergeCell ref="AE462:AF462"/>
    <mergeCell ref="A465:B470"/>
    <mergeCell ref="D465:F465"/>
    <mergeCell ref="G465:I465"/>
    <mergeCell ref="J465:L465"/>
    <mergeCell ref="M465:O465"/>
    <mergeCell ref="P465:R465"/>
    <mergeCell ref="V461:W461"/>
    <mergeCell ref="Y461:Z461"/>
    <mergeCell ref="AB461:AC461"/>
    <mergeCell ref="AE461:AF461"/>
    <mergeCell ref="D462:E462"/>
    <mergeCell ref="G462:H462"/>
    <mergeCell ref="J462:K462"/>
    <mergeCell ref="M462:N462"/>
    <mergeCell ref="P462:Q462"/>
    <mergeCell ref="S462:T462"/>
    <mergeCell ref="V460:W460"/>
    <mergeCell ref="Y460:Z460"/>
    <mergeCell ref="AB460:AC460"/>
    <mergeCell ref="AE460:AF460"/>
    <mergeCell ref="D461:E461"/>
    <mergeCell ref="G461:H461"/>
    <mergeCell ref="J461:K461"/>
    <mergeCell ref="M461:N461"/>
    <mergeCell ref="P461:Q461"/>
    <mergeCell ref="S461:T461"/>
    <mergeCell ref="V459:X459"/>
    <mergeCell ref="Y459:AA459"/>
    <mergeCell ref="AB459:AD459"/>
    <mergeCell ref="AE459:AG459"/>
    <mergeCell ref="D460:E460"/>
    <mergeCell ref="G460:H460"/>
    <mergeCell ref="J460:K460"/>
    <mergeCell ref="M460:N460"/>
    <mergeCell ref="P460:Q460"/>
    <mergeCell ref="S460:T460"/>
    <mergeCell ref="V458:X458"/>
    <mergeCell ref="Y458:AA458"/>
    <mergeCell ref="AB458:AD458"/>
    <mergeCell ref="AE458:AG458"/>
    <mergeCell ref="D459:F459"/>
    <mergeCell ref="G459:I459"/>
    <mergeCell ref="J459:L459"/>
    <mergeCell ref="M459:O459"/>
    <mergeCell ref="P459:R459"/>
    <mergeCell ref="S459:U459"/>
    <mergeCell ref="D458:F458"/>
    <mergeCell ref="G458:I458"/>
    <mergeCell ref="J458:L458"/>
    <mergeCell ref="M458:O458"/>
    <mergeCell ref="P458:R458"/>
    <mergeCell ref="S458:U458"/>
    <mergeCell ref="P457:R457"/>
    <mergeCell ref="S457:U457"/>
    <mergeCell ref="V457:X457"/>
    <mergeCell ref="Y457:AA457"/>
    <mergeCell ref="AB457:AD457"/>
    <mergeCell ref="AE457:AG457"/>
    <mergeCell ref="S454:T454"/>
    <mergeCell ref="V454:W454"/>
    <mergeCell ref="Y454:Z454"/>
    <mergeCell ref="AB454:AC454"/>
    <mergeCell ref="AE454:AF454"/>
    <mergeCell ref="A457:B462"/>
    <mergeCell ref="D457:F457"/>
    <mergeCell ref="G457:I457"/>
    <mergeCell ref="J457:L457"/>
    <mergeCell ref="M457:O457"/>
    <mergeCell ref="S453:T453"/>
    <mergeCell ref="V453:W453"/>
    <mergeCell ref="Y453:Z453"/>
    <mergeCell ref="AB453:AC453"/>
    <mergeCell ref="AE453:AF453"/>
    <mergeCell ref="D454:E454"/>
    <mergeCell ref="G454:H454"/>
    <mergeCell ref="J454:K454"/>
    <mergeCell ref="M454:N454"/>
    <mergeCell ref="P454:Q454"/>
    <mergeCell ref="S452:T452"/>
    <mergeCell ref="V452:W452"/>
    <mergeCell ref="Y452:Z452"/>
    <mergeCell ref="AB452:AC452"/>
    <mergeCell ref="AE452:AF452"/>
    <mergeCell ref="D453:E453"/>
    <mergeCell ref="G453:H453"/>
    <mergeCell ref="J453:K453"/>
    <mergeCell ref="M453:N453"/>
    <mergeCell ref="P453:Q453"/>
    <mergeCell ref="S451:U451"/>
    <mergeCell ref="V451:X451"/>
    <mergeCell ref="Y451:AA451"/>
    <mergeCell ref="AB451:AD451"/>
    <mergeCell ref="AE451:AG451"/>
    <mergeCell ref="D452:E452"/>
    <mergeCell ref="G452:H452"/>
    <mergeCell ref="J452:K452"/>
    <mergeCell ref="M452:N452"/>
    <mergeCell ref="P452:Q452"/>
    <mergeCell ref="S450:U450"/>
    <mergeCell ref="V450:X450"/>
    <mergeCell ref="Y450:AA450"/>
    <mergeCell ref="AB450:AD450"/>
    <mergeCell ref="AE450:AG450"/>
    <mergeCell ref="D451:F451"/>
    <mergeCell ref="G451:I451"/>
    <mergeCell ref="J451:L451"/>
    <mergeCell ref="M451:O451"/>
    <mergeCell ref="P451:R451"/>
    <mergeCell ref="S449:U449"/>
    <mergeCell ref="V449:X449"/>
    <mergeCell ref="Y449:AA449"/>
    <mergeCell ref="AB449:AD449"/>
    <mergeCell ref="AE449:AG449"/>
    <mergeCell ref="D450:F450"/>
    <mergeCell ref="G450:I450"/>
    <mergeCell ref="J450:L450"/>
    <mergeCell ref="M450:O450"/>
    <mergeCell ref="P450:R450"/>
    <mergeCell ref="V446:W446"/>
    <mergeCell ref="Y446:Z446"/>
    <mergeCell ref="AB446:AC446"/>
    <mergeCell ref="AE446:AF446"/>
    <mergeCell ref="A449:B454"/>
    <mergeCell ref="D449:F449"/>
    <mergeCell ref="G449:I449"/>
    <mergeCell ref="J449:L449"/>
    <mergeCell ref="M449:O449"/>
    <mergeCell ref="P449:R449"/>
    <mergeCell ref="V445:W445"/>
    <mergeCell ref="Y445:Z445"/>
    <mergeCell ref="AB445:AC445"/>
    <mergeCell ref="AE445:AF445"/>
    <mergeCell ref="D446:E446"/>
    <mergeCell ref="G446:H446"/>
    <mergeCell ref="J446:K446"/>
    <mergeCell ref="M446:N446"/>
    <mergeCell ref="P446:Q446"/>
    <mergeCell ref="S446:T446"/>
    <mergeCell ref="V444:W444"/>
    <mergeCell ref="Y444:Z444"/>
    <mergeCell ref="AB444:AC444"/>
    <mergeCell ref="AE444:AF444"/>
    <mergeCell ref="D445:E445"/>
    <mergeCell ref="G445:H445"/>
    <mergeCell ref="J445:K445"/>
    <mergeCell ref="M445:N445"/>
    <mergeCell ref="P445:Q445"/>
    <mergeCell ref="S445:T445"/>
    <mergeCell ref="V443:X443"/>
    <mergeCell ref="Y443:AA443"/>
    <mergeCell ref="AB443:AD443"/>
    <mergeCell ref="AE443:AG443"/>
    <mergeCell ref="D444:E444"/>
    <mergeCell ref="G444:H444"/>
    <mergeCell ref="J444:K444"/>
    <mergeCell ref="M444:N444"/>
    <mergeCell ref="P444:Q444"/>
    <mergeCell ref="S444:T444"/>
    <mergeCell ref="V442:X442"/>
    <mergeCell ref="Y442:AA442"/>
    <mergeCell ref="AB442:AD442"/>
    <mergeCell ref="AE442:AG442"/>
    <mergeCell ref="D443:F443"/>
    <mergeCell ref="G443:I443"/>
    <mergeCell ref="J443:L443"/>
    <mergeCell ref="M443:O443"/>
    <mergeCell ref="P443:R443"/>
    <mergeCell ref="S443:U443"/>
    <mergeCell ref="D442:F442"/>
    <mergeCell ref="G442:I442"/>
    <mergeCell ref="J442:L442"/>
    <mergeCell ref="M442:O442"/>
    <mergeCell ref="P442:R442"/>
    <mergeCell ref="S442:U442"/>
    <mergeCell ref="P441:R441"/>
    <mergeCell ref="S441:U441"/>
    <mergeCell ref="V441:X441"/>
    <mergeCell ref="Y441:AA441"/>
    <mergeCell ref="AB441:AD441"/>
    <mergeCell ref="AE441:AG441"/>
    <mergeCell ref="S438:T438"/>
    <mergeCell ref="V438:W438"/>
    <mergeCell ref="Y438:Z438"/>
    <mergeCell ref="AB438:AC438"/>
    <mergeCell ref="AE438:AF438"/>
    <mergeCell ref="A441:B446"/>
    <mergeCell ref="D441:F441"/>
    <mergeCell ref="G441:I441"/>
    <mergeCell ref="J441:L441"/>
    <mergeCell ref="M441:O441"/>
    <mergeCell ref="S437:T437"/>
    <mergeCell ref="V437:W437"/>
    <mergeCell ref="Y437:Z437"/>
    <mergeCell ref="AB437:AC437"/>
    <mergeCell ref="AE437:AF437"/>
    <mergeCell ref="D438:E438"/>
    <mergeCell ref="G438:H438"/>
    <mergeCell ref="J438:K438"/>
    <mergeCell ref="M438:N438"/>
    <mergeCell ref="P438:Q438"/>
    <mergeCell ref="S436:T436"/>
    <mergeCell ref="V436:W436"/>
    <mergeCell ref="Y436:Z436"/>
    <mergeCell ref="AB436:AC436"/>
    <mergeCell ref="AE436:AF436"/>
    <mergeCell ref="D437:E437"/>
    <mergeCell ref="G437:H437"/>
    <mergeCell ref="J437:K437"/>
    <mergeCell ref="M437:N437"/>
    <mergeCell ref="P437:Q437"/>
    <mergeCell ref="S435:U435"/>
    <mergeCell ref="V435:X435"/>
    <mergeCell ref="Y435:AA435"/>
    <mergeCell ref="AB435:AD435"/>
    <mergeCell ref="AE435:AG435"/>
    <mergeCell ref="D436:E436"/>
    <mergeCell ref="G436:H436"/>
    <mergeCell ref="J436:K436"/>
    <mergeCell ref="M436:N436"/>
    <mergeCell ref="P436:Q436"/>
    <mergeCell ref="S434:U434"/>
    <mergeCell ref="V434:X434"/>
    <mergeCell ref="Y434:AA434"/>
    <mergeCell ref="AB434:AD434"/>
    <mergeCell ref="AE434:AG434"/>
    <mergeCell ref="D435:F435"/>
    <mergeCell ref="G435:I435"/>
    <mergeCell ref="J435:L435"/>
    <mergeCell ref="M435:O435"/>
    <mergeCell ref="P435:R435"/>
    <mergeCell ref="S433:U433"/>
    <mergeCell ref="V433:X433"/>
    <mergeCell ref="Y433:AA433"/>
    <mergeCell ref="AB433:AD433"/>
    <mergeCell ref="AE433:AG433"/>
    <mergeCell ref="D434:F434"/>
    <mergeCell ref="G434:I434"/>
    <mergeCell ref="J434:L434"/>
    <mergeCell ref="M434:O434"/>
    <mergeCell ref="P434:R434"/>
    <mergeCell ref="V430:W430"/>
    <mergeCell ref="Y430:Z430"/>
    <mergeCell ref="AB430:AC430"/>
    <mergeCell ref="AE430:AF430"/>
    <mergeCell ref="A433:B438"/>
    <mergeCell ref="D433:F433"/>
    <mergeCell ref="G433:I433"/>
    <mergeCell ref="J433:L433"/>
    <mergeCell ref="M433:O433"/>
    <mergeCell ref="P433:R433"/>
    <mergeCell ref="V429:W429"/>
    <mergeCell ref="Y429:Z429"/>
    <mergeCell ref="AB429:AC429"/>
    <mergeCell ref="AE429:AF429"/>
    <mergeCell ref="D430:E430"/>
    <mergeCell ref="G430:H430"/>
    <mergeCell ref="J430:K430"/>
    <mergeCell ref="M430:N430"/>
    <mergeCell ref="P430:Q430"/>
    <mergeCell ref="S430:T430"/>
    <mergeCell ref="V428:W428"/>
    <mergeCell ref="Y428:Z428"/>
    <mergeCell ref="AB428:AC428"/>
    <mergeCell ref="AE428:AF428"/>
    <mergeCell ref="D429:E429"/>
    <mergeCell ref="G429:H429"/>
    <mergeCell ref="J429:K429"/>
    <mergeCell ref="M429:N429"/>
    <mergeCell ref="P429:Q429"/>
    <mergeCell ref="S429:T429"/>
    <mergeCell ref="V427:X427"/>
    <mergeCell ref="Y427:AA427"/>
    <mergeCell ref="AB427:AD427"/>
    <mergeCell ref="AE427:AG427"/>
    <mergeCell ref="D428:E428"/>
    <mergeCell ref="G428:H428"/>
    <mergeCell ref="J428:K428"/>
    <mergeCell ref="M428:N428"/>
    <mergeCell ref="P428:Q428"/>
    <mergeCell ref="S428:T428"/>
    <mergeCell ref="V426:X426"/>
    <mergeCell ref="Y426:AA426"/>
    <mergeCell ref="AB426:AD426"/>
    <mergeCell ref="AE426:AG426"/>
    <mergeCell ref="D427:F427"/>
    <mergeCell ref="G427:I427"/>
    <mergeCell ref="J427:L427"/>
    <mergeCell ref="M427:O427"/>
    <mergeCell ref="P427:R427"/>
    <mergeCell ref="S427:U427"/>
    <mergeCell ref="D426:F426"/>
    <mergeCell ref="G426:I426"/>
    <mergeCell ref="J426:L426"/>
    <mergeCell ref="M426:O426"/>
    <mergeCell ref="P426:R426"/>
    <mergeCell ref="S426:U426"/>
    <mergeCell ref="P425:R425"/>
    <mergeCell ref="S425:U425"/>
    <mergeCell ref="V425:X425"/>
    <mergeCell ref="Y425:AA425"/>
    <mergeCell ref="AB425:AD425"/>
    <mergeCell ref="AE425:AG425"/>
    <mergeCell ref="S422:T422"/>
    <mergeCell ref="V422:W422"/>
    <mergeCell ref="Y422:Z422"/>
    <mergeCell ref="AB422:AC422"/>
    <mergeCell ref="AE422:AF422"/>
    <mergeCell ref="A425:B430"/>
    <mergeCell ref="D425:F425"/>
    <mergeCell ref="G425:I425"/>
    <mergeCell ref="J425:L425"/>
    <mergeCell ref="M425:O425"/>
    <mergeCell ref="S421:T421"/>
    <mergeCell ref="V421:W421"/>
    <mergeCell ref="Y421:Z421"/>
    <mergeCell ref="AB421:AC421"/>
    <mergeCell ref="AE421:AF421"/>
    <mergeCell ref="D422:E422"/>
    <mergeCell ref="G422:H422"/>
    <mergeCell ref="J422:K422"/>
    <mergeCell ref="M422:N422"/>
    <mergeCell ref="P422:Q422"/>
    <mergeCell ref="S420:T420"/>
    <mergeCell ref="V420:W420"/>
    <mergeCell ref="Y420:Z420"/>
    <mergeCell ref="AB420:AC420"/>
    <mergeCell ref="AE420:AF420"/>
    <mergeCell ref="D421:E421"/>
    <mergeCell ref="G421:H421"/>
    <mergeCell ref="J421:K421"/>
    <mergeCell ref="M421:N421"/>
    <mergeCell ref="P421:Q421"/>
    <mergeCell ref="S419:U419"/>
    <mergeCell ref="V419:X419"/>
    <mergeCell ref="Y419:AA419"/>
    <mergeCell ref="AB419:AD419"/>
    <mergeCell ref="AE419:AG419"/>
    <mergeCell ref="D420:E420"/>
    <mergeCell ref="G420:H420"/>
    <mergeCell ref="J420:K420"/>
    <mergeCell ref="M420:N420"/>
    <mergeCell ref="P420:Q420"/>
    <mergeCell ref="S418:U418"/>
    <mergeCell ref="V418:X418"/>
    <mergeCell ref="Y418:AA418"/>
    <mergeCell ref="AB418:AD418"/>
    <mergeCell ref="AE418:AG418"/>
    <mergeCell ref="D419:F419"/>
    <mergeCell ref="G419:I419"/>
    <mergeCell ref="J419:L419"/>
    <mergeCell ref="M419:O419"/>
    <mergeCell ref="P419:R419"/>
    <mergeCell ref="S417:U417"/>
    <mergeCell ref="V417:X417"/>
    <mergeCell ref="Y417:AA417"/>
    <mergeCell ref="AB417:AD417"/>
    <mergeCell ref="AE417:AG417"/>
    <mergeCell ref="D418:F418"/>
    <mergeCell ref="G418:I418"/>
    <mergeCell ref="J418:L418"/>
    <mergeCell ref="M418:O418"/>
    <mergeCell ref="P418:R418"/>
    <mergeCell ref="V414:W414"/>
    <mergeCell ref="Y414:Z414"/>
    <mergeCell ref="AB414:AC414"/>
    <mergeCell ref="AE414:AF414"/>
    <mergeCell ref="A417:B422"/>
    <mergeCell ref="D417:F417"/>
    <mergeCell ref="G417:I417"/>
    <mergeCell ref="J417:L417"/>
    <mergeCell ref="M417:O417"/>
    <mergeCell ref="P417:R417"/>
    <mergeCell ref="V413:W413"/>
    <mergeCell ref="Y413:Z413"/>
    <mergeCell ref="AB413:AC413"/>
    <mergeCell ref="AE413:AF413"/>
    <mergeCell ref="D414:E414"/>
    <mergeCell ref="G414:H414"/>
    <mergeCell ref="J414:K414"/>
    <mergeCell ref="M414:N414"/>
    <mergeCell ref="P414:Q414"/>
    <mergeCell ref="S414:T414"/>
    <mergeCell ref="V412:W412"/>
    <mergeCell ref="Y412:Z412"/>
    <mergeCell ref="AB412:AC412"/>
    <mergeCell ref="AE412:AF412"/>
    <mergeCell ref="D413:E413"/>
    <mergeCell ref="G413:H413"/>
    <mergeCell ref="J413:K413"/>
    <mergeCell ref="M413:N413"/>
    <mergeCell ref="P413:Q413"/>
    <mergeCell ref="S413:T413"/>
    <mergeCell ref="V411:X411"/>
    <mergeCell ref="Y411:AA411"/>
    <mergeCell ref="AB411:AD411"/>
    <mergeCell ref="AE411:AG411"/>
    <mergeCell ref="D412:E412"/>
    <mergeCell ref="G412:H412"/>
    <mergeCell ref="J412:K412"/>
    <mergeCell ref="M412:N412"/>
    <mergeCell ref="P412:Q412"/>
    <mergeCell ref="S412:T412"/>
    <mergeCell ref="V410:X410"/>
    <mergeCell ref="Y410:AA410"/>
    <mergeCell ref="AB410:AD410"/>
    <mergeCell ref="AE410:AG410"/>
    <mergeCell ref="D411:F411"/>
    <mergeCell ref="G411:I411"/>
    <mergeCell ref="J411:L411"/>
    <mergeCell ref="M411:O411"/>
    <mergeCell ref="P411:R411"/>
    <mergeCell ref="S411:U411"/>
    <mergeCell ref="D410:F410"/>
    <mergeCell ref="G410:I410"/>
    <mergeCell ref="J410:L410"/>
    <mergeCell ref="M410:O410"/>
    <mergeCell ref="P410:R410"/>
    <mergeCell ref="S410:U410"/>
    <mergeCell ref="P409:R409"/>
    <mergeCell ref="S409:U409"/>
    <mergeCell ref="V409:X409"/>
    <mergeCell ref="Y409:AA409"/>
    <mergeCell ref="AB409:AD409"/>
    <mergeCell ref="AE409:AG409"/>
    <mergeCell ref="S406:T406"/>
    <mergeCell ref="V406:W406"/>
    <mergeCell ref="Y406:Z406"/>
    <mergeCell ref="AB406:AC406"/>
    <mergeCell ref="AE406:AF406"/>
    <mergeCell ref="A409:B414"/>
    <mergeCell ref="D409:F409"/>
    <mergeCell ref="G409:I409"/>
    <mergeCell ref="J409:L409"/>
    <mergeCell ref="M409:O409"/>
    <mergeCell ref="S405:T405"/>
    <mergeCell ref="V405:W405"/>
    <mergeCell ref="Y405:Z405"/>
    <mergeCell ref="AB405:AC405"/>
    <mergeCell ref="AE405:AF405"/>
    <mergeCell ref="D406:E406"/>
    <mergeCell ref="G406:H406"/>
    <mergeCell ref="J406:K406"/>
    <mergeCell ref="M406:N406"/>
    <mergeCell ref="P406:Q406"/>
    <mergeCell ref="S404:T404"/>
    <mergeCell ref="V404:W404"/>
    <mergeCell ref="Y404:Z404"/>
    <mergeCell ref="AB404:AC404"/>
    <mergeCell ref="AE404:AF404"/>
    <mergeCell ref="D405:E405"/>
    <mergeCell ref="G405:H405"/>
    <mergeCell ref="J405:K405"/>
    <mergeCell ref="M405:N405"/>
    <mergeCell ref="P405:Q405"/>
    <mergeCell ref="S403:U403"/>
    <mergeCell ref="V403:X403"/>
    <mergeCell ref="Y403:AA403"/>
    <mergeCell ref="AB403:AD403"/>
    <mergeCell ref="AE403:AG403"/>
    <mergeCell ref="D404:E404"/>
    <mergeCell ref="G404:H404"/>
    <mergeCell ref="J404:K404"/>
    <mergeCell ref="M404:N404"/>
    <mergeCell ref="P404:Q404"/>
    <mergeCell ref="S402:U402"/>
    <mergeCell ref="V402:X402"/>
    <mergeCell ref="Y402:AA402"/>
    <mergeCell ref="AB402:AD402"/>
    <mergeCell ref="AE402:AG402"/>
    <mergeCell ref="D403:F403"/>
    <mergeCell ref="G403:I403"/>
    <mergeCell ref="J403:L403"/>
    <mergeCell ref="M403:O403"/>
    <mergeCell ref="P403:R403"/>
    <mergeCell ref="S401:U401"/>
    <mergeCell ref="V401:X401"/>
    <mergeCell ref="Y401:AA401"/>
    <mergeCell ref="AB401:AD401"/>
    <mergeCell ref="AE401:AG401"/>
    <mergeCell ref="D402:F402"/>
    <mergeCell ref="G402:I402"/>
    <mergeCell ref="J402:L402"/>
    <mergeCell ref="M402:O402"/>
    <mergeCell ref="P402:R402"/>
    <mergeCell ref="V398:W398"/>
    <mergeCell ref="Y398:Z398"/>
    <mergeCell ref="AB398:AC398"/>
    <mergeCell ref="AE398:AF398"/>
    <mergeCell ref="A401:B406"/>
    <mergeCell ref="D401:F401"/>
    <mergeCell ref="G401:I401"/>
    <mergeCell ref="J401:L401"/>
    <mergeCell ref="M401:O401"/>
    <mergeCell ref="P401:R401"/>
    <mergeCell ref="V397:W397"/>
    <mergeCell ref="Y397:Z397"/>
    <mergeCell ref="AB397:AC397"/>
    <mergeCell ref="AE397:AF397"/>
    <mergeCell ref="D398:E398"/>
    <mergeCell ref="G398:H398"/>
    <mergeCell ref="J398:K398"/>
    <mergeCell ref="M398:N398"/>
    <mergeCell ref="P398:Q398"/>
    <mergeCell ref="S398:T398"/>
    <mergeCell ref="V396:W396"/>
    <mergeCell ref="Y396:Z396"/>
    <mergeCell ref="AB396:AC396"/>
    <mergeCell ref="AE396:AF396"/>
    <mergeCell ref="D397:E397"/>
    <mergeCell ref="G397:H397"/>
    <mergeCell ref="J397:K397"/>
    <mergeCell ref="M397:N397"/>
    <mergeCell ref="P397:Q397"/>
    <mergeCell ref="S397:T397"/>
    <mergeCell ref="V395:X395"/>
    <mergeCell ref="Y395:AA395"/>
    <mergeCell ref="AB395:AD395"/>
    <mergeCell ref="AE395:AG395"/>
    <mergeCell ref="D396:E396"/>
    <mergeCell ref="G396:H396"/>
    <mergeCell ref="J396:K396"/>
    <mergeCell ref="M396:N396"/>
    <mergeCell ref="P396:Q396"/>
    <mergeCell ref="S396:T396"/>
    <mergeCell ref="V394:X394"/>
    <mergeCell ref="Y394:AA394"/>
    <mergeCell ref="AB394:AD394"/>
    <mergeCell ref="AE394:AG394"/>
    <mergeCell ref="D395:F395"/>
    <mergeCell ref="G395:I395"/>
    <mergeCell ref="J395:L395"/>
    <mergeCell ref="M395:O395"/>
    <mergeCell ref="P395:R395"/>
    <mergeCell ref="S395:U395"/>
    <mergeCell ref="D394:F394"/>
    <mergeCell ref="G394:I394"/>
    <mergeCell ref="J394:L394"/>
    <mergeCell ref="M394:O394"/>
    <mergeCell ref="P394:R394"/>
    <mergeCell ref="S394:U394"/>
    <mergeCell ref="P393:R393"/>
    <mergeCell ref="S393:U393"/>
    <mergeCell ref="V393:X393"/>
    <mergeCell ref="Y393:AA393"/>
    <mergeCell ref="AB393:AD393"/>
    <mergeCell ref="AE393:AG393"/>
    <mergeCell ref="S390:T390"/>
    <mergeCell ref="V390:W390"/>
    <mergeCell ref="Y390:Z390"/>
    <mergeCell ref="AB390:AC390"/>
    <mergeCell ref="AE390:AF390"/>
    <mergeCell ref="A393:B398"/>
    <mergeCell ref="D393:F393"/>
    <mergeCell ref="G393:I393"/>
    <mergeCell ref="J393:L393"/>
    <mergeCell ref="M393:O393"/>
    <mergeCell ref="S389:T389"/>
    <mergeCell ref="V389:W389"/>
    <mergeCell ref="Y389:Z389"/>
    <mergeCell ref="AB389:AC389"/>
    <mergeCell ref="AE389:AF389"/>
    <mergeCell ref="D390:E390"/>
    <mergeCell ref="G390:H390"/>
    <mergeCell ref="J390:K390"/>
    <mergeCell ref="M390:N390"/>
    <mergeCell ref="P390:Q390"/>
    <mergeCell ref="S388:T388"/>
    <mergeCell ref="V388:W388"/>
    <mergeCell ref="Y388:Z388"/>
    <mergeCell ref="AB388:AC388"/>
    <mergeCell ref="AE388:AF388"/>
    <mergeCell ref="D389:E389"/>
    <mergeCell ref="G389:H389"/>
    <mergeCell ref="J389:K389"/>
    <mergeCell ref="M389:N389"/>
    <mergeCell ref="P389:Q389"/>
    <mergeCell ref="S387:U387"/>
    <mergeCell ref="V387:X387"/>
    <mergeCell ref="Y387:AA387"/>
    <mergeCell ref="AB387:AD387"/>
    <mergeCell ref="AE387:AG387"/>
    <mergeCell ref="D388:E388"/>
    <mergeCell ref="G388:H388"/>
    <mergeCell ref="J388:K388"/>
    <mergeCell ref="M388:N388"/>
    <mergeCell ref="P388:Q388"/>
    <mergeCell ref="S386:U386"/>
    <mergeCell ref="V386:X386"/>
    <mergeCell ref="Y386:AA386"/>
    <mergeCell ref="AB386:AD386"/>
    <mergeCell ref="AE386:AG386"/>
    <mergeCell ref="D387:F387"/>
    <mergeCell ref="G387:I387"/>
    <mergeCell ref="J387:L387"/>
    <mergeCell ref="M387:O387"/>
    <mergeCell ref="P387:R387"/>
    <mergeCell ref="S385:U385"/>
    <mergeCell ref="V385:X385"/>
    <mergeCell ref="Y385:AA385"/>
    <mergeCell ref="AB385:AD385"/>
    <mergeCell ref="AE385:AG385"/>
    <mergeCell ref="D386:F386"/>
    <mergeCell ref="G386:I386"/>
    <mergeCell ref="J386:L386"/>
    <mergeCell ref="M386:O386"/>
    <mergeCell ref="P386:R386"/>
    <mergeCell ref="V382:W382"/>
    <mergeCell ref="Y382:Z382"/>
    <mergeCell ref="AB382:AC382"/>
    <mergeCell ref="AE382:AF382"/>
    <mergeCell ref="A385:B390"/>
    <mergeCell ref="D385:F385"/>
    <mergeCell ref="G385:I385"/>
    <mergeCell ref="J385:L385"/>
    <mergeCell ref="M385:O385"/>
    <mergeCell ref="P385:R385"/>
    <mergeCell ref="V381:W381"/>
    <mergeCell ref="Y381:Z381"/>
    <mergeCell ref="AB381:AC381"/>
    <mergeCell ref="AE381:AF381"/>
    <mergeCell ref="D382:E382"/>
    <mergeCell ref="G382:H382"/>
    <mergeCell ref="J382:K382"/>
    <mergeCell ref="M382:N382"/>
    <mergeCell ref="P382:Q382"/>
    <mergeCell ref="S382:T382"/>
    <mergeCell ref="V380:W380"/>
    <mergeCell ref="Y380:Z380"/>
    <mergeCell ref="AB380:AC380"/>
    <mergeCell ref="AE380:AF380"/>
    <mergeCell ref="D381:E381"/>
    <mergeCell ref="G381:H381"/>
    <mergeCell ref="J381:K381"/>
    <mergeCell ref="M381:N381"/>
    <mergeCell ref="P381:Q381"/>
    <mergeCell ref="S381:T381"/>
    <mergeCell ref="V379:X379"/>
    <mergeCell ref="Y379:AA379"/>
    <mergeCell ref="AB379:AD379"/>
    <mergeCell ref="AE379:AG379"/>
    <mergeCell ref="D380:E380"/>
    <mergeCell ref="G380:H380"/>
    <mergeCell ref="J380:K380"/>
    <mergeCell ref="M380:N380"/>
    <mergeCell ref="P380:Q380"/>
    <mergeCell ref="S380:T380"/>
    <mergeCell ref="V378:X378"/>
    <mergeCell ref="Y378:AA378"/>
    <mergeCell ref="AB378:AD378"/>
    <mergeCell ref="AE378:AG378"/>
    <mergeCell ref="D379:F379"/>
    <mergeCell ref="G379:I379"/>
    <mergeCell ref="J379:L379"/>
    <mergeCell ref="M379:O379"/>
    <mergeCell ref="P379:R379"/>
    <mergeCell ref="S379:U379"/>
    <mergeCell ref="D378:F378"/>
    <mergeCell ref="G378:I378"/>
    <mergeCell ref="J378:L378"/>
    <mergeCell ref="M378:O378"/>
    <mergeCell ref="P378:R378"/>
    <mergeCell ref="S378:U378"/>
    <mergeCell ref="P377:R377"/>
    <mergeCell ref="S377:U377"/>
    <mergeCell ref="V377:X377"/>
    <mergeCell ref="Y377:AA377"/>
    <mergeCell ref="AB377:AD377"/>
    <mergeCell ref="AE377:AG377"/>
    <mergeCell ref="S374:T374"/>
    <mergeCell ref="V374:W374"/>
    <mergeCell ref="Y374:Z374"/>
    <mergeCell ref="AB374:AC374"/>
    <mergeCell ref="AE374:AF374"/>
    <mergeCell ref="A377:B382"/>
    <mergeCell ref="D377:F377"/>
    <mergeCell ref="G377:I377"/>
    <mergeCell ref="J377:L377"/>
    <mergeCell ref="M377:O377"/>
    <mergeCell ref="S373:T373"/>
    <mergeCell ref="V373:W373"/>
    <mergeCell ref="Y373:Z373"/>
    <mergeCell ref="AB373:AC373"/>
    <mergeCell ref="AE373:AF373"/>
    <mergeCell ref="D374:E374"/>
    <mergeCell ref="G374:H374"/>
    <mergeCell ref="J374:K374"/>
    <mergeCell ref="M374:N374"/>
    <mergeCell ref="P374:Q374"/>
    <mergeCell ref="S372:T372"/>
    <mergeCell ref="V372:W372"/>
    <mergeCell ref="Y372:Z372"/>
    <mergeCell ref="AB372:AC372"/>
    <mergeCell ref="AE372:AF372"/>
    <mergeCell ref="D373:E373"/>
    <mergeCell ref="G373:H373"/>
    <mergeCell ref="J373:K373"/>
    <mergeCell ref="M373:N373"/>
    <mergeCell ref="P373:Q373"/>
    <mergeCell ref="S371:U371"/>
    <mergeCell ref="V371:X371"/>
    <mergeCell ref="Y371:AA371"/>
    <mergeCell ref="AB371:AD371"/>
    <mergeCell ref="AE371:AG371"/>
    <mergeCell ref="D372:E372"/>
    <mergeCell ref="G372:H372"/>
    <mergeCell ref="J372:K372"/>
    <mergeCell ref="M372:N372"/>
    <mergeCell ref="P372:Q372"/>
    <mergeCell ref="S370:U370"/>
    <mergeCell ref="V370:X370"/>
    <mergeCell ref="Y370:AA370"/>
    <mergeCell ref="AB370:AD370"/>
    <mergeCell ref="AE370:AG370"/>
    <mergeCell ref="D371:F371"/>
    <mergeCell ref="G371:I371"/>
    <mergeCell ref="J371:L371"/>
    <mergeCell ref="M371:O371"/>
    <mergeCell ref="P371:R371"/>
    <mergeCell ref="S369:U369"/>
    <mergeCell ref="V369:X369"/>
    <mergeCell ref="Y369:AA369"/>
    <mergeCell ref="AB369:AD369"/>
    <mergeCell ref="AE369:AG369"/>
    <mergeCell ref="D370:F370"/>
    <mergeCell ref="G370:I370"/>
    <mergeCell ref="J370:L370"/>
    <mergeCell ref="M370:O370"/>
    <mergeCell ref="P370:R370"/>
    <mergeCell ref="V366:W366"/>
    <mergeCell ref="Y366:Z366"/>
    <mergeCell ref="AB366:AC366"/>
    <mergeCell ref="AE366:AF366"/>
    <mergeCell ref="A369:B374"/>
    <mergeCell ref="D369:F369"/>
    <mergeCell ref="G369:I369"/>
    <mergeCell ref="J369:L369"/>
    <mergeCell ref="M369:O369"/>
    <mergeCell ref="P369:R369"/>
    <mergeCell ref="V365:W365"/>
    <mergeCell ref="Y365:Z365"/>
    <mergeCell ref="AB365:AC365"/>
    <mergeCell ref="AE365:AF365"/>
    <mergeCell ref="D366:E366"/>
    <mergeCell ref="G366:H366"/>
    <mergeCell ref="J366:K366"/>
    <mergeCell ref="M366:N366"/>
    <mergeCell ref="P366:Q366"/>
    <mergeCell ref="S366:T366"/>
    <mergeCell ref="V364:W364"/>
    <mergeCell ref="Y364:Z364"/>
    <mergeCell ref="AB364:AC364"/>
    <mergeCell ref="AE364:AF364"/>
    <mergeCell ref="D365:E365"/>
    <mergeCell ref="G365:H365"/>
    <mergeCell ref="J365:K365"/>
    <mergeCell ref="M365:N365"/>
    <mergeCell ref="P365:Q365"/>
    <mergeCell ref="S365:T365"/>
    <mergeCell ref="V363:X363"/>
    <mergeCell ref="Y363:AA363"/>
    <mergeCell ref="AB363:AD363"/>
    <mergeCell ref="AE363:AG363"/>
    <mergeCell ref="D364:E364"/>
    <mergeCell ref="G364:H364"/>
    <mergeCell ref="J364:K364"/>
    <mergeCell ref="M364:N364"/>
    <mergeCell ref="P364:Q364"/>
    <mergeCell ref="S364:T364"/>
    <mergeCell ref="V362:X362"/>
    <mergeCell ref="Y362:AA362"/>
    <mergeCell ref="AB362:AD362"/>
    <mergeCell ref="AE362:AG362"/>
    <mergeCell ref="D363:F363"/>
    <mergeCell ref="G363:I363"/>
    <mergeCell ref="J363:L363"/>
    <mergeCell ref="M363:O363"/>
    <mergeCell ref="P363:R363"/>
    <mergeCell ref="S363:U363"/>
    <mergeCell ref="D362:F362"/>
    <mergeCell ref="G362:I362"/>
    <mergeCell ref="J362:L362"/>
    <mergeCell ref="M362:O362"/>
    <mergeCell ref="P362:R362"/>
    <mergeCell ref="S362:U362"/>
    <mergeCell ref="P361:R361"/>
    <mergeCell ref="S361:U361"/>
    <mergeCell ref="V361:X361"/>
    <mergeCell ref="Y361:AA361"/>
    <mergeCell ref="AB361:AD361"/>
    <mergeCell ref="AE361:AG361"/>
    <mergeCell ref="S358:T358"/>
    <mergeCell ref="V358:W358"/>
    <mergeCell ref="Y358:Z358"/>
    <mergeCell ref="AB358:AC358"/>
    <mergeCell ref="AE358:AF358"/>
    <mergeCell ref="A361:B366"/>
    <mergeCell ref="D361:F361"/>
    <mergeCell ref="G361:I361"/>
    <mergeCell ref="J361:L361"/>
    <mergeCell ref="M361:O361"/>
    <mergeCell ref="S357:T357"/>
    <mergeCell ref="V357:W357"/>
    <mergeCell ref="Y357:Z357"/>
    <mergeCell ref="AB357:AC357"/>
    <mergeCell ref="AE357:AF357"/>
    <mergeCell ref="D358:E358"/>
    <mergeCell ref="G358:H358"/>
    <mergeCell ref="J358:K358"/>
    <mergeCell ref="M358:N358"/>
    <mergeCell ref="P358:Q358"/>
    <mergeCell ref="S356:T356"/>
    <mergeCell ref="V356:W356"/>
    <mergeCell ref="Y356:Z356"/>
    <mergeCell ref="AB356:AC356"/>
    <mergeCell ref="AE356:AF356"/>
    <mergeCell ref="D357:E357"/>
    <mergeCell ref="G357:H357"/>
    <mergeCell ref="J357:K357"/>
    <mergeCell ref="M357:N357"/>
    <mergeCell ref="P357:Q357"/>
    <mergeCell ref="S355:U355"/>
    <mergeCell ref="V355:X355"/>
    <mergeCell ref="Y355:AA355"/>
    <mergeCell ref="AB355:AD355"/>
    <mergeCell ref="AE355:AG355"/>
    <mergeCell ref="D356:E356"/>
    <mergeCell ref="G356:H356"/>
    <mergeCell ref="J356:K356"/>
    <mergeCell ref="M356:N356"/>
    <mergeCell ref="P356:Q356"/>
    <mergeCell ref="S354:U354"/>
    <mergeCell ref="V354:X354"/>
    <mergeCell ref="Y354:AA354"/>
    <mergeCell ref="AB354:AD354"/>
    <mergeCell ref="AE354:AG354"/>
    <mergeCell ref="D355:F355"/>
    <mergeCell ref="G355:I355"/>
    <mergeCell ref="J355:L355"/>
    <mergeCell ref="M355:O355"/>
    <mergeCell ref="P355:R355"/>
    <mergeCell ref="S353:U353"/>
    <mergeCell ref="V353:X353"/>
    <mergeCell ref="Y353:AA353"/>
    <mergeCell ref="AB353:AD353"/>
    <mergeCell ref="AE353:AG353"/>
    <mergeCell ref="D354:F354"/>
    <mergeCell ref="G354:I354"/>
    <mergeCell ref="J354:L354"/>
    <mergeCell ref="M354:O354"/>
    <mergeCell ref="P354:R354"/>
    <mergeCell ref="V350:W350"/>
    <mergeCell ref="Y350:Z350"/>
    <mergeCell ref="AB350:AC350"/>
    <mergeCell ref="AE350:AF350"/>
    <mergeCell ref="A353:B358"/>
    <mergeCell ref="D353:F353"/>
    <mergeCell ref="G353:I353"/>
    <mergeCell ref="J353:L353"/>
    <mergeCell ref="M353:O353"/>
    <mergeCell ref="P353:R353"/>
    <mergeCell ref="V349:W349"/>
    <mergeCell ref="Y349:Z349"/>
    <mergeCell ref="AB349:AC349"/>
    <mergeCell ref="AE349:AF349"/>
    <mergeCell ref="D350:E350"/>
    <mergeCell ref="G350:H350"/>
    <mergeCell ref="J350:K350"/>
    <mergeCell ref="M350:N350"/>
    <mergeCell ref="P350:Q350"/>
    <mergeCell ref="S350:T350"/>
    <mergeCell ref="V348:W348"/>
    <mergeCell ref="Y348:Z348"/>
    <mergeCell ref="AB348:AC348"/>
    <mergeCell ref="AE348:AF348"/>
    <mergeCell ref="D349:E349"/>
    <mergeCell ref="G349:H349"/>
    <mergeCell ref="J349:K349"/>
    <mergeCell ref="M349:N349"/>
    <mergeCell ref="P349:Q349"/>
    <mergeCell ref="S349:T349"/>
    <mergeCell ref="V347:X347"/>
    <mergeCell ref="Y347:AA347"/>
    <mergeCell ref="AB347:AD347"/>
    <mergeCell ref="AE347:AG347"/>
    <mergeCell ref="D348:E348"/>
    <mergeCell ref="G348:H348"/>
    <mergeCell ref="J348:K348"/>
    <mergeCell ref="M348:N348"/>
    <mergeCell ref="P348:Q348"/>
    <mergeCell ref="S348:T348"/>
    <mergeCell ref="V346:X346"/>
    <mergeCell ref="Y346:AA346"/>
    <mergeCell ref="AB346:AD346"/>
    <mergeCell ref="AE346:AG346"/>
    <mergeCell ref="D347:F347"/>
    <mergeCell ref="G347:I347"/>
    <mergeCell ref="J347:L347"/>
    <mergeCell ref="M347:O347"/>
    <mergeCell ref="P347:R347"/>
    <mergeCell ref="S347:U347"/>
    <mergeCell ref="D346:F346"/>
    <mergeCell ref="G346:I346"/>
    <mergeCell ref="J346:L346"/>
    <mergeCell ref="M346:O346"/>
    <mergeCell ref="P346:R346"/>
    <mergeCell ref="S346:U346"/>
    <mergeCell ref="P345:R345"/>
    <mergeCell ref="S345:U345"/>
    <mergeCell ref="V345:X345"/>
    <mergeCell ref="Y345:AA345"/>
    <mergeCell ref="AB345:AD345"/>
    <mergeCell ref="AE345:AG345"/>
    <mergeCell ref="S342:T342"/>
    <mergeCell ref="V342:W342"/>
    <mergeCell ref="Y342:Z342"/>
    <mergeCell ref="AB342:AC342"/>
    <mergeCell ref="AE342:AF342"/>
    <mergeCell ref="A345:B350"/>
    <mergeCell ref="D345:F345"/>
    <mergeCell ref="G345:I345"/>
    <mergeCell ref="J345:L345"/>
    <mergeCell ref="M345:O345"/>
    <mergeCell ref="S341:T341"/>
    <mergeCell ref="V341:W341"/>
    <mergeCell ref="Y341:Z341"/>
    <mergeCell ref="AB341:AC341"/>
    <mergeCell ref="AE341:AF341"/>
    <mergeCell ref="D342:E342"/>
    <mergeCell ref="G342:H342"/>
    <mergeCell ref="J342:K342"/>
    <mergeCell ref="M342:N342"/>
    <mergeCell ref="P342:Q342"/>
    <mergeCell ref="S340:T340"/>
    <mergeCell ref="V340:W340"/>
    <mergeCell ref="Y340:Z340"/>
    <mergeCell ref="AB340:AC340"/>
    <mergeCell ref="AE340:AF340"/>
    <mergeCell ref="D341:E341"/>
    <mergeCell ref="G341:H341"/>
    <mergeCell ref="J341:K341"/>
    <mergeCell ref="M341:N341"/>
    <mergeCell ref="P341:Q341"/>
    <mergeCell ref="S339:U339"/>
    <mergeCell ref="V339:X339"/>
    <mergeCell ref="Y339:AA339"/>
    <mergeCell ref="AB339:AD339"/>
    <mergeCell ref="AE339:AG339"/>
    <mergeCell ref="D340:E340"/>
    <mergeCell ref="G340:H340"/>
    <mergeCell ref="J340:K340"/>
    <mergeCell ref="M340:N340"/>
    <mergeCell ref="P340:Q340"/>
    <mergeCell ref="S338:U338"/>
    <mergeCell ref="V338:X338"/>
    <mergeCell ref="Y338:AA338"/>
    <mergeCell ref="AB338:AD338"/>
    <mergeCell ref="AE338:AG338"/>
    <mergeCell ref="D339:F339"/>
    <mergeCell ref="G339:I339"/>
    <mergeCell ref="J339:L339"/>
    <mergeCell ref="M339:O339"/>
    <mergeCell ref="P339:R339"/>
    <mergeCell ref="S337:U337"/>
    <mergeCell ref="V337:X337"/>
    <mergeCell ref="Y337:AA337"/>
    <mergeCell ref="AB337:AD337"/>
    <mergeCell ref="AE337:AG337"/>
    <mergeCell ref="D338:F338"/>
    <mergeCell ref="G338:I338"/>
    <mergeCell ref="J338:L338"/>
    <mergeCell ref="M338:O338"/>
    <mergeCell ref="P338:R338"/>
    <mergeCell ref="V334:W334"/>
    <mergeCell ref="Y334:Z334"/>
    <mergeCell ref="AB334:AC334"/>
    <mergeCell ref="AE334:AF334"/>
    <mergeCell ref="A337:B342"/>
    <mergeCell ref="D337:F337"/>
    <mergeCell ref="G337:I337"/>
    <mergeCell ref="J337:L337"/>
    <mergeCell ref="M337:O337"/>
    <mergeCell ref="P337:R337"/>
    <mergeCell ref="V333:W333"/>
    <mergeCell ref="Y333:Z333"/>
    <mergeCell ref="AB333:AC333"/>
    <mergeCell ref="AE333:AF333"/>
    <mergeCell ref="D334:E334"/>
    <mergeCell ref="G334:H334"/>
    <mergeCell ref="J334:K334"/>
    <mergeCell ref="M334:N334"/>
    <mergeCell ref="P334:Q334"/>
    <mergeCell ref="S334:T334"/>
    <mergeCell ref="V332:W332"/>
    <mergeCell ref="Y332:Z332"/>
    <mergeCell ref="AB332:AC332"/>
    <mergeCell ref="AE332:AF332"/>
    <mergeCell ref="D333:E333"/>
    <mergeCell ref="G333:H333"/>
    <mergeCell ref="J333:K333"/>
    <mergeCell ref="M333:N333"/>
    <mergeCell ref="P333:Q333"/>
    <mergeCell ref="S333:T333"/>
    <mergeCell ref="V331:X331"/>
    <mergeCell ref="Y331:AA331"/>
    <mergeCell ref="AB331:AD331"/>
    <mergeCell ref="AE331:AG331"/>
    <mergeCell ref="D332:E332"/>
    <mergeCell ref="G332:H332"/>
    <mergeCell ref="J332:K332"/>
    <mergeCell ref="M332:N332"/>
    <mergeCell ref="P332:Q332"/>
    <mergeCell ref="S332:T332"/>
    <mergeCell ref="V330:X330"/>
    <mergeCell ref="Y330:AA330"/>
    <mergeCell ref="AB330:AD330"/>
    <mergeCell ref="AE330:AG330"/>
    <mergeCell ref="D331:F331"/>
    <mergeCell ref="G331:I331"/>
    <mergeCell ref="J331:L331"/>
    <mergeCell ref="M331:O331"/>
    <mergeCell ref="P331:R331"/>
    <mergeCell ref="S331:U331"/>
    <mergeCell ref="D330:F330"/>
    <mergeCell ref="G330:I330"/>
    <mergeCell ref="J330:L330"/>
    <mergeCell ref="M330:O330"/>
    <mergeCell ref="P330:R330"/>
    <mergeCell ref="S330:U330"/>
    <mergeCell ref="P329:R329"/>
    <mergeCell ref="S329:U329"/>
    <mergeCell ref="V329:X329"/>
    <mergeCell ref="Y329:AA329"/>
    <mergeCell ref="AB329:AD329"/>
    <mergeCell ref="AE329:AG329"/>
    <mergeCell ref="S326:T326"/>
    <mergeCell ref="V326:W326"/>
    <mergeCell ref="Y326:Z326"/>
    <mergeCell ref="AB326:AC326"/>
    <mergeCell ref="AE326:AF326"/>
    <mergeCell ref="A329:B334"/>
    <mergeCell ref="D329:F329"/>
    <mergeCell ref="G329:I329"/>
    <mergeCell ref="J329:L329"/>
    <mergeCell ref="M329:O329"/>
    <mergeCell ref="S325:T325"/>
    <mergeCell ref="V325:W325"/>
    <mergeCell ref="Y325:Z325"/>
    <mergeCell ref="AB325:AC325"/>
    <mergeCell ref="AE325:AF325"/>
    <mergeCell ref="D326:E326"/>
    <mergeCell ref="G326:H326"/>
    <mergeCell ref="J326:K326"/>
    <mergeCell ref="M326:N326"/>
    <mergeCell ref="P326:Q326"/>
    <mergeCell ref="S324:T324"/>
    <mergeCell ref="V324:W324"/>
    <mergeCell ref="Y324:Z324"/>
    <mergeCell ref="AB324:AC324"/>
    <mergeCell ref="AE324:AF324"/>
    <mergeCell ref="D325:E325"/>
    <mergeCell ref="G325:H325"/>
    <mergeCell ref="J325:K325"/>
    <mergeCell ref="M325:N325"/>
    <mergeCell ref="P325:Q325"/>
    <mergeCell ref="S323:U323"/>
    <mergeCell ref="V323:X323"/>
    <mergeCell ref="Y323:AA323"/>
    <mergeCell ref="AB323:AD323"/>
    <mergeCell ref="AE323:AG323"/>
    <mergeCell ref="D324:E324"/>
    <mergeCell ref="G324:H324"/>
    <mergeCell ref="J324:K324"/>
    <mergeCell ref="M324:N324"/>
    <mergeCell ref="P324:Q324"/>
    <mergeCell ref="S322:U322"/>
    <mergeCell ref="V322:X322"/>
    <mergeCell ref="Y322:AA322"/>
    <mergeCell ref="AB322:AD322"/>
    <mergeCell ref="AE322:AG322"/>
    <mergeCell ref="D323:F323"/>
    <mergeCell ref="G323:I323"/>
    <mergeCell ref="J323:L323"/>
    <mergeCell ref="M323:O323"/>
    <mergeCell ref="P323:R323"/>
    <mergeCell ref="S321:U321"/>
    <mergeCell ref="V321:X321"/>
    <mergeCell ref="Y321:AA321"/>
    <mergeCell ref="AB321:AD321"/>
    <mergeCell ref="AE321:AG321"/>
    <mergeCell ref="D322:F322"/>
    <mergeCell ref="G322:I322"/>
    <mergeCell ref="J322:L322"/>
    <mergeCell ref="M322:O322"/>
    <mergeCell ref="P322:R322"/>
    <mergeCell ref="V318:W318"/>
    <mergeCell ref="Y318:Z318"/>
    <mergeCell ref="AB318:AC318"/>
    <mergeCell ref="AE318:AF318"/>
    <mergeCell ref="A321:B326"/>
    <mergeCell ref="D321:F321"/>
    <mergeCell ref="G321:I321"/>
    <mergeCell ref="J321:L321"/>
    <mergeCell ref="M321:O321"/>
    <mergeCell ref="P321:R321"/>
    <mergeCell ref="V317:W317"/>
    <mergeCell ref="Y317:Z317"/>
    <mergeCell ref="AB317:AC317"/>
    <mergeCell ref="AE317:AF317"/>
    <mergeCell ref="D318:E318"/>
    <mergeCell ref="G318:H318"/>
    <mergeCell ref="J318:K318"/>
    <mergeCell ref="M318:N318"/>
    <mergeCell ref="P318:Q318"/>
    <mergeCell ref="S318:T318"/>
    <mergeCell ref="V316:W316"/>
    <mergeCell ref="Y316:Z316"/>
    <mergeCell ref="AB316:AC316"/>
    <mergeCell ref="AE316:AF316"/>
    <mergeCell ref="D317:E317"/>
    <mergeCell ref="G317:H317"/>
    <mergeCell ref="J317:K317"/>
    <mergeCell ref="M317:N317"/>
    <mergeCell ref="P317:Q317"/>
    <mergeCell ref="S317:T317"/>
    <mergeCell ref="V315:X315"/>
    <mergeCell ref="Y315:AA315"/>
    <mergeCell ref="AB315:AD315"/>
    <mergeCell ref="AE315:AG315"/>
    <mergeCell ref="D316:E316"/>
    <mergeCell ref="G316:H316"/>
    <mergeCell ref="J316:K316"/>
    <mergeCell ref="M316:N316"/>
    <mergeCell ref="P316:Q316"/>
    <mergeCell ref="S316:T316"/>
    <mergeCell ref="V314:X314"/>
    <mergeCell ref="Y314:AA314"/>
    <mergeCell ref="AB314:AD314"/>
    <mergeCell ref="AE314:AG314"/>
    <mergeCell ref="D315:F315"/>
    <mergeCell ref="G315:I315"/>
    <mergeCell ref="J315:L315"/>
    <mergeCell ref="M315:O315"/>
    <mergeCell ref="P315:R315"/>
    <mergeCell ref="S315:U315"/>
    <mergeCell ref="D314:F314"/>
    <mergeCell ref="G314:I314"/>
    <mergeCell ref="J314:L314"/>
    <mergeCell ref="M314:O314"/>
    <mergeCell ref="P314:R314"/>
    <mergeCell ref="S314:U314"/>
    <mergeCell ref="P313:R313"/>
    <mergeCell ref="S313:U313"/>
    <mergeCell ref="V313:X313"/>
    <mergeCell ref="Y313:AA313"/>
    <mergeCell ref="AB313:AD313"/>
    <mergeCell ref="AE313:AG313"/>
    <mergeCell ref="S310:T310"/>
    <mergeCell ref="V310:W310"/>
    <mergeCell ref="Y310:Z310"/>
    <mergeCell ref="AB310:AC310"/>
    <mergeCell ref="AE310:AF310"/>
    <mergeCell ref="A313:B318"/>
    <mergeCell ref="D313:F313"/>
    <mergeCell ref="G313:I313"/>
    <mergeCell ref="J313:L313"/>
    <mergeCell ref="M313:O313"/>
    <mergeCell ref="S309:T309"/>
    <mergeCell ref="V309:W309"/>
    <mergeCell ref="Y309:Z309"/>
    <mergeCell ref="AB309:AC309"/>
    <mergeCell ref="AE309:AF309"/>
    <mergeCell ref="D310:E310"/>
    <mergeCell ref="G310:H310"/>
    <mergeCell ref="J310:K310"/>
    <mergeCell ref="M310:N310"/>
    <mergeCell ref="P310:Q310"/>
    <mergeCell ref="S308:T308"/>
    <mergeCell ref="V308:W308"/>
    <mergeCell ref="Y308:Z308"/>
    <mergeCell ref="AB308:AC308"/>
    <mergeCell ref="AE308:AF308"/>
    <mergeCell ref="D309:E309"/>
    <mergeCell ref="G309:H309"/>
    <mergeCell ref="J309:K309"/>
    <mergeCell ref="M309:N309"/>
    <mergeCell ref="P309:Q309"/>
    <mergeCell ref="S307:U307"/>
    <mergeCell ref="V307:X307"/>
    <mergeCell ref="Y307:AA307"/>
    <mergeCell ref="AB307:AD307"/>
    <mergeCell ref="AE307:AG307"/>
    <mergeCell ref="D308:E308"/>
    <mergeCell ref="G308:H308"/>
    <mergeCell ref="J308:K308"/>
    <mergeCell ref="M308:N308"/>
    <mergeCell ref="P308:Q308"/>
    <mergeCell ref="S306:U306"/>
    <mergeCell ref="V306:X306"/>
    <mergeCell ref="Y306:AA306"/>
    <mergeCell ref="AB306:AD306"/>
    <mergeCell ref="AE306:AG306"/>
    <mergeCell ref="D307:F307"/>
    <mergeCell ref="G307:I307"/>
    <mergeCell ref="J307:L307"/>
    <mergeCell ref="M307:O307"/>
    <mergeCell ref="P307:R307"/>
    <mergeCell ref="S305:U305"/>
    <mergeCell ref="V305:X305"/>
    <mergeCell ref="Y305:AA305"/>
    <mergeCell ref="AB305:AD305"/>
    <mergeCell ref="AE305:AG305"/>
    <mergeCell ref="D306:F306"/>
    <mergeCell ref="G306:I306"/>
    <mergeCell ref="J306:L306"/>
    <mergeCell ref="M306:O306"/>
    <mergeCell ref="P306:R306"/>
    <mergeCell ref="V302:W302"/>
    <mergeCell ref="Y302:Z302"/>
    <mergeCell ref="AB302:AC302"/>
    <mergeCell ref="AE302:AF302"/>
    <mergeCell ref="A305:B310"/>
    <mergeCell ref="D305:F305"/>
    <mergeCell ref="G305:I305"/>
    <mergeCell ref="J305:L305"/>
    <mergeCell ref="M305:O305"/>
    <mergeCell ref="P305:R305"/>
    <mergeCell ref="V301:W301"/>
    <mergeCell ref="Y301:Z301"/>
    <mergeCell ref="AB301:AC301"/>
    <mergeCell ref="AE301:AF301"/>
    <mergeCell ref="D302:E302"/>
    <mergeCell ref="G302:H302"/>
    <mergeCell ref="J302:K302"/>
    <mergeCell ref="M302:N302"/>
    <mergeCell ref="P302:Q302"/>
    <mergeCell ref="S302:T302"/>
    <mergeCell ref="V300:W300"/>
    <mergeCell ref="Y300:Z300"/>
    <mergeCell ref="AB300:AC300"/>
    <mergeCell ref="AE300:AF300"/>
    <mergeCell ref="D301:E301"/>
    <mergeCell ref="G301:H301"/>
    <mergeCell ref="J301:K301"/>
    <mergeCell ref="M301:N301"/>
    <mergeCell ref="P301:Q301"/>
    <mergeCell ref="S301:T301"/>
    <mergeCell ref="V299:X299"/>
    <mergeCell ref="Y299:AA299"/>
    <mergeCell ref="AB299:AD299"/>
    <mergeCell ref="AE299:AG299"/>
    <mergeCell ref="D300:E300"/>
    <mergeCell ref="G300:H300"/>
    <mergeCell ref="J300:K300"/>
    <mergeCell ref="M300:N300"/>
    <mergeCell ref="P300:Q300"/>
    <mergeCell ref="S300:T300"/>
    <mergeCell ref="V298:X298"/>
    <mergeCell ref="Y298:AA298"/>
    <mergeCell ref="AB298:AD298"/>
    <mergeCell ref="AE298:AG298"/>
    <mergeCell ref="D299:F299"/>
    <mergeCell ref="G299:I299"/>
    <mergeCell ref="J299:L299"/>
    <mergeCell ref="M299:O299"/>
    <mergeCell ref="P299:R299"/>
    <mergeCell ref="S299:U299"/>
    <mergeCell ref="D298:F298"/>
    <mergeCell ref="G298:I298"/>
    <mergeCell ref="J298:L298"/>
    <mergeCell ref="M298:O298"/>
    <mergeCell ref="P298:R298"/>
    <mergeCell ref="S298:U298"/>
    <mergeCell ref="P297:R297"/>
    <mergeCell ref="S297:U297"/>
    <mergeCell ref="V297:X297"/>
    <mergeCell ref="Y297:AA297"/>
    <mergeCell ref="AB297:AD297"/>
    <mergeCell ref="AE297:AG297"/>
    <mergeCell ref="S294:T294"/>
    <mergeCell ref="V294:W294"/>
    <mergeCell ref="Y294:Z294"/>
    <mergeCell ref="AB294:AC294"/>
    <mergeCell ref="AE294:AF294"/>
    <mergeCell ref="A297:B302"/>
    <mergeCell ref="D297:F297"/>
    <mergeCell ref="G297:I297"/>
    <mergeCell ref="J297:L297"/>
    <mergeCell ref="M297:O297"/>
    <mergeCell ref="S293:T293"/>
    <mergeCell ref="V293:W293"/>
    <mergeCell ref="Y293:Z293"/>
    <mergeCell ref="AB293:AC293"/>
    <mergeCell ref="AE293:AF293"/>
    <mergeCell ref="D294:E294"/>
    <mergeCell ref="G294:H294"/>
    <mergeCell ref="J294:K294"/>
    <mergeCell ref="M294:N294"/>
    <mergeCell ref="P294:Q294"/>
    <mergeCell ref="S292:T292"/>
    <mergeCell ref="V292:W292"/>
    <mergeCell ref="Y292:Z292"/>
    <mergeCell ref="AB292:AC292"/>
    <mergeCell ref="AE292:AF292"/>
    <mergeCell ref="D293:E293"/>
    <mergeCell ref="G293:H293"/>
    <mergeCell ref="J293:K293"/>
    <mergeCell ref="M293:N293"/>
    <mergeCell ref="P293:Q293"/>
    <mergeCell ref="S291:U291"/>
    <mergeCell ref="V291:X291"/>
    <mergeCell ref="Y291:AA291"/>
    <mergeCell ref="AB291:AD291"/>
    <mergeCell ref="AE291:AG291"/>
    <mergeCell ref="D292:E292"/>
    <mergeCell ref="G292:H292"/>
    <mergeCell ref="J292:K292"/>
    <mergeCell ref="M292:N292"/>
    <mergeCell ref="P292:Q292"/>
    <mergeCell ref="S290:U290"/>
    <mergeCell ref="V290:X290"/>
    <mergeCell ref="Y290:AA290"/>
    <mergeCell ref="AB290:AD290"/>
    <mergeCell ref="AE290:AG290"/>
    <mergeCell ref="D291:F291"/>
    <mergeCell ref="G291:I291"/>
    <mergeCell ref="J291:L291"/>
    <mergeCell ref="M291:O291"/>
    <mergeCell ref="P291:R291"/>
    <mergeCell ref="S289:U289"/>
    <mergeCell ref="V289:X289"/>
    <mergeCell ref="Y289:AA289"/>
    <mergeCell ref="AB289:AD289"/>
    <mergeCell ref="AE289:AG289"/>
    <mergeCell ref="D290:F290"/>
    <mergeCell ref="G290:I290"/>
    <mergeCell ref="J290:L290"/>
    <mergeCell ref="M290:O290"/>
    <mergeCell ref="P290:R290"/>
    <mergeCell ref="V286:W286"/>
    <mergeCell ref="Y286:Z286"/>
    <mergeCell ref="AB286:AC286"/>
    <mergeCell ref="AE286:AF286"/>
    <mergeCell ref="A289:B294"/>
    <mergeCell ref="D289:F289"/>
    <mergeCell ref="G289:I289"/>
    <mergeCell ref="J289:L289"/>
    <mergeCell ref="M289:O289"/>
    <mergeCell ref="P289:R289"/>
    <mergeCell ref="V285:W285"/>
    <mergeCell ref="Y285:Z285"/>
    <mergeCell ref="AB285:AC285"/>
    <mergeCell ref="AE285:AF285"/>
    <mergeCell ref="D286:E286"/>
    <mergeCell ref="G286:H286"/>
    <mergeCell ref="J286:K286"/>
    <mergeCell ref="M286:N286"/>
    <mergeCell ref="P286:Q286"/>
    <mergeCell ref="S286:T286"/>
    <mergeCell ref="V284:W284"/>
    <mergeCell ref="Y284:Z284"/>
    <mergeCell ref="AB284:AC284"/>
    <mergeCell ref="AE284:AF284"/>
    <mergeCell ref="D285:E285"/>
    <mergeCell ref="G285:H285"/>
    <mergeCell ref="J285:K285"/>
    <mergeCell ref="M285:N285"/>
    <mergeCell ref="P285:Q285"/>
    <mergeCell ref="S285:T285"/>
    <mergeCell ref="V283:X283"/>
    <mergeCell ref="Y283:AA283"/>
    <mergeCell ref="AB283:AD283"/>
    <mergeCell ref="AE283:AG283"/>
    <mergeCell ref="D284:E284"/>
    <mergeCell ref="G284:H284"/>
    <mergeCell ref="J284:K284"/>
    <mergeCell ref="M284:N284"/>
    <mergeCell ref="P284:Q284"/>
    <mergeCell ref="S284:T284"/>
    <mergeCell ref="V282:X282"/>
    <mergeCell ref="Y282:AA282"/>
    <mergeCell ref="AB282:AD282"/>
    <mergeCell ref="AE282:AG282"/>
    <mergeCell ref="D283:F283"/>
    <mergeCell ref="G283:I283"/>
    <mergeCell ref="J283:L283"/>
    <mergeCell ref="M283:O283"/>
    <mergeCell ref="P283:R283"/>
    <mergeCell ref="S283:U283"/>
    <mergeCell ref="D282:F282"/>
    <mergeCell ref="G282:I282"/>
    <mergeCell ref="J282:L282"/>
    <mergeCell ref="M282:O282"/>
    <mergeCell ref="P282:R282"/>
    <mergeCell ref="S282:U282"/>
    <mergeCell ref="P281:R281"/>
    <mergeCell ref="S281:U281"/>
    <mergeCell ref="V281:X281"/>
    <mergeCell ref="Y281:AA281"/>
    <mergeCell ref="AB281:AD281"/>
    <mergeCell ref="AE281:AG281"/>
    <mergeCell ref="S278:T278"/>
    <mergeCell ref="V278:W278"/>
    <mergeCell ref="Y278:Z278"/>
    <mergeCell ref="AB278:AC278"/>
    <mergeCell ref="AE278:AF278"/>
    <mergeCell ref="A281:B286"/>
    <mergeCell ref="D281:F281"/>
    <mergeCell ref="G281:I281"/>
    <mergeCell ref="J281:L281"/>
    <mergeCell ref="M281:O281"/>
    <mergeCell ref="S277:T277"/>
    <mergeCell ref="V277:W277"/>
    <mergeCell ref="Y277:Z277"/>
    <mergeCell ref="AB277:AC277"/>
    <mergeCell ref="AE277:AF277"/>
    <mergeCell ref="D278:E278"/>
    <mergeCell ref="G278:H278"/>
    <mergeCell ref="J278:K278"/>
    <mergeCell ref="M278:N278"/>
    <mergeCell ref="P278:Q278"/>
    <mergeCell ref="S276:T276"/>
    <mergeCell ref="V276:W276"/>
    <mergeCell ref="Y276:Z276"/>
    <mergeCell ref="AB276:AC276"/>
    <mergeCell ref="AE276:AF276"/>
    <mergeCell ref="D277:E277"/>
    <mergeCell ref="G277:H277"/>
    <mergeCell ref="J277:K277"/>
    <mergeCell ref="M277:N277"/>
    <mergeCell ref="P277:Q277"/>
    <mergeCell ref="S275:U275"/>
    <mergeCell ref="V275:X275"/>
    <mergeCell ref="Y275:AA275"/>
    <mergeCell ref="AB275:AD275"/>
    <mergeCell ref="AE275:AG275"/>
    <mergeCell ref="D276:E276"/>
    <mergeCell ref="G276:H276"/>
    <mergeCell ref="J276:K276"/>
    <mergeCell ref="M276:N276"/>
    <mergeCell ref="P276:Q276"/>
    <mergeCell ref="S274:U274"/>
    <mergeCell ref="V274:X274"/>
    <mergeCell ref="Y274:AA274"/>
    <mergeCell ref="AB274:AD274"/>
    <mergeCell ref="AE274:AG274"/>
    <mergeCell ref="D275:F275"/>
    <mergeCell ref="G275:I275"/>
    <mergeCell ref="J275:L275"/>
    <mergeCell ref="M275:O275"/>
    <mergeCell ref="P275:R275"/>
    <mergeCell ref="S273:U273"/>
    <mergeCell ref="V273:X273"/>
    <mergeCell ref="Y273:AA273"/>
    <mergeCell ref="AB273:AD273"/>
    <mergeCell ref="AE273:AG273"/>
    <mergeCell ref="D274:F274"/>
    <mergeCell ref="G274:I274"/>
    <mergeCell ref="J274:L274"/>
    <mergeCell ref="M274:O274"/>
    <mergeCell ref="P274:R274"/>
    <mergeCell ref="V270:W270"/>
    <mergeCell ref="Y270:Z270"/>
    <mergeCell ref="AB270:AC270"/>
    <mergeCell ref="AE270:AF270"/>
    <mergeCell ref="A273:B278"/>
    <mergeCell ref="D273:F273"/>
    <mergeCell ref="G273:I273"/>
    <mergeCell ref="J273:L273"/>
    <mergeCell ref="M273:O273"/>
    <mergeCell ref="P273:R273"/>
    <mergeCell ref="V269:W269"/>
    <mergeCell ref="Y269:Z269"/>
    <mergeCell ref="AB269:AC269"/>
    <mergeCell ref="AE269:AF269"/>
    <mergeCell ref="D270:E270"/>
    <mergeCell ref="G270:H270"/>
    <mergeCell ref="J270:K270"/>
    <mergeCell ref="M270:N270"/>
    <mergeCell ref="P270:Q270"/>
    <mergeCell ref="S270:T270"/>
    <mergeCell ref="V268:W268"/>
    <mergeCell ref="Y268:Z268"/>
    <mergeCell ref="AB268:AC268"/>
    <mergeCell ref="AE268:AF268"/>
    <mergeCell ref="D269:E269"/>
    <mergeCell ref="G269:H269"/>
    <mergeCell ref="J269:K269"/>
    <mergeCell ref="M269:N269"/>
    <mergeCell ref="P269:Q269"/>
    <mergeCell ref="S269:T269"/>
    <mergeCell ref="V267:X267"/>
    <mergeCell ref="Y267:AA267"/>
    <mergeCell ref="AB267:AD267"/>
    <mergeCell ref="AE267:AG267"/>
    <mergeCell ref="D268:E268"/>
    <mergeCell ref="G268:H268"/>
    <mergeCell ref="J268:K268"/>
    <mergeCell ref="M268:N268"/>
    <mergeCell ref="P268:Q268"/>
    <mergeCell ref="S268:T268"/>
    <mergeCell ref="V266:X266"/>
    <mergeCell ref="Y266:AA266"/>
    <mergeCell ref="AB266:AD266"/>
    <mergeCell ref="AE266:AG266"/>
    <mergeCell ref="D267:F267"/>
    <mergeCell ref="G267:I267"/>
    <mergeCell ref="J267:L267"/>
    <mergeCell ref="M267:O267"/>
    <mergeCell ref="P267:R267"/>
    <mergeCell ref="S267:U267"/>
    <mergeCell ref="D266:F266"/>
    <mergeCell ref="G266:I266"/>
    <mergeCell ref="J266:L266"/>
    <mergeCell ref="M266:O266"/>
    <mergeCell ref="P266:R266"/>
    <mergeCell ref="S266:U266"/>
    <mergeCell ref="P265:R265"/>
    <mergeCell ref="S265:U265"/>
    <mergeCell ref="V265:X265"/>
    <mergeCell ref="Y265:AA265"/>
    <mergeCell ref="AB265:AD265"/>
    <mergeCell ref="AE265:AG265"/>
    <mergeCell ref="S262:T262"/>
    <mergeCell ref="V262:W262"/>
    <mergeCell ref="Y262:Z262"/>
    <mergeCell ref="AB262:AC262"/>
    <mergeCell ref="AE262:AF262"/>
    <mergeCell ref="A265:B270"/>
    <mergeCell ref="D265:F265"/>
    <mergeCell ref="G265:I265"/>
    <mergeCell ref="J265:L265"/>
    <mergeCell ref="M265:O265"/>
    <mergeCell ref="S261:T261"/>
    <mergeCell ref="V261:W261"/>
    <mergeCell ref="Y261:Z261"/>
    <mergeCell ref="AB261:AC261"/>
    <mergeCell ref="AE261:AF261"/>
    <mergeCell ref="D262:E262"/>
    <mergeCell ref="G262:H262"/>
    <mergeCell ref="J262:K262"/>
    <mergeCell ref="M262:N262"/>
    <mergeCell ref="P262:Q262"/>
    <mergeCell ref="S260:T260"/>
    <mergeCell ref="V260:W260"/>
    <mergeCell ref="Y260:Z260"/>
    <mergeCell ref="AB260:AC260"/>
    <mergeCell ref="AE260:AF260"/>
    <mergeCell ref="D261:E261"/>
    <mergeCell ref="G261:H261"/>
    <mergeCell ref="J261:K261"/>
    <mergeCell ref="M261:N261"/>
    <mergeCell ref="P261:Q261"/>
    <mergeCell ref="S259:U259"/>
    <mergeCell ref="V259:X259"/>
    <mergeCell ref="Y259:AA259"/>
    <mergeCell ref="AB259:AD259"/>
    <mergeCell ref="AE259:AG259"/>
    <mergeCell ref="D260:E260"/>
    <mergeCell ref="G260:H260"/>
    <mergeCell ref="J260:K260"/>
    <mergeCell ref="M260:N260"/>
    <mergeCell ref="P260:Q260"/>
    <mergeCell ref="S258:U258"/>
    <mergeCell ref="V258:X258"/>
    <mergeCell ref="Y258:AA258"/>
    <mergeCell ref="AB258:AD258"/>
    <mergeCell ref="AE258:AG258"/>
    <mergeCell ref="D259:F259"/>
    <mergeCell ref="G259:I259"/>
    <mergeCell ref="J259:L259"/>
    <mergeCell ref="M259:O259"/>
    <mergeCell ref="P259:R259"/>
    <mergeCell ref="S257:U257"/>
    <mergeCell ref="V257:X257"/>
    <mergeCell ref="Y257:AA257"/>
    <mergeCell ref="AB257:AD257"/>
    <mergeCell ref="AE257:AG257"/>
    <mergeCell ref="D258:F258"/>
    <mergeCell ref="G258:I258"/>
    <mergeCell ref="J258:L258"/>
    <mergeCell ref="M258:O258"/>
    <mergeCell ref="P258:R258"/>
    <mergeCell ref="V254:W254"/>
    <mergeCell ref="Y254:Z254"/>
    <mergeCell ref="AB254:AC254"/>
    <mergeCell ref="AE254:AF254"/>
    <mergeCell ref="A257:B262"/>
    <mergeCell ref="D257:F257"/>
    <mergeCell ref="G257:I257"/>
    <mergeCell ref="J257:L257"/>
    <mergeCell ref="M257:O257"/>
    <mergeCell ref="P257:R257"/>
    <mergeCell ref="V253:W253"/>
    <mergeCell ref="Y253:Z253"/>
    <mergeCell ref="AB253:AC253"/>
    <mergeCell ref="AE253:AF253"/>
    <mergeCell ref="D254:E254"/>
    <mergeCell ref="G254:H254"/>
    <mergeCell ref="J254:K254"/>
    <mergeCell ref="M254:N254"/>
    <mergeCell ref="P254:Q254"/>
    <mergeCell ref="S254:T254"/>
    <mergeCell ref="V252:W252"/>
    <mergeCell ref="Y252:Z252"/>
    <mergeCell ref="AB252:AC252"/>
    <mergeCell ref="AE252:AF252"/>
    <mergeCell ref="D253:E253"/>
    <mergeCell ref="G253:H253"/>
    <mergeCell ref="J253:K253"/>
    <mergeCell ref="M253:N253"/>
    <mergeCell ref="P253:Q253"/>
    <mergeCell ref="S253:T253"/>
    <mergeCell ref="V251:X251"/>
    <mergeCell ref="Y251:AA251"/>
    <mergeCell ref="AB251:AD251"/>
    <mergeCell ref="AE251:AG251"/>
    <mergeCell ref="D252:E252"/>
    <mergeCell ref="G252:H252"/>
    <mergeCell ref="J252:K252"/>
    <mergeCell ref="M252:N252"/>
    <mergeCell ref="P252:Q252"/>
    <mergeCell ref="S252:T252"/>
    <mergeCell ref="V250:X250"/>
    <mergeCell ref="Y250:AA250"/>
    <mergeCell ref="AB250:AD250"/>
    <mergeCell ref="AE250:AG250"/>
    <mergeCell ref="D251:F251"/>
    <mergeCell ref="G251:I251"/>
    <mergeCell ref="J251:L251"/>
    <mergeCell ref="M251:O251"/>
    <mergeCell ref="P251:R251"/>
    <mergeCell ref="S251:U251"/>
    <mergeCell ref="D250:F250"/>
    <mergeCell ref="G250:I250"/>
    <mergeCell ref="J250:L250"/>
    <mergeCell ref="M250:O250"/>
    <mergeCell ref="P250:R250"/>
    <mergeCell ref="S250:U250"/>
    <mergeCell ref="P249:R249"/>
    <mergeCell ref="S249:U249"/>
    <mergeCell ref="V249:X249"/>
    <mergeCell ref="Y249:AA249"/>
    <mergeCell ref="AB249:AD249"/>
    <mergeCell ref="AE249:AG249"/>
    <mergeCell ref="S246:T246"/>
    <mergeCell ref="V246:W246"/>
    <mergeCell ref="Y246:Z246"/>
    <mergeCell ref="AB246:AC246"/>
    <mergeCell ref="AE246:AF246"/>
    <mergeCell ref="A249:B254"/>
    <mergeCell ref="D249:F249"/>
    <mergeCell ref="G249:I249"/>
    <mergeCell ref="J249:L249"/>
    <mergeCell ref="M249:O249"/>
    <mergeCell ref="S245:T245"/>
    <mergeCell ref="V245:W245"/>
    <mergeCell ref="Y245:Z245"/>
    <mergeCell ref="AB245:AC245"/>
    <mergeCell ref="AE245:AF245"/>
    <mergeCell ref="D246:E246"/>
    <mergeCell ref="G246:H246"/>
    <mergeCell ref="J246:K246"/>
    <mergeCell ref="M246:N246"/>
    <mergeCell ref="P246:Q246"/>
    <mergeCell ref="S244:T244"/>
    <mergeCell ref="V244:W244"/>
    <mergeCell ref="Y244:Z244"/>
    <mergeCell ref="AB244:AC244"/>
    <mergeCell ref="AE244:AF244"/>
    <mergeCell ref="D245:E245"/>
    <mergeCell ref="G245:H245"/>
    <mergeCell ref="J245:K245"/>
    <mergeCell ref="M245:N245"/>
    <mergeCell ref="P245:Q245"/>
    <mergeCell ref="S243:U243"/>
    <mergeCell ref="V243:X243"/>
    <mergeCell ref="Y243:AA243"/>
    <mergeCell ref="AB243:AD243"/>
    <mergeCell ref="AE243:AG243"/>
    <mergeCell ref="D244:E244"/>
    <mergeCell ref="G244:H244"/>
    <mergeCell ref="J244:K244"/>
    <mergeCell ref="M244:N244"/>
    <mergeCell ref="P244:Q244"/>
    <mergeCell ref="S242:U242"/>
    <mergeCell ref="V242:X242"/>
    <mergeCell ref="Y242:AA242"/>
    <mergeCell ref="AB242:AD242"/>
    <mergeCell ref="AE242:AG242"/>
    <mergeCell ref="D243:F243"/>
    <mergeCell ref="G243:I243"/>
    <mergeCell ref="J243:L243"/>
    <mergeCell ref="M243:O243"/>
    <mergeCell ref="P243:R243"/>
    <mergeCell ref="S241:U241"/>
    <mergeCell ref="V241:X241"/>
    <mergeCell ref="Y241:AA241"/>
    <mergeCell ref="AB241:AD241"/>
    <mergeCell ref="AE241:AG241"/>
    <mergeCell ref="D242:F242"/>
    <mergeCell ref="G242:I242"/>
    <mergeCell ref="J242:L242"/>
    <mergeCell ref="M242:O242"/>
    <mergeCell ref="P242:R242"/>
    <mergeCell ref="V238:W238"/>
    <mergeCell ref="Y238:Z238"/>
    <mergeCell ref="AB238:AC238"/>
    <mergeCell ref="AE238:AF238"/>
    <mergeCell ref="A241:B246"/>
    <mergeCell ref="D241:F241"/>
    <mergeCell ref="G241:I241"/>
    <mergeCell ref="J241:L241"/>
    <mergeCell ref="M241:O241"/>
    <mergeCell ref="P241:R241"/>
    <mergeCell ref="V237:W237"/>
    <mergeCell ref="Y237:Z237"/>
    <mergeCell ref="AB237:AC237"/>
    <mergeCell ref="AE237:AF237"/>
    <mergeCell ref="D238:E238"/>
    <mergeCell ref="G238:H238"/>
    <mergeCell ref="J238:K238"/>
    <mergeCell ref="M238:N238"/>
    <mergeCell ref="P238:Q238"/>
    <mergeCell ref="S238:T238"/>
    <mergeCell ref="V236:W236"/>
    <mergeCell ref="Y236:Z236"/>
    <mergeCell ref="AB236:AC236"/>
    <mergeCell ref="AE236:AF236"/>
    <mergeCell ref="D237:E237"/>
    <mergeCell ref="G237:H237"/>
    <mergeCell ref="J237:K237"/>
    <mergeCell ref="M237:N237"/>
    <mergeCell ref="P237:Q237"/>
    <mergeCell ref="S237:T237"/>
    <mergeCell ref="V235:X235"/>
    <mergeCell ref="Y235:AA235"/>
    <mergeCell ref="AB235:AD235"/>
    <mergeCell ref="AE235:AG235"/>
    <mergeCell ref="D236:E236"/>
    <mergeCell ref="G236:H236"/>
    <mergeCell ref="J236:K236"/>
    <mergeCell ref="M236:N236"/>
    <mergeCell ref="P236:Q236"/>
    <mergeCell ref="S236:T236"/>
    <mergeCell ref="V234:X234"/>
    <mergeCell ref="Y234:AA234"/>
    <mergeCell ref="AB234:AD234"/>
    <mergeCell ref="AE234:AG234"/>
    <mergeCell ref="D235:F235"/>
    <mergeCell ref="G235:I235"/>
    <mergeCell ref="J235:L235"/>
    <mergeCell ref="M235:O235"/>
    <mergeCell ref="P235:R235"/>
    <mergeCell ref="S235:U235"/>
    <mergeCell ref="D234:F234"/>
    <mergeCell ref="G234:I234"/>
    <mergeCell ref="J234:L234"/>
    <mergeCell ref="M234:O234"/>
    <mergeCell ref="P234:R234"/>
    <mergeCell ref="S234:U234"/>
    <mergeCell ref="P233:R233"/>
    <mergeCell ref="S233:U233"/>
    <mergeCell ref="V233:X233"/>
    <mergeCell ref="Y233:AA233"/>
    <mergeCell ref="AB233:AD233"/>
    <mergeCell ref="AE233:AG233"/>
    <mergeCell ref="S230:T230"/>
    <mergeCell ref="V230:W230"/>
    <mergeCell ref="Y230:Z230"/>
    <mergeCell ref="AB230:AC230"/>
    <mergeCell ref="AE230:AF230"/>
    <mergeCell ref="A233:B238"/>
    <mergeCell ref="D233:F233"/>
    <mergeCell ref="G233:I233"/>
    <mergeCell ref="J233:L233"/>
    <mergeCell ref="M233:O233"/>
    <mergeCell ref="S229:T229"/>
    <mergeCell ref="V229:W229"/>
    <mergeCell ref="Y229:Z229"/>
    <mergeCell ref="AB229:AC229"/>
    <mergeCell ref="AE229:AF229"/>
    <mergeCell ref="D230:E230"/>
    <mergeCell ref="G230:H230"/>
    <mergeCell ref="J230:K230"/>
    <mergeCell ref="M230:N230"/>
    <mergeCell ref="P230:Q230"/>
    <mergeCell ref="S228:T228"/>
    <mergeCell ref="V228:W228"/>
    <mergeCell ref="Y228:Z228"/>
    <mergeCell ref="AB228:AC228"/>
    <mergeCell ref="AE228:AF228"/>
    <mergeCell ref="D229:E229"/>
    <mergeCell ref="G229:H229"/>
    <mergeCell ref="J229:K229"/>
    <mergeCell ref="M229:N229"/>
    <mergeCell ref="P229:Q229"/>
    <mergeCell ref="S227:U227"/>
    <mergeCell ref="V227:X227"/>
    <mergeCell ref="Y227:AA227"/>
    <mergeCell ref="AB227:AD227"/>
    <mergeCell ref="AE227:AG227"/>
    <mergeCell ref="D228:E228"/>
    <mergeCell ref="G228:H228"/>
    <mergeCell ref="J228:K228"/>
    <mergeCell ref="M228:N228"/>
    <mergeCell ref="P228:Q228"/>
    <mergeCell ref="S226:U226"/>
    <mergeCell ref="V226:X226"/>
    <mergeCell ref="Y226:AA226"/>
    <mergeCell ref="AB226:AD226"/>
    <mergeCell ref="AE226:AG226"/>
    <mergeCell ref="D227:F227"/>
    <mergeCell ref="G227:I227"/>
    <mergeCell ref="J227:L227"/>
    <mergeCell ref="M227:O227"/>
    <mergeCell ref="P227:R227"/>
    <mergeCell ref="S225:U225"/>
    <mergeCell ref="V225:X225"/>
    <mergeCell ref="Y225:AA225"/>
    <mergeCell ref="AB225:AD225"/>
    <mergeCell ref="AE225:AG225"/>
    <mergeCell ref="D226:F226"/>
    <mergeCell ref="G226:I226"/>
    <mergeCell ref="J226:L226"/>
    <mergeCell ref="M226:O226"/>
    <mergeCell ref="P226:R226"/>
    <mergeCell ref="V222:W222"/>
    <mergeCell ref="Y222:Z222"/>
    <mergeCell ref="AB222:AC222"/>
    <mergeCell ref="AE222:AF222"/>
    <mergeCell ref="A225:B230"/>
    <mergeCell ref="D225:F225"/>
    <mergeCell ref="G225:I225"/>
    <mergeCell ref="J225:L225"/>
    <mergeCell ref="M225:O225"/>
    <mergeCell ref="P225:R225"/>
    <mergeCell ref="V221:W221"/>
    <mergeCell ref="Y221:Z221"/>
    <mergeCell ref="AB221:AC221"/>
    <mergeCell ref="AE221:AF221"/>
    <mergeCell ref="D222:E222"/>
    <mergeCell ref="G222:H222"/>
    <mergeCell ref="J222:K222"/>
    <mergeCell ref="M222:N222"/>
    <mergeCell ref="P222:Q222"/>
    <mergeCell ref="S222:T222"/>
    <mergeCell ref="V220:W220"/>
    <mergeCell ref="Y220:Z220"/>
    <mergeCell ref="AB220:AC220"/>
    <mergeCell ref="AE220:AF220"/>
    <mergeCell ref="D221:E221"/>
    <mergeCell ref="G221:H221"/>
    <mergeCell ref="J221:K221"/>
    <mergeCell ref="M221:N221"/>
    <mergeCell ref="P221:Q221"/>
    <mergeCell ref="S221:T221"/>
    <mergeCell ref="V219:X219"/>
    <mergeCell ref="Y219:AA219"/>
    <mergeCell ref="AB219:AD219"/>
    <mergeCell ref="AE219:AG219"/>
    <mergeCell ref="D220:E220"/>
    <mergeCell ref="G220:H220"/>
    <mergeCell ref="J220:K220"/>
    <mergeCell ref="M220:N220"/>
    <mergeCell ref="P220:Q220"/>
    <mergeCell ref="S220:T220"/>
    <mergeCell ref="V218:X218"/>
    <mergeCell ref="Y218:AA218"/>
    <mergeCell ref="AB218:AD218"/>
    <mergeCell ref="AE218:AG218"/>
    <mergeCell ref="D219:F219"/>
    <mergeCell ref="G219:I219"/>
    <mergeCell ref="J219:L219"/>
    <mergeCell ref="M219:O219"/>
    <mergeCell ref="P219:R219"/>
    <mergeCell ref="S219:U219"/>
    <mergeCell ref="D218:F218"/>
    <mergeCell ref="G218:I218"/>
    <mergeCell ref="J218:L218"/>
    <mergeCell ref="M218:O218"/>
    <mergeCell ref="P218:R218"/>
    <mergeCell ref="S218:U218"/>
    <mergeCell ref="P217:R217"/>
    <mergeCell ref="S217:U217"/>
    <mergeCell ref="V217:X217"/>
    <mergeCell ref="Y217:AA217"/>
    <mergeCell ref="AB217:AD217"/>
    <mergeCell ref="AE217:AG217"/>
    <mergeCell ref="S214:T214"/>
    <mergeCell ref="V214:W214"/>
    <mergeCell ref="Y214:Z214"/>
    <mergeCell ref="AB214:AC214"/>
    <mergeCell ref="AE214:AF214"/>
    <mergeCell ref="A217:B222"/>
    <mergeCell ref="D217:F217"/>
    <mergeCell ref="G217:I217"/>
    <mergeCell ref="J217:L217"/>
    <mergeCell ref="M217:O217"/>
    <mergeCell ref="S213:T213"/>
    <mergeCell ref="V213:W213"/>
    <mergeCell ref="Y213:Z213"/>
    <mergeCell ref="AB213:AC213"/>
    <mergeCell ref="AE213:AF213"/>
    <mergeCell ref="D214:E214"/>
    <mergeCell ref="G214:H214"/>
    <mergeCell ref="J214:K214"/>
    <mergeCell ref="M214:N214"/>
    <mergeCell ref="P214:Q214"/>
    <mergeCell ref="S212:T212"/>
    <mergeCell ref="V212:W212"/>
    <mergeCell ref="Y212:Z212"/>
    <mergeCell ref="AB212:AC212"/>
    <mergeCell ref="AE212:AF212"/>
    <mergeCell ref="D213:E213"/>
    <mergeCell ref="G213:H213"/>
    <mergeCell ref="J213:K213"/>
    <mergeCell ref="M213:N213"/>
    <mergeCell ref="P213:Q213"/>
    <mergeCell ref="S211:U211"/>
    <mergeCell ref="V211:X211"/>
    <mergeCell ref="Y211:AA211"/>
    <mergeCell ref="AB211:AD211"/>
    <mergeCell ref="AE211:AG211"/>
    <mergeCell ref="D212:E212"/>
    <mergeCell ref="G212:H212"/>
    <mergeCell ref="J212:K212"/>
    <mergeCell ref="M212:N212"/>
    <mergeCell ref="P212:Q212"/>
    <mergeCell ref="S210:U210"/>
    <mergeCell ref="V210:X210"/>
    <mergeCell ref="Y210:AA210"/>
    <mergeCell ref="AB210:AD210"/>
    <mergeCell ref="AE210:AG210"/>
    <mergeCell ref="D211:F211"/>
    <mergeCell ref="G211:I211"/>
    <mergeCell ref="J211:L211"/>
    <mergeCell ref="M211:O211"/>
    <mergeCell ref="P211:R211"/>
    <mergeCell ref="S209:U209"/>
    <mergeCell ref="V209:X209"/>
    <mergeCell ref="Y209:AA209"/>
    <mergeCell ref="AB209:AD209"/>
    <mergeCell ref="AE209:AG209"/>
    <mergeCell ref="D210:F210"/>
    <mergeCell ref="G210:I210"/>
    <mergeCell ref="J210:L210"/>
    <mergeCell ref="M210:O210"/>
    <mergeCell ref="P210:R210"/>
    <mergeCell ref="V206:W206"/>
    <mergeCell ref="Y206:Z206"/>
    <mergeCell ref="AB206:AC206"/>
    <mergeCell ref="AE206:AF206"/>
    <mergeCell ref="A209:B214"/>
    <mergeCell ref="D209:F209"/>
    <mergeCell ref="G209:I209"/>
    <mergeCell ref="J209:L209"/>
    <mergeCell ref="M209:O209"/>
    <mergeCell ref="P209:R209"/>
    <mergeCell ref="V205:W205"/>
    <mergeCell ref="Y205:Z205"/>
    <mergeCell ref="AB205:AC205"/>
    <mergeCell ref="AE205:AF205"/>
    <mergeCell ref="D206:E206"/>
    <mergeCell ref="G206:H206"/>
    <mergeCell ref="J206:K206"/>
    <mergeCell ref="M206:N206"/>
    <mergeCell ref="P206:Q206"/>
    <mergeCell ref="S206:T206"/>
    <mergeCell ref="V204:W204"/>
    <mergeCell ref="Y204:Z204"/>
    <mergeCell ref="AB204:AC204"/>
    <mergeCell ref="AE204:AF204"/>
    <mergeCell ref="D205:E205"/>
    <mergeCell ref="G205:H205"/>
    <mergeCell ref="J205:K205"/>
    <mergeCell ref="M205:N205"/>
    <mergeCell ref="P205:Q205"/>
    <mergeCell ref="S205:T205"/>
    <mergeCell ref="V203:X203"/>
    <mergeCell ref="Y203:AA203"/>
    <mergeCell ref="AB203:AD203"/>
    <mergeCell ref="AE203:AG203"/>
    <mergeCell ref="D204:E204"/>
    <mergeCell ref="G204:H204"/>
    <mergeCell ref="J204:K204"/>
    <mergeCell ref="M204:N204"/>
    <mergeCell ref="P204:Q204"/>
    <mergeCell ref="S204:T204"/>
    <mergeCell ref="V202:X202"/>
    <mergeCell ref="Y202:AA202"/>
    <mergeCell ref="AB202:AD202"/>
    <mergeCell ref="AE202:AG202"/>
    <mergeCell ref="D203:F203"/>
    <mergeCell ref="G203:I203"/>
    <mergeCell ref="J203:L203"/>
    <mergeCell ref="M203:O203"/>
    <mergeCell ref="P203:R203"/>
    <mergeCell ref="S203:U203"/>
    <mergeCell ref="D202:F202"/>
    <mergeCell ref="G202:I202"/>
    <mergeCell ref="J202:L202"/>
    <mergeCell ref="M202:O202"/>
    <mergeCell ref="P202:R202"/>
    <mergeCell ref="S202:U202"/>
    <mergeCell ref="P201:R201"/>
    <mergeCell ref="S201:U201"/>
    <mergeCell ref="V201:X201"/>
    <mergeCell ref="Y201:AA201"/>
    <mergeCell ref="AB201:AD201"/>
    <mergeCell ref="AE201:AG201"/>
    <mergeCell ref="S198:T198"/>
    <mergeCell ref="V198:W198"/>
    <mergeCell ref="Y198:Z198"/>
    <mergeCell ref="AB198:AC198"/>
    <mergeCell ref="AE198:AF198"/>
    <mergeCell ref="A201:B206"/>
    <mergeCell ref="D201:F201"/>
    <mergeCell ref="G201:I201"/>
    <mergeCell ref="J201:L201"/>
    <mergeCell ref="M201:O201"/>
    <mergeCell ref="S197:T197"/>
    <mergeCell ref="V197:W197"/>
    <mergeCell ref="Y197:Z197"/>
    <mergeCell ref="AB197:AC197"/>
    <mergeCell ref="AE197:AF197"/>
    <mergeCell ref="D198:E198"/>
    <mergeCell ref="G198:H198"/>
    <mergeCell ref="J198:K198"/>
    <mergeCell ref="M198:N198"/>
    <mergeCell ref="P198:Q198"/>
    <mergeCell ref="S196:T196"/>
    <mergeCell ref="V196:W196"/>
    <mergeCell ref="Y196:Z196"/>
    <mergeCell ref="AB196:AC196"/>
    <mergeCell ref="AE196:AF196"/>
    <mergeCell ref="D197:E197"/>
    <mergeCell ref="G197:H197"/>
    <mergeCell ref="J197:K197"/>
    <mergeCell ref="M197:N197"/>
    <mergeCell ref="P197:Q197"/>
    <mergeCell ref="S195:U195"/>
    <mergeCell ref="V195:X195"/>
    <mergeCell ref="Y195:AA195"/>
    <mergeCell ref="AB195:AD195"/>
    <mergeCell ref="AE195:AG195"/>
    <mergeCell ref="D196:E196"/>
    <mergeCell ref="G196:H196"/>
    <mergeCell ref="J196:K196"/>
    <mergeCell ref="M196:N196"/>
    <mergeCell ref="P196:Q196"/>
    <mergeCell ref="S194:U194"/>
    <mergeCell ref="V194:X194"/>
    <mergeCell ref="Y194:AA194"/>
    <mergeCell ref="AB194:AD194"/>
    <mergeCell ref="AE194:AG194"/>
    <mergeCell ref="D195:F195"/>
    <mergeCell ref="G195:I195"/>
    <mergeCell ref="J195:L195"/>
    <mergeCell ref="M195:O195"/>
    <mergeCell ref="P195:R195"/>
    <mergeCell ref="S193:U193"/>
    <mergeCell ref="V193:X193"/>
    <mergeCell ref="Y193:AA193"/>
    <mergeCell ref="AB193:AD193"/>
    <mergeCell ref="AE193:AG193"/>
    <mergeCell ref="D194:F194"/>
    <mergeCell ref="G194:I194"/>
    <mergeCell ref="J194:L194"/>
    <mergeCell ref="M194:O194"/>
    <mergeCell ref="P194:R194"/>
    <mergeCell ref="V190:W190"/>
    <mergeCell ref="Y190:Z190"/>
    <mergeCell ref="AB190:AC190"/>
    <mergeCell ref="AE190:AF190"/>
    <mergeCell ref="A193:B198"/>
    <mergeCell ref="D193:F193"/>
    <mergeCell ref="G193:I193"/>
    <mergeCell ref="J193:L193"/>
    <mergeCell ref="M193:O193"/>
    <mergeCell ref="P193:R193"/>
    <mergeCell ref="V189:W189"/>
    <mergeCell ref="Y189:Z189"/>
    <mergeCell ref="AB189:AC189"/>
    <mergeCell ref="AE189:AF189"/>
    <mergeCell ref="D190:E190"/>
    <mergeCell ref="G190:H190"/>
    <mergeCell ref="J190:K190"/>
    <mergeCell ref="M190:N190"/>
    <mergeCell ref="P190:Q190"/>
    <mergeCell ref="S190:T190"/>
    <mergeCell ref="V188:W188"/>
    <mergeCell ref="Y188:Z188"/>
    <mergeCell ref="AB188:AC188"/>
    <mergeCell ref="AE188:AF188"/>
    <mergeCell ref="D189:E189"/>
    <mergeCell ref="G189:H189"/>
    <mergeCell ref="J189:K189"/>
    <mergeCell ref="M189:N189"/>
    <mergeCell ref="P189:Q189"/>
    <mergeCell ref="S189:T189"/>
    <mergeCell ref="V187:X187"/>
    <mergeCell ref="Y187:AA187"/>
    <mergeCell ref="AB187:AD187"/>
    <mergeCell ref="AE187:AG187"/>
    <mergeCell ref="D188:E188"/>
    <mergeCell ref="G188:H188"/>
    <mergeCell ref="J188:K188"/>
    <mergeCell ref="M188:N188"/>
    <mergeCell ref="P188:Q188"/>
    <mergeCell ref="S188:T188"/>
    <mergeCell ref="V186:X186"/>
    <mergeCell ref="Y186:AA186"/>
    <mergeCell ref="AB186:AD186"/>
    <mergeCell ref="AE186:AG186"/>
    <mergeCell ref="D187:F187"/>
    <mergeCell ref="G187:I187"/>
    <mergeCell ref="J187:L187"/>
    <mergeCell ref="M187:O187"/>
    <mergeCell ref="P187:R187"/>
    <mergeCell ref="S187:U187"/>
    <mergeCell ref="D186:F186"/>
    <mergeCell ref="G186:I186"/>
    <mergeCell ref="J186:L186"/>
    <mergeCell ref="M186:O186"/>
    <mergeCell ref="P186:R186"/>
    <mergeCell ref="S186:U186"/>
    <mergeCell ref="P185:R185"/>
    <mergeCell ref="S185:U185"/>
    <mergeCell ref="V185:X185"/>
    <mergeCell ref="Y185:AA185"/>
    <mergeCell ref="AB185:AD185"/>
    <mergeCell ref="AE185:AG185"/>
    <mergeCell ref="S182:T182"/>
    <mergeCell ref="V182:W182"/>
    <mergeCell ref="Y182:Z182"/>
    <mergeCell ref="AB182:AC182"/>
    <mergeCell ref="AE182:AF182"/>
    <mergeCell ref="A185:B190"/>
    <mergeCell ref="D185:F185"/>
    <mergeCell ref="G185:I185"/>
    <mergeCell ref="J185:L185"/>
    <mergeCell ref="M185:O185"/>
    <mergeCell ref="S181:T181"/>
    <mergeCell ref="V181:W181"/>
    <mergeCell ref="Y181:Z181"/>
    <mergeCell ref="AB181:AC181"/>
    <mergeCell ref="AE181:AF181"/>
    <mergeCell ref="D182:E182"/>
    <mergeCell ref="G182:H182"/>
    <mergeCell ref="J182:K182"/>
    <mergeCell ref="M182:N182"/>
    <mergeCell ref="P182:Q182"/>
    <mergeCell ref="S180:T180"/>
    <mergeCell ref="V180:W180"/>
    <mergeCell ref="Y180:Z180"/>
    <mergeCell ref="AB180:AC180"/>
    <mergeCell ref="AE180:AF180"/>
    <mergeCell ref="D181:E181"/>
    <mergeCell ref="G181:H181"/>
    <mergeCell ref="J181:K181"/>
    <mergeCell ref="M181:N181"/>
    <mergeCell ref="P181:Q181"/>
    <mergeCell ref="S179:U179"/>
    <mergeCell ref="V179:X179"/>
    <mergeCell ref="Y179:AA179"/>
    <mergeCell ref="AB179:AD179"/>
    <mergeCell ref="AE179:AG179"/>
    <mergeCell ref="D180:E180"/>
    <mergeCell ref="G180:H180"/>
    <mergeCell ref="J180:K180"/>
    <mergeCell ref="M180:N180"/>
    <mergeCell ref="P180:Q180"/>
    <mergeCell ref="S178:U178"/>
    <mergeCell ref="V178:X178"/>
    <mergeCell ref="Y178:AA178"/>
    <mergeCell ref="AB178:AD178"/>
    <mergeCell ref="AE178:AG178"/>
    <mergeCell ref="D179:F179"/>
    <mergeCell ref="G179:I179"/>
    <mergeCell ref="J179:L179"/>
    <mergeCell ref="M179:O179"/>
    <mergeCell ref="P179:R179"/>
    <mergeCell ref="S177:U177"/>
    <mergeCell ref="V177:X177"/>
    <mergeCell ref="Y177:AA177"/>
    <mergeCell ref="AB177:AD177"/>
    <mergeCell ref="AE177:AG177"/>
    <mergeCell ref="D178:F178"/>
    <mergeCell ref="G178:I178"/>
    <mergeCell ref="J178:L178"/>
    <mergeCell ref="M178:O178"/>
    <mergeCell ref="P178:R178"/>
    <mergeCell ref="V174:W174"/>
    <mergeCell ref="Y174:Z174"/>
    <mergeCell ref="AB174:AC174"/>
    <mergeCell ref="AE174:AF174"/>
    <mergeCell ref="A177:B182"/>
    <mergeCell ref="D177:F177"/>
    <mergeCell ref="G177:I177"/>
    <mergeCell ref="J177:L177"/>
    <mergeCell ref="M177:O177"/>
    <mergeCell ref="P177:R177"/>
    <mergeCell ref="V173:W173"/>
    <mergeCell ref="Y173:Z173"/>
    <mergeCell ref="AB173:AC173"/>
    <mergeCell ref="AE173:AF173"/>
    <mergeCell ref="D174:E174"/>
    <mergeCell ref="G174:H174"/>
    <mergeCell ref="J174:K174"/>
    <mergeCell ref="M174:N174"/>
    <mergeCell ref="P174:Q174"/>
    <mergeCell ref="S174:T174"/>
    <mergeCell ref="V172:W172"/>
    <mergeCell ref="Y172:Z172"/>
    <mergeCell ref="AB172:AC172"/>
    <mergeCell ref="AE172:AF172"/>
    <mergeCell ref="D173:E173"/>
    <mergeCell ref="G173:H173"/>
    <mergeCell ref="J173:K173"/>
    <mergeCell ref="M173:N173"/>
    <mergeCell ref="P173:Q173"/>
    <mergeCell ref="S173:T173"/>
    <mergeCell ref="V171:X171"/>
    <mergeCell ref="Y171:AA171"/>
    <mergeCell ref="AB171:AD171"/>
    <mergeCell ref="AE171:AG171"/>
    <mergeCell ref="D172:E172"/>
    <mergeCell ref="G172:H172"/>
    <mergeCell ref="J172:K172"/>
    <mergeCell ref="M172:N172"/>
    <mergeCell ref="P172:Q172"/>
    <mergeCell ref="S172:T172"/>
    <mergeCell ref="V170:X170"/>
    <mergeCell ref="Y170:AA170"/>
    <mergeCell ref="AB170:AD170"/>
    <mergeCell ref="AE170:AG170"/>
    <mergeCell ref="D171:F171"/>
    <mergeCell ref="G171:I171"/>
    <mergeCell ref="J171:L171"/>
    <mergeCell ref="M171:O171"/>
    <mergeCell ref="P171:R171"/>
    <mergeCell ref="S171:U171"/>
    <mergeCell ref="D170:F170"/>
    <mergeCell ref="G170:I170"/>
    <mergeCell ref="J170:L170"/>
    <mergeCell ref="M170:O170"/>
    <mergeCell ref="P170:R170"/>
    <mergeCell ref="S170:U170"/>
    <mergeCell ref="P169:R169"/>
    <mergeCell ref="S169:U169"/>
    <mergeCell ref="V169:X169"/>
    <mergeCell ref="Y169:AA169"/>
    <mergeCell ref="AB169:AD169"/>
    <mergeCell ref="AE169:AG169"/>
    <mergeCell ref="S166:T166"/>
    <mergeCell ref="V166:W166"/>
    <mergeCell ref="Y166:Z166"/>
    <mergeCell ref="AB166:AC166"/>
    <mergeCell ref="AE166:AF166"/>
    <mergeCell ref="A169:B174"/>
    <mergeCell ref="D169:F169"/>
    <mergeCell ref="G169:I169"/>
    <mergeCell ref="J169:L169"/>
    <mergeCell ref="M169:O169"/>
    <mergeCell ref="S165:T165"/>
    <mergeCell ref="V165:W165"/>
    <mergeCell ref="Y165:Z165"/>
    <mergeCell ref="AB165:AC165"/>
    <mergeCell ref="AE165:AF165"/>
    <mergeCell ref="D166:E166"/>
    <mergeCell ref="G166:H166"/>
    <mergeCell ref="J166:K166"/>
    <mergeCell ref="M166:N166"/>
    <mergeCell ref="P166:Q166"/>
    <mergeCell ref="S164:T164"/>
    <mergeCell ref="V164:W164"/>
    <mergeCell ref="Y164:Z164"/>
    <mergeCell ref="AB164:AC164"/>
    <mergeCell ref="AE164:AF164"/>
    <mergeCell ref="D165:E165"/>
    <mergeCell ref="G165:H165"/>
    <mergeCell ref="J165:K165"/>
    <mergeCell ref="M165:N165"/>
    <mergeCell ref="P165:Q165"/>
    <mergeCell ref="S163:U163"/>
    <mergeCell ref="V163:X163"/>
    <mergeCell ref="Y163:AA163"/>
    <mergeCell ref="AB163:AD163"/>
    <mergeCell ref="AE163:AG163"/>
    <mergeCell ref="D164:E164"/>
    <mergeCell ref="G164:H164"/>
    <mergeCell ref="J164:K164"/>
    <mergeCell ref="M164:N164"/>
    <mergeCell ref="P164:Q164"/>
    <mergeCell ref="S162:U162"/>
    <mergeCell ref="V162:X162"/>
    <mergeCell ref="Y162:AA162"/>
    <mergeCell ref="AB162:AD162"/>
    <mergeCell ref="AE162:AG162"/>
    <mergeCell ref="D163:F163"/>
    <mergeCell ref="G163:I163"/>
    <mergeCell ref="J163:L163"/>
    <mergeCell ref="M163:O163"/>
    <mergeCell ref="P163:R163"/>
    <mergeCell ref="S161:U161"/>
    <mergeCell ref="V161:X161"/>
    <mergeCell ref="Y161:AA161"/>
    <mergeCell ref="AB161:AD161"/>
    <mergeCell ref="AE161:AG161"/>
    <mergeCell ref="D162:F162"/>
    <mergeCell ref="G162:I162"/>
    <mergeCell ref="J162:L162"/>
    <mergeCell ref="M162:O162"/>
    <mergeCell ref="P162:R162"/>
    <mergeCell ref="V158:W158"/>
    <mergeCell ref="Y158:Z158"/>
    <mergeCell ref="AB158:AC158"/>
    <mergeCell ref="AE158:AF158"/>
    <mergeCell ref="A161:B166"/>
    <mergeCell ref="D161:F161"/>
    <mergeCell ref="G161:I161"/>
    <mergeCell ref="J161:L161"/>
    <mergeCell ref="M161:O161"/>
    <mergeCell ref="P161:R161"/>
    <mergeCell ref="V157:W157"/>
    <mergeCell ref="Y157:Z157"/>
    <mergeCell ref="AB157:AC157"/>
    <mergeCell ref="AE157:AF157"/>
    <mergeCell ref="D158:E158"/>
    <mergeCell ref="G158:H158"/>
    <mergeCell ref="J158:K158"/>
    <mergeCell ref="M158:N158"/>
    <mergeCell ref="P158:Q158"/>
    <mergeCell ref="S158:T158"/>
    <mergeCell ref="V156:W156"/>
    <mergeCell ref="Y156:Z156"/>
    <mergeCell ref="AB156:AC156"/>
    <mergeCell ref="AE156:AF156"/>
    <mergeCell ref="D157:E157"/>
    <mergeCell ref="G157:H157"/>
    <mergeCell ref="J157:K157"/>
    <mergeCell ref="M157:N157"/>
    <mergeCell ref="P157:Q157"/>
    <mergeCell ref="S157:T157"/>
    <mergeCell ref="V155:X155"/>
    <mergeCell ref="Y155:AA155"/>
    <mergeCell ref="AB155:AD155"/>
    <mergeCell ref="AE155:AG155"/>
    <mergeCell ref="D156:E156"/>
    <mergeCell ref="G156:H156"/>
    <mergeCell ref="J156:K156"/>
    <mergeCell ref="M156:N156"/>
    <mergeCell ref="P156:Q156"/>
    <mergeCell ref="S156:T156"/>
    <mergeCell ref="V154:X154"/>
    <mergeCell ref="Y154:AA154"/>
    <mergeCell ref="AB154:AD154"/>
    <mergeCell ref="AE154:AG154"/>
    <mergeCell ref="D155:F155"/>
    <mergeCell ref="G155:I155"/>
    <mergeCell ref="J155:L155"/>
    <mergeCell ref="M155:O155"/>
    <mergeCell ref="P155:R155"/>
    <mergeCell ref="S155:U155"/>
    <mergeCell ref="D154:F154"/>
    <mergeCell ref="G154:I154"/>
    <mergeCell ref="J154:L154"/>
    <mergeCell ref="M154:O154"/>
    <mergeCell ref="P154:R154"/>
    <mergeCell ref="S154:U154"/>
    <mergeCell ref="P153:R153"/>
    <mergeCell ref="S153:U153"/>
    <mergeCell ref="V153:X153"/>
    <mergeCell ref="Y153:AA153"/>
    <mergeCell ref="AB153:AD153"/>
    <mergeCell ref="AE153:AG153"/>
    <mergeCell ref="S150:T150"/>
    <mergeCell ref="V150:W150"/>
    <mergeCell ref="Y150:Z150"/>
    <mergeCell ref="AB150:AC150"/>
    <mergeCell ref="AE150:AF150"/>
    <mergeCell ref="A153:B158"/>
    <mergeCell ref="D153:F153"/>
    <mergeCell ref="G153:I153"/>
    <mergeCell ref="J153:L153"/>
    <mergeCell ref="M153:O153"/>
    <mergeCell ref="S149:T149"/>
    <mergeCell ref="V149:W149"/>
    <mergeCell ref="Y149:Z149"/>
    <mergeCell ref="AB149:AC149"/>
    <mergeCell ref="AE149:AF149"/>
    <mergeCell ref="D150:E150"/>
    <mergeCell ref="G150:H150"/>
    <mergeCell ref="J150:K150"/>
    <mergeCell ref="M150:N150"/>
    <mergeCell ref="P150:Q150"/>
    <mergeCell ref="S148:T148"/>
    <mergeCell ref="V148:W148"/>
    <mergeCell ref="Y148:Z148"/>
    <mergeCell ref="AB148:AC148"/>
    <mergeCell ref="AE148:AF148"/>
    <mergeCell ref="D149:E149"/>
    <mergeCell ref="G149:H149"/>
    <mergeCell ref="J149:K149"/>
    <mergeCell ref="M149:N149"/>
    <mergeCell ref="P149:Q149"/>
    <mergeCell ref="S147:U147"/>
    <mergeCell ref="V147:X147"/>
    <mergeCell ref="Y147:AA147"/>
    <mergeCell ref="AB147:AD147"/>
    <mergeCell ref="AE147:AG147"/>
    <mergeCell ref="D148:E148"/>
    <mergeCell ref="G148:H148"/>
    <mergeCell ref="J148:K148"/>
    <mergeCell ref="M148:N148"/>
    <mergeCell ref="P148:Q148"/>
    <mergeCell ref="S146:U146"/>
    <mergeCell ref="V146:X146"/>
    <mergeCell ref="Y146:AA146"/>
    <mergeCell ref="AB146:AD146"/>
    <mergeCell ref="AE146:AG146"/>
    <mergeCell ref="D147:F147"/>
    <mergeCell ref="G147:I147"/>
    <mergeCell ref="J147:L147"/>
    <mergeCell ref="M147:O147"/>
    <mergeCell ref="P147:R147"/>
    <mergeCell ref="S145:U145"/>
    <mergeCell ref="V145:X145"/>
    <mergeCell ref="Y145:AA145"/>
    <mergeCell ref="AB145:AD145"/>
    <mergeCell ref="AE145:AG145"/>
    <mergeCell ref="D146:F146"/>
    <mergeCell ref="G146:I146"/>
    <mergeCell ref="J146:L146"/>
    <mergeCell ref="M146:O146"/>
    <mergeCell ref="P146:R146"/>
    <mergeCell ref="V142:W142"/>
    <mergeCell ref="Y142:Z142"/>
    <mergeCell ref="AB142:AC142"/>
    <mergeCell ref="AE142:AF142"/>
    <mergeCell ref="A145:B150"/>
    <mergeCell ref="D145:F145"/>
    <mergeCell ref="G145:I145"/>
    <mergeCell ref="J145:L145"/>
    <mergeCell ref="M145:O145"/>
    <mergeCell ref="P145:R145"/>
    <mergeCell ref="V141:W141"/>
    <mergeCell ref="Y141:Z141"/>
    <mergeCell ref="AB141:AC141"/>
    <mergeCell ref="AE141:AF141"/>
    <mergeCell ref="D142:E142"/>
    <mergeCell ref="G142:H142"/>
    <mergeCell ref="J142:K142"/>
    <mergeCell ref="M142:N142"/>
    <mergeCell ref="P142:Q142"/>
    <mergeCell ref="S142:T142"/>
    <mergeCell ref="V140:W140"/>
    <mergeCell ref="Y140:Z140"/>
    <mergeCell ref="AB140:AC140"/>
    <mergeCell ref="AE140:AF140"/>
    <mergeCell ref="D141:E141"/>
    <mergeCell ref="G141:H141"/>
    <mergeCell ref="J141:K141"/>
    <mergeCell ref="M141:N141"/>
    <mergeCell ref="P141:Q141"/>
    <mergeCell ref="S141:T141"/>
    <mergeCell ref="V139:X139"/>
    <mergeCell ref="Y139:AA139"/>
    <mergeCell ref="AB139:AD139"/>
    <mergeCell ref="AE139:AG139"/>
    <mergeCell ref="D140:E140"/>
    <mergeCell ref="G140:H140"/>
    <mergeCell ref="J140:K140"/>
    <mergeCell ref="M140:N140"/>
    <mergeCell ref="P140:Q140"/>
    <mergeCell ref="S140:T140"/>
    <mergeCell ref="V138:X138"/>
    <mergeCell ref="Y138:AA138"/>
    <mergeCell ref="AB138:AD138"/>
    <mergeCell ref="AE138:AG138"/>
    <mergeCell ref="D139:F139"/>
    <mergeCell ref="G139:I139"/>
    <mergeCell ref="J139:L139"/>
    <mergeCell ref="M139:O139"/>
    <mergeCell ref="P139:R139"/>
    <mergeCell ref="S139:U139"/>
    <mergeCell ref="D138:F138"/>
    <mergeCell ref="G138:I138"/>
    <mergeCell ref="J138:L138"/>
    <mergeCell ref="M138:O138"/>
    <mergeCell ref="P138:R138"/>
    <mergeCell ref="S138:U138"/>
    <mergeCell ref="P137:R137"/>
    <mergeCell ref="S137:U137"/>
    <mergeCell ref="V137:X137"/>
    <mergeCell ref="Y137:AA137"/>
    <mergeCell ref="AB137:AD137"/>
    <mergeCell ref="AE137:AG137"/>
    <mergeCell ref="S134:T134"/>
    <mergeCell ref="V134:W134"/>
    <mergeCell ref="Y134:Z134"/>
    <mergeCell ref="AB134:AC134"/>
    <mergeCell ref="AE134:AF134"/>
    <mergeCell ref="A137:B142"/>
    <mergeCell ref="D137:F137"/>
    <mergeCell ref="G137:I137"/>
    <mergeCell ref="J137:L137"/>
    <mergeCell ref="M137:O137"/>
    <mergeCell ref="S133:T133"/>
    <mergeCell ref="V133:W133"/>
    <mergeCell ref="Y133:Z133"/>
    <mergeCell ref="AB133:AC133"/>
    <mergeCell ref="AE133:AF133"/>
    <mergeCell ref="D134:E134"/>
    <mergeCell ref="G134:H134"/>
    <mergeCell ref="J134:K134"/>
    <mergeCell ref="M134:N134"/>
    <mergeCell ref="P134:Q134"/>
    <mergeCell ref="S132:T132"/>
    <mergeCell ref="V132:W132"/>
    <mergeCell ref="Y132:Z132"/>
    <mergeCell ref="AB132:AC132"/>
    <mergeCell ref="AE132:AF132"/>
    <mergeCell ref="D133:E133"/>
    <mergeCell ref="G133:H133"/>
    <mergeCell ref="J133:K133"/>
    <mergeCell ref="M133:N133"/>
    <mergeCell ref="P133:Q133"/>
    <mergeCell ref="S131:U131"/>
    <mergeCell ref="V131:X131"/>
    <mergeCell ref="Y131:AA131"/>
    <mergeCell ref="AB131:AD131"/>
    <mergeCell ref="AE131:AG131"/>
    <mergeCell ref="D132:E132"/>
    <mergeCell ref="G132:H132"/>
    <mergeCell ref="J132:K132"/>
    <mergeCell ref="M132:N132"/>
    <mergeCell ref="P132:Q132"/>
    <mergeCell ref="S130:U130"/>
    <mergeCell ref="V130:X130"/>
    <mergeCell ref="Y130:AA130"/>
    <mergeCell ref="AB130:AD130"/>
    <mergeCell ref="AE130:AG130"/>
    <mergeCell ref="D131:F131"/>
    <mergeCell ref="G131:I131"/>
    <mergeCell ref="J131:L131"/>
    <mergeCell ref="M131:O131"/>
    <mergeCell ref="P131:R131"/>
    <mergeCell ref="S129:U129"/>
    <mergeCell ref="V129:X129"/>
    <mergeCell ref="Y129:AA129"/>
    <mergeCell ref="AB129:AD129"/>
    <mergeCell ref="AE129:AG129"/>
    <mergeCell ref="D130:F130"/>
    <mergeCell ref="G130:I130"/>
    <mergeCell ref="J130:L130"/>
    <mergeCell ref="M130:O130"/>
    <mergeCell ref="P130:R130"/>
    <mergeCell ref="V126:W126"/>
    <mergeCell ref="Y126:Z126"/>
    <mergeCell ref="AB126:AC126"/>
    <mergeCell ref="AE126:AF126"/>
    <mergeCell ref="A129:B134"/>
    <mergeCell ref="D129:F129"/>
    <mergeCell ref="G129:I129"/>
    <mergeCell ref="J129:L129"/>
    <mergeCell ref="M129:O129"/>
    <mergeCell ref="P129:R129"/>
    <mergeCell ref="V125:W125"/>
    <mergeCell ref="Y125:Z125"/>
    <mergeCell ref="AB125:AC125"/>
    <mergeCell ref="AE125:AF125"/>
    <mergeCell ref="D126:E126"/>
    <mergeCell ref="G126:H126"/>
    <mergeCell ref="J126:K126"/>
    <mergeCell ref="M126:N126"/>
    <mergeCell ref="P126:Q126"/>
    <mergeCell ref="S126:T126"/>
    <mergeCell ref="V124:W124"/>
    <mergeCell ref="Y124:Z124"/>
    <mergeCell ref="AB124:AC124"/>
    <mergeCell ref="AE124:AF124"/>
    <mergeCell ref="D125:E125"/>
    <mergeCell ref="G125:H125"/>
    <mergeCell ref="J125:K125"/>
    <mergeCell ref="M125:N125"/>
    <mergeCell ref="P125:Q125"/>
    <mergeCell ref="S125:T125"/>
    <mergeCell ref="V123:X123"/>
    <mergeCell ref="Y123:AA123"/>
    <mergeCell ref="AB123:AD123"/>
    <mergeCell ref="AE123:AG123"/>
    <mergeCell ref="D124:E124"/>
    <mergeCell ref="G124:H124"/>
    <mergeCell ref="J124:K124"/>
    <mergeCell ref="M124:N124"/>
    <mergeCell ref="P124:Q124"/>
    <mergeCell ref="S124:T124"/>
    <mergeCell ref="V122:X122"/>
    <mergeCell ref="Y122:AA122"/>
    <mergeCell ref="AB122:AD122"/>
    <mergeCell ref="AE122:AG122"/>
    <mergeCell ref="D123:F123"/>
    <mergeCell ref="G123:I123"/>
    <mergeCell ref="J123:L123"/>
    <mergeCell ref="M123:O123"/>
    <mergeCell ref="P123:R123"/>
    <mergeCell ref="S123:U123"/>
    <mergeCell ref="D122:F122"/>
    <mergeCell ref="G122:I122"/>
    <mergeCell ref="J122:L122"/>
    <mergeCell ref="M122:O122"/>
    <mergeCell ref="P122:R122"/>
    <mergeCell ref="S122:U122"/>
    <mergeCell ref="P121:R121"/>
    <mergeCell ref="S121:U121"/>
    <mergeCell ref="V121:X121"/>
    <mergeCell ref="Y121:AA121"/>
    <mergeCell ref="AB121:AD121"/>
    <mergeCell ref="AE121:AG121"/>
    <mergeCell ref="S118:T118"/>
    <mergeCell ref="V118:W118"/>
    <mergeCell ref="Y118:Z118"/>
    <mergeCell ref="AB118:AC118"/>
    <mergeCell ref="AE118:AF118"/>
    <mergeCell ref="A121:B126"/>
    <mergeCell ref="D121:F121"/>
    <mergeCell ref="G121:I121"/>
    <mergeCell ref="J121:L121"/>
    <mergeCell ref="M121:O121"/>
    <mergeCell ref="S117:T117"/>
    <mergeCell ref="V117:W117"/>
    <mergeCell ref="Y117:Z117"/>
    <mergeCell ref="AB117:AC117"/>
    <mergeCell ref="AE117:AF117"/>
    <mergeCell ref="D118:E118"/>
    <mergeCell ref="G118:H118"/>
    <mergeCell ref="J118:K118"/>
    <mergeCell ref="M118:N118"/>
    <mergeCell ref="P118:Q118"/>
    <mergeCell ref="S116:T116"/>
    <mergeCell ref="V116:W116"/>
    <mergeCell ref="Y116:Z116"/>
    <mergeCell ref="AB116:AC116"/>
    <mergeCell ref="AE116:AF116"/>
    <mergeCell ref="D117:E117"/>
    <mergeCell ref="G117:H117"/>
    <mergeCell ref="J117:K117"/>
    <mergeCell ref="M117:N117"/>
    <mergeCell ref="P117:Q117"/>
    <mergeCell ref="S115:U115"/>
    <mergeCell ref="V115:X115"/>
    <mergeCell ref="Y115:AA115"/>
    <mergeCell ref="AB115:AD115"/>
    <mergeCell ref="AE115:AG115"/>
    <mergeCell ref="D116:E116"/>
    <mergeCell ref="G116:H116"/>
    <mergeCell ref="J116:K116"/>
    <mergeCell ref="M116:N116"/>
    <mergeCell ref="P116:Q116"/>
    <mergeCell ref="S114:U114"/>
    <mergeCell ref="V114:X114"/>
    <mergeCell ref="Y114:AA114"/>
    <mergeCell ref="AB114:AD114"/>
    <mergeCell ref="AE114:AG114"/>
    <mergeCell ref="D115:F115"/>
    <mergeCell ref="G115:I115"/>
    <mergeCell ref="J115:L115"/>
    <mergeCell ref="M115:O115"/>
    <mergeCell ref="P115:R115"/>
    <mergeCell ref="S113:U113"/>
    <mergeCell ref="V113:X113"/>
    <mergeCell ref="Y113:AA113"/>
    <mergeCell ref="AB113:AD113"/>
    <mergeCell ref="AE113:AG113"/>
    <mergeCell ref="D114:F114"/>
    <mergeCell ref="G114:I114"/>
    <mergeCell ref="J114:L114"/>
    <mergeCell ref="M114:O114"/>
    <mergeCell ref="P114:R114"/>
    <mergeCell ref="V110:W110"/>
    <mergeCell ref="Y110:Z110"/>
    <mergeCell ref="AB110:AC110"/>
    <mergeCell ref="AE110:AF110"/>
    <mergeCell ref="A113:B118"/>
    <mergeCell ref="D113:F113"/>
    <mergeCell ref="G113:I113"/>
    <mergeCell ref="J113:L113"/>
    <mergeCell ref="M113:O113"/>
    <mergeCell ref="P113:R113"/>
    <mergeCell ref="V109:W109"/>
    <mergeCell ref="Y109:Z109"/>
    <mergeCell ref="AB109:AC109"/>
    <mergeCell ref="AE109:AF109"/>
    <mergeCell ref="D110:E110"/>
    <mergeCell ref="G110:H110"/>
    <mergeCell ref="J110:K110"/>
    <mergeCell ref="M110:N110"/>
    <mergeCell ref="P110:Q110"/>
    <mergeCell ref="S110:T110"/>
    <mergeCell ref="V108:W108"/>
    <mergeCell ref="Y108:Z108"/>
    <mergeCell ref="AB108:AC108"/>
    <mergeCell ref="AE108:AF108"/>
    <mergeCell ref="D109:E109"/>
    <mergeCell ref="G109:H109"/>
    <mergeCell ref="J109:K109"/>
    <mergeCell ref="M109:N109"/>
    <mergeCell ref="P109:Q109"/>
    <mergeCell ref="S109:T109"/>
    <mergeCell ref="V107:X107"/>
    <mergeCell ref="Y107:AA107"/>
    <mergeCell ref="AB107:AD107"/>
    <mergeCell ref="AE107:AG107"/>
    <mergeCell ref="D108:E108"/>
    <mergeCell ref="G108:H108"/>
    <mergeCell ref="J108:K108"/>
    <mergeCell ref="M108:N108"/>
    <mergeCell ref="P108:Q108"/>
    <mergeCell ref="S108:T108"/>
    <mergeCell ref="V106:X106"/>
    <mergeCell ref="Y106:AA106"/>
    <mergeCell ref="AB106:AD106"/>
    <mergeCell ref="AE106:AG106"/>
    <mergeCell ref="D107:F107"/>
    <mergeCell ref="G107:I107"/>
    <mergeCell ref="J107:L107"/>
    <mergeCell ref="M107:O107"/>
    <mergeCell ref="P107:R107"/>
    <mergeCell ref="S107:U107"/>
    <mergeCell ref="D106:F106"/>
    <mergeCell ref="G106:I106"/>
    <mergeCell ref="J106:L106"/>
    <mergeCell ref="M106:O106"/>
    <mergeCell ref="P106:R106"/>
    <mergeCell ref="S106:U106"/>
    <mergeCell ref="P105:R105"/>
    <mergeCell ref="S105:U105"/>
    <mergeCell ref="V105:X105"/>
    <mergeCell ref="Y105:AA105"/>
    <mergeCell ref="AB105:AD105"/>
    <mergeCell ref="AE105:AG105"/>
    <mergeCell ref="S102:T102"/>
    <mergeCell ref="V102:W102"/>
    <mergeCell ref="Y102:Z102"/>
    <mergeCell ref="AB102:AC102"/>
    <mergeCell ref="AE102:AF102"/>
    <mergeCell ref="A105:B110"/>
    <mergeCell ref="D105:F105"/>
    <mergeCell ref="G105:I105"/>
    <mergeCell ref="J105:L105"/>
    <mergeCell ref="M105:O105"/>
    <mergeCell ref="S101:T101"/>
    <mergeCell ref="V101:W101"/>
    <mergeCell ref="Y101:Z101"/>
    <mergeCell ref="AB101:AC101"/>
    <mergeCell ref="AE101:AF101"/>
    <mergeCell ref="D102:E102"/>
    <mergeCell ref="G102:H102"/>
    <mergeCell ref="J102:K102"/>
    <mergeCell ref="M102:N102"/>
    <mergeCell ref="P102:Q102"/>
    <mergeCell ref="S100:T100"/>
    <mergeCell ref="V100:W100"/>
    <mergeCell ref="Y100:Z100"/>
    <mergeCell ref="AB100:AC100"/>
    <mergeCell ref="AE100:AF100"/>
    <mergeCell ref="D101:E101"/>
    <mergeCell ref="G101:H101"/>
    <mergeCell ref="J101:K101"/>
    <mergeCell ref="M101:N101"/>
    <mergeCell ref="P101:Q101"/>
    <mergeCell ref="S99:U99"/>
    <mergeCell ref="V99:X99"/>
    <mergeCell ref="Y99:AA99"/>
    <mergeCell ref="AB99:AD99"/>
    <mergeCell ref="AE99:AG99"/>
    <mergeCell ref="D100:E100"/>
    <mergeCell ref="G100:H100"/>
    <mergeCell ref="J100:K100"/>
    <mergeCell ref="M100:N100"/>
    <mergeCell ref="P100:Q100"/>
    <mergeCell ref="S98:U98"/>
    <mergeCell ref="V98:X98"/>
    <mergeCell ref="Y98:AA98"/>
    <mergeCell ref="AB98:AD98"/>
    <mergeCell ref="AE98:AG98"/>
    <mergeCell ref="D99:F99"/>
    <mergeCell ref="G99:I99"/>
    <mergeCell ref="J99:L99"/>
    <mergeCell ref="M99:O99"/>
    <mergeCell ref="P99:R99"/>
    <mergeCell ref="S97:U97"/>
    <mergeCell ref="V97:X97"/>
    <mergeCell ref="Y97:AA97"/>
    <mergeCell ref="AB97:AD97"/>
    <mergeCell ref="AE97:AG97"/>
    <mergeCell ref="D98:F98"/>
    <mergeCell ref="G98:I98"/>
    <mergeCell ref="J98:L98"/>
    <mergeCell ref="M98:O98"/>
    <mergeCell ref="P98:R98"/>
    <mergeCell ref="V94:W94"/>
    <mergeCell ref="Y94:Z94"/>
    <mergeCell ref="AB94:AC94"/>
    <mergeCell ref="AE94:AF94"/>
    <mergeCell ref="A97:B102"/>
    <mergeCell ref="D97:F97"/>
    <mergeCell ref="G97:I97"/>
    <mergeCell ref="J97:L97"/>
    <mergeCell ref="M97:O97"/>
    <mergeCell ref="P97:R97"/>
    <mergeCell ref="V93:W93"/>
    <mergeCell ref="Y93:Z93"/>
    <mergeCell ref="AB93:AC93"/>
    <mergeCell ref="AE93:AF93"/>
    <mergeCell ref="D94:E94"/>
    <mergeCell ref="G94:H94"/>
    <mergeCell ref="J94:K94"/>
    <mergeCell ref="M94:N94"/>
    <mergeCell ref="P94:Q94"/>
    <mergeCell ref="S94:T94"/>
    <mergeCell ref="V92:W92"/>
    <mergeCell ref="Y92:Z92"/>
    <mergeCell ref="AB92:AC92"/>
    <mergeCell ref="AE92:AF92"/>
    <mergeCell ref="D93:E93"/>
    <mergeCell ref="G93:H93"/>
    <mergeCell ref="J93:K93"/>
    <mergeCell ref="M93:N93"/>
    <mergeCell ref="P93:Q93"/>
    <mergeCell ref="S93:T93"/>
    <mergeCell ref="V91:X91"/>
    <mergeCell ref="Y91:AA91"/>
    <mergeCell ref="AB91:AD91"/>
    <mergeCell ref="AE91:AG91"/>
    <mergeCell ref="D92:E92"/>
    <mergeCell ref="G92:H92"/>
    <mergeCell ref="J92:K92"/>
    <mergeCell ref="M92:N92"/>
    <mergeCell ref="P92:Q92"/>
    <mergeCell ref="S92:T92"/>
    <mergeCell ref="V90:X90"/>
    <mergeCell ref="Y90:AA90"/>
    <mergeCell ref="AB90:AD90"/>
    <mergeCell ref="AE90:AG90"/>
    <mergeCell ref="D91:F91"/>
    <mergeCell ref="G91:I91"/>
    <mergeCell ref="J91:L91"/>
    <mergeCell ref="M91:O91"/>
    <mergeCell ref="P91:R91"/>
    <mergeCell ref="S91:U91"/>
    <mergeCell ref="D90:F90"/>
    <mergeCell ref="G90:I90"/>
    <mergeCell ref="J90:L90"/>
    <mergeCell ref="M90:O90"/>
    <mergeCell ref="P90:R90"/>
    <mergeCell ref="S90:U90"/>
    <mergeCell ref="P89:R89"/>
    <mergeCell ref="S89:U89"/>
    <mergeCell ref="V89:X89"/>
    <mergeCell ref="Y89:AA89"/>
    <mergeCell ref="AB89:AD89"/>
    <mergeCell ref="AE89:AG89"/>
    <mergeCell ref="S86:T86"/>
    <mergeCell ref="V86:W86"/>
    <mergeCell ref="Y86:Z86"/>
    <mergeCell ref="AB86:AC86"/>
    <mergeCell ref="AE86:AF86"/>
    <mergeCell ref="A89:B94"/>
    <mergeCell ref="D89:F89"/>
    <mergeCell ref="G89:I89"/>
    <mergeCell ref="J89:L89"/>
    <mergeCell ref="M89:O89"/>
    <mergeCell ref="S85:T85"/>
    <mergeCell ref="V85:W85"/>
    <mergeCell ref="Y85:Z85"/>
    <mergeCell ref="AB85:AC85"/>
    <mergeCell ref="AE85:AF85"/>
    <mergeCell ref="D86:E86"/>
    <mergeCell ref="G86:H86"/>
    <mergeCell ref="J86:K86"/>
    <mergeCell ref="M86:N86"/>
    <mergeCell ref="P86:Q86"/>
    <mergeCell ref="S84:T84"/>
    <mergeCell ref="V84:W84"/>
    <mergeCell ref="Y84:Z84"/>
    <mergeCell ref="AB84:AC84"/>
    <mergeCell ref="AE84:AF84"/>
    <mergeCell ref="D85:E85"/>
    <mergeCell ref="G85:H85"/>
    <mergeCell ref="J85:K85"/>
    <mergeCell ref="M85:N85"/>
    <mergeCell ref="P85:Q85"/>
    <mergeCell ref="S83:U83"/>
    <mergeCell ref="V83:X83"/>
    <mergeCell ref="Y83:AA83"/>
    <mergeCell ref="AB83:AD83"/>
    <mergeCell ref="AE83:AG83"/>
    <mergeCell ref="D84:E84"/>
    <mergeCell ref="G84:H84"/>
    <mergeCell ref="J84:K84"/>
    <mergeCell ref="M84:N84"/>
    <mergeCell ref="P84:Q84"/>
    <mergeCell ref="S82:U82"/>
    <mergeCell ref="V82:X82"/>
    <mergeCell ref="Y82:AA82"/>
    <mergeCell ref="AB82:AD82"/>
    <mergeCell ref="AE82:AG82"/>
    <mergeCell ref="D83:F83"/>
    <mergeCell ref="G83:I83"/>
    <mergeCell ref="J83:L83"/>
    <mergeCell ref="M83:O83"/>
    <mergeCell ref="P83:R83"/>
    <mergeCell ref="S81:U81"/>
    <mergeCell ref="V81:X81"/>
    <mergeCell ref="Y81:AA81"/>
    <mergeCell ref="AB81:AD81"/>
    <mergeCell ref="AE81:AG81"/>
    <mergeCell ref="D82:F82"/>
    <mergeCell ref="G82:I82"/>
    <mergeCell ref="J82:L82"/>
    <mergeCell ref="M82:O82"/>
    <mergeCell ref="P82:R82"/>
    <mergeCell ref="V78:W78"/>
    <mergeCell ref="Y78:Z78"/>
    <mergeCell ref="AB78:AC78"/>
    <mergeCell ref="AE78:AF78"/>
    <mergeCell ref="A81:B86"/>
    <mergeCell ref="D81:F81"/>
    <mergeCell ref="G81:I81"/>
    <mergeCell ref="J81:L81"/>
    <mergeCell ref="M81:O81"/>
    <mergeCell ref="P81:R81"/>
    <mergeCell ref="V77:W77"/>
    <mergeCell ref="Y77:Z77"/>
    <mergeCell ref="AB77:AC77"/>
    <mergeCell ref="AE77:AF77"/>
    <mergeCell ref="D78:E78"/>
    <mergeCell ref="G78:H78"/>
    <mergeCell ref="J78:K78"/>
    <mergeCell ref="M78:N78"/>
    <mergeCell ref="P78:Q78"/>
    <mergeCell ref="S78:T78"/>
    <mergeCell ref="V76:W76"/>
    <mergeCell ref="Y76:Z76"/>
    <mergeCell ref="AB76:AC76"/>
    <mergeCell ref="AE76:AF76"/>
    <mergeCell ref="D77:E77"/>
    <mergeCell ref="G77:H77"/>
    <mergeCell ref="J77:K77"/>
    <mergeCell ref="M77:N77"/>
    <mergeCell ref="P77:Q77"/>
    <mergeCell ref="S77:T77"/>
    <mergeCell ref="V75:X75"/>
    <mergeCell ref="Y75:AA75"/>
    <mergeCell ref="AB75:AD75"/>
    <mergeCell ref="AE75:AG75"/>
    <mergeCell ref="D76:E76"/>
    <mergeCell ref="G76:H76"/>
    <mergeCell ref="J76:K76"/>
    <mergeCell ref="M76:N76"/>
    <mergeCell ref="P76:Q76"/>
    <mergeCell ref="S76:T76"/>
    <mergeCell ref="V74:X74"/>
    <mergeCell ref="Y74:AA74"/>
    <mergeCell ref="AB74:AD74"/>
    <mergeCell ref="AE74:AG74"/>
    <mergeCell ref="D75:F75"/>
    <mergeCell ref="G75:I75"/>
    <mergeCell ref="J75:L75"/>
    <mergeCell ref="M75:O75"/>
    <mergeCell ref="P75:R75"/>
    <mergeCell ref="S75:U75"/>
    <mergeCell ref="D74:F74"/>
    <mergeCell ref="G74:I74"/>
    <mergeCell ref="J74:L74"/>
    <mergeCell ref="M74:O74"/>
    <mergeCell ref="P74:R74"/>
    <mergeCell ref="S74:U74"/>
    <mergeCell ref="P73:R73"/>
    <mergeCell ref="S73:U73"/>
    <mergeCell ref="V73:X73"/>
    <mergeCell ref="Y73:AA73"/>
    <mergeCell ref="AB73:AD73"/>
    <mergeCell ref="AE73:AG73"/>
    <mergeCell ref="S70:T70"/>
    <mergeCell ref="V70:W70"/>
    <mergeCell ref="Y70:Z70"/>
    <mergeCell ref="AB70:AC70"/>
    <mergeCell ref="AE70:AF70"/>
    <mergeCell ref="A73:B78"/>
    <mergeCell ref="D73:F73"/>
    <mergeCell ref="G73:I73"/>
    <mergeCell ref="J73:L73"/>
    <mergeCell ref="M73:O73"/>
    <mergeCell ref="S69:T69"/>
    <mergeCell ref="V69:W69"/>
    <mergeCell ref="Y69:Z69"/>
    <mergeCell ref="AB69:AC69"/>
    <mergeCell ref="AE69:AF69"/>
    <mergeCell ref="D70:E70"/>
    <mergeCell ref="G70:H70"/>
    <mergeCell ref="J70:K70"/>
    <mergeCell ref="M70:N70"/>
    <mergeCell ref="P70:Q70"/>
    <mergeCell ref="S68:T68"/>
    <mergeCell ref="V68:W68"/>
    <mergeCell ref="Y68:Z68"/>
    <mergeCell ref="AB68:AC68"/>
    <mergeCell ref="AE68:AF68"/>
    <mergeCell ref="D69:E69"/>
    <mergeCell ref="G69:H69"/>
    <mergeCell ref="J69:K69"/>
    <mergeCell ref="M69:N69"/>
    <mergeCell ref="P69:Q69"/>
    <mergeCell ref="S67:U67"/>
    <mergeCell ref="V67:X67"/>
    <mergeCell ref="Y67:AA67"/>
    <mergeCell ref="AB67:AD67"/>
    <mergeCell ref="AE67:AG67"/>
    <mergeCell ref="D68:E68"/>
    <mergeCell ref="G68:H68"/>
    <mergeCell ref="J68:K68"/>
    <mergeCell ref="M68:N68"/>
    <mergeCell ref="P68:Q68"/>
    <mergeCell ref="S66:U66"/>
    <mergeCell ref="V66:X66"/>
    <mergeCell ref="Y66:AA66"/>
    <mergeCell ref="AB66:AD66"/>
    <mergeCell ref="AE66:AG66"/>
    <mergeCell ref="D67:F67"/>
    <mergeCell ref="G67:I67"/>
    <mergeCell ref="J67:L67"/>
    <mergeCell ref="M67:O67"/>
    <mergeCell ref="P67:R67"/>
    <mergeCell ref="S65:U65"/>
    <mergeCell ref="V65:X65"/>
    <mergeCell ref="Y65:AA65"/>
    <mergeCell ref="AB65:AD65"/>
    <mergeCell ref="AE65:AG65"/>
    <mergeCell ref="D66:F66"/>
    <mergeCell ref="G66:I66"/>
    <mergeCell ref="J66:L66"/>
    <mergeCell ref="M66:O66"/>
    <mergeCell ref="P66:R66"/>
    <mergeCell ref="V62:W62"/>
    <mergeCell ref="Y62:Z62"/>
    <mergeCell ref="AB62:AC62"/>
    <mergeCell ref="AE62:AF62"/>
    <mergeCell ref="A65:B70"/>
    <mergeCell ref="D65:F65"/>
    <mergeCell ref="G65:I65"/>
    <mergeCell ref="J65:L65"/>
    <mergeCell ref="M65:O65"/>
    <mergeCell ref="P65:R65"/>
    <mergeCell ref="V61:W61"/>
    <mergeCell ref="Y61:Z61"/>
    <mergeCell ref="AB61:AC61"/>
    <mergeCell ref="AE61:AF61"/>
    <mergeCell ref="D62:E62"/>
    <mergeCell ref="G62:H62"/>
    <mergeCell ref="J62:K62"/>
    <mergeCell ref="M62:N62"/>
    <mergeCell ref="P62:Q62"/>
    <mergeCell ref="S62:T62"/>
    <mergeCell ref="V60:W60"/>
    <mergeCell ref="Y60:Z60"/>
    <mergeCell ref="AB60:AC60"/>
    <mergeCell ref="AE60:AF60"/>
    <mergeCell ref="D61:E61"/>
    <mergeCell ref="G61:H61"/>
    <mergeCell ref="J61:K61"/>
    <mergeCell ref="M61:N61"/>
    <mergeCell ref="P61:Q61"/>
    <mergeCell ref="S61:T61"/>
    <mergeCell ref="V59:X59"/>
    <mergeCell ref="Y59:AA59"/>
    <mergeCell ref="AB59:AD59"/>
    <mergeCell ref="AE59:AG59"/>
    <mergeCell ref="D60:E60"/>
    <mergeCell ref="G60:H60"/>
    <mergeCell ref="J60:K60"/>
    <mergeCell ref="M60:N60"/>
    <mergeCell ref="P60:Q60"/>
    <mergeCell ref="S60:T60"/>
    <mergeCell ref="V58:X58"/>
    <mergeCell ref="Y58:AA58"/>
    <mergeCell ref="AB58:AD58"/>
    <mergeCell ref="AE58:AG58"/>
    <mergeCell ref="D59:F59"/>
    <mergeCell ref="G59:I59"/>
    <mergeCell ref="J59:L59"/>
    <mergeCell ref="M59:O59"/>
    <mergeCell ref="P59:R59"/>
    <mergeCell ref="S59:U59"/>
    <mergeCell ref="D58:F58"/>
    <mergeCell ref="G58:I58"/>
    <mergeCell ref="J58:L58"/>
    <mergeCell ref="M58:O58"/>
    <mergeCell ref="P58:R58"/>
    <mergeCell ref="S58:U58"/>
    <mergeCell ref="P57:R57"/>
    <mergeCell ref="S57:U57"/>
    <mergeCell ref="V57:X57"/>
    <mergeCell ref="Y57:AA57"/>
    <mergeCell ref="AB57:AD57"/>
    <mergeCell ref="AE57:AG57"/>
    <mergeCell ref="S54:T54"/>
    <mergeCell ref="V54:W54"/>
    <mergeCell ref="Y54:Z54"/>
    <mergeCell ref="AB54:AC54"/>
    <mergeCell ref="AE54:AF54"/>
    <mergeCell ref="A57:B62"/>
    <mergeCell ref="D57:F57"/>
    <mergeCell ref="G57:I57"/>
    <mergeCell ref="J57:L57"/>
    <mergeCell ref="M57:O57"/>
    <mergeCell ref="S53:T53"/>
    <mergeCell ref="V53:W53"/>
    <mergeCell ref="Y53:Z53"/>
    <mergeCell ref="AB53:AC53"/>
    <mergeCell ref="AE53:AF53"/>
    <mergeCell ref="D54:E54"/>
    <mergeCell ref="G54:H54"/>
    <mergeCell ref="J54:K54"/>
    <mergeCell ref="M54:N54"/>
    <mergeCell ref="P54:Q54"/>
    <mergeCell ref="S52:T52"/>
    <mergeCell ref="V52:W52"/>
    <mergeCell ref="Y52:Z52"/>
    <mergeCell ref="AB52:AC52"/>
    <mergeCell ref="AE52:AF52"/>
    <mergeCell ref="D53:E53"/>
    <mergeCell ref="G53:H53"/>
    <mergeCell ref="J53:K53"/>
    <mergeCell ref="M53:N53"/>
    <mergeCell ref="P53:Q53"/>
    <mergeCell ref="S51:U51"/>
    <mergeCell ref="V51:X51"/>
    <mergeCell ref="Y51:AA51"/>
    <mergeCell ref="AB51:AD51"/>
    <mergeCell ref="AE51:AG51"/>
    <mergeCell ref="D52:E52"/>
    <mergeCell ref="G52:H52"/>
    <mergeCell ref="J52:K52"/>
    <mergeCell ref="M52:N52"/>
    <mergeCell ref="P52:Q52"/>
    <mergeCell ref="S50:U50"/>
    <mergeCell ref="V50:X50"/>
    <mergeCell ref="Y50:AA50"/>
    <mergeCell ref="AB50:AD50"/>
    <mergeCell ref="AE50:AG50"/>
    <mergeCell ref="D51:F51"/>
    <mergeCell ref="G51:I51"/>
    <mergeCell ref="J51:L51"/>
    <mergeCell ref="M51:O51"/>
    <mergeCell ref="P51:R51"/>
    <mergeCell ref="S49:U49"/>
    <mergeCell ref="V49:X49"/>
    <mergeCell ref="Y49:AA49"/>
    <mergeCell ref="AB49:AD49"/>
    <mergeCell ref="AE49:AG49"/>
    <mergeCell ref="D50:F50"/>
    <mergeCell ref="G50:I50"/>
    <mergeCell ref="J50:L50"/>
    <mergeCell ref="M50:O50"/>
    <mergeCell ref="P50:R50"/>
    <mergeCell ref="V46:W46"/>
    <mergeCell ref="Y46:Z46"/>
    <mergeCell ref="AB46:AC46"/>
    <mergeCell ref="AE46:AF46"/>
    <mergeCell ref="A49:B54"/>
    <mergeCell ref="D49:F49"/>
    <mergeCell ref="G49:I49"/>
    <mergeCell ref="J49:L49"/>
    <mergeCell ref="M49:O49"/>
    <mergeCell ref="P49:R49"/>
    <mergeCell ref="V45:W45"/>
    <mergeCell ref="Y45:Z45"/>
    <mergeCell ref="AB45:AC45"/>
    <mergeCell ref="AE45:AF45"/>
    <mergeCell ref="D46:E46"/>
    <mergeCell ref="G46:H46"/>
    <mergeCell ref="J46:K46"/>
    <mergeCell ref="M46:N46"/>
    <mergeCell ref="P46:Q46"/>
    <mergeCell ref="S46:T46"/>
    <mergeCell ref="V44:W44"/>
    <mergeCell ref="Y44:Z44"/>
    <mergeCell ref="AB44:AC44"/>
    <mergeCell ref="AE44:AF44"/>
    <mergeCell ref="D45:E45"/>
    <mergeCell ref="G45:H45"/>
    <mergeCell ref="J45:K45"/>
    <mergeCell ref="M45:N45"/>
    <mergeCell ref="P45:Q45"/>
    <mergeCell ref="S45:T45"/>
    <mergeCell ref="V43:X43"/>
    <mergeCell ref="Y43:AA43"/>
    <mergeCell ref="AB43:AD43"/>
    <mergeCell ref="AE43:AG43"/>
    <mergeCell ref="D44:E44"/>
    <mergeCell ref="G44:H44"/>
    <mergeCell ref="J44:K44"/>
    <mergeCell ref="M44:N44"/>
    <mergeCell ref="P44:Q44"/>
    <mergeCell ref="S44:T44"/>
    <mergeCell ref="V42:X42"/>
    <mergeCell ref="Y42:AA42"/>
    <mergeCell ref="AB42:AD42"/>
    <mergeCell ref="AE42:AG42"/>
    <mergeCell ref="D43:F43"/>
    <mergeCell ref="G43:I43"/>
    <mergeCell ref="J43:L43"/>
    <mergeCell ref="M43:O43"/>
    <mergeCell ref="P43:R43"/>
    <mergeCell ref="S43:U43"/>
    <mergeCell ref="D42:F42"/>
    <mergeCell ref="G42:I42"/>
    <mergeCell ref="J42:L42"/>
    <mergeCell ref="M42:O42"/>
    <mergeCell ref="P42:R42"/>
    <mergeCell ref="S42:U42"/>
    <mergeCell ref="P41:R41"/>
    <mergeCell ref="S41:U41"/>
    <mergeCell ref="V41:X41"/>
    <mergeCell ref="Y41:AA41"/>
    <mergeCell ref="AB41:AD41"/>
    <mergeCell ref="AE41:AG41"/>
    <mergeCell ref="S38:T38"/>
    <mergeCell ref="V38:W38"/>
    <mergeCell ref="Y38:Z38"/>
    <mergeCell ref="AB38:AC38"/>
    <mergeCell ref="AE38:AF38"/>
    <mergeCell ref="A41:B46"/>
    <mergeCell ref="D41:F41"/>
    <mergeCell ref="G41:I41"/>
    <mergeCell ref="J41:L41"/>
    <mergeCell ref="M41:O41"/>
    <mergeCell ref="S37:T37"/>
    <mergeCell ref="V37:W37"/>
    <mergeCell ref="Y37:Z37"/>
    <mergeCell ref="AB37:AC37"/>
    <mergeCell ref="AE37:AF37"/>
    <mergeCell ref="D38:E38"/>
    <mergeCell ref="G38:H38"/>
    <mergeCell ref="J38:K38"/>
    <mergeCell ref="M38:N38"/>
    <mergeCell ref="P38:Q38"/>
    <mergeCell ref="S36:T36"/>
    <mergeCell ref="V36:W36"/>
    <mergeCell ref="Y36:Z36"/>
    <mergeCell ref="AB36:AC36"/>
    <mergeCell ref="AE36:AF36"/>
    <mergeCell ref="D37:E37"/>
    <mergeCell ref="G37:H37"/>
    <mergeCell ref="J37:K37"/>
    <mergeCell ref="M37:N37"/>
    <mergeCell ref="P37:Q37"/>
    <mergeCell ref="S35:U35"/>
    <mergeCell ref="V35:X35"/>
    <mergeCell ref="Y35:AA35"/>
    <mergeCell ref="AB35:AD35"/>
    <mergeCell ref="AE35:AG35"/>
    <mergeCell ref="D36:E36"/>
    <mergeCell ref="G36:H36"/>
    <mergeCell ref="J36:K36"/>
    <mergeCell ref="M36:N36"/>
    <mergeCell ref="P36:Q36"/>
    <mergeCell ref="S34:U34"/>
    <mergeCell ref="V34:X34"/>
    <mergeCell ref="Y34:AA34"/>
    <mergeCell ref="AB34:AD34"/>
    <mergeCell ref="AE34:AG34"/>
    <mergeCell ref="D35:F35"/>
    <mergeCell ref="G35:I35"/>
    <mergeCell ref="J35:L35"/>
    <mergeCell ref="M35:O35"/>
    <mergeCell ref="P35:R35"/>
    <mergeCell ref="S33:U33"/>
    <mergeCell ref="V33:X33"/>
    <mergeCell ref="Y33:AA33"/>
    <mergeCell ref="AB33:AD33"/>
    <mergeCell ref="AE33:AG33"/>
    <mergeCell ref="D34:F34"/>
    <mergeCell ref="G34:I34"/>
    <mergeCell ref="J34:L34"/>
    <mergeCell ref="M34:O34"/>
    <mergeCell ref="P34:R34"/>
    <mergeCell ref="V30:W30"/>
    <mergeCell ref="Y30:Z30"/>
    <mergeCell ref="AB30:AC30"/>
    <mergeCell ref="AE30:AF30"/>
    <mergeCell ref="A33:B38"/>
    <mergeCell ref="D33:F33"/>
    <mergeCell ref="G33:I33"/>
    <mergeCell ref="J33:L33"/>
    <mergeCell ref="M33:O33"/>
    <mergeCell ref="P33:R33"/>
    <mergeCell ref="V29:W29"/>
    <mergeCell ref="Y29:Z29"/>
    <mergeCell ref="AB29:AC29"/>
    <mergeCell ref="AE29:AF29"/>
    <mergeCell ref="D30:E30"/>
    <mergeCell ref="G30:H30"/>
    <mergeCell ref="J30:K30"/>
    <mergeCell ref="M30:N30"/>
    <mergeCell ref="P30:Q30"/>
    <mergeCell ref="S30:T30"/>
    <mergeCell ref="V28:W28"/>
    <mergeCell ref="Y28:Z28"/>
    <mergeCell ref="AB28:AC28"/>
    <mergeCell ref="AE28:AF28"/>
    <mergeCell ref="D29:E29"/>
    <mergeCell ref="G29:H29"/>
    <mergeCell ref="J29:K29"/>
    <mergeCell ref="M29:N29"/>
    <mergeCell ref="P29:Q29"/>
    <mergeCell ref="S29:T29"/>
    <mergeCell ref="V27:X27"/>
    <mergeCell ref="Y27:AA27"/>
    <mergeCell ref="AB27:AD27"/>
    <mergeCell ref="AE27:AG27"/>
    <mergeCell ref="D28:E28"/>
    <mergeCell ref="G28:H28"/>
    <mergeCell ref="J28:K28"/>
    <mergeCell ref="M28:N28"/>
    <mergeCell ref="P28:Q28"/>
    <mergeCell ref="S28:T28"/>
    <mergeCell ref="V26:X26"/>
    <mergeCell ref="Y26:AA26"/>
    <mergeCell ref="AB26:AD26"/>
    <mergeCell ref="AE26:AG26"/>
    <mergeCell ref="D27:F27"/>
    <mergeCell ref="G27:I27"/>
    <mergeCell ref="J27:L27"/>
    <mergeCell ref="M27:O27"/>
    <mergeCell ref="P27:R27"/>
    <mergeCell ref="S27:U27"/>
    <mergeCell ref="D26:F26"/>
    <mergeCell ref="G26:I26"/>
    <mergeCell ref="J26:L26"/>
    <mergeCell ref="M26:O26"/>
    <mergeCell ref="P26:R26"/>
    <mergeCell ref="S26:U26"/>
    <mergeCell ref="P25:R25"/>
    <mergeCell ref="S25:U25"/>
    <mergeCell ref="V25:X25"/>
    <mergeCell ref="Y25:AA25"/>
    <mergeCell ref="AB25:AD25"/>
    <mergeCell ref="AE25:AG25"/>
    <mergeCell ref="S22:T22"/>
    <mergeCell ref="V22:W22"/>
    <mergeCell ref="Y22:Z22"/>
    <mergeCell ref="AB22:AC22"/>
    <mergeCell ref="AE22:AF22"/>
    <mergeCell ref="A25:B30"/>
    <mergeCell ref="D25:F25"/>
    <mergeCell ref="G25:I25"/>
    <mergeCell ref="J25:L25"/>
    <mergeCell ref="M25:O25"/>
    <mergeCell ref="S21:T21"/>
    <mergeCell ref="V21:W21"/>
    <mergeCell ref="Y21:Z21"/>
    <mergeCell ref="AB21:AC21"/>
    <mergeCell ref="AE21:AF21"/>
    <mergeCell ref="D22:E22"/>
    <mergeCell ref="G22:H22"/>
    <mergeCell ref="J22:K22"/>
    <mergeCell ref="M22:N22"/>
    <mergeCell ref="P22:Q22"/>
    <mergeCell ref="S20:T20"/>
    <mergeCell ref="V20:W20"/>
    <mergeCell ref="Y20:Z20"/>
    <mergeCell ref="AB20:AC20"/>
    <mergeCell ref="AE20:AF20"/>
    <mergeCell ref="D21:E21"/>
    <mergeCell ref="G21:H21"/>
    <mergeCell ref="J21:K21"/>
    <mergeCell ref="M21:N21"/>
    <mergeCell ref="P21:Q21"/>
    <mergeCell ref="S19:U19"/>
    <mergeCell ref="V19:X19"/>
    <mergeCell ref="Y19:AA19"/>
    <mergeCell ref="AB19:AD19"/>
    <mergeCell ref="AE19:AG19"/>
    <mergeCell ref="D20:E20"/>
    <mergeCell ref="G20:H20"/>
    <mergeCell ref="J20:K20"/>
    <mergeCell ref="M20:N20"/>
    <mergeCell ref="P20:Q20"/>
    <mergeCell ref="S18:U18"/>
    <mergeCell ref="V18:X18"/>
    <mergeCell ref="Y18:AA18"/>
    <mergeCell ref="AB18:AD18"/>
    <mergeCell ref="AE18:AG18"/>
    <mergeCell ref="D19:F19"/>
    <mergeCell ref="G19:I19"/>
    <mergeCell ref="J19:L19"/>
    <mergeCell ref="M19:O19"/>
    <mergeCell ref="P19:R19"/>
    <mergeCell ref="S17:U17"/>
    <mergeCell ref="V17:X17"/>
    <mergeCell ref="Y17:AA17"/>
    <mergeCell ref="AB17:AD17"/>
    <mergeCell ref="AE17:AG17"/>
    <mergeCell ref="D18:F18"/>
    <mergeCell ref="G18:I18"/>
    <mergeCell ref="J18:L18"/>
    <mergeCell ref="M18:O18"/>
    <mergeCell ref="P18:R18"/>
    <mergeCell ref="V14:W14"/>
    <mergeCell ref="Y14:Z14"/>
    <mergeCell ref="AB14:AC14"/>
    <mergeCell ref="AE14:AF14"/>
    <mergeCell ref="A17:B22"/>
    <mergeCell ref="D17:F17"/>
    <mergeCell ref="G17:I17"/>
    <mergeCell ref="J17:L17"/>
    <mergeCell ref="M17:O17"/>
    <mergeCell ref="P17:R17"/>
    <mergeCell ref="V13:W13"/>
    <mergeCell ref="Y13:Z13"/>
    <mergeCell ref="AB13:AC13"/>
    <mergeCell ref="AE13:AF13"/>
    <mergeCell ref="D14:E14"/>
    <mergeCell ref="G14:H14"/>
    <mergeCell ref="J14:K14"/>
    <mergeCell ref="M14:N14"/>
    <mergeCell ref="P14:Q14"/>
    <mergeCell ref="S14:T14"/>
    <mergeCell ref="V12:W12"/>
    <mergeCell ref="Y12:Z12"/>
    <mergeCell ref="AB12:AC12"/>
    <mergeCell ref="AE12:AF12"/>
    <mergeCell ref="D13:E13"/>
    <mergeCell ref="G13:H13"/>
    <mergeCell ref="J13:K13"/>
    <mergeCell ref="M13:N13"/>
    <mergeCell ref="P13:Q13"/>
    <mergeCell ref="S13:T13"/>
    <mergeCell ref="V11:X11"/>
    <mergeCell ref="Y11:AA11"/>
    <mergeCell ref="AB11:AD11"/>
    <mergeCell ref="AE11:AG11"/>
    <mergeCell ref="D12:E12"/>
    <mergeCell ref="G12:H12"/>
    <mergeCell ref="J12:K12"/>
    <mergeCell ref="M12:N12"/>
    <mergeCell ref="P12:Q12"/>
    <mergeCell ref="S12:T12"/>
    <mergeCell ref="V10:X10"/>
    <mergeCell ref="Y10:AA10"/>
    <mergeCell ref="AB10:AD10"/>
    <mergeCell ref="AE10:AG10"/>
    <mergeCell ref="D11:F11"/>
    <mergeCell ref="G11:I11"/>
    <mergeCell ref="J11:L11"/>
    <mergeCell ref="M11:O11"/>
    <mergeCell ref="P11:R11"/>
    <mergeCell ref="S11:U11"/>
    <mergeCell ref="D10:F10"/>
    <mergeCell ref="G10:I10"/>
    <mergeCell ref="J10:L10"/>
    <mergeCell ref="M10:O10"/>
    <mergeCell ref="P10:R10"/>
    <mergeCell ref="S10:U10"/>
    <mergeCell ref="P9:R9"/>
    <mergeCell ref="S9:U9"/>
    <mergeCell ref="V9:X9"/>
    <mergeCell ref="Y9:AA9"/>
    <mergeCell ref="AB9:AD9"/>
    <mergeCell ref="AE9:AG9"/>
    <mergeCell ref="S4:T4"/>
    <mergeCell ref="V4:W4"/>
    <mergeCell ref="Y4:Z4"/>
    <mergeCell ref="AB4:AC4"/>
    <mergeCell ref="AE4:AF4"/>
    <mergeCell ref="A9:B14"/>
    <mergeCell ref="D9:F9"/>
    <mergeCell ref="G9:I9"/>
    <mergeCell ref="J9:L9"/>
    <mergeCell ref="M9:O9"/>
    <mergeCell ref="D4:E4"/>
    <mergeCell ref="G4:H4"/>
    <mergeCell ref="J4:K4"/>
    <mergeCell ref="M4:N4"/>
    <mergeCell ref="P4:Q4"/>
    <mergeCell ref="S6:T6"/>
    <mergeCell ref="V6:W6"/>
    <mergeCell ref="Y6:Z6"/>
    <mergeCell ref="AB6:AC6"/>
    <mergeCell ref="AE6:AF6"/>
    <mergeCell ref="S5:T5"/>
    <mergeCell ref="V5:W5"/>
    <mergeCell ref="Y5:Z5"/>
    <mergeCell ref="AB5:AC5"/>
    <mergeCell ref="AE5:AF5"/>
    <mergeCell ref="D6:E6"/>
    <mergeCell ref="G6:H6"/>
    <mergeCell ref="J6:K6"/>
    <mergeCell ref="M6:N6"/>
    <mergeCell ref="P6:Q6"/>
    <mergeCell ref="S3:U3"/>
    <mergeCell ref="V3:X3"/>
    <mergeCell ref="Y3:AA3"/>
    <mergeCell ref="AB3:AD3"/>
    <mergeCell ref="AE3:AG3"/>
    <mergeCell ref="D5:E5"/>
    <mergeCell ref="G5:H5"/>
    <mergeCell ref="J5:K5"/>
    <mergeCell ref="M5:N5"/>
    <mergeCell ref="P5:Q5"/>
    <mergeCell ref="S2:U2"/>
    <mergeCell ref="V2:X2"/>
    <mergeCell ref="Y2:AA2"/>
    <mergeCell ref="AB2:AD2"/>
    <mergeCell ref="AE2:AG2"/>
    <mergeCell ref="D3:F3"/>
    <mergeCell ref="G3:I3"/>
    <mergeCell ref="J3:L3"/>
    <mergeCell ref="M3:O3"/>
    <mergeCell ref="P3:R3"/>
    <mergeCell ref="S1:U1"/>
    <mergeCell ref="V1:X1"/>
    <mergeCell ref="Y1:AA1"/>
    <mergeCell ref="AB1:AD1"/>
    <mergeCell ref="AE1:AG1"/>
    <mergeCell ref="D2:F2"/>
    <mergeCell ref="G2:I2"/>
    <mergeCell ref="J2:L2"/>
    <mergeCell ref="M2:O2"/>
    <mergeCell ref="P2:R2"/>
    <mergeCell ref="A1:B6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0C52-0D2F-48FA-B1EB-4D3F1469D7F3}">
  <dimension ref="A1:AG542"/>
  <sheetViews>
    <sheetView zoomScale="80" zoomScaleNormal="80" workbookViewId="0">
      <selection activeCell="N23" sqref="N23"/>
    </sheetView>
  </sheetViews>
  <sheetFormatPr defaultRowHeight="15" x14ac:dyDescent="0.25"/>
  <sheetData>
    <row r="1" spans="1:33" ht="15.75" thickBot="1" x14ac:dyDescent="0.3">
      <c r="A1" s="68" t="s">
        <v>245</v>
      </c>
      <c r="B1" s="68"/>
      <c r="D1" s="52" t="s">
        <v>27</v>
      </c>
      <c r="E1" s="52"/>
      <c r="F1" s="52"/>
      <c r="G1" s="73" t="s">
        <v>28</v>
      </c>
      <c r="H1" s="73"/>
      <c r="I1" s="73"/>
      <c r="J1" s="52" t="s">
        <v>29</v>
      </c>
      <c r="K1" s="52"/>
      <c r="L1" s="52"/>
      <c r="M1" s="73" t="s">
        <v>30</v>
      </c>
      <c r="N1" s="73"/>
      <c r="O1" s="73"/>
      <c r="P1" s="52" t="s">
        <v>31</v>
      </c>
      <c r="Q1" s="52"/>
      <c r="R1" s="52"/>
      <c r="S1" s="73" t="s">
        <v>32</v>
      </c>
      <c r="T1" s="73"/>
      <c r="U1" s="73"/>
      <c r="V1" s="52" t="s">
        <v>33</v>
      </c>
      <c r="W1" s="52"/>
      <c r="X1" s="52"/>
      <c r="Y1" s="73" t="s">
        <v>34</v>
      </c>
      <c r="Z1" s="73"/>
      <c r="AA1" s="73"/>
      <c r="AB1" s="52" t="s">
        <v>35</v>
      </c>
      <c r="AC1" s="52"/>
      <c r="AD1" s="52"/>
      <c r="AE1" s="73" t="s">
        <v>36</v>
      </c>
      <c r="AF1" s="73"/>
      <c r="AG1" s="73"/>
    </row>
    <row r="2" spans="1:33" ht="15.75" thickBot="1" x14ac:dyDescent="0.3">
      <c r="A2" s="68"/>
      <c r="B2" s="68"/>
      <c r="C2" s="105" t="s">
        <v>243</v>
      </c>
      <c r="D2" s="75">
        <v>0</v>
      </c>
      <c r="E2" s="75"/>
      <c r="F2" s="76"/>
      <c r="G2" s="74">
        <v>0</v>
      </c>
      <c r="H2" s="75"/>
      <c r="I2" s="76"/>
      <c r="J2" s="74">
        <v>0</v>
      </c>
      <c r="K2" s="75"/>
      <c r="L2" s="76"/>
      <c r="M2" s="74">
        <v>0</v>
      </c>
      <c r="N2" s="75"/>
      <c r="O2" s="76"/>
      <c r="P2" s="74">
        <v>0</v>
      </c>
      <c r="Q2" s="75"/>
      <c r="R2" s="76"/>
      <c r="S2" s="74">
        <v>0</v>
      </c>
      <c r="T2" s="75"/>
      <c r="U2" s="76"/>
      <c r="V2" s="74">
        <v>0</v>
      </c>
      <c r="W2" s="75"/>
      <c r="X2" s="76"/>
      <c r="Y2" s="74">
        <v>0</v>
      </c>
      <c r="Z2" s="75"/>
      <c r="AA2" s="76"/>
      <c r="AB2" s="74">
        <v>0</v>
      </c>
      <c r="AC2" s="75"/>
      <c r="AD2" s="76"/>
      <c r="AE2" s="74">
        <v>0</v>
      </c>
      <c r="AF2" s="75"/>
      <c r="AG2" s="76"/>
    </row>
    <row r="3" spans="1:33" ht="15.75" thickBot="1" x14ac:dyDescent="0.3">
      <c r="A3" s="68"/>
      <c r="B3" s="68"/>
      <c r="C3" s="106" t="s">
        <v>244</v>
      </c>
      <c r="D3" s="82">
        <v>0</v>
      </c>
      <c r="E3" s="82"/>
      <c r="F3" s="84"/>
      <c r="G3" s="85">
        <v>0</v>
      </c>
      <c r="H3" s="82"/>
      <c r="I3" s="84"/>
      <c r="J3" s="85">
        <v>0</v>
      </c>
      <c r="K3" s="82"/>
      <c r="L3" s="84"/>
      <c r="M3" s="85">
        <v>0</v>
      </c>
      <c r="N3" s="82"/>
      <c r="O3" s="82"/>
      <c r="P3" s="81">
        <v>0</v>
      </c>
      <c r="Q3" s="82"/>
      <c r="R3" s="83"/>
      <c r="S3" s="82">
        <v>0</v>
      </c>
      <c r="T3" s="82"/>
      <c r="U3" s="84"/>
      <c r="V3" s="85">
        <v>0</v>
      </c>
      <c r="W3" s="82"/>
      <c r="X3" s="84"/>
      <c r="Y3" s="85">
        <v>0</v>
      </c>
      <c r="Z3" s="82"/>
      <c r="AA3" s="84"/>
      <c r="AB3" s="85">
        <v>0</v>
      </c>
      <c r="AC3" s="82"/>
      <c r="AD3" s="84"/>
      <c r="AE3" s="85">
        <v>0</v>
      </c>
      <c r="AF3" s="82"/>
      <c r="AG3" s="84"/>
    </row>
    <row r="4" spans="1:33" ht="15.75" thickBot="1" x14ac:dyDescent="0.3">
      <c r="A4" s="68"/>
      <c r="B4" s="68"/>
      <c r="C4" s="107" t="s">
        <v>37</v>
      </c>
      <c r="D4" s="104"/>
      <c r="E4" s="86"/>
      <c r="F4" s="89"/>
      <c r="G4" s="86"/>
      <c r="H4" s="86"/>
      <c r="I4" s="89"/>
      <c r="J4" s="86"/>
      <c r="K4" s="86"/>
      <c r="L4" s="89"/>
      <c r="M4" s="86"/>
      <c r="N4" s="86"/>
      <c r="O4" s="89"/>
      <c r="P4" s="86"/>
      <c r="Q4" s="86"/>
      <c r="R4" s="89"/>
      <c r="S4" s="86"/>
      <c r="T4" s="86"/>
      <c r="U4" s="89"/>
      <c r="V4" s="86"/>
      <c r="W4" s="86"/>
      <c r="X4" s="89"/>
      <c r="Y4" s="86"/>
      <c r="Z4" s="86"/>
      <c r="AA4" s="89"/>
      <c r="AB4" s="86"/>
      <c r="AC4" s="86"/>
      <c r="AD4" s="89"/>
      <c r="AE4" s="86"/>
      <c r="AF4" s="86"/>
      <c r="AG4" s="89"/>
    </row>
    <row r="5" spans="1:33" ht="15.75" thickBot="1" x14ac:dyDescent="0.3">
      <c r="A5" s="68"/>
      <c r="B5" s="68"/>
      <c r="D5" s="87"/>
      <c r="E5" s="87"/>
      <c r="F5" s="90"/>
      <c r="G5" s="87"/>
      <c r="H5" s="87"/>
      <c r="I5" s="90"/>
      <c r="J5" s="87"/>
      <c r="K5" s="87"/>
      <c r="L5" s="90"/>
      <c r="M5" s="87"/>
      <c r="N5" s="87"/>
      <c r="O5" s="90"/>
      <c r="P5" s="87"/>
      <c r="Q5" s="87"/>
      <c r="R5" s="90"/>
      <c r="S5" s="87"/>
      <c r="T5" s="87"/>
      <c r="U5" s="90"/>
      <c r="V5" s="87"/>
      <c r="W5" s="87"/>
      <c r="X5" s="90"/>
      <c r="Y5" s="87"/>
      <c r="Z5" s="87"/>
      <c r="AA5" s="90"/>
      <c r="AB5" s="87"/>
      <c r="AC5" s="87"/>
      <c r="AD5" s="90"/>
      <c r="AE5" s="87"/>
      <c r="AF5" s="87"/>
      <c r="AG5" s="90"/>
    </row>
    <row r="6" spans="1:33" ht="15.75" thickBot="1" x14ac:dyDescent="0.3">
      <c r="A6" s="68"/>
      <c r="B6" s="68"/>
      <c r="D6" s="88"/>
      <c r="E6" s="88"/>
      <c r="F6" s="91"/>
      <c r="G6" s="88"/>
      <c r="H6" s="88"/>
      <c r="I6" s="91"/>
      <c r="J6" s="88"/>
      <c r="K6" s="88"/>
      <c r="L6" s="91"/>
      <c r="M6" s="88"/>
      <c r="N6" s="88"/>
      <c r="O6" s="91"/>
      <c r="P6" s="88"/>
      <c r="Q6" s="88"/>
      <c r="R6" s="91"/>
      <c r="S6" s="88"/>
      <c r="T6" s="88"/>
      <c r="U6" s="91"/>
      <c r="V6" s="88"/>
      <c r="W6" s="88"/>
      <c r="X6" s="91"/>
      <c r="Y6" s="88"/>
      <c r="Z6" s="88"/>
      <c r="AA6" s="91"/>
      <c r="AB6" s="88"/>
      <c r="AC6" s="88"/>
      <c r="AD6" s="91"/>
      <c r="AE6" s="88"/>
      <c r="AF6" s="88"/>
      <c r="AG6" s="91"/>
    </row>
    <row r="8" spans="1:33" ht="15.75" thickBot="1" x14ac:dyDescent="0.3"/>
    <row r="9" spans="1:33" ht="15.75" thickBot="1" x14ac:dyDescent="0.3">
      <c r="A9" s="68" t="s">
        <v>246</v>
      </c>
      <c r="B9" s="68"/>
      <c r="D9" s="52" t="s">
        <v>27</v>
      </c>
      <c r="E9" s="52"/>
      <c r="F9" s="52"/>
      <c r="G9" s="73" t="s">
        <v>28</v>
      </c>
      <c r="H9" s="73"/>
      <c r="I9" s="73"/>
      <c r="J9" s="52" t="s">
        <v>29</v>
      </c>
      <c r="K9" s="52"/>
      <c r="L9" s="52"/>
      <c r="M9" s="73" t="s">
        <v>30</v>
      </c>
      <c r="N9" s="73"/>
      <c r="O9" s="73"/>
      <c r="P9" s="52" t="s">
        <v>31</v>
      </c>
      <c r="Q9" s="52"/>
      <c r="R9" s="52"/>
      <c r="S9" s="73" t="s">
        <v>32</v>
      </c>
      <c r="T9" s="73"/>
      <c r="U9" s="73"/>
      <c r="V9" s="52" t="s">
        <v>33</v>
      </c>
      <c r="W9" s="52"/>
      <c r="X9" s="52"/>
      <c r="Y9" s="73" t="s">
        <v>34</v>
      </c>
      <c r="Z9" s="73"/>
      <c r="AA9" s="73"/>
      <c r="AB9" s="52" t="s">
        <v>35</v>
      </c>
      <c r="AC9" s="52"/>
      <c r="AD9" s="52"/>
      <c r="AE9" s="73" t="s">
        <v>36</v>
      </c>
      <c r="AF9" s="73"/>
      <c r="AG9" s="73"/>
    </row>
    <row r="10" spans="1:33" ht="15.75" thickBot="1" x14ac:dyDescent="0.3">
      <c r="A10" s="68"/>
      <c r="B10" s="68"/>
      <c r="C10" s="105" t="s">
        <v>243</v>
      </c>
      <c r="D10" s="75">
        <v>0</v>
      </c>
      <c r="E10" s="75"/>
      <c r="F10" s="76"/>
      <c r="G10" s="74">
        <v>0</v>
      </c>
      <c r="H10" s="75"/>
      <c r="I10" s="76"/>
      <c r="J10" s="74">
        <v>0</v>
      </c>
      <c r="K10" s="75"/>
      <c r="L10" s="76"/>
      <c r="M10" s="74">
        <v>0</v>
      </c>
      <c r="N10" s="75"/>
      <c r="O10" s="76"/>
      <c r="P10" s="74">
        <v>0</v>
      </c>
      <c r="Q10" s="75"/>
      <c r="R10" s="76"/>
      <c r="S10" s="74">
        <v>0</v>
      </c>
      <c r="T10" s="75"/>
      <c r="U10" s="76"/>
      <c r="V10" s="74">
        <v>0</v>
      </c>
      <c r="W10" s="75"/>
      <c r="X10" s="76"/>
      <c r="Y10" s="74">
        <v>0</v>
      </c>
      <c r="Z10" s="75"/>
      <c r="AA10" s="76"/>
      <c r="AB10" s="74">
        <v>0</v>
      </c>
      <c r="AC10" s="75"/>
      <c r="AD10" s="76"/>
      <c r="AE10" s="74">
        <v>0</v>
      </c>
      <c r="AF10" s="75"/>
      <c r="AG10" s="76"/>
    </row>
    <row r="11" spans="1:33" ht="15.75" thickBot="1" x14ac:dyDescent="0.3">
      <c r="A11" s="68"/>
      <c r="B11" s="68"/>
      <c r="C11" s="106" t="s">
        <v>244</v>
      </c>
      <c r="D11" s="82">
        <v>0</v>
      </c>
      <c r="E11" s="82"/>
      <c r="F11" s="84"/>
      <c r="G11" s="85">
        <v>0</v>
      </c>
      <c r="H11" s="82"/>
      <c r="I11" s="84"/>
      <c r="J11" s="85">
        <v>0</v>
      </c>
      <c r="K11" s="82"/>
      <c r="L11" s="84"/>
      <c r="M11" s="85">
        <v>0</v>
      </c>
      <c r="N11" s="82"/>
      <c r="O11" s="82"/>
      <c r="P11" s="81">
        <v>0</v>
      </c>
      <c r="Q11" s="82"/>
      <c r="R11" s="83"/>
      <c r="S11" s="82">
        <v>0</v>
      </c>
      <c r="T11" s="82"/>
      <c r="U11" s="84"/>
      <c r="V11" s="85">
        <v>0</v>
      </c>
      <c r="W11" s="82"/>
      <c r="X11" s="84"/>
      <c r="Y11" s="85">
        <v>0</v>
      </c>
      <c r="Z11" s="82"/>
      <c r="AA11" s="84"/>
      <c r="AB11" s="85">
        <v>0</v>
      </c>
      <c r="AC11" s="82"/>
      <c r="AD11" s="84"/>
      <c r="AE11" s="85">
        <v>0</v>
      </c>
      <c r="AF11" s="82"/>
      <c r="AG11" s="84"/>
    </row>
    <row r="12" spans="1:33" ht="15.75" thickBot="1" x14ac:dyDescent="0.3">
      <c r="A12" s="68"/>
      <c r="B12" s="68"/>
      <c r="C12" s="107" t="s">
        <v>37</v>
      </c>
      <c r="D12" s="104"/>
      <c r="E12" s="86"/>
      <c r="F12" s="89"/>
      <c r="G12" s="86"/>
      <c r="H12" s="86"/>
      <c r="I12" s="89"/>
      <c r="J12" s="86"/>
      <c r="K12" s="86"/>
      <c r="L12" s="89"/>
      <c r="M12" s="86"/>
      <c r="N12" s="86"/>
      <c r="O12" s="89"/>
      <c r="P12" s="86"/>
      <c r="Q12" s="86"/>
      <c r="R12" s="89"/>
      <c r="S12" s="86"/>
      <c r="T12" s="86"/>
      <c r="U12" s="89"/>
      <c r="V12" s="86"/>
      <c r="W12" s="86"/>
      <c r="X12" s="89"/>
      <c r="Y12" s="86"/>
      <c r="Z12" s="86"/>
      <c r="AA12" s="89"/>
      <c r="AB12" s="86"/>
      <c r="AC12" s="86"/>
      <c r="AD12" s="89"/>
      <c r="AE12" s="86"/>
      <c r="AF12" s="86"/>
      <c r="AG12" s="89"/>
    </row>
    <row r="13" spans="1:33" ht="15.75" thickBot="1" x14ac:dyDescent="0.3">
      <c r="A13" s="68"/>
      <c r="B13" s="68"/>
      <c r="D13" s="87"/>
      <c r="E13" s="87"/>
      <c r="F13" s="90"/>
      <c r="G13" s="87"/>
      <c r="H13" s="87"/>
      <c r="I13" s="90"/>
      <c r="J13" s="87"/>
      <c r="K13" s="87"/>
      <c r="L13" s="90"/>
      <c r="M13" s="87"/>
      <c r="N13" s="87"/>
      <c r="O13" s="90"/>
      <c r="P13" s="87"/>
      <c r="Q13" s="87"/>
      <c r="R13" s="90"/>
      <c r="S13" s="87"/>
      <c r="T13" s="87"/>
      <c r="U13" s="90"/>
      <c r="V13" s="87"/>
      <c r="W13" s="87"/>
      <c r="X13" s="90"/>
      <c r="Y13" s="87"/>
      <c r="Z13" s="87"/>
      <c r="AA13" s="90"/>
      <c r="AB13" s="87"/>
      <c r="AC13" s="87"/>
      <c r="AD13" s="90"/>
      <c r="AE13" s="87"/>
      <c r="AF13" s="87"/>
      <c r="AG13" s="90"/>
    </row>
    <row r="14" spans="1:33" ht="15.75" thickBot="1" x14ac:dyDescent="0.3">
      <c r="A14" s="68"/>
      <c r="B14" s="68"/>
      <c r="D14" s="88"/>
      <c r="E14" s="88"/>
      <c r="F14" s="91"/>
      <c r="G14" s="88"/>
      <c r="H14" s="88"/>
      <c r="I14" s="91"/>
      <c r="J14" s="88"/>
      <c r="K14" s="88"/>
      <c r="L14" s="91"/>
      <c r="M14" s="88"/>
      <c r="N14" s="88"/>
      <c r="O14" s="91"/>
      <c r="P14" s="88"/>
      <c r="Q14" s="88"/>
      <c r="R14" s="91"/>
      <c r="S14" s="88"/>
      <c r="T14" s="88"/>
      <c r="U14" s="91"/>
      <c r="V14" s="88"/>
      <c r="W14" s="88"/>
      <c r="X14" s="91"/>
      <c r="Y14" s="88"/>
      <c r="Z14" s="88"/>
      <c r="AA14" s="91"/>
      <c r="AB14" s="88"/>
      <c r="AC14" s="88"/>
      <c r="AD14" s="91"/>
      <c r="AE14" s="88"/>
      <c r="AF14" s="88"/>
      <c r="AG14" s="91"/>
    </row>
    <row r="16" spans="1:33" ht="15.75" thickBot="1" x14ac:dyDescent="0.3"/>
    <row r="17" spans="1:33" ht="15.75" thickBot="1" x14ac:dyDescent="0.3">
      <c r="A17" s="68" t="s">
        <v>56</v>
      </c>
      <c r="B17" s="68"/>
      <c r="D17" s="52" t="s">
        <v>27</v>
      </c>
      <c r="E17" s="52"/>
      <c r="F17" s="52"/>
      <c r="G17" s="73" t="s">
        <v>28</v>
      </c>
      <c r="H17" s="73"/>
      <c r="I17" s="73"/>
      <c r="J17" s="52" t="s">
        <v>29</v>
      </c>
      <c r="K17" s="52"/>
      <c r="L17" s="52"/>
      <c r="M17" s="73" t="s">
        <v>30</v>
      </c>
      <c r="N17" s="73"/>
      <c r="O17" s="73"/>
      <c r="P17" s="52" t="s">
        <v>31</v>
      </c>
      <c r="Q17" s="52"/>
      <c r="R17" s="52"/>
      <c r="S17" s="73" t="s">
        <v>32</v>
      </c>
      <c r="T17" s="73"/>
      <c r="U17" s="73"/>
      <c r="V17" s="52" t="s">
        <v>33</v>
      </c>
      <c r="W17" s="52"/>
      <c r="X17" s="52"/>
      <c r="Y17" s="73" t="s">
        <v>34</v>
      </c>
      <c r="Z17" s="73"/>
      <c r="AA17" s="73"/>
      <c r="AB17" s="52" t="s">
        <v>35</v>
      </c>
      <c r="AC17" s="52"/>
      <c r="AD17" s="52"/>
      <c r="AE17" s="73" t="s">
        <v>36</v>
      </c>
      <c r="AF17" s="73"/>
      <c r="AG17" s="73"/>
    </row>
    <row r="18" spans="1:33" ht="15.75" thickBot="1" x14ac:dyDescent="0.3">
      <c r="A18" s="68"/>
      <c r="B18" s="68"/>
      <c r="C18" s="105" t="s">
        <v>243</v>
      </c>
      <c r="D18" s="75">
        <v>0</v>
      </c>
      <c r="E18" s="75"/>
      <c r="F18" s="76"/>
      <c r="G18" s="74">
        <v>0</v>
      </c>
      <c r="H18" s="75"/>
      <c r="I18" s="76"/>
      <c r="J18" s="74">
        <v>0</v>
      </c>
      <c r="K18" s="75"/>
      <c r="L18" s="76"/>
      <c r="M18" s="74">
        <v>0</v>
      </c>
      <c r="N18" s="75"/>
      <c r="O18" s="76"/>
      <c r="P18" s="74">
        <v>0</v>
      </c>
      <c r="Q18" s="75"/>
      <c r="R18" s="76"/>
      <c r="S18" s="74">
        <v>0</v>
      </c>
      <c r="T18" s="75"/>
      <c r="U18" s="76"/>
      <c r="V18" s="74">
        <v>0</v>
      </c>
      <c r="W18" s="75"/>
      <c r="X18" s="76"/>
      <c r="Y18" s="74">
        <v>0</v>
      </c>
      <c r="Z18" s="75"/>
      <c r="AA18" s="76"/>
      <c r="AB18" s="74">
        <v>0</v>
      </c>
      <c r="AC18" s="75"/>
      <c r="AD18" s="76"/>
      <c r="AE18" s="74">
        <v>0</v>
      </c>
      <c r="AF18" s="75"/>
      <c r="AG18" s="76"/>
    </row>
    <row r="19" spans="1:33" ht="15.75" thickBot="1" x14ac:dyDescent="0.3">
      <c r="A19" s="68"/>
      <c r="B19" s="68"/>
      <c r="C19" s="106" t="s">
        <v>244</v>
      </c>
      <c r="D19" s="82">
        <v>0</v>
      </c>
      <c r="E19" s="82"/>
      <c r="F19" s="84"/>
      <c r="G19" s="85">
        <v>0</v>
      </c>
      <c r="H19" s="82"/>
      <c r="I19" s="84"/>
      <c r="J19" s="85">
        <v>0</v>
      </c>
      <c r="K19" s="82"/>
      <c r="L19" s="84"/>
      <c r="M19" s="85">
        <v>0</v>
      </c>
      <c r="N19" s="82"/>
      <c r="O19" s="82"/>
      <c r="P19" s="81">
        <v>0</v>
      </c>
      <c r="Q19" s="82"/>
      <c r="R19" s="83"/>
      <c r="S19" s="82">
        <v>0</v>
      </c>
      <c r="T19" s="82"/>
      <c r="U19" s="84"/>
      <c r="V19" s="85">
        <v>0</v>
      </c>
      <c r="W19" s="82"/>
      <c r="X19" s="84"/>
      <c r="Y19" s="85">
        <v>0</v>
      </c>
      <c r="Z19" s="82"/>
      <c r="AA19" s="84"/>
      <c r="AB19" s="85">
        <v>0</v>
      </c>
      <c r="AC19" s="82"/>
      <c r="AD19" s="84"/>
      <c r="AE19" s="85">
        <v>0</v>
      </c>
      <c r="AF19" s="82"/>
      <c r="AG19" s="84"/>
    </row>
    <row r="20" spans="1:33" ht="15.75" thickBot="1" x14ac:dyDescent="0.3">
      <c r="A20" s="68"/>
      <c r="B20" s="68"/>
      <c r="C20" s="107" t="s">
        <v>37</v>
      </c>
      <c r="D20" s="104"/>
      <c r="E20" s="86"/>
      <c r="F20" s="89"/>
      <c r="G20" s="86"/>
      <c r="H20" s="86"/>
      <c r="I20" s="89"/>
      <c r="J20" s="86"/>
      <c r="K20" s="86"/>
      <c r="L20" s="89"/>
      <c r="M20" s="86"/>
      <c r="N20" s="86"/>
      <c r="O20" s="89"/>
      <c r="P20" s="86"/>
      <c r="Q20" s="86"/>
      <c r="R20" s="89"/>
      <c r="S20" s="86"/>
      <c r="T20" s="86"/>
      <c r="U20" s="89"/>
      <c r="V20" s="86"/>
      <c r="W20" s="86"/>
      <c r="X20" s="89"/>
      <c r="Y20" s="86"/>
      <c r="Z20" s="86"/>
      <c r="AA20" s="89"/>
      <c r="AB20" s="86"/>
      <c r="AC20" s="86"/>
      <c r="AD20" s="89"/>
      <c r="AE20" s="86"/>
      <c r="AF20" s="86"/>
      <c r="AG20" s="89"/>
    </row>
    <row r="21" spans="1:33" ht="15.75" thickBot="1" x14ac:dyDescent="0.3">
      <c r="A21" s="68"/>
      <c r="B21" s="68"/>
      <c r="D21" s="87"/>
      <c r="E21" s="87"/>
      <c r="F21" s="90"/>
      <c r="G21" s="87"/>
      <c r="H21" s="87"/>
      <c r="I21" s="90"/>
      <c r="J21" s="87"/>
      <c r="K21" s="87"/>
      <c r="L21" s="90"/>
      <c r="M21" s="87"/>
      <c r="N21" s="87"/>
      <c r="O21" s="90"/>
      <c r="P21" s="87"/>
      <c r="Q21" s="87"/>
      <c r="R21" s="90"/>
      <c r="S21" s="87"/>
      <c r="T21" s="87"/>
      <c r="U21" s="90"/>
      <c r="V21" s="87"/>
      <c r="W21" s="87"/>
      <c r="X21" s="90"/>
      <c r="Y21" s="87"/>
      <c r="Z21" s="87"/>
      <c r="AA21" s="90"/>
      <c r="AB21" s="87"/>
      <c r="AC21" s="87"/>
      <c r="AD21" s="90"/>
      <c r="AE21" s="87"/>
      <c r="AF21" s="87"/>
      <c r="AG21" s="90"/>
    </row>
    <row r="22" spans="1:33" ht="15.75" thickBot="1" x14ac:dyDescent="0.3">
      <c r="A22" s="68"/>
      <c r="B22" s="68"/>
      <c r="D22" s="88"/>
      <c r="E22" s="88"/>
      <c r="F22" s="91"/>
      <c r="G22" s="88"/>
      <c r="H22" s="88"/>
      <c r="I22" s="91"/>
      <c r="J22" s="88"/>
      <c r="K22" s="88"/>
      <c r="L22" s="91"/>
      <c r="M22" s="88"/>
      <c r="N22" s="88"/>
      <c r="O22" s="91"/>
      <c r="P22" s="88"/>
      <c r="Q22" s="88"/>
      <c r="R22" s="91"/>
      <c r="S22" s="88"/>
      <c r="T22" s="88"/>
      <c r="U22" s="91"/>
      <c r="V22" s="88"/>
      <c r="W22" s="88"/>
      <c r="X22" s="91"/>
      <c r="Y22" s="88"/>
      <c r="Z22" s="88"/>
      <c r="AA22" s="91"/>
      <c r="AB22" s="88"/>
      <c r="AC22" s="88"/>
      <c r="AD22" s="91"/>
      <c r="AE22" s="88"/>
      <c r="AF22" s="88"/>
      <c r="AG22" s="91"/>
    </row>
    <row r="24" spans="1:33" ht="15.75" thickBot="1" x14ac:dyDescent="0.3"/>
    <row r="25" spans="1:33" ht="15.75" thickBot="1" x14ac:dyDescent="0.3">
      <c r="A25" s="68" t="s">
        <v>247</v>
      </c>
      <c r="B25" s="68"/>
      <c r="D25" s="52" t="s">
        <v>27</v>
      </c>
      <c r="E25" s="52"/>
      <c r="F25" s="52"/>
      <c r="G25" s="73" t="s">
        <v>28</v>
      </c>
      <c r="H25" s="73"/>
      <c r="I25" s="73"/>
      <c r="J25" s="52" t="s">
        <v>29</v>
      </c>
      <c r="K25" s="52"/>
      <c r="L25" s="52"/>
      <c r="M25" s="73" t="s">
        <v>30</v>
      </c>
      <c r="N25" s="73"/>
      <c r="O25" s="73"/>
      <c r="P25" s="52" t="s">
        <v>31</v>
      </c>
      <c r="Q25" s="52"/>
      <c r="R25" s="52"/>
      <c r="S25" s="73" t="s">
        <v>32</v>
      </c>
      <c r="T25" s="73"/>
      <c r="U25" s="73"/>
      <c r="V25" s="52" t="s">
        <v>33</v>
      </c>
      <c r="W25" s="52"/>
      <c r="X25" s="52"/>
      <c r="Y25" s="73" t="s">
        <v>34</v>
      </c>
      <c r="Z25" s="73"/>
      <c r="AA25" s="73"/>
      <c r="AB25" s="52" t="s">
        <v>35</v>
      </c>
      <c r="AC25" s="52"/>
      <c r="AD25" s="52"/>
      <c r="AE25" s="73" t="s">
        <v>36</v>
      </c>
      <c r="AF25" s="73"/>
      <c r="AG25" s="73"/>
    </row>
    <row r="26" spans="1:33" ht="15.75" thickBot="1" x14ac:dyDescent="0.3">
      <c r="A26" s="68"/>
      <c r="B26" s="68"/>
      <c r="C26" s="105" t="s">
        <v>243</v>
      </c>
      <c r="D26" s="75">
        <v>0</v>
      </c>
      <c r="E26" s="75"/>
      <c r="F26" s="76"/>
      <c r="G26" s="74">
        <v>0</v>
      </c>
      <c r="H26" s="75"/>
      <c r="I26" s="76"/>
      <c r="J26" s="74">
        <v>0</v>
      </c>
      <c r="K26" s="75"/>
      <c r="L26" s="76"/>
      <c r="M26" s="74">
        <v>0</v>
      </c>
      <c r="N26" s="75"/>
      <c r="O26" s="76"/>
      <c r="P26" s="74">
        <v>0</v>
      </c>
      <c r="Q26" s="75"/>
      <c r="R26" s="76"/>
      <c r="S26" s="74">
        <v>0</v>
      </c>
      <c r="T26" s="75"/>
      <c r="U26" s="76"/>
      <c r="V26" s="74">
        <v>0</v>
      </c>
      <c r="W26" s="75"/>
      <c r="X26" s="76"/>
      <c r="Y26" s="74">
        <v>0</v>
      </c>
      <c r="Z26" s="75"/>
      <c r="AA26" s="76"/>
      <c r="AB26" s="74">
        <v>0</v>
      </c>
      <c r="AC26" s="75"/>
      <c r="AD26" s="76"/>
      <c r="AE26" s="74">
        <v>0</v>
      </c>
      <c r="AF26" s="75"/>
      <c r="AG26" s="76"/>
    </row>
    <row r="27" spans="1:33" ht="15.75" thickBot="1" x14ac:dyDescent="0.3">
      <c r="A27" s="68"/>
      <c r="B27" s="68"/>
      <c r="C27" s="106" t="s">
        <v>244</v>
      </c>
      <c r="D27" s="82">
        <v>0</v>
      </c>
      <c r="E27" s="82"/>
      <c r="F27" s="84"/>
      <c r="G27" s="85">
        <v>0</v>
      </c>
      <c r="H27" s="82"/>
      <c r="I27" s="84"/>
      <c r="J27" s="85">
        <v>0</v>
      </c>
      <c r="K27" s="82"/>
      <c r="L27" s="84"/>
      <c r="M27" s="85">
        <v>0</v>
      </c>
      <c r="N27" s="82"/>
      <c r="O27" s="82"/>
      <c r="P27" s="81">
        <v>0</v>
      </c>
      <c r="Q27" s="82"/>
      <c r="R27" s="83"/>
      <c r="S27" s="82">
        <v>0</v>
      </c>
      <c r="T27" s="82"/>
      <c r="U27" s="84"/>
      <c r="V27" s="85">
        <v>0</v>
      </c>
      <c r="W27" s="82"/>
      <c r="X27" s="84"/>
      <c r="Y27" s="85">
        <v>0</v>
      </c>
      <c r="Z27" s="82"/>
      <c r="AA27" s="84"/>
      <c r="AB27" s="85">
        <v>0</v>
      </c>
      <c r="AC27" s="82"/>
      <c r="AD27" s="84"/>
      <c r="AE27" s="85">
        <v>0</v>
      </c>
      <c r="AF27" s="82"/>
      <c r="AG27" s="84"/>
    </row>
    <row r="28" spans="1:33" ht="15.75" thickBot="1" x14ac:dyDescent="0.3">
      <c r="A28" s="68"/>
      <c r="B28" s="68"/>
      <c r="C28" s="107" t="s">
        <v>37</v>
      </c>
      <c r="D28" s="104"/>
      <c r="E28" s="86"/>
      <c r="F28" s="89"/>
      <c r="G28" s="86"/>
      <c r="H28" s="86"/>
      <c r="I28" s="89"/>
      <c r="J28" s="86"/>
      <c r="K28" s="86"/>
      <c r="L28" s="89"/>
      <c r="M28" s="86"/>
      <c r="N28" s="86"/>
      <c r="O28" s="89"/>
      <c r="P28" s="86"/>
      <c r="Q28" s="86"/>
      <c r="R28" s="89"/>
      <c r="S28" s="86"/>
      <c r="T28" s="86"/>
      <c r="U28" s="89"/>
      <c r="V28" s="86"/>
      <c r="W28" s="86"/>
      <c r="X28" s="89"/>
      <c r="Y28" s="86"/>
      <c r="Z28" s="86"/>
      <c r="AA28" s="89"/>
      <c r="AB28" s="86"/>
      <c r="AC28" s="86"/>
      <c r="AD28" s="89"/>
      <c r="AE28" s="86"/>
      <c r="AF28" s="86"/>
      <c r="AG28" s="89"/>
    </row>
    <row r="29" spans="1:33" ht="15.75" thickBot="1" x14ac:dyDescent="0.3">
      <c r="A29" s="68"/>
      <c r="B29" s="68"/>
      <c r="D29" s="87"/>
      <c r="E29" s="87"/>
      <c r="F29" s="90"/>
      <c r="G29" s="87"/>
      <c r="H29" s="87"/>
      <c r="I29" s="90"/>
      <c r="J29" s="87"/>
      <c r="K29" s="87"/>
      <c r="L29" s="90"/>
      <c r="M29" s="87"/>
      <c r="N29" s="87"/>
      <c r="O29" s="90"/>
      <c r="P29" s="87"/>
      <c r="Q29" s="87"/>
      <c r="R29" s="90"/>
      <c r="S29" s="87"/>
      <c r="T29" s="87"/>
      <c r="U29" s="90"/>
      <c r="V29" s="87"/>
      <c r="W29" s="87"/>
      <c r="X29" s="90"/>
      <c r="Y29" s="87"/>
      <c r="Z29" s="87"/>
      <c r="AA29" s="90"/>
      <c r="AB29" s="87"/>
      <c r="AC29" s="87"/>
      <c r="AD29" s="90"/>
      <c r="AE29" s="87"/>
      <c r="AF29" s="87"/>
      <c r="AG29" s="90"/>
    </row>
    <row r="30" spans="1:33" ht="15.75" thickBot="1" x14ac:dyDescent="0.3">
      <c r="A30" s="68"/>
      <c r="B30" s="68"/>
      <c r="D30" s="88"/>
      <c r="E30" s="88"/>
      <c r="F30" s="91"/>
      <c r="G30" s="88"/>
      <c r="H30" s="88"/>
      <c r="I30" s="91"/>
      <c r="J30" s="88"/>
      <c r="K30" s="88"/>
      <c r="L30" s="91"/>
      <c r="M30" s="88"/>
      <c r="N30" s="88"/>
      <c r="O30" s="91"/>
      <c r="P30" s="88"/>
      <c r="Q30" s="88"/>
      <c r="R30" s="91"/>
      <c r="S30" s="88"/>
      <c r="T30" s="88"/>
      <c r="U30" s="91"/>
      <c r="V30" s="88"/>
      <c r="W30" s="88"/>
      <c r="X30" s="91"/>
      <c r="Y30" s="88"/>
      <c r="Z30" s="88"/>
      <c r="AA30" s="91"/>
      <c r="AB30" s="88"/>
      <c r="AC30" s="88"/>
      <c r="AD30" s="91"/>
      <c r="AE30" s="88"/>
      <c r="AF30" s="88"/>
      <c r="AG30" s="91"/>
    </row>
    <row r="32" spans="1:33" ht="15.75" thickBot="1" x14ac:dyDescent="0.3"/>
    <row r="33" spans="1:33" ht="15.75" thickBot="1" x14ac:dyDescent="0.3">
      <c r="A33" s="68" t="s">
        <v>248</v>
      </c>
      <c r="B33" s="68"/>
      <c r="D33" s="52" t="s">
        <v>27</v>
      </c>
      <c r="E33" s="52"/>
      <c r="F33" s="52"/>
      <c r="G33" s="73" t="s">
        <v>28</v>
      </c>
      <c r="H33" s="73"/>
      <c r="I33" s="73"/>
      <c r="J33" s="52" t="s">
        <v>29</v>
      </c>
      <c r="K33" s="52"/>
      <c r="L33" s="52"/>
      <c r="M33" s="73" t="s">
        <v>30</v>
      </c>
      <c r="N33" s="73"/>
      <c r="O33" s="73"/>
      <c r="P33" s="52" t="s">
        <v>31</v>
      </c>
      <c r="Q33" s="52"/>
      <c r="R33" s="52"/>
      <c r="S33" s="73" t="s">
        <v>32</v>
      </c>
      <c r="T33" s="73"/>
      <c r="U33" s="73"/>
      <c r="V33" s="52" t="s">
        <v>33</v>
      </c>
      <c r="W33" s="52"/>
      <c r="X33" s="52"/>
      <c r="Y33" s="73" t="s">
        <v>34</v>
      </c>
      <c r="Z33" s="73"/>
      <c r="AA33" s="73"/>
      <c r="AB33" s="52" t="s">
        <v>35</v>
      </c>
      <c r="AC33" s="52"/>
      <c r="AD33" s="52"/>
      <c r="AE33" s="73" t="s">
        <v>36</v>
      </c>
      <c r="AF33" s="73"/>
      <c r="AG33" s="73"/>
    </row>
    <row r="34" spans="1:33" ht="15.75" thickBot="1" x14ac:dyDescent="0.3">
      <c r="A34" s="68"/>
      <c r="B34" s="68"/>
      <c r="C34" s="105" t="s">
        <v>243</v>
      </c>
      <c r="D34" s="75">
        <v>0</v>
      </c>
      <c r="E34" s="75"/>
      <c r="F34" s="76"/>
      <c r="G34" s="74">
        <v>0</v>
      </c>
      <c r="H34" s="75"/>
      <c r="I34" s="76"/>
      <c r="J34" s="74">
        <v>0</v>
      </c>
      <c r="K34" s="75"/>
      <c r="L34" s="76"/>
      <c r="M34" s="74">
        <v>0</v>
      </c>
      <c r="N34" s="75"/>
      <c r="O34" s="76"/>
      <c r="P34" s="74">
        <v>0</v>
      </c>
      <c r="Q34" s="75"/>
      <c r="R34" s="76"/>
      <c r="S34" s="74">
        <v>0</v>
      </c>
      <c r="T34" s="75"/>
      <c r="U34" s="76"/>
      <c r="V34" s="74">
        <v>0</v>
      </c>
      <c r="W34" s="75"/>
      <c r="X34" s="76"/>
      <c r="Y34" s="74">
        <v>0</v>
      </c>
      <c r="Z34" s="75"/>
      <c r="AA34" s="76"/>
      <c r="AB34" s="74">
        <v>0</v>
      </c>
      <c r="AC34" s="75"/>
      <c r="AD34" s="76"/>
      <c r="AE34" s="74">
        <v>0</v>
      </c>
      <c r="AF34" s="75"/>
      <c r="AG34" s="76"/>
    </row>
    <row r="35" spans="1:33" ht="15.75" thickBot="1" x14ac:dyDescent="0.3">
      <c r="A35" s="68"/>
      <c r="B35" s="68"/>
      <c r="C35" s="106" t="s">
        <v>244</v>
      </c>
      <c r="D35" s="82">
        <v>0</v>
      </c>
      <c r="E35" s="82"/>
      <c r="F35" s="84"/>
      <c r="G35" s="85">
        <v>0</v>
      </c>
      <c r="H35" s="82"/>
      <c r="I35" s="84"/>
      <c r="J35" s="85">
        <v>0</v>
      </c>
      <c r="K35" s="82"/>
      <c r="L35" s="84"/>
      <c r="M35" s="85">
        <v>0</v>
      </c>
      <c r="N35" s="82"/>
      <c r="O35" s="82"/>
      <c r="P35" s="81">
        <v>0</v>
      </c>
      <c r="Q35" s="82"/>
      <c r="R35" s="83"/>
      <c r="S35" s="82">
        <v>0</v>
      </c>
      <c r="T35" s="82"/>
      <c r="U35" s="84"/>
      <c r="V35" s="85">
        <v>0</v>
      </c>
      <c r="W35" s="82"/>
      <c r="X35" s="84"/>
      <c r="Y35" s="85">
        <v>0</v>
      </c>
      <c r="Z35" s="82"/>
      <c r="AA35" s="84"/>
      <c r="AB35" s="85">
        <v>0</v>
      </c>
      <c r="AC35" s="82"/>
      <c r="AD35" s="84"/>
      <c r="AE35" s="85">
        <v>0</v>
      </c>
      <c r="AF35" s="82"/>
      <c r="AG35" s="84"/>
    </row>
    <row r="36" spans="1:33" ht="15.75" thickBot="1" x14ac:dyDescent="0.3">
      <c r="A36" s="68"/>
      <c r="B36" s="68"/>
      <c r="C36" s="107" t="s">
        <v>37</v>
      </c>
      <c r="D36" s="104"/>
      <c r="E36" s="86"/>
      <c r="F36" s="89"/>
      <c r="G36" s="86"/>
      <c r="H36" s="86"/>
      <c r="I36" s="89"/>
      <c r="J36" s="86"/>
      <c r="K36" s="86"/>
      <c r="L36" s="89"/>
      <c r="M36" s="86"/>
      <c r="N36" s="86"/>
      <c r="O36" s="89"/>
      <c r="P36" s="86"/>
      <c r="Q36" s="86"/>
      <c r="R36" s="89"/>
      <c r="S36" s="86"/>
      <c r="T36" s="86"/>
      <c r="U36" s="89"/>
      <c r="V36" s="86"/>
      <c r="W36" s="86"/>
      <c r="X36" s="89"/>
      <c r="Y36" s="86"/>
      <c r="Z36" s="86"/>
      <c r="AA36" s="89"/>
      <c r="AB36" s="86"/>
      <c r="AC36" s="86"/>
      <c r="AD36" s="89"/>
      <c r="AE36" s="86"/>
      <c r="AF36" s="86"/>
      <c r="AG36" s="89"/>
    </row>
    <row r="37" spans="1:33" ht="15.75" thickBot="1" x14ac:dyDescent="0.3">
      <c r="A37" s="68"/>
      <c r="B37" s="68"/>
      <c r="D37" s="87"/>
      <c r="E37" s="87"/>
      <c r="F37" s="90"/>
      <c r="G37" s="87"/>
      <c r="H37" s="87"/>
      <c r="I37" s="90"/>
      <c r="J37" s="87"/>
      <c r="K37" s="87"/>
      <c r="L37" s="90"/>
      <c r="M37" s="87"/>
      <c r="N37" s="87"/>
      <c r="O37" s="90"/>
      <c r="P37" s="87"/>
      <c r="Q37" s="87"/>
      <c r="R37" s="90"/>
      <c r="S37" s="87"/>
      <c r="T37" s="87"/>
      <c r="U37" s="90"/>
      <c r="V37" s="87"/>
      <c r="W37" s="87"/>
      <c r="X37" s="90"/>
      <c r="Y37" s="87"/>
      <c r="Z37" s="87"/>
      <c r="AA37" s="90"/>
      <c r="AB37" s="87"/>
      <c r="AC37" s="87"/>
      <c r="AD37" s="90"/>
      <c r="AE37" s="87"/>
      <c r="AF37" s="87"/>
      <c r="AG37" s="90"/>
    </row>
    <row r="38" spans="1:33" ht="15.75" thickBot="1" x14ac:dyDescent="0.3">
      <c r="A38" s="68"/>
      <c r="B38" s="68"/>
      <c r="D38" s="88"/>
      <c r="E38" s="88"/>
      <c r="F38" s="91"/>
      <c r="G38" s="88"/>
      <c r="H38" s="88"/>
      <c r="I38" s="91"/>
      <c r="J38" s="88"/>
      <c r="K38" s="88"/>
      <c r="L38" s="91"/>
      <c r="M38" s="88"/>
      <c r="N38" s="88"/>
      <c r="O38" s="91"/>
      <c r="P38" s="88"/>
      <c r="Q38" s="88"/>
      <c r="R38" s="91"/>
      <c r="S38" s="88"/>
      <c r="T38" s="88"/>
      <c r="U38" s="91"/>
      <c r="V38" s="88"/>
      <c r="W38" s="88"/>
      <c r="X38" s="91"/>
      <c r="Y38" s="88"/>
      <c r="Z38" s="88"/>
      <c r="AA38" s="91"/>
      <c r="AB38" s="88"/>
      <c r="AC38" s="88"/>
      <c r="AD38" s="91"/>
      <c r="AE38" s="88"/>
      <c r="AF38" s="88"/>
      <c r="AG38" s="91"/>
    </row>
    <row r="40" spans="1:33" ht="15.75" thickBot="1" x14ac:dyDescent="0.3"/>
    <row r="41" spans="1:33" ht="15.75" thickBot="1" x14ac:dyDescent="0.3">
      <c r="A41" s="68" t="s">
        <v>249</v>
      </c>
      <c r="B41" s="68"/>
      <c r="D41" s="52" t="s">
        <v>27</v>
      </c>
      <c r="E41" s="52"/>
      <c r="F41" s="52"/>
      <c r="G41" s="73" t="s">
        <v>28</v>
      </c>
      <c r="H41" s="73"/>
      <c r="I41" s="73"/>
      <c r="J41" s="52" t="s">
        <v>29</v>
      </c>
      <c r="K41" s="52"/>
      <c r="L41" s="52"/>
      <c r="M41" s="73" t="s">
        <v>30</v>
      </c>
      <c r="N41" s="73"/>
      <c r="O41" s="73"/>
      <c r="P41" s="52" t="s">
        <v>31</v>
      </c>
      <c r="Q41" s="52"/>
      <c r="R41" s="52"/>
      <c r="S41" s="73" t="s">
        <v>32</v>
      </c>
      <c r="T41" s="73"/>
      <c r="U41" s="73"/>
      <c r="V41" s="52" t="s">
        <v>33</v>
      </c>
      <c r="W41" s="52"/>
      <c r="X41" s="52"/>
      <c r="Y41" s="73" t="s">
        <v>34</v>
      </c>
      <c r="Z41" s="73"/>
      <c r="AA41" s="73"/>
      <c r="AB41" s="52" t="s">
        <v>35</v>
      </c>
      <c r="AC41" s="52"/>
      <c r="AD41" s="52"/>
      <c r="AE41" s="73" t="s">
        <v>36</v>
      </c>
      <c r="AF41" s="73"/>
      <c r="AG41" s="73"/>
    </row>
    <row r="42" spans="1:33" ht="15.75" thickBot="1" x14ac:dyDescent="0.3">
      <c r="A42" s="68"/>
      <c r="B42" s="68"/>
      <c r="C42" s="105" t="s">
        <v>243</v>
      </c>
      <c r="D42" s="75">
        <v>0</v>
      </c>
      <c r="E42" s="75"/>
      <c r="F42" s="76"/>
      <c r="G42" s="74">
        <v>0</v>
      </c>
      <c r="H42" s="75"/>
      <c r="I42" s="76"/>
      <c r="J42" s="74">
        <v>0</v>
      </c>
      <c r="K42" s="75"/>
      <c r="L42" s="76"/>
      <c r="M42" s="74">
        <v>0</v>
      </c>
      <c r="N42" s="75"/>
      <c r="O42" s="76"/>
      <c r="P42" s="74">
        <v>0</v>
      </c>
      <c r="Q42" s="75"/>
      <c r="R42" s="76"/>
      <c r="S42" s="74">
        <v>0</v>
      </c>
      <c r="T42" s="75"/>
      <c r="U42" s="76"/>
      <c r="V42" s="74">
        <v>0</v>
      </c>
      <c r="W42" s="75"/>
      <c r="X42" s="76"/>
      <c r="Y42" s="74">
        <v>0</v>
      </c>
      <c r="Z42" s="75"/>
      <c r="AA42" s="76"/>
      <c r="AB42" s="74">
        <v>0</v>
      </c>
      <c r="AC42" s="75"/>
      <c r="AD42" s="76"/>
      <c r="AE42" s="74">
        <v>0</v>
      </c>
      <c r="AF42" s="75"/>
      <c r="AG42" s="76"/>
    </row>
    <row r="43" spans="1:33" ht="15.75" thickBot="1" x14ac:dyDescent="0.3">
      <c r="A43" s="68"/>
      <c r="B43" s="68"/>
      <c r="C43" s="106" t="s">
        <v>244</v>
      </c>
      <c r="D43" s="82">
        <v>0</v>
      </c>
      <c r="E43" s="82"/>
      <c r="F43" s="84"/>
      <c r="G43" s="85">
        <v>0</v>
      </c>
      <c r="H43" s="82"/>
      <c r="I43" s="84"/>
      <c r="J43" s="85">
        <v>0</v>
      </c>
      <c r="K43" s="82"/>
      <c r="L43" s="84"/>
      <c r="M43" s="85">
        <v>0</v>
      </c>
      <c r="N43" s="82"/>
      <c r="O43" s="82"/>
      <c r="P43" s="81">
        <v>0</v>
      </c>
      <c r="Q43" s="82"/>
      <c r="R43" s="83"/>
      <c r="S43" s="82">
        <v>0</v>
      </c>
      <c r="T43" s="82"/>
      <c r="U43" s="84"/>
      <c r="V43" s="85">
        <v>0</v>
      </c>
      <c r="W43" s="82"/>
      <c r="X43" s="84"/>
      <c r="Y43" s="85">
        <v>0</v>
      </c>
      <c r="Z43" s="82"/>
      <c r="AA43" s="84"/>
      <c r="AB43" s="85">
        <v>0</v>
      </c>
      <c r="AC43" s="82"/>
      <c r="AD43" s="84"/>
      <c r="AE43" s="85">
        <v>0</v>
      </c>
      <c r="AF43" s="82"/>
      <c r="AG43" s="84"/>
    </row>
    <row r="44" spans="1:33" ht="15.75" thickBot="1" x14ac:dyDescent="0.3">
      <c r="A44" s="68"/>
      <c r="B44" s="68"/>
      <c r="C44" s="107" t="s">
        <v>37</v>
      </c>
      <c r="D44" s="104"/>
      <c r="E44" s="86"/>
      <c r="F44" s="89"/>
      <c r="G44" s="86"/>
      <c r="H44" s="86"/>
      <c r="I44" s="89"/>
      <c r="J44" s="86"/>
      <c r="K44" s="86"/>
      <c r="L44" s="89"/>
      <c r="M44" s="86"/>
      <c r="N44" s="86"/>
      <c r="O44" s="89"/>
      <c r="P44" s="86"/>
      <c r="Q44" s="86"/>
      <c r="R44" s="89"/>
      <c r="S44" s="86"/>
      <c r="T44" s="86"/>
      <c r="U44" s="89"/>
      <c r="V44" s="86"/>
      <c r="W44" s="86"/>
      <c r="X44" s="89"/>
      <c r="Y44" s="86"/>
      <c r="Z44" s="86"/>
      <c r="AA44" s="89"/>
      <c r="AB44" s="86"/>
      <c r="AC44" s="86"/>
      <c r="AD44" s="89"/>
      <c r="AE44" s="86"/>
      <c r="AF44" s="86"/>
      <c r="AG44" s="89"/>
    </row>
    <row r="45" spans="1:33" ht="15.75" thickBot="1" x14ac:dyDescent="0.3">
      <c r="A45" s="68"/>
      <c r="B45" s="68"/>
      <c r="D45" s="87"/>
      <c r="E45" s="87"/>
      <c r="F45" s="90"/>
      <c r="G45" s="87"/>
      <c r="H45" s="87"/>
      <c r="I45" s="90"/>
      <c r="J45" s="87"/>
      <c r="K45" s="87"/>
      <c r="L45" s="90"/>
      <c r="M45" s="87"/>
      <c r="N45" s="87"/>
      <c r="O45" s="90"/>
      <c r="P45" s="87"/>
      <c r="Q45" s="87"/>
      <c r="R45" s="90"/>
      <c r="S45" s="87"/>
      <c r="T45" s="87"/>
      <c r="U45" s="90"/>
      <c r="V45" s="87"/>
      <c r="W45" s="87"/>
      <c r="X45" s="90"/>
      <c r="Y45" s="87"/>
      <c r="Z45" s="87"/>
      <c r="AA45" s="90"/>
      <c r="AB45" s="87"/>
      <c r="AC45" s="87"/>
      <c r="AD45" s="90"/>
      <c r="AE45" s="87"/>
      <c r="AF45" s="87"/>
      <c r="AG45" s="90"/>
    </row>
    <row r="46" spans="1:33" ht="15.75" thickBot="1" x14ac:dyDescent="0.3">
      <c r="A46" s="68"/>
      <c r="B46" s="68"/>
      <c r="D46" s="88"/>
      <c r="E46" s="88"/>
      <c r="F46" s="91"/>
      <c r="G46" s="88"/>
      <c r="H46" s="88"/>
      <c r="I46" s="91"/>
      <c r="J46" s="88"/>
      <c r="K46" s="88"/>
      <c r="L46" s="91"/>
      <c r="M46" s="88"/>
      <c r="N46" s="88"/>
      <c r="O46" s="91"/>
      <c r="P46" s="88"/>
      <c r="Q46" s="88"/>
      <c r="R46" s="91"/>
      <c r="S46" s="88"/>
      <c r="T46" s="88"/>
      <c r="U46" s="91"/>
      <c r="V46" s="88"/>
      <c r="W46" s="88"/>
      <c r="X46" s="91"/>
      <c r="Y46" s="88"/>
      <c r="Z46" s="88"/>
      <c r="AA46" s="91"/>
      <c r="AB46" s="88"/>
      <c r="AC46" s="88"/>
      <c r="AD46" s="91"/>
      <c r="AE46" s="88"/>
      <c r="AF46" s="88"/>
      <c r="AG46" s="91"/>
    </row>
    <row r="48" spans="1:33" ht="15.75" thickBot="1" x14ac:dyDescent="0.3"/>
    <row r="49" spans="1:33" ht="15.75" thickBot="1" x14ac:dyDescent="0.3">
      <c r="A49" s="68" t="s">
        <v>26</v>
      </c>
      <c r="B49" s="68"/>
      <c r="D49" s="52" t="s">
        <v>27</v>
      </c>
      <c r="E49" s="52"/>
      <c r="F49" s="52"/>
      <c r="G49" s="73" t="s">
        <v>28</v>
      </c>
      <c r="H49" s="73"/>
      <c r="I49" s="73"/>
      <c r="J49" s="52" t="s">
        <v>29</v>
      </c>
      <c r="K49" s="52"/>
      <c r="L49" s="52"/>
      <c r="M49" s="73" t="s">
        <v>30</v>
      </c>
      <c r="N49" s="73"/>
      <c r="O49" s="73"/>
      <c r="P49" s="52" t="s">
        <v>31</v>
      </c>
      <c r="Q49" s="52"/>
      <c r="R49" s="52"/>
      <c r="S49" s="73" t="s">
        <v>32</v>
      </c>
      <c r="T49" s="73"/>
      <c r="U49" s="73"/>
      <c r="V49" s="52" t="s">
        <v>33</v>
      </c>
      <c r="W49" s="52"/>
      <c r="X49" s="52"/>
      <c r="Y49" s="73" t="s">
        <v>34</v>
      </c>
      <c r="Z49" s="73"/>
      <c r="AA49" s="73"/>
      <c r="AB49" s="52" t="s">
        <v>35</v>
      </c>
      <c r="AC49" s="52"/>
      <c r="AD49" s="52"/>
      <c r="AE49" s="73" t="s">
        <v>36</v>
      </c>
      <c r="AF49" s="73"/>
      <c r="AG49" s="73"/>
    </row>
    <row r="50" spans="1:33" ht="15.75" thickBot="1" x14ac:dyDescent="0.3">
      <c r="A50" s="68"/>
      <c r="B50" s="68"/>
      <c r="C50" s="105" t="s">
        <v>243</v>
      </c>
      <c r="D50" s="75">
        <v>0</v>
      </c>
      <c r="E50" s="75"/>
      <c r="F50" s="76"/>
      <c r="G50" s="74">
        <v>0</v>
      </c>
      <c r="H50" s="75"/>
      <c r="I50" s="76"/>
      <c r="J50" s="74">
        <v>0</v>
      </c>
      <c r="K50" s="75"/>
      <c r="L50" s="76"/>
      <c r="M50" s="74">
        <v>0</v>
      </c>
      <c r="N50" s="75"/>
      <c r="O50" s="76"/>
      <c r="P50" s="74">
        <v>0</v>
      </c>
      <c r="Q50" s="75"/>
      <c r="R50" s="76"/>
      <c r="S50" s="74">
        <v>0</v>
      </c>
      <c r="T50" s="75"/>
      <c r="U50" s="76"/>
      <c r="V50" s="74">
        <v>0</v>
      </c>
      <c r="W50" s="75"/>
      <c r="X50" s="76"/>
      <c r="Y50" s="74">
        <v>0</v>
      </c>
      <c r="Z50" s="75"/>
      <c r="AA50" s="76"/>
      <c r="AB50" s="74">
        <v>0</v>
      </c>
      <c r="AC50" s="75"/>
      <c r="AD50" s="76"/>
      <c r="AE50" s="74">
        <v>0</v>
      </c>
      <c r="AF50" s="75"/>
      <c r="AG50" s="76"/>
    </row>
    <row r="51" spans="1:33" ht="15.75" thickBot="1" x14ac:dyDescent="0.3">
      <c r="A51" s="68"/>
      <c r="B51" s="68"/>
      <c r="C51" s="106" t="s">
        <v>244</v>
      </c>
      <c r="D51" s="82">
        <v>0</v>
      </c>
      <c r="E51" s="82"/>
      <c r="F51" s="84"/>
      <c r="G51" s="85">
        <v>0</v>
      </c>
      <c r="H51" s="82"/>
      <c r="I51" s="84"/>
      <c r="J51" s="85">
        <v>0</v>
      </c>
      <c r="K51" s="82"/>
      <c r="L51" s="84"/>
      <c r="M51" s="85">
        <v>0</v>
      </c>
      <c r="N51" s="82"/>
      <c r="O51" s="82"/>
      <c r="P51" s="81">
        <v>0</v>
      </c>
      <c r="Q51" s="82"/>
      <c r="R51" s="83"/>
      <c r="S51" s="82">
        <v>0</v>
      </c>
      <c r="T51" s="82"/>
      <c r="U51" s="84"/>
      <c r="V51" s="85">
        <v>0</v>
      </c>
      <c r="W51" s="82"/>
      <c r="X51" s="84"/>
      <c r="Y51" s="85">
        <v>0</v>
      </c>
      <c r="Z51" s="82"/>
      <c r="AA51" s="84"/>
      <c r="AB51" s="85">
        <v>0</v>
      </c>
      <c r="AC51" s="82"/>
      <c r="AD51" s="84"/>
      <c r="AE51" s="85">
        <v>0</v>
      </c>
      <c r="AF51" s="82"/>
      <c r="AG51" s="84"/>
    </row>
    <row r="52" spans="1:33" ht="15.75" thickBot="1" x14ac:dyDescent="0.3">
      <c r="A52" s="68"/>
      <c r="B52" s="68"/>
      <c r="C52" s="107" t="s">
        <v>37</v>
      </c>
      <c r="D52" s="104"/>
      <c r="E52" s="86"/>
      <c r="F52" s="89"/>
      <c r="G52" s="86"/>
      <c r="H52" s="86"/>
      <c r="I52" s="89"/>
      <c r="J52" s="86"/>
      <c r="K52" s="86"/>
      <c r="L52" s="89"/>
      <c r="M52" s="86"/>
      <c r="N52" s="86"/>
      <c r="O52" s="89"/>
      <c r="P52" s="86"/>
      <c r="Q52" s="86"/>
      <c r="R52" s="89"/>
      <c r="S52" s="86"/>
      <c r="T52" s="86"/>
      <c r="U52" s="89"/>
      <c r="V52" s="86"/>
      <c r="W52" s="86"/>
      <c r="X52" s="89"/>
      <c r="Y52" s="86"/>
      <c r="Z52" s="86"/>
      <c r="AA52" s="89"/>
      <c r="AB52" s="86"/>
      <c r="AC52" s="86"/>
      <c r="AD52" s="89"/>
      <c r="AE52" s="86"/>
      <c r="AF52" s="86"/>
      <c r="AG52" s="89"/>
    </row>
    <row r="53" spans="1:33" ht="15.75" thickBot="1" x14ac:dyDescent="0.3">
      <c r="A53" s="68"/>
      <c r="B53" s="68"/>
      <c r="D53" s="87"/>
      <c r="E53" s="87"/>
      <c r="F53" s="90"/>
      <c r="G53" s="87"/>
      <c r="H53" s="87"/>
      <c r="I53" s="90"/>
      <c r="J53" s="87"/>
      <c r="K53" s="87"/>
      <c r="L53" s="90"/>
      <c r="M53" s="87"/>
      <c r="N53" s="87"/>
      <c r="O53" s="90"/>
      <c r="P53" s="87"/>
      <c r="Q53" s="87"/>
      <c r="R53" s="90"/>
      <c r="S53" s="87"/>
      <c r="T53" s="87"/>
      <c r="U53" s="90"/>
      <c r="V53" s="87"/>
      <c r="W53" s="87"/>
      <c r="X53" s="90"/>
      <c r="Y53" s="87"/>
      <c r="Z53" s="87"/>
      <c r="AA53" s="90"/>
      <c r="AB53" s="87"/>
      <c r="AC53" s="87"/>
      <c r="AD53" s="90"/>
      <c r="AE53" s="87"/>
      <c r="AF53" s="87"/>
      <c r="AG53" s="90"/>
    </row>
    <row r="54" spans="1:33" ht="15.75" thickBot="1" x14ac:dyDescent="0.3">
      <c r="A54" s="68"/>
      <c r="B54" s="68"/>
      <c r="D54" s="88"/>
      <c r="E54" s="88"/>
      <c r="F54" s="91"/>
      <c r="G54" s="88"/>
      <c r="H54" s="88"/>
      <c r="I54" s="91"/>
      <c r="J54" s="88"/>
      <c r="K54" s="88"/>
      <c r="L54" s="91"/>
      <c r="M54" s="88"/>
      <c r="N54" s="88"/>
      <c r="O54" s="91"/>
      <c r="P54" s="88"/>
      <c r="Q54" s="88"/>
      <c r="R54" s="91"/>
      <c r="S54" s="88"/>
      <c r="T54" s="88"/>
      <c r="U54" s="91"/>
      <c r="V54" s="88"/>
      <c r="W54" s="88"/>
      <c r="X54" s="91"/>
      <c r="Y54" s="88"/>
      <c r="Z54" s="88"/>
      <c r="AA54" s="91"/>
      <c r="AB54" s="88"/>
      <c r="AC54" s="88"/>
      <c r="AD54" s="91"/>
      <c r="AE54" s="88"/>
      <c r="AF54" s="88"/>
      <c r="AG54" s="91"/>
    </row>
    <row r="56" spans="1:33" ht="15.75" thickBot="1" x14ac:dyDescent="0.3"/>
    <row r="57" spans="1:33" ht="15.75" thickBot="1" x14ac:dyDescent="0.3">
      <c r="A57" s="68" t="s">
        <v>77</v>
      </c>
      <c r="B57" s="68"/>
      <c r="D57" s="52" t="s">
        <v>27</v>
      </c>
      <c r="E57" s="52"/>
      <c r="F57" s="52"/>
      <c r="G57" s="73" t="s">
        <v>28</v>
      </c>
      <c r="H57" s="73"/>
      <c r="I57" s="73"/>
      <c r="J57" s="52" t="s">
        <v>29</v>
      </c>
      <c r="K57" s="52"/>
      <c r="L57" s="52"/>
      <c r="M57" s="73" t="s">
        <v>30</v>
      </c>
      <c r="N57" s="73"/>
      <c r="O57" s="73"/>
      <c r="P57" s="52" t="s">
        <v>31</v>
      </c>
      <c r="Q57" s="52"/>
      <c r="R57" s="52"/>
      <c r="S57" s="73" t="s">
        <v>32</v>
      </c>
      <c r="T57" s="73"/>
      <c r="U57" s="73"/>
      <c r="V57" s="52" t="s">
        <v>33</v>
      </c>
      <c r="W57" s="52"/>
      <c r="X57" s="52"/>
      <c r="Y57" s="73" t="s">
        <v>34</v>
      </c>
      <c r="Z57" s="73"/>
      <c r="AA57" s="73"/>
      <c r="AB57" s="52" t="s">
        <v>35</v>
      </c>
      <c r="AC57" s="52"/>
      <c r="AD57" s="52"/>
      <c r="AE57" s="73" t="s">
        <v>36</v>
      </c>
      <c r="AF57" s="73"/>
      <c r="AG57" s="73"/>
    </row>
    <row r="58" spans="1:33" ht="15.75" thickBot="1" x14ac:dyDescent="0.3">
      <c r="A58" s="68"/>
      <c r="B58" s="68"/>
      <c r="C58" s="105" t="s">
        <v>243</v>
      </c>
      <c r="D58" s="75">
        <v>0</v>
      </c>
      <c r="E58" s="75"/>
      <c r="F58" s="76"/>
      <c r="G58" s="74">
        <v>0</v>
      </c>
      <c r="H58" s="75"/>
      <c r="I58" s="76"/>
      <c r="J58" s="74">
        <v>0</v>
      </c>
      <c r="K58" s="75"/>
      <c r="L58" s="76"/>
      <c r="M58" s="74">
        <v>0</v>
      </c>
      <c r="N58" s="75"/>
      <c r="O58" s="76"/>
      <c r="P58" s="74">
        <v>0</v>
      </c>
      <c r="Q58" s="75"/>
      <c r="R58" s="76"/>
      <c r="S58" s="74">
        <v>0</v>
      </c>
      <c r="T58" s="75"/>
      <c r="U58" s="76"/>
      <c r="V58" s="74">
        <v>0</v>
      </c>
      <c r="W58" s="75"/>
      <c r="X58" s="76"/>
      <c r="Y58" s="74">
        <v>0</v>
      </c>
      <c r="Z58" s="75"/>
      <c r="AA58" s="76"/>
      <c r="AB58" s="74">
        <v>0</v>
      </c>
      <c r="AC58" s="75"/>
      <c r="AD58" s="76"/>
      <c r="AE58" s="74">
        <v>0</v>
      </c>
      <c r="AF58" s="75"/>
      <c r="AG58" s="76"/>
    </row>
    <row r="59" spans="1:33" ht="15.75" thickBot="1" x14ac:dyDescent="0.3">
      <c r="A59" s="68"/>
      <c r="B59" s="68"/>
      <c r="C59" s="106" t="s">
        <v>244</v>
      </c>
      <c r="D59" s="82">
        <v>0</v>
      </c>
      <c r="E59" s="82"/>
      <c r="F59" s="84"/>
      <c r="G59" s="85">
        <v>0</v>
      </c>
      <c r="H59" s="82"/>
      <c r="I59" s="84"/>
      <c r="J59" s="85">
        <v>0</v>
      </c>
      <c r="K59" s="82"/>
      <c r="L59" s="84"/>
      <c r="M59" s="85">
        <v>0</v>
      </c>
      <c r="N59" s="82"/>
      <c r="O59" s="82"/>
      <c r="P59" s="81">
        <v>0</v>
      </c>
      <c r="Q59" s="82"/>
      <c r="R59" s="83"/>
      <c r="S59" s="82">
        <v>0</v>
      </c>
      <c r="T59" s="82"/>
      <c r="U59" s="84"/>
      <c r="V59" s="85">
        <v>0</v>
      </c>
      <c r="W59" s="82"/>
      <c r="X59" s="84"/>
      <c r="Y59" s="85">
        <v>0</v>
      </c>
      <c r="Z59" s="82"/>
      <c r="AA59" s="84"/>
      <c r="AB59" s="85">
        <v>0</v>
      </c>
      <c r="AC59" s="82"/>
      <c r="AD59" s="84"/>
      <c r="AE59" s="85">
        <v>0</v>
      </c>
      <c r="AF59" s="82"/>
      <c r="AG59" s="84"/>
    </row>
    <row r="60" spans="1:33" ht="15.75" thickBot="1" x14ac:dyDescent="0.3">
      <c r="A60" s="68"/>
      <c r="B60" s="68"/>
      <c r="C60" s="107" t="s">
        <v>37</v>
      </c>
      <c r="D60" s="104"/>
      <c r="E60" s="86"/>
      <c r="F60" s="89"/>
      <c r="G60" s="86"/>
      <c r="H60" s="86"/>
      <c r="I60" s="89"/>
      <c r="J60" s="86"/>
      <c r="K60" s="86"/>
      <c r="L60" s="89"/>
      <c r="M60" s="86"/>
      <c r="N60" s="86"/>
      <c r="O60" s="89"/>
      <c r="P60" s="86"/>
      <c r="Q60" s="86"/>
      <c r="R60" s="89"/>
      <c r="S60" s="86"/>
      <c r="T60" s="86"/>
      <c r="U60" s="89"/>
      <c r="V60" s="86"/>
      <c r="W60" s="86"/>
      <c r="X60" s="89"/>
      <c r="Y60" s="86"/>
      <c r="Z60" s="86"/>
      <c r="AA60" s="89"/>
      <c r="AB60" s="86"/>
      <c r="AC60" s="86"/>
      <c r="AD60" s="89"/>
      <c r="AE60" s="86"/>
      <c r="AF60" s="86"/>
      <c r="AG60" s="89"/>
    </row>
    <row r="61" spans="1:33" ht="15.75" thickBot="1" x14ac:dyDescent="0.3">
      <c r="A61" s="68"/>
      <c r="B61" s="68"/>
      <c r="D61" s="87"/>
      <c r="E61" s="87"/>
      <c r="F61" s="90"/>
      <c r="G61" s="87"/>
      <c r="H61" s="87"/>
      <c r="I61" s="90"/>
      <c r="J61" s="87"/>
      <c r="K61" s="87"/>
      <c r="L61" s="90"/>
      <c r="M61" s="87"/>
      <c r="N61" s="87"/>
      <c r="O61" s="90"/>
      <c r="P61" s="87"/>
      <c r="Q61" s="87"/>
      <c r="R61" s="90"/>
      <c r="S61" s="87"/>
      <c r="T61" s="87"/>
      <c r="U61" s="90"/>
      <c r="V61" s="87"/>
      <c r="W61" s="87"/>
      <c r="X61" s="90"/>
      <c r="Y61" s="87"/>
      <c r="Z61" s="87"/>
      <c r="AA61" s="90"/>
      <c r="AB61" s="87"/>
      <c r="AC61" s="87"/>
      <c r="AD61" s="90"/>
      <c r="AE61" s="87"/>
      <c r="AF61" s="87"/>
      <c r="AG61" s="90"/>
    </row>
    <row r="62" spans="1:33" ht="15.75" thickBot="1" x14ac:dyDescent="0.3">
      <c r="A62" s="68"/>
      <c r="B62" s="68"/>
      <c r="D62" s="88"/>
      <c r="E62" s="88"/>
      <c r="F62" s="91"/>
      <c r="G62" s="88"/>
      <c r="H62" s="88"/>
      <c r="I62" s="91"/>
      <c r="J62" s="88"/>
      <c r="K62" s="88"/>
      <c r="L62" s="91"/>
      <c r="M62" s="88"/>
      <c r="N62" s="88"/>
      <c r="O62" s="91"/>
      <c r="P62" s="88"/>
      <c r="Q62" s="88"/>
      <c r="R62" s="91"/>
      <c r="S62" s="88"/>
      <c r="T62" s="88"/>
      <c r="U62" s="91"/>
      <c r="V62" s="88"/>
      <c r="W62" s="88"/>
      <c r="X62" s="91"/>
      <c r="Y62" s="88"/>
      <c r="Z62" s="88"/>
      <c r="AA62" s="91"/>
      <c r="AB62" s="88"/>
      <c r="AC62" s="88"/>
      <c r="AD62" s="91"/>
      <c r="AE62" s="88"/>
      <c r="AF62" s="88"/>
      <c r="AG62" s="91"/>
    </row>
    <row r="64" spans="1:33" ht="15.75" thickBot="1" x14ac:dyDescent="0.3"/>
    <row r="65" spans="1:33" ht="15.75" thickBot="1" x14ac:dyDescent="0.3">
      <c r="A65" s="68" t="s">
        <v>78</v>
      </c>
      <c r="B65" s="68"/>
      <c r="D65" s="52" t="s">
        <v>27</v>
      </c>
      <c r="E65" s="52"/>
      <c r="F65" s="52"/>
      <c r="G65" s="73" t="s">
        <v>28</v>
      </c>
      <c r="H65" s="73"/>
      <c r="I65" s="73"/>
      <c r="J65" s="52" t="s">
        <v>29</v>
      </c>
      <c r="K65" s="52"/>
      <c r="L65" s="52"/>
      <c r="M65" s="73" t="s">
        <v>30</v>
      </c>
      <c r="N65" s="73"/>
      <c r="O65" s="73"/>
      <c r="P65" s="52" t="s">
        <v>31</v>
      </c>
      <c r="Q65" s="52"/>
      <c r="R65" s="52"/>
      <c r="S65" s="73" t="s">
        <v>32</v>
      </c>
      <c r="T65" s="73"/>
      <c r="U65" s="73"/>
      <c r="V65" s="52" t="s">
        <v>33</v>
      </c>
      <c r="W65" s="52"/>
      <c r="X65" s="52"/>
      <c r="Y65" s="73" t="s">
        <v>34</v>
      </c>
      <c r="Z65" s="73"/>
      <c r="AA65" s="73"/>
      <c r="AB65" s="52" t="s">
        <v>35</v>
      </c>
      <c r="AC65" s="52"/>
      <c r="AD65" s="52"/>
      <c r="AE65" s="73" t="s">
        <v>36</v>
      </c>
      <c r="AF65" s="73"/>
      <c r="AG65" s="73"/>
    </row>
    <row r="66" spans="1:33" ht="15.75" thickBot="1" x14ac:dyDescent="0.3">
      <c r="A66" s="68"/>
      <c r="B66" s="68"/>
      <c r="C66" s="105" t="s">
        <v>243</v>
      </c>
      <c r="D66" s="75">
        <v>0</v>
      </c>
      <c r="E66" s="75"/>
      <c r="F66" s="76"/>
      <c r="G66" s="74">
        <v>0</v>
      </c>
      <c r="H66" s="75"/>
      <c r="I66" s="76"/>
      <c r="J66" s="74">
        <v>0</v>
      </c>
      <c r="K66" s="75"/>
      <c r="L66" s="76"/>
      <c r="M66" s="74">
        <v>0</v>
      </c>
      <c r="N66" s="75"/>
      <c r="O66" s="76"/>
      <c r="P66" s="74">
        <v>0</v>
      </c>
      <c r="Q66" s="75"/>
      <c r="R66" s="76"/>
      <c r="S66" s="74">
        <v>0</v>
      </c>
      <c r="T66" s="75"/>
      <c r="U66" s="76"/>
      <c r="V66" s="74">
        <v>0</v>
      </c>
      <c r="W66" s="75"/>
      <c r="X66" s="76"/>
      <c r="Y66" s="74">
        <v>0</v>
      </c>
      <c r="Z66" s="75"/>
      <c r="AA66" s="76"/>
      <c r="AB66" s="74">
        <v>0</v>
      </c>
      <c r="AC66" s="75"/>
      <c r="AD66" s="76"/>
      <c r="AE66" s="74">
        <v>0</v>
      </c>
      <c r="AF66" s="75"/>
      <c r="AG66" s="76"/>
    </row>
    <row r="67" spans="1:33" ht="15.75" thickBot="1" x14ac:dyDescent="0.3">
      <c r="A67" s="68"/>
      <c r="B67" s="68"/>
      <c r="C67" s="106" t="s">
        <v>244</v>
      </c>
      <c r="D67" s="82">
        <v>0</v>
      </c>
      <c r="E67" s="82"/>
      <c r="F67" s="84"/>
      <c r="G67" s="85">
        <v>0</v>
      </c>
      <c r="H67" s="82"/>
      <c r="I67" s="84"/>
      <c r="J67" s="85">
        <v>0</v>
      </c>
      <c r="K67" s="82"/>
      <c r="L67" s="84"/>
      <c r="M67" s="85">
        <v>0</v>
      </c>
      <c r="N67" s="82"/>
      <c r="O67" s="82"/>
      <c r="P67" s="81">
        <v>0</v>
      </c>
      <c r="Q67" s="82"/>
      <c r="R67" s="83"/>
      <c r="S67" s="82">
        <v>0</v>
      </c>
      <c r="T67" s="82"/>
      <c r="U67" s="84"/>
      <c r="V67" s="85">
        <v>0</v>
      </c>
      <c r="W67" s="82"/>
      <c r="X67" s="84"/>
      <c r="Y67" s="85">
        <v>0</v>
      </c>
      <c r="Z67" s="82"/>
      <c r="AA67" s="84"/>
      <c r="AB67" s="85">
        <v>0</v>
      </c>
      <c r="AC67" s="82"/>
      <c r="AD67" s="84"/>
      <c r="AE67" s="85">
        <v>0</v>
      </c>
      <c r="AF67" s="82"/>
      <c r="AG67" s="84"/>
    </row>
    <row r="68" spans="1:33" ht="15.75" thickBot="1" x14ac:dyDescent="0.3">
      <c r="A68" s="68"/>
      <c r="B68" s="68"/>
      <c r="C68" s="107" t="s">
        <v>37</v>
      </c>
      <c r="D68" s="104"/>
      <c r="E68" s="86"/>
      <c r="F68" s="89"/>
      <c r="G68" s="86"/>
      <c r="H68" s="86"/>
      <c r="I68" s="89"/>
      <c r="J68" s="86"/>
      <c r="K68" s="86"/>
      <c r="L68" s="89"/>
      <c r="M68" s="86"/>
      <c r="N68" s="86"/>
      <c r="O68" s="89"/>
      <c r="P68" s="86"/>
      <c r="Q68" s="86"/>
      <c r="R68" s="89"/>
      <c r="S68" s="86"/>
      <c r="T68" s="86"/>
      <c r="U68" s="89"/>
      <c r="V68" s="86"/>
      <c r="W68" s="86"/>
      <c r="X68" s="89"/>
      <c r="Y68" s="86"/>
      <c r="Z68" s="86"/>
      <c r="AA68" s="89"/>
      <c r="AB68" s="86"/>
      <c r="AC68" s="86"/>
      <c r="AD68" s="89"/>
      <c r="AE68" s="86"/>
      <c r="AF68" s="86"/>
      <c r="AG68" s="89"/>
    </row>
    <row r="69" spans="1:33" ht="15.75" thickBot="1" x14ac:dyDescent="0.3">
      <c r="A69" s="68"/>
      <c r="B69" s="68"/>
      <c r="D69" s="87"/>
      <c r="E69" s="87"/>
      <c r="F69" s="90"/>
      <c r="G69" s="87"/>
      <c r="H69" s="87"/>
      <c r="I69" s="90"/>
      <c r="J69" s="87"/>
      <c r="K69" s="87"/>
      <c r="L69" s="90"/>
      <c r="M69" s="87"/>
      <c r="N69" s="87"/>
      <c r="O69" s="90"/>
      <c r="P69" s="87"/>
      <c r="Q69" s="87"/>
      <c r="R69" s="90"/>
      <c r="S69" s="87"/>
      <c r="T69" s="87"/>
      <c r="U69" s="90"/>
      <c r="V69" s="87"/>
      <c r="W69" s="87"/>
      <c r="X69" s="90"/>
      <c r="Y69" s="87"/>
      <c r="Z69" s="87"/>
      <c r="AA69" s="90"/>
      <c r="AB69" s="87"/>
      <c r="AC69" s="87"/>
      <c r="AD69" s="90"/>
      <c r="AE69" s="87"/>
      <c r="AF69" s="87"/>
      <c r="AG69" s="90"/>
    </row>
    <row r="70" spans="1:33" ht="15.75" thickBot="1" x14ac:dyDescent="0.3">
      <c r="A70" s="68"/>
      <c r="B70" s="68"/>
      <c r="D70" s="88"/>
      <c r="E70" s="88"/>
      <c r="F70" s="91"/>
      <c r="G70" s="88"/>
      <c r="H70" s="88"/>
      <c r="I70" s="91"/>
      <c r="J70" s="88"/>
      <c r="K70" s="88"/>
      <c r="L70" s="91"/>
      <c r="M70" s="88"/>
      <c r="N70" s="88"/>
      <c r="O70" s="91"/>
      <c r="P70" s="88"/>
      <c r="Q70" s="88"/>
      <c r="R70" s="91"/>
      <c r="S70" s="88"/>
      <c r="T70" s="88"/>
      <c r="U70" s="91"/>
      <c r="V70" s="88"/>
      <c r="W70" s="88"/>
      <c r="X70" s="91"/>
      <c r="Y70" s="88"/>
      <c r="Z70" s="88"/>
      <c r="AA70" s="91"/>
      <c r="AB70" s="88"/>
      <c r="AC70" s="88"/>
      <c r="AD70" s="91"/>
      <c r="AE70" s="88"/>
      <c r="AF70" s="88"/>
      <c r="AG70" s="91"/>
    </row>
    <row r="72" spans="1:33" ht="15.75" thickBot="1" x14ac:dyDescent="0.3"/>
    <row r="73" spans="1:33" ht="15.75" thickBot="1" x14ac:dyDescent="0.3">
      <c r="A73" s="68" t="s">
        <v>250</v>
      </c>
      <c r="B73" s="68"/>
      <c r="D73" s="52" t="s">
        <v>27</v>
      </c>
      <c r="E73" s="52"/>
      <c r="F73" s="52"/>
      <c r="G73" s="73" t="s">
        <v>28</v>
      </c>
      <c r="H73" s="73"/>
      <c r="I73" s="73"/>
      <c r="J73" s="52" t="s">
        <v>29</v>
      </c>
      <c r="K73" s="52"/>
      <c r="L73" s="52"/>
      <c r="M73" s="73" t="s">
        <v>30</v>
      </c>
      <c r="N73" s="73"/>
      <c r="O73" s="73"/>
      <c r="P73" s="52" t="s">
        <v>31</v>
      </c>
      <c r="Q73" s="52"/>
      <c r="R73" s="52"/>
      <c r="S73" s="73" t="s">
        <v>32</v>
      </c>
      <c r="T73" s="73"/>
      <c r="U73" s="73"/>
      <c r="V73" s="52" t="s">
        <v>33</v>
      </c>
      <c r="W73" s="52"/>
      <c r="X73" s="52"/>
      <c r="Y73" s="73" t="s">
        <v>34</v>
      </c>
      <c r="Z73" s="73"/>
      <c r="AA73" s="73"/>
      <c r="AB73" s="52" t="s">
        <v>35</v>
      </c>
      <c r="AC73" s="52"/>
      <c r="AD73" s="52"/>
      <c r="AE73" s="73" t="s">
        <v>36</v>
      </c>
      <c r="AF73" s="73"/>
      <c r="AG73" s="73"/>
    </row>
    <row r="74" spans="1:33" ht="15.75" thickBot="1" x14ac:dyDescent="0.3">
      <c r="A74" s="68"/>
      <c r="B74" s="68"/>
      <c r="C74" s="105" t="s">
        <v>243</v>
      </c>
      <c r="D74" s="75">
        <v>0</v>
      </c>
      <c r="E74" s="75"/>
      <c r="F74" s="76"/>
      <c r="G74" s="74">
        <v>0</v>
      </c>
      <c r="H74" s="75"/>
      <c r="I74" s="76"/>
      <c r="J74" s="74">
        <v>0</v>
      </c>
      <c r="K74" s="75"/>
      <c r="L74" s="76"/>
      <c r="M74" s="74">
        <v>0</v>
      </c>
      <c r="N74" s="75"/>
      <c r="O74" s="76"/>
      <c r="P74" s="74">
        <v>0</v>
      </c>
      <c r="Q74" s="75"/>
      <c r="R74" s="76"/>
      <c r="S74" s="74">
        <v>0</v>
      </c>
      <c r="T74" s="75"/>
      <c r="U74" s="76"/>
      <c r="V74" s="74">
        <v>0</v>
      </c>
      <c r="W74" s="75"/>
      <c r="X74" s="76"/>
      <c r="Y74" s="74">
        <v>0</v>
      </c>
      <c r="Z74" s="75"/>
      <c r="AA74" s="76"/>
      <c r="AB74" s="74">
        <v>0</v>
      </c>
      <c r="AC74" s="75"/>
      <c r="AD74" s="76"/>
      <c r="AE74" s="74">
        <v>0</v>
      </c>
      <c r="AF74" s="75"/>
      <c r="AG74" s="76"/>
    </row>
    <row r="75" spans="1:33" ht="15.75" thickBot="1" x14ac:dyDescent="0.3">
      <c r="A75" s="68"/>
      <c r="B75" s="68"/>
      <c r="C75" s="106" t="s">
        <v>244</v>
      </c>
      <c r="D75" s="82">
        <v>0</v>
      </c>
      <c r="E75" s="82"/>
      <c r="F75" s="84"/>
      <c r="G75" s="85">
        <v>0</v>
      </c>
      <c r="H75" s="82"/>
      <c r="I75" s="84"/>
      <c r="J75" s="85">
        <v>0</v>
      </c>
      <c r="K75" s="82"/>
      <c r="L75" s="84"/>
      <c r="M75" s="85">
        <v>0</v>
      </c>
      <c r="N75" s="82"/>
      <c r="O75" s="82"/>
      <c r="P75" s="81">
        <v>0</v>
      </c>
      <c r="Q75" s="82"/>
      <c r="R75" s="83"/>
      <c r="S75" s="82">
        <v>0</v>
      </c>
      <c r="T75" s="82"/>
      <c r="U75" s="84"/>
      <c r="V75" s="85">
        <v>0</v>
      </c>
      <c r="W75" s="82"/>
      <c r="X75" s="84"/>
      <c r="Y75" s="85">
        <v>0</v>
      </c>
      <c r="Z75" s="82"/>
      <c r="AA75" s="84"/>
      <c r="AB75" s="85">
        <v>0</v>
      </c>
      <c r="AC75" s="82"/>
      <c r="AD75" s="84"/>
      <c r="AE75" s="85">
        <v>0</v>
      </c>
      <c r="AF75" s="82"/>
      <c r="AG75" s="84"/>
    </row>
    <row r="76" spans="1:33" ht="15.75" thickBot="1" x14ac:dyDescent="0.3">
      <c r="A76" s="68"/>
      <c r="B76" s="68"/>
      <c r="C76" s="107" t="s">
        <v>37</v>
      </c>
      <c r="D76" s="104"/>
      <c r="E76" s="86"/>
      <c r="F76" s="89"/>
      <c r="G76" s="86"/>
      <c r="H76" s="86"/>
      <c r="I76" s="89"/>
      <c r="J76" s="86"/>
      <c r="K76" s="86"/>
      <c r="L76" s="89"/>
      <c r="M76" s="86"/>
      <c r="N76" s="86"/>
      <c r="O76" s="89"/>
      <c r="P76" s="86"/>
      <c r="Q76" s="86"/>
      <c r="R76" s="89"/>
      <c r="S76" s="86"/>
      <c r="T76" s="86"/>
      <c r="U76" s="89"/>
      <c r="V76" s="86"/>
      <c r="W76" s="86"/>
      <c r="X76" s="89"/>
      <c r="Y76" s="86"/>
      <c r="Z76" s="86"/>
      <c r="AA76" s="89"/>
      <c r="AB76" s="86"/>
      <c r="AC76" s="86"/>
      <c r="AD76" s="89"/>
      <c r="AE76" s="86"/>
      <c r="AF76" s="86"/>
      <c r="AG76" s="89"/>
    </row>
    <row r="77" spans="1:33" ht="15.75" thickBot="1" x14ac:dyDescent="0.3">
      <c r="A77" s="68"/>
      <c r="B77" s="68"/>
      <c r="D77" s="87"/>
      <c r="E77" s="87"/>
      <c r="F77" s="90"/>
      <c r="G77" s="87"/>
      <c r="H77" s="87"/>
      <c r="I77" s="90"/>
      <c r="J77" s="87"/>
      <c r="K77" s="87"/>
      <c r="L77" s="90"/>
      <c r="M77" s="87"/>
      <c r="N77" s="87"/>
      <c r="O77" s="90"/>
      <c r="P77" s="87"/>
      <c r="Q77" s="87"/>
      <c r="R77" s="90"/>
      <c r="S77" s="87"/>
      <c r="T77" s="87"/>
      <c r="U77" s="90"/>
      <c r="V77" s="87"/>
      <c r="W77" s="87"/>
      <c r="X77" s="90"/>
      <c r="Y77" s="87"/>
      <c r="Z77" s="87"/>
      <c r="AA77" s="90"/>
      <c r="AB77" s="87"/>
      <c r="AC77" s="87"/>
      <c r="AD77" s="90"/>
      <c r="AE77" s="87"/>
      <c r="AF77" s="87"/>
      <c r="AG77" s="90"/>
    </row>
    <row r="78" spans="1:33" ht="15.75" thickBot="1" x14ac:dyDescent="0.3">
      <c r="A78" s="68"/>
      <c r="B78" s="68"/>
      <c r="D78" s="88"/>
      <c r="E78" s="88"/>
      <c r="F78" s="91"/>
      <c r="G78" s="88"/>
      <c r="H78" s="88"/>
      <c r="I78" s="91"/>
      <c r="J78" s="88"/>
      <c r="K78" s="88"/>
      <c r="L78" s="91"/>
      <c r="M78" s="88"/>
      <c r="N78" s="88"/>
      <c r="O78" s="91"/>
      <c r="P78" s="88"/>
      <c r="Q78" s="88"/>
      <c r="R78" s="91"/>
      <c r="S78" s="88"/>
      <c r="T78" s="88"/>
      <c r="U78" s="91"/>
      <c r="V78" s="88"/>
      <c r="W78" s="88"/>
      <c r="X78" s="91"/>
      <c r="Y78" s="88"/>
      <c r="Z78" s="88"/>
      <c r="AA78" s="91"/>
      <c r="AB78" s="88"/>
      <c r="AC78" s="88"/>
      <c r="AD78" s="91"/>
      <c r="AE78" s="88"/>
      <c r="AF78" s="88"/>
      <c r="AG78" s="91"/>
    </row>
    <row r="80" spans="1:33" ht="15.75" thickBot="1" x14ac:dyDescent="0.3"/>
    <row r="81" spans="1:33" ht="15.75" thickBot="1" x14ac:dyDescent="0.3">
      <c r="A81" s="68" t="s">
        <v>251</v>
      </c>
      <c r="B81" s="68"/>
      <c r="D81" s="52" t="s">
        <v>27</v>
      </c>
      <c r="E81" s="52"/>
      <c r="F81" s="52"/>
      <c r="G81" s="73" t="s">
        <v>28</v>
      </c>
      <c r="H81" s="73"/>
      <c r="I81" s="73"/>
      <c r="J81" s="52" t="s">
        <v>29</v>
      </c>
      <c r="K81" s="52"/>
      <c r="L81" s="52"/>
      <c r="M81" s="73" t="s">
        <v>30</v>
      </c>
      <c r="N81" s="73"/>
      <c r="O81" s="73"/>
      <c r="P81" s="52" t="s">
        <v>31</v>
      </c>
      <c r="Q81" s="52"/>
      <c r="R81" s="52"/>
      <c r="S81" s="73" t="s">
        <v>32</v>
      </c>
      <c r="T81" s="73"/>
      <c r="U81" s="73"/>
      <c r="V81" s="52" t="s">
        <v>33</v>
      </c>
      <c r="W81" s="52"/>
      <c r="X81" s="52"/>
      <c r="Y81" s="73" t="s">
        <v>34</v>
      </c>
      <c r="Z81" s="73"/>
      <c r="AA81" s="73"/>
      <c r="AB81" s="52" t="s">
        <v>35</v>
      </c>
      <c r="AC81" s="52"/>
      <c r="AD81" s="52"/>
      <c r="AE81" s="73" t="s">
        <v>36</v>
      </c>
      <c r="AF81" s="73"/>
      <c r="AG81" s="73"/>
    </row>
    <row r="82" spans="1:33" ht="15.75" thickBot="1" x14ac:dyDescent="0.3">
      <c r="A82" s="68"/>
      <c r="B82" s="68"/>
      <c r="C82" s="105" t="s">
        <v>243</v>
      </c>
      <c r="D82" s="75">
        <v>0</v>
      </c>
      <c r="E82" s="75"/>
      <c r="F82" s="76"/>
      <c r="G82" s="74">
        <v>0</v>
      </c>
      <c r="H82" s="75"/>
      <c r="I82" s="76"/>
      <c r="J82" s="74">
        <v>0</v>
      </c>
      <c r="K82" s="75"/>
      <c r="L82" s="76"/>
      <c r="M82" s="74">
        <v>0</v>
      </c>
      <c r="N82" s="75"/>
      <c r="O82" s="76"/>
      <c r="P82" s="74">
        <v>0</v>
      </c>
      <c r="Q82" s="75"/>
      <c r="R82" s="76"/>
      <c r="S82" s="74">
        <v>0</v>
      </c>
      <c r="T82" s="75"/>
      <c r="U82" s="76"/>
      <c r="V82" s="74">
        <v>0</v>
      </c>
      <c r="W82" s="75"/>
      <c r="X82" s="76"/>
      <c r="Y82" s="74">
        <v>0</v>
      </c>
      <c r="Z82" s="75"/>
      <c r="AA82" s="76"/>
      <c r="AB82" s="74">
        <v>0</v>
      </c>
      <c r="AC82" s="75"/>
      <c r="AD82" s="76"/>
      <c r="AE82" s="74">
        <v>0</v>
      </c>
      <c r="AF82" s="75"/>
      <c r="AG82" s="76"/>
    </row>
    <row r="83" spans="1:33" ht="15.75" thickBot="1" x14ac:dyDescent="0.3">
      <c r="A83" s="68"/>
      <c r="B83" s="68"/>
      <c r="C83" s="106" t="s">
        <v>244</v>
      </c>
      <c r="D83" s="82">
        <v>0</v>
      </c>
      <c r="E83" s="82"/>
      <c r="F83" s="84"/>
      <c r="G83" s="85">
        <v>0</v>
      </c>
      <c r="H83" s="82"/>
      <c r="I83" s="84"/>
      <c r="J83" s="85">
        <v>0</v>
      </c>
      <c r="K83" s="82"/>
      <c r="L83" s="84"/>
      <c r="M83" s="85">
        <v>0</v>
      </c>
      <c r="N83" s="82"/>
      <c r="O83" s="82"/>
      <c r="P83" s="81">
        <v>0</v>
      </c>
      <c r="Q83" s="82"/>
      <c r="R83" s="83"/>
      <c r="S83" s="82">
        <v>0</v>
      </c>
      <c r="T83" s="82"/>
      <c r="U83" s="84"/>
      <c r="V83" s="85">
        <v>0</v>
      </c>
      <c r="W83" s="82"/>
      <c r="X83" s="84"/>
      <c r="Y83" s="85">
        <v>0</v>
      </c>
      <c r="Z83" s="82"/>
      <c r="AA83" s="84"/>
      <c r="AB83" s="85">
        <v>0</v>
      </c>
      <c r="AC83" s="82"/>
      <c r="AD83" s="84"/>
      <c r="AE83" s="85">
        <v>0</v>
      </c>
      <c r="AF83" s="82"/>
      <c r="AG83" s="84"/>
    </row>
    <row r="84" spans="1:33" ht="15.75" thickBot="1" x14ac:dyDescent="0.3">
      <c r="A84" s="68"/>
      <c r="B84" s="68"/>
      <c r="C84" s="107" t="s">
        <v>37</v>
      </c>
      <c r="D84" s="104"/>
      <c r="E84" s="86"/>
      <c r="F84" s="89"/>
      <c r="G84" s="86"/>
      <c r="H84" s="86"/>
      <c r="I84" s="89"/>
      <c r="J84" s="86"/>
      <c r="K84" s="86"/>
      <c r="L84" s="89"/>
      <c r="M84" s="86"/>
      <c r="N84" s="86"/>
      <c r="O84" s="89"/>
      <c r="P84" s="86"/>
      <c r="Q84" s="86"/>
      <c r="R84" s="89"/>
      <c r="S84" s="86"/>
      <c r="T84" s="86"/>
      <c r="U84" s="89"/>
      <c r="V84" s="86"/>
      <c r="W84" s="86"/>
      <c r="X84" s="89"/>
      <c r="Y84" s="86"/>
      <c r="Z84" s="86"/>
      <c r="AA84" s="89"/>
      <c r="AB84" s="86"/>
      <c r="AC84" s="86"/>
      <c r="AD84" s="89"/>
      <c r="AE84" s="86"/>
      <c r="AF84" s="86"/>
      <c r="AG84" s="89"/>
    </row>
    <row r="85" spans="1:33" ht="15.75" thickBot="1" x14ac:dyDescent="0.3">
      <c r="A85" s="68"/>
      <c r="B85" s="68"/>
      <c r="D85" s="87"/>
      <c r="E85" s="87"/>
      <c r="F85" s="90"/>
      <c r="G85" s="87"/>
      <c r="H85" s="87"/>
      <c r="I85" s="90"/>
      <c r="J85" s="87"/>
      <c r="K85" s="87"/>
      <c r="L85" s="90"/>
      <c r="M85" s="87"/>
      <c r="N85" s="87"/>
      <c r="O85" s="90"/>
      <c r="P85" s="87"/>
      <c r="Q85" s="87"/>
      <c r="R85" s="90"/>
      <c r="S85" s="87"/>
      <c r="T85" s="87"/>
      <c r="U85" s="90"/>
      <c r="V85" s="87"/>
      <c r="W85" s="87"/>
      <c r="X85" s="90"/>
      <c r="Y85" s="87"/>
      <c r="Z85" s="87"/>
      <c r="AA85" s="90"/>
      <c r="AB85" s="87"/>
      <c r="AC85" s="87"/>
      <c r="AD85" s="90"/>
      <c r="AE85" s="87"/>
      <c r="AF85" s="87"/>
      <c r="AG85" s="90"/>
    </row>
    <row r="86" spans="1:33" ht="15.75" thickBot="1" x14ac:dyDescent="0.3">
      <c r="A86" s="68"/>
      <c r="B86" s="68"/>
      <c r="D86" s="88"/>
      <c r="E86" s="88"/>
      <c r="F86" s="91"/>
      <c r="G86" s="88"/>
      <c r="H86" s="88"/>
      <c r="I86" s="91"/>
      <c r="J86" s="88"/>
      <c r="K86" s="88"/>
      <c r="L86" s="91"/>
      <c r="M86" s="88"/>
      <c r="N86" s="88"/>
      <c r="O86" s="91"/>
      <c r="P86" s="88"/>
      <c r="Q86" s="88"/>
      <c r="R86" s="91"/>
      <c r="S86" s="88"/>
      <c r="T86" s="88"/>
      <c r="U86" s="91"/>
      <c r="V86" s="88"/>
      <c r="W86" s="88"/>
      <c r="X86" s="91"/>
      <c r="Y86" s="88"/>
      <c r="Z86" s="88"/>
      <c r="AA86" s="91"/>
      <c r="AB86" s="88"/>
      <c r="AC86" s="88"/>
      <c r="AD86" s="91"/>
      <c r="AE86" s="88"/>
      <c r="AF86" s="88"/>
      <c r="AG86" s="91"/>
    </row>
    <row r="88" spans="1:33" ht="15.75" thickBot="1" x14ac:dyDescent="0.3"/>
    <row r="89" spans="1:33" ht="15.75" thickBot="1" x14ac:dyDescent="0.3">
      <c r="A89" s="68" t="s">
        <v>252</v>
      </c>
      <c r="B89" s="68"/>
      <c r="D89" s="52" t="s">
        <v>27</v>
      </c>
      <c r="E89" s="52"/>
      <c r="F89" s="52"/>
      <c r="G89" s="73" t="s">
        <v>28</v>
      </c>
      <c r="H89" s="73"/>
      <c r="I89" s="73"/>
      <c r="J89" s="52" t="s">
        <v>29</v>
      </c>
      <c r="K89" s="52"/>
      <c r="L89" s="52"/>
      <c r="M89" s="73" t="s">
        <v>30</v>
      </c>
      <c r="N89" s="73"/>
      <c r="O89" s="73"/>
      <c r="P89" s="52" t="s">
        <v>31</v>
      </c>
      <c r="Q89" s="52"/>
      <c r="R89" s="52"/>
      <c r="S89" s="73" t="s">
        <v>32</v>
      </c>
      <c r="T89" s="73"/>
      <c r="U89" s="73"/>
      <c r="V89" s="52" t="s">
        <v>33</v>
      </c>
      <c r="W89" s="52"/>
      <c r="X89" s="52"/>
      <c r="Y89" s="73" t="s">
        <v>34</v>
      </c>
      <c r="Z89" s="73"/>
      <c r="AA89" s="73"/>
      <c r="AB89" s="52" t="s">
        <v>35</v>
      </c>
      <c r="AC89" s="52"/>
      <c r="AD89" s="52"/>
      <c r="AE89" s="73" t="s">
        <v>36</v>
      </c>
      <c r="AF89" s="73"/>
      <c r="AG89" s="73"/>
    </row>
    <row r="90" spans="1:33" ht="15.75" thickBot="1" x14ac:dyDescent="0.3">
      <c r="A90" s="68"/>
      <c r="B90" s="68"/>
      <c r="C90" s="105" t="s">
        <v>243</v>
      </c>
      <c r="D90" s="75">
        <v>0</v>
      </c>
      <c r="E90" s="75"/>
      <c r="F90" s="76"/>
      <c r="G90" s="74">
        <v>0</v>
      </c>
      <c r="H90" s="75"/>
      <c r="I90" s="76"/>
      <c r="J90" s="74">
        <v>0</v>
      </c>
      <c r="K90" s="75"/>
      <c r="L90" s="76"/>
      <c r="M90" s="74">
        <v>0</v>
      </c>
      <c r="N90" s="75"/>
      <c r="O90" s="76"/>
      <c r="P90" s="74">
        <v>0</v>
      </c>
      <c r="Q90" s="75"/>
      <c r="R90" s="76"/>
      <c r="S90" s="74">
        <v>0</v>
      </c>
      <c r="T90" s="75"/>
      <c r="U90" s="76"/>
      <c r="V90" s="74">
        <v>0</v>
      </c>
      <c r="W90" s="75"/>
      <c r="X90" s="76"/>
      <c r="Y90" s="74">
        <v>0</v>
      </c>
      <c r="Z90" s="75"/>
      <c r="AA90" s="76"/>
      <c r="AB90" s="74">
        <v>0</v>
      </c>
      <c r="AC90" s="75"/>
      <c r="AD90" s="76"/>
      <c r="AE90" s="74">
        <v>0</v>
      </c>
      <c r="AF90" s="75"/>
      <c r="AG90" s="76"/>
    </row>
    <row r="91" spans="1:33" ht="15.75" thickBot="1" x14ac:dyDescent="0.3">
      <c r="A91" s="68"/>
      <c r="B91" s="68"/>
      <c r="C91" s="106" t="s">
        <v>244</v>
      </c>
      <c r="D91" s="82">
        <v>0</v>
      </c>
      <c r="E91" s="82"/>
      <c r="F91" s="84"/>
      <c r="G91" s="85">
        <v>0</v>
      </c>
      <c r="H91" s="82"/>
      <c r="I91" s="84"/>
      <c r="J91" s="85">
        <v>0</v>
      </c>
      <c r="K91" s="82"/>
      <c r="L91" s="84"/>
      <c r="M91" s="85">
        <v>0</v>
      </c>
      <c r="N91" s="82"/>
      <c r="O91" s="82"/>
      <c r="P91" s="81">
        <v>0</v>
      </c>
      <c r="Q91" s="82"/>
      <c r="R91" s="83"/>
      <c r="S91" s="82">
        <v>0</v>
      </c>
      <c r="T91" s="82"/>
      <c r="U91" s="84"/>
      <c r="V91" s="85">
        <v>0</v>
      </c>
      <c r="W91" s="82"/>
      <c r="X91" s="84"/>
      <c r="Y91" s="85">
        <v>0</v>
      </c>
      <c r="Z91" s="82"/>
      <c r="AA91" s="84"/>
      <c r="AB91" s="85">
        <v>0</v>
      </c>
      <c r="AC91" s="82"/>
      <c r="AD91" s="84"/>
      <c r="AE91" s="85">
        <v>0</v>
      </c>
      <c r="AF91" s="82"/>
      <c r="AG91" s="84"/>
    </row>
    <row r="92" spans="1:33" ht="15.75" thickBot="1" x14ac:dyDescent="0.3">
      <c r="A92" s="68"/>
      <c r="B92" s="68"/>
      <c r="C92" s="107" t="s">
        <v>37</v>
      </c>
      <c r="D92" s="104"/>
      <c r="E92" s="86"/>
      <c r="F92" s="89"/>
      <c r="G92" s="86"/>
      <c r="H92" s="86"/>
      <c r="I92" s="89"/>
      <c r="J92" s="86"/>
      <c r="K92" s="86"/>
      <c r="L92" s="89"/>
      <c r="M92" s="86"/>
      <c r="N92" s="86"/>
      <c r="O92" s="89"/>
      <c r="P92" s="86"/>
      <c r="Q92" s="86"/>
      <c r="R92" s="89"/>
      <c r="S92" s="86"/>
      <c r="T92" s="86"/>
      <c r="U92" s="89"/>
      <c r="V92" s="86"/>
      <c r="W92" s="86"/>
      <c r="X92" s="89"/>
      <c r="Y92" s="86"/>
      <c r="Z92" s="86"/>
      <c r="AA92" s="89"/>
      <c r="AB92" s="86"/>
      <c r="AC92" s="86"/>
      <c r="AD92" s="89"/>
      <c r="AE92" s="86"/>
      <c r="AF92" s="86"/>
      <c r="AG92" s="89"/>
    </row>
    <row r="93" spans="1:33" ht="15.75" thickBot="1" x14ac:dyDescent="0.3">
      <c r="A93" s="68"/>
      <c r="B93" s="68"/>
      <c r="D93" s="87"/>
      <c r="E93" s="87"/>
      <c r="F93" s="90"/>
      <c r="G93" s="87"/>
      <c r="H93" s="87"/>
      <c r="I93" s="90"/>
      <c r="J93" s="87"/>
      <c r="K93" s="87"/>
      <c r="L93" s="90"/>
      <c r="M93" s="87"/>
      <c r="N93" s="87"/>
      <c r="O93" s="90"/>
      <c r="P93" s="87"/>
      <c r="Q93" s="87"/>
      <c r="R93" s="90"/>
      <c r="S93" s="87"/>
      <c r="T93" s="87"/>
      <c r="U93" s="90"/>
      <c r="V93" s="87"/>
      <c r="W93" s="87"/>
      <c r="X93" s="90"/>
      <c r="Y93" s="87"/>
      <c r="Z93" s="87"/>
      <c r="AA93" s="90"/>
      <c r="AB93" s="87"/>
      <c r="AC93" s="87"/>
      <c r="AD93" s="90"/>
      <c r="AE93" s="87"/>
      <c r="AF93" s="87"/>
      <c r="AG93" s="90"/>
    </row>
    <row r="94" spans="1:33" ht="15.75" thickBot="1" x14ac:dyDescent="0.3">
      <c r="A94" s="68"/>
      <c r="B94" s="68"/>
      <c r="D94" s="88"/>
      <c r="E94" s="88"/>
      <c r="F94" s="91"/>
      <c r="G94" s="88"/>
      <c r="H94" s="88"/>
      <c r="I94" s="91"/>
      <c r="J94" s="88"/>
      <c r="K94" s="88"/>
      <c r="L94" s="91"/>
      <c r="M94" s="88"/>
      <c r="N94" s="88"/>
      <c r="O94" s="91"/>
      <c r="P94" s="88"/>
      <c r="Q94" s="88"/>
      <c r="R94" s="91"/>
      <c r="S94" s="88"/>
      <c r="T94" s="88"/>
      <c r="U94" s="91"/>
      <c r="V94" s="88"/>
      <c r="W94" s="88"/>
      <c r="X94" s="91"/>
      <c r="Y94" s="88"/>
      <c r="Z94" s="88"/>
      <c r="AA94" s="91"/>
      <c r="AB94" s="88"/>
      <c r="AC94" s="88"/>
      <c r="AD94" s="91"/>
      <c r="AE94" s="88"/>
      <c r="AF94" s="88"/>
      <c r="AG94" s="91"/>
    </row>
    <row r="96" spans="1:33" ht="15.75" thickBot="1" x14ac:dyDescent="0.3"/>
    <row r="97" spans="1:33" ht="15.75" thickBot="1" x14ac:dyDescent="0.3">
      <c r="A97" s="68" t="s">
        <v>80</v>
      </c>
      <c r="B97" s="68"/>
      <c r="D97" s="52" t="s">
        <v>27</v>
      </c>
      <c r="E97" s="52"/>
      <c r="F97" s="52"/>
      <c r="G97" s="73" t="s">
        <v>28</v>
      </c>
      <c r="H97" s="73"/>
      <c r="I97" s="73"/>
      <c r="J97" s="52" t="s">
        <v>29</v>
      </c>
      <c r="K97" s="52"/>
      <c r="L97" s="52"/>
      <c r="M97" s="73" t="s">
        <v>30</v>
      </c>
      <c r="N97" s="73"/>
      <c r="O97" s="73"/>
      <c r="P97" s="52" t="s">
        <v>31</v>
      </c>
      <c r="Q97" s="52"/>
      <c r="R97" s="52"/>
      <c r="S97" s="73" t="s">
        <v>32</v>
      </c>
      <c r="T97" s="73"/>
      <c r="U97" s="73"/>
      <c r="V97" s="52" t="s">
        <v>33</v>
      </c>
      <c r="W97" s="52"/>
      <c r="X97" s="52"/>
      <c r="Y97" s="73" t="s">
        <v>34</v>
      </c>
      <c r="Z97" s="73"/>
      <c r="AA97" s="73"/>
      <c r="AB97" s="52" t="s">
        <v>35</v>
      </c>
      <c r="AC97" s="52"/>
      <c r="AD97" s="52"/>
      <c r="AE97" s="73" t="s">
        <v>36</v>
      </c>
      <c r="AF97" s="73"/>
      <c r="AG97" s="73"/>
    </row>
    <row r="98" spans="1:33" ht="15.75" thickBot="1" x14ac:dyDescent="0.3">
      <c r="A98" s="68"/>
      <c r="B98" s="68"/>
      <c r="C98" s="105" t="s">
        <v>243</v>
      </c>
      <c r="D98" s="75">
        <v>0</v>
      </c>
      <c r="E98" s="75"/>
      <c r="F98" s="76"/>
      <c r="G98" s="74">
        <v>0</v>
      </c>
      <c r="H98" s="75"/>
      <c r="I98" s="76"/>
      <c r="J98" s="74">
        <v>0</v>
      </c>
      <c r="K98" s="75"/>
      <c r="L98" s="76"/>
      <c r="M98" s="74">
        <v>0</v>
      </c>
      <c r="N98" s="75"/>
      <c r="O98" s="76"/>
      <c r="P98" s="74">
        <v>0</v>
      </c>
      <c r="Q98" s="75"/>
      <c r="R98" s="76"/>
      <c r="S98" s="74">
        <v>0</v>
      </c>
      <c r="T98" s="75"/>
      <c r="U98" s="76"/>
      <c r="V98" s="74">
        <v>0</v>
      </c>
      <c r="W98" s="75"/>
      <c r="X98" s="76"/>
      <c r="Y98" s="74">
        <v>0</v>
      </c>
      <c r="Z98" s="75"/>
      <c r="AA98" s="76"/>
      <c r="AB98" s="74">
        <v>0</v>
      </c>
      <c r="AC98" s="75"/>
      <c r="AD98" s="76"/>
      <c r="AE98" s="74">
        <v>0</v>
      </c>
      <c r="AF98" s="75"/>
      <c r="AG98" s="76"/>
    </row>
    <row r="99" spans="1:33" ht="15.75" thickBot="1" x14ac:dyDescent="0.3">
      <c r="A99" s="68"/>
      <c r="B99" s="68"/>
      <c r="C99" s="106" t="s">
        <v>244</v>
      </c>
      <c r="D99" s="82">
        <v>0</v>
      </c>
      <c r="E99" s="82"/>
      <c r="F99" s="84"/>
      <c r="G99" s="85">
        <v>0</v>
      </c>
      <c r="H99" s="82"/>
      <c r="I99" s="84"/>
      <c r="J99" s="85">
        <v>0</v>
      </c>
      <c r="K99" s="82"/>
      <c r="L99" s="84"/>
      <c r="M99" s="85">
        <v>0</v>
      </c>
      <c r="N99" s="82"/>
      <c r="O99" s="82"/>
      <c r="P99" s="81">
        <v>0</v>
      </c>
      <c r="Q99" s="82"/>
      <c r="R99" s="83"/>
      <c r="S99" s="82">
        <v>0</v>
      </c>
      <c r="T99" s="82"/>
      <c r="U99" s="84"/>
      <c r="V99" s="85">
        <v>0</v>
      </c>
      <c r="W99" s="82"/>
      <c r="X99" s="84"/>
      <c r="Y99" s="85">
        <v>0</v>
      </c>
      <c r="Z99" s="82"/>
      <c r="AA99" s="84"/>
      <c r="AB99" s="85">
        <v>0</v>
      </c>
      <c r="AC99" s="82"/>
      <c r="AD99" s="84"/>
      <c r="AE99" s="85">
        <v>0</v>
      </c>
      <c r="AF99" s="82"/>
      <c r="AG99" s="84"/>
    </row>
    <row r="100" spans="1:33" ht="15.75" thickBot="1" x14ac:dyDescent="0.3">
      <c r="A100" s="68"/>
      <c r="B100" s="68"/>
      <c r="C100" s="107" t="s">
        <v>37</v>
      </c>
      <c r="D100" s="104"/>
      <c r="E100" s="86"/>
      <c r="F100" s="89"/>
      <c r="G100" s="86"/>
      <c r="H100" s="86"/>
      <c r="I100" s="89"/>
      <c r="J100" s="86"/>
      <c r="K100" s="86"/>
      <c r="L100" s="89"/>
      <c r="M100" s="86"/>
      <c r="N100" s="86"/>
      <c r="O100" s="89"/>
      <c r="P100" s="86"/>
      <c r="Q100" s="86"/>
      <c r="R100" s="89"/>
      <c r="S100" s="86"/>
      <c r="T100" s="86"/>
      <c r="U100" s="89"/>
      <c r="V100" s="86"/>
      <c r="W100" s="86"/>
      <c r="X100" s="89"/>
      <c r="Y100" s="86"/>
      <c r="Z100" s="86"/>
      <c r="AA100" s="89"/>
      <c r="AB100" s="86"/>
      <c r="AC100" s="86"/>
      <c r="AD100" s="89"/>
      <c r="AE100" s="86"/>
      <c r="AF100" s="86"/>
      <c r="AG100" s="89"/>
    </row>
    <row r="101" spans="1:33" ht="15.75" thickBot="1" x14ac:dyDescent="0.3">
      <c r="A101" s="68"/>
      <c r="B101" s="68"/>
      <c r="D101" s="87"/>
      <c r="E101" s="87"/>
      <c r="F101" s="90"/>
      <c r="G101" s="87"/>
      <c r="H101" s="87"/>
      <c r="I101" s="90"/>
      <c r="J101" s="87"/>
      <c r="K101" s="87"/>
      <c r="L101" s="90"/>
      <c r="M101" s="87"/>
      <c r="N101" s="87"/>
      <c r="O101" s="90"/>
      <c r="P101" s="87"/>
      <c r="Q101" s="87"/>
      <c r="R101" s="90"/>
      <c r="S101" s="87"/>
      <c r="T101" s="87"/>
      <c r="U101" s="90"/>
      <c r="V101" s="87"/>
      <c r="W101" s="87"/>
      <c r="X101" s="90"/>
      <c r="Y101" s="87"/>
      <c r="Z101" s="87"/>
      <c r="AA101" s="90"/>
      <c r="AB101" s="87"/>
      <c r="AC101" s="87"/>
      <c r="AD101" s="90"/>
      <c r="AE101" s="87"/>
      <c r="AF101" s="87"/>
      <c r="AG101" s="90"/>
    </row>
    <row r="102" spans="1:33" ht="15.75" thickBot="1" x14ac:dyDescent="0.3">
      <c r="A102" s="68"/>
      <c r="B102" s="68"/>
      <c r="D102" s="88"/>
      <c r="E102" s="88"/>
      <c r="F102" s="91"/>
      <c r="G102" s="88"/>
      <c r="H102" s="88"/>
      <c r="I102" s="91"/>
      <c r="J102" s="88"/>
      <c r="K102" s="88"/>
      <c r="L102" s="91"/>
      <c r="M102" s="88"/>
      <c r="N102" s="88"/>
      <c r="O102" s="91"/>
      <c r="P102" s="88"/>
      <c r="Q102" s="88"/>
      <c r="R102" s="91"/>
      <c r="S102" s="88"/>
      <c r="T102" s="88"/>
      <c r="U102" s="91"/>
      <c r="V102" s="88"/>
      <c r="W102" s="88"/>
      <c r="X102" s="91"/>
      <c r="Y102" s="88"/>
      <c r="Z102" s="88"/>
      <c r="AA102" s="91"/>
      <c r="AB102" s="88"/>
      <c r="AC102" s="88"/>
      <c r="AD102" s="91"/>
      <c r="AE102" s="88"/>
      <c r="AF102" s="88"/>
      <c r="AG102" s="91"/>
    </row>
    <row r="104" spans="1:33" ht="15.75" thickBot="1" x14ac:dyDescent="0.3"/>
    <row r="105" spans="1:33" ht="15.75" thickBot="1" x14ac:dyDescent="0.3">
      <c r="A105" s="68" t="s">
        <v>81</v>
      </c>
      <c r="B105" s="68"/>
      <c r="D105" s="52" t="s">
        <v>27</v>
      </c>
      <c r="E105" s="52"/>
      <c r="F105" s="52"/>
      <c r="G105" s="73" t="s">
        <v>28</v>
      </c>
      <c r="H105" s="73"/>
      <c r="I105" s="73"/>
      <c r="J105" s="52" t="s">
        <v>29</v>
      </c>
      <c r="K105" s="52"/>
      <c r="L105" s="52"/>
      <c r="M105" s="73" t="s">
        <v>30</v>
      </c>
      <c r="N105" s="73"/>
      <c r="O105" s="73"/>
      <c r="P105" s="52" t="s">
        <v>31</v>
      </c>
      <c r="Q105" s="52"/>
      <c r="R105" s="52"/>
      <c r="S105" s="73" t="s">
        <v>32</v>
      </c>
      <c r="T105" s="73"/>
      <c r="U105" s="73"/>
      <c r="V105" s="52" t="s">
        <v>33</v>
      </c>
      <c r="W105" s="52"/>
      <c r="X105" s="52"/>
      <c r="Y105" s="73" t="s">
        <v>34</v>
      </c>
      <c r="Z105" s="73"/>
      <c r="AA105" s="73"/>
      <c r="AB105" s="52" t="s">
        <v>35</v>
      </c>
      <c r="AC105" s="52"/>
      <c r="AD105" s="52"/>
      <c r="AE105" s="73" t="s">
        <v>36</v>
      </c>
      <c r="AF105" s="73"/>
      <c r="AG105" s="73"/>
    </row>
    <row r="106" spans="1:33" ht="15.75" thickBot="1" x14ac:dyDescent="0.3">
      <c r="A106" s="68"/>
      <c r="B106" s="68"/>
      <c r="C106" s="105" t="s">
        <v>243</v>
      </c>
      <c r="D106" s="75">
        <v>0</v>
      </c>
      <c r="E106" s="75"/>
      <c r="F106" s="76"/>
      <c r="G106" s="74">
        <v>0</v>
      </c>
      <c r="H106" s="75"/>
      <c r="I106" s="76"/>
      <c r="J106" s="74">
        <v>0</v>
      </c>
      <c r="K106" s="75"/>
      <c r="L106" s="76"/>
      <c r="M106" s="74">
        <v>0</v>
      </c>
      <c r="N106" s="75"/>
      <c r="O106" s="76"/>
      <c r="P106" s="74">
        <v>0</v>
      </c>
      <c r="Q106" s="75"/>
      <c r="R106" s="76"/>
      <c r="S106" s="74">
        <v>0</v>
      </c>
      <c r="T106" s="75"/>
      <c r="U106" s="76"/>
      <c r="V106" s="74">
        <v>0</v>
      </c>
      <c r="W106" s="75"/>
      <c r="X106" s="76"/>
      <c r="Y106" s="74">
        <v>0</v>
      </c>
      <c r="Z106" s="75"/>
      <c r="AA106" s="76"/>
      <c r="AB106" s="74">
        <v>0</v>
      </c>
      <c r="AC106" s="75"/>
      <c r="AD106" s="76"/>
      <c r="AE106" s="74">
        <v>0</v>
      </c>
      <c r="AF106" s="75"/>
      <c r="AG106" s="76"/>
    </row>
    <row r="107" spans="1:33" ht="15.75" thickBot="1" x14ac:dyDescent="0.3">
      <c r="A107" s="68"/>
      <c r="B107" s="68"/>
      <c r="C107" s="106" t="s">
        <v>244</v>
      </c>
      <c r="D107" s="82">
        <v>0</v>
      </c>
      <c r="E107" s="82"/>
      <c r="F107" s="84"/>
      <c r="G107" s="85">
        <v>0</v>
      </c>
      <c r="H107" s="82"/>
      <c r="I107" s="84"/>
      <c r="J107" s="85">
        <v>0</v>
      </c>
      <c r="K107" s="82"/>
      <c r="L107" s="84"/>
      <c r="M107" s="85">
        <v>0</v>
      </c>
      <c r="N107" s="82"/>
      <c r="O107" s="82"/>
      <c r="P107" s="81">
        <v>0</v>
      </c>
      <c r="Q107" s="82"/>
      <c r="R107" s="83"/>
      <c r="S107" s="82">
        <v>0</v>
      </c>
      <c r="T107" s="82"/>
      <c r="U107" s="84"/>
      <c r="V107" s="85">
        <v>0</v>
      </c>
      <c r="W107" s="82"/>
      <c r="X107" s="84"/>
      <c r="Y107" s="85">
        <v>0</v>
      </c>
      <c r="Z107" s="82"/>
      <c r="AA107" s="84"/>
      <c r="AB107" s="85">
        <v>0</v>
      </c>
      <c r="AC107" s="82"/>
      <c r="AD107" s="84"/>
      <c r="AE107" s="85">
        <v>0</v>
      </c>
      <c r="AF107" s="82"/>
      <c r="AG107" s="84"/>
    </row>
    <row r="108" spans="1:33" ht="15.75" thickBot="1" x14ac:dyDescent="0.3">
      <c r="A108" s="68"/>
      <c r="B108" s="68"/>
      <c r="C108" s="107" t="s">
        <v>37</v>
      </c>
      <c r="D108" s="104"/>
      <c r="E108" s="86"/>
      <c r="F108" s="89"/>
      <c r="G108" s="86"/>
      <c r="H108" s="86"/>
      <c r="I108" s="89"/>
      <c r="J108" s="86"/>
      <c r="K108" s="86"/>
      <c r="L108" s="89"/>
      <c r="M108" s="86"/>
      <c r="N108" s="86"/>
      <c r="O108" s="89"/>
      <c r="P108" s="86"/>
      <c r="Q108" s="86"/>
      <c r="R108" s="89"/>
      <c r="S108" s="86"/>
      <c r="T108" s="86"/>
      <c r="U108" s="89"/>
      <c r="V108" s="86"/>
      <c r="W108" s="86"/>
      <c r="X108" s="89"/>
      <c r="Y108" s="86"/>
      <c r="Z108" s="86"/>
      <c r="AA108" s="89"/>
      <c r="AB108" s="86"/>
      <c r="AC108" s="86"/>
      <c r="AD108" s="89"/>
      <c r="AE108" s="86"/>
      <c r="AF108" s="86"/>
      <c r="AG108" s="89"/>
    </row>
    <row r="109" spans="1:33" ht="15.75" thickBot="1" x14ac:dyDescent="0.3">
      <c r="A109" s="68"/>
      <c r="B109" s="68"/>
      <c r="D109" s="87"/>
      <c r="E109" s="87"/>
      <c r="F109" s="90"/>
      <c r="G109" s="87"/>
      <c r="H109" s="87"/>
      <c r="I109" s="90"/>
      <c r="J109" s="87"/>
      <c r="K109" s="87"/>
      <c r="L109" s="90"/>
      <c r="M109" s="87"/>
      <c r="N109" s="87"/>
      <c r="O109" s="90"/>
      <c r="P109" s="87"/>
      <c r="Q109" s="87"/>
      <c r="R109" s="90"/>
      <c r="S109" s="87"/>
      <c r="T109" s="87"/>
      <c r="U109" s="90"/>
      <c r="V109" s="87"/>
      <c r="W109" s="87"/>
      <c r="X109" s="90"/>
      <c r="Y109" s="87"/>
      <c r="Z109" s="87"/>
      <c r="AA109" s="90"/>
      <c r="AB109" s="87"/>
      <c r="AC109" s="87"/>
      <c r="AD109" s="90"/>
      <c r="AE109" s="87"/>
      <c r="AF109" s="87"/>
      <c r="AG109" s="90"/>
    </row>
    <row r="110" spans="1:33" ht="15.75" thickBot="1" x14ac:dyDescent="0.3">
      <c r="A110" s="68"/>
      <c r="B110" s="68"/>
      <c r="D110" s="88"/>
      <c r="E110" s="88"/>
      <c r="F110" s="91"/>
      <c r="G110" s="88"/>
      <c r="H110" s="88"/>
      <c r="I110" s="91"/>
      <c r="J110" s="88"/>
      <c r="K110" s="88"/>
      <c r="L110" s="91"/>
      <c r="M110" s="88"/>
      <c r="N110" s="88"/>
      <c r="O110" s="91"/>
      <c r="P110" s="88"/>
      <c r="Q110" s="88"/>
      <c r="R110" s="91"/>
      <c r="S110" s="88"/>
      <c r="T110" s="88"/>
      <c r="U110" s="91"/>
      <c r="V110" s="88"/>
      <c r="W110" s="88"/>
      <c r="X110" s="91"/>
      <c r="Y110" s="88"/>
      <c r="Z110" s="88"/>
      <c r="AA110" s="91"/>
      <c r="AB110" s="88"/>
      <c r="AC110" s="88"/>
      <c r="AD110" s="91"/>
      <c r="AE110" s="88"/>
      <c r="AF110" s="88"/>
      <c r="AG110" s="91"/>
    </row>
    <row r="112" spans="1:33" ht="15.75" thickBot="1" x14ac:dyDescent="0.3"/>
    <row r="113" spans="1:33" ht="15.75" thickBot="1" x14ac:dyDescent="0.3">
      <c r="A113" s="68" t="s">
        <v>82</v>
      </c>
      <c r="B113" s="68"/>
      <c r="D113" s="52" t="s">
        <v>27</v>
      </c>
      <c r="E113" s="52"/>
      <c r="F113" s="52"/>
      <c r="G113" s="73" t="s">
        <v>28</v>
      </c>
      <c r="H113" s="73"/>
      <c r="I113" s="73"/>
      <c r="J113" s="52" t="s">
        <v>29</v>
      </c>
      <c r="K113" s="52"/>
      <c r="L113" s="52"/>
      <c r="M113" s="73" t="s">
        <v>30</v>
      </c>
      <c r="N113" s="73"/>
      <c r="O113" s="73"/>
      <c r="P113" s="52" t="s">
        <v>31</v>
      </c>
      <c r="Q113" s="52"/>
      <c r="R113" s="52"/>
      <c r="S113" s="73" t="s">
        <v>32</v>
      </c>
      <c r="T113" s="73"/>
      <c r="U113" s="73"/>
      <c r="V113" s="52" t="s">
        <v>33</v>
      </c>
      <c r="W113" s="52"/>
      <c r="X113" s="52"/>
      <c r="Y113" s="73" t="s">
        <v>34</v>
      </c>
      <c r="Z113" s="73"/>
      <c r="AA113" s="73"/>
      <c r="AB113" s="52" t="s">
        <v>35</v>
      </c>
      <c r="AC113" s="52"/>
      <c r="AD113" s="52"/>
      <c r="AE113" s="73" t="s">
        <v>36</v>
      </c>
      <c r="AF113" s="73"/>
      <c r="AG113" s="73"/>
    </row>
    <row r="114" spans="1:33" ht="15.75" thickBot="1" x14ac:dyDescent="0.3">
      <c r="A114" s="68"/>
      <c r="B114" s="68"/>
      <c r="C114" s="105" t="s">
        <v>243</v>
      </c>
      <c r="D114" s="75">
        <v>0</v>
      </c>
      <c r="E114" s="75"/>
      <c r="F114" s="76"/>
      <c r="G114" s="74">
        <v>0</v>
      </c>
      <c r="H114" s="75"/>
      <c r="I114" s="76"/>
      <c r="J114" s="74">
        <v>0</v>
      </c>
      <c r="K114" s="75"/>
      <c r="L114" s="76"/>
      <c r="M114" s="74">
        <v>0</v>
      </c>
      <c r="N114" s="75"/>
      <c r="O114" s="76"/>
      <c r="P114" s="74">
        <v>0</v>
      </c>
      <c r="Q114" s="75"/>
      <c r="R114" s="76"/>
      <c r="S114" s="74">
        <v>0</v>
      </c>
      <c r="T114" s="75"/>
      <c r="U114" s="76"/>
      <c r="V114" s="74">
        <v>0</v>
      </c>
      <c r="W114" s="75"/>
      <c r="X114" s="76"/>
      <c r="Y114" s="74">
        <v>0</v>
      </c>
      <c r="Z114" s="75"/>
      <c r="AA114" s="76"/>
      <c r="AB114" s="74">
        <v>0</v>
      </c>
      <c r="AC114" s="75"/>
      <c r="AD114" s="76"/>
      <c r="AE114" s="74">
        <v>0</v>
      </c>
      <c r="AF114" s="75"/>
      <c r="AG114" s="76"/>
    </row>
    <row r="115" spans="1:33" ht="15.75" thickBot="1" x14ac:dyDescent="0.3">
      <c r="A115" s="68"/>
      <c r="B115" s="68"/>
      <c r="C115" s="106" t="s">
        <v>244</v>
      </c>
      <c r="D115" s="82">
        <v>0</v>
      </c>
      <c r="E115" s="82"/>
      <c r="F115" s="84"/>
      <c r="G115" s="85">
        <v>0</v>
      </c>
      <c r="H115" s="82"/>
      <c r="I115" s="84"/>
      <c r="J115" s="85">
        <v>0</v>
      </c>
      <c r="K115" s="82"/>
      <c r="L115" s="84"/>
      <c r="M115" s="85">
        <v>0</v>
      </c>
      <c r="N115" s="82"/>
      <c r="O115" s="82"/>
      <c r="P115" s="81">
        <v>0</v>
      </c>
      <c r="Q115" s="82"/>
      <c r="R115" s="83"/>
      <c r="S115" s="82">
        <v>0</v>
      </c>
      <c r="T115" s="82"/>
      <c r="U115" s="84"/>
      <c r="V115" s="85">
        <v>0</v>
      </c>
      <c r="W115" s="82"/>
      <c r="X115" s="84"/>
      <c r="Y115" s="85">
        <v>0</v>
      </c>
      <c r="Z115" s="82"/>
      <c r="AA115" s="84"/>
      <c r="AB115" s="85">
        <v>0</v>
      </c>
      <c r="AC115" s="82"/>
      <c r="AD115" s="84"/>
      <c r="AE115" s="85">
        <v>0</v>
      </c>
      <c r="AF115" s="82"/>
      <c r="AG115" s="84"/>
    </row>
    <row r="116" spans="1:33" ht="15.75" thickBot="1" x14ac:dyDescent="0.3">
      <c r="A116" s="68"/>
      <c r="B116" s="68"/>
      <c r="C116" s="107" t="s">
        <v>37</v>
      </c>
      <c r="D116" s="104"/>
      <c r="E116" s="86"/>
      <c r="F116" s="89"/>
      <c r="G116" s="86"/>
      <c r="H116" s="86"/>
      <c r="I116" s="89"/>
      <c r="J116" s="86"/>
      <c r="K116" s="86"/>
      <c r="L116" s="89"/>
      <c r="M116" s="86"/>
      <c r="N116" s="86"/>
      <c r="O116" s="89"/>
      <c r="P116" s="86"/>
      <c r="Q116" s="86"/>
      <c r="R116" s="89"/>
      <c r="S116" s="86"/>
      <c r="T116" s="86"/>
      <c r="U116" s="89"/>
      <c r="V116" s="86"/>
      <c r="W116" s="86"/>
      <c r="X116" s="89"/>
      <c r="Y116" s="86"/>
      <c r="Z116" s="86"/>
      <c r="AA116" s="89"/>
      <c r="AB116" s="86"/>
      <c r="AC116" s="86"/>
      <c r="AD116" s="89"/>
      <c r="AE116" s="86"/>
      <c r="AF116" s="86"/>
      <c r="AG116" s="89"/>
    </row>
    <row r="117" spans="1:33" ht="15.75" thickBot="1" x14ac:dyDescent="0.3">
      <c r="A117" s="68"/>
      <c r="B117" s="68"/>
      <c r="D117" s="87"/>
      <c r="E117" s="87"/>
      <c r="F117" s="90"/>
      <c r="G117" s="87"/>
      <c r="H117" s="87"/>
      <c r="I117" s="90"/>
      <c r="J117" s="87"/>
      <c r="K117" s="87"/>
      <c r="L117" s="90"/>
      <c r="M117" s="87"/>
      <c r="N117" s="87"/>
      <c r="O117" s="90"/>
      <c r="P117" s="87"/>
      <c r="Q117" s="87"/>
      <c r="R117" s="90"/>
      <c r="S117" s="87"/>
      <c r="T117" s="87"/>
      <c r="U117" s="90"/>
      <c r="V117" s="87"/>
      <c r="W117" s="87"/>
      <c r="X117" s="90"/>
      <c r="Y117" s="87"/>
      <c r="Z117" s="87"/>
      <c r="AA117" s="90"/>
      <c r="AB117" s="87"/>
      <c r="AC117" s="87"/>
      <c r="AD117" s="90"/>
      <c r="AE117" s="87"/>
      <c r="AF117" s="87"/>
      <c r="AG117" s="90"/>
    </row>
    <row r="118" spans="1:33" ht="15.75" thickBot="1" x14ac:dyDescent="0.3">
      <c r="A118" s="68"/>
      <c r="B118" s="68"/>
      <c r="D118" s="88"/>
      <c r="E118" s="88"/>
      <c r="F118" s="91"/>
      <c r="G118" s="88"/>
      <c r="H118" s="88"/>
      <c r="I118" s="91"/>
      <c r="J118" s="88"/>
      <c r="K118" s="88"/>
      <c r="L118" s="91"/>
      <c r="M118" s="88"/>
      <c r="N118" s="88"/>
      <c r="O118" s="91"/>
      <c r="P118" s="88"/>
      <c r="Q118" s="88"/>
      <c r="R118" s="91"/>
      <c r="S118" s="88"/>
      <c r="T118" s="88"/>
      <c r="U118" s="91"/>
      <c r="V118" s="88"/>
      <c r="W118" s="88"/>
      <c r="X118" s="91"/>
      <c r="Y118" s="88"/>
      <c r="Z118" s="88"/>
      <c r="AA118" s="91"/>
      <c r="AB118" s="88"/>
      <c r="AC118" s="88"/>
      <c r="AD118" s="91"/>
      <c r="AE118" s="88"/>
      <c r="AF118" s="88"/>
      <c r="AG118" s="91"/>
    </row>
    <row r="120" spans="1:33" ht="15.75" thickBot="1" x14ac:dyDescent="0.3"/>
    <row r="121" spans="1:33" ht="15.75" thickBot="1" x14ac:dyDescent="0.3">
      <c r="A121" s="68" t="s">
        <v>86</v>
      </c>
      <c r="B121" s="68"/>
      <c r="D121" s="52" t="s">
        <v>27</v>
      </c>
      <c r="E121" s="52"/>
      <c r="F121" s="52"/>
      <c r="G121" s="73" t="s">
        <v>28</v>
      </c>
      <c r="H121" s="73"/>
      <c r="I121" s="73"/>
      <c r="J121" s="52" t="s">
        <v>29</v>
      </c>
      <c r="K121" s="52"/>
      <c r="L121" s="52"/>
      <c r="M121" s="73" t="s">
        <v>30</v>
      </c>
      <c r="N121" s="73"/>
      <c r="O121" s="73"/>
      <c r="P121" s="52" t="s">
        <v>31</v>
      </c>
      <c r="Q121" s="52"/>
      <c r="R121" s="52"/>
      <c r="S121" s="73" t="s">
        <v>32</v>
      </c>
      <c r="T121" s="73"/>
      <c r="U121" s="73"/>
      <c r="V121" s="52" t="s">
        <v>33</v>
      </c>
      <c r="W121" s="52"/>
      <c r="X121" s="52"/>
      <c r="Y121" s="73" t="s">
        <v>34</v>
      </c>
      <c r="Z121" s="73"/>
      <c r="AA121" s="73"/>
      <c r="AB121" s="52" t="s">
        <v>35</v>
      </c>
      <c r="AC121" s="52"/>
      <c r="AD121" s="52"/>
      <c r="AE121" s="73" t="s">
        <v>36</v>
      </c>
      <c r="AF121" s="73"/>
      <c r="AG121" s="73"/>
    </row>
    <row r="122" spans="1:33" ht="15.75" thickBot="1" x14ac:dyDescent="0.3">
      <c r="A122" s="68"/>
      <c r="B122" s="68"/>
      <c r="C122" s="105" t="s">
        <v>243</v>
      </c>
      <c r="D122" s="75">
        <v>0</v>
      </c>
      <c r="E122" s="75"/>
      <c r="F122" s="76"/>
      <c r="G122" s="74">
        <v>0</v>
      </c>
      <c r="H122" s="75"/>
      <c r="I122" s="76"/>
      <c r="J122" s="74">
        <v>0</v>
      </c>
      <c r="K122" s="75"/>
      <c r="L122" s="76"/>
      <c r="M122" s="74">
        <v>0</v>
      </c>
      <c r="N122" s="75"/>
      <c r="O122" s="76"/>
      <c r="P122" s="74">
        <v>0</v>
      </c>
      <c r="Q122" s="75"/>
      <c r="R122" s="76"/>
      <c r="S122" s="74">
        <v>0</v>
      </c>
      <c r="T122" s="75"/>
      <c r="U122" s="76"/>
      <c r="V122" s="74">
        <v>0</v>
      </c>
      <c r="W122" s="75"/>
      <c r="X122" s="76"/>
      <c r="Y122" s="74">
        <v>0</v>
      </c>
      <c r="Z122" s="75"/>
      <c r="AA122" s="76"/>
      <c r="AB122" s="74">
        <v>0</v>
      </c>
      <c r="AC122" s="75"/>
      <c r="AD122" s="76"/>
      <c r="AE122" s="74">
        <v>0</v>
      </c>
      <c r="AF122" s="75"/>
      <c r="AG122" s="76"/>
    </row>
    <row r="123" spans="1:33" ht="15.75" thickBot="1" x14ac:dyDescent="0.3">
      <c r="A123" s="68"/>
      <c r="B123" s="68"/>
      <c r="C123" s="106" t="s">
        <v>244</v>
      </c>
      <c r="D123" s="82">
        <v>0</v>
      </c>
      <c r="E123" s="82"/>
      <c r="F123" s="84"/>
      <c r="G123" s="85">
        <v>0</v>
      </c>
      <c r="H123" s="82"/>
      <c r="I123" s="84"/>
      <c r="J123" s="85">
        <v>0</v>
      </c>
      <c r="K123" s="82"/>
      <c r="L123" s="84"/>
      <c r="M123" s="85">
        <v>0</v>
      </c>
      <c r="N123" s="82"/>
      <c r="O123" s="82"/>
      <c r="P123" s="81">
        <v>0</v>
      </c>
      <c r="Q123" s="82"/>
      <c r="R123" s="83"/>
      <c r="S123" s="82">
        <v>0</v>
      </c>
      <c r="T123" s="82"/>
      <c r="U123" s="84"/>
      <c r="V123" s="85">
        <v>0</v>
      </c>
      <c r="W123" s="82"/>
      <c r="X123" s="84"/>
      <c r="Y123" s="85">
        <v>0</v>
      </c>
      <c r="Z123" s="82"/>
      <c r="AA123" s="84"/>
      <c r="AB123" s="85">
        <v>0</v>
      </c>
      <c r="AC123" s="82"/>
      <c r="AD123" s="84"/>
      <c r="AE123" s="85">
        <v>0</v>
      </c>
      <c r="AF123" s="82"/>
      <c r="AG123" s="84"/>
    </row>
    <row r="124" spans="1:33" ht="15.75" thickBot="1" x14ac:dyDescent="0.3">
      <c r="A124" s="68"/>
      <c r="B124" s="68"/>
      <c r="C124" s="107" t="s">
        <v>37</v>
      </c>
      <c r="D124" s="104"/>
      <c r="E124" s="86"/>
      <c r="F124" s="89"/>
      <c r="G124" s="86"/>
      <c r="H124" s="86"/>
      <c r="I124" s="89"/>
      <c r="J124" s="86"/>
      <c r="K124" s="86"/>
      <c r="L124" s="89"/>
      <c r="M124" s="86"/>
      <c r="N124" s="86"/>
      <c r="O124" s="89"/>
      <c r="P124" s="86"/>
      <c r="Q124" s="86"/>
      <c r="R124" s="89"/>
      <c r="S124" s="86"/>
      <c r="T124" s="86"/>
      <c r="U124" s="89"/>
      <c r="V124" s="86"/>
      <c r="W124" s="86"/>
      <c r="X124" s="89"/>
      <c r="Y124" s="86"/>
      <c r="Z124" s="86"/>
      <c r="AA124" s="89"/>
      <c r="AB124" s="86"/>
      <c r="AC124" s="86"/>
      <c r="AD124" s="89"/>
      <c r="AE124" s="86"/>
      <c r="AF124" s="86"/>
      <c r="AG124" s="89"/>
    </row>
    <row r="125" spans="1:33" ht="15.75" thickBot="1" x14ac:dyDescent="0.3">
      <c r="A125" s="68"/>
      <c r="B125" s="68"/>
      <c r="D125" s="87"/>
      <c r="E125" s="87"/>
      <c r="F125" s="90"/>
      <c r="G125" s="87"/>
      <c r="H125" s="87"/>
      <c r="I125" s="90"/>
      <c r="J125" s="87"/>
      <c r="K125" s="87"/>
      <c r="L125" s="90"/>
      <c r="M125" s="87"/>
      <c r="N125" s="87"/>
      <c r="O125" s="90"/>
      <c r="P125" s="87"/>
      <c r="Q125" s="87"/>
      <c r="R125" s="90"/>
      <c r="S125" s="87"/>
      <c r="T125" s="87"/>
      <c r="U125" s="90"/>
      <c r="V125" s="87"/>
      <c r="W125" s="87"/>
      <c r="X125" s="90"/>
      <c r="Y125" s="87"/>
      <c r="Z125" s="87"/>
      <c r="AA125" s="90"/>
      <c r="AB125" s="87"/>
      <c r="AC125" s="87"/>
      <c r="AD125" s="90"/>
      <c r="AE125" s="87"/>
      <c r="AF125" s="87"/>
      <c r="AG125" s="90"/>
    </row>
    <row r="126" spans="1:33" ht="15.75" thickBot="1" x14ac:dyDescent="0.3">
      <c r="A126" s="68"/>
      <c r="B126" s="68"/>
      <c r="D126" s="88"/>
      <c r="E126" s="88"/>
      <c r="F126" s="91"/>
      <c r="G126" s="88"/>
      <c r="H126" s="88"/>
      <c r="I126" s="91"/>
      <c r="J126" s="88"/>
      <c r="K126" s="88"/>
      <c r="L126" s="91"/>
      <c r="M126" s="88"/>
      <c r="N126" s="88"/>
      <c r="O126" s="91"/>
      <c r="P126" s="88"/>
      <c r="Q126" s="88"/>
      <c r="R126" s="91"/>
      <c r="S126" s="88"/>
      <c r="T126" s="88"/>
      <c r="U126" s="91"/>
      <c r="V126" s="88"/>
      <c r="W126" s="88"/>
      <c r="X126" s="91"/>
      <c r="Y126" s="88"/>
      <c r="Z126" s="88"/>
      <c r="AA126" s="91"/>
      <c r="AB126" s="88"/>
      <c r="AC126" s="88"/>
      <c r="AD126" s="91"/>
      <c r="AE126" s="88"/>
      <c r="AF126" s="88"/>
      <c r="AG126" s="91"/>
    </row>
    <row r="128" spans="1:33" ht="15.75" thickBot="1" x14ac:dyDescent="0.3"/>
    <row r="129" spans="1:33" ht="15.75" thickBot="1" x14ac:dyDescent="0.3">
      <c r="A129" s="68" t="s">
        <v>84</v>
      </c>
      <c r="B129" s="68"/>
      <c r="D129" s="52" t="s">
        <v>27</v>
      </c>
      <c r="E129" s="52"/>
      <c r="F129" s="52"/>
      <c r="G129" s="73" t="s">
        <v>28</v>
      </c>
      <c r="H129" s="73"/>
      <c r="I129" s="73"/>
      <c r="J129" s="52" t="s">
        <v>29</v>
      </c>
      <c r="K129" s="52"/>
      <c r="L129" s="52"/>
      <c r="M129" s="73" t="s">
        <v>30</v>
      </c>
      <c r="N129" s="73"/>
      <c r="O129" s="73"/>
      <c r="P129" s="52" t="s">
        <v>31</v>
      </c>
      <c r="Q129" s="52"/>
      <c r="R129" s="52"/>
      <c r="S129" s="73" t="s">
        <v>32</v>
      </c>
      <c r="T129" s="73"/>
      <c r="U129" s="73"/>
      <c r="V129" s="52" t="s">
        <v>33</v>
      </c>
      <c r="W129" s="52"/>
      <c r="X129" s="52"/>
      <c r="Y129" s="73" t="s">
        <v>34</v>
      </c>
      <c r="Z129" s="73"/>
      <c r="AA129" s="73"/>
      <c r="AB129" s="52" t="s">
        <v>35</v>
      </c>
      <c r="AC129" s="52"/>
      <c r="AD129" s="52"/>
      <c r="AE129" s="73" t="s">
        <v>36</v>
      </c>
      <c r="AF129" s="73"/>
      <c r="AG129" s="73"/>
    </row>
    <row r="130" spans="1:33" ht="15.75" thickBot="1" x14ac:dyDescent="0.3">
      <c r="A130" s="68"/>
      <c r="B130" s="68"/>
      <c r="C130" s="105" t="s">
        <v>243</v>
      </c>
      <c r="D130" s="75">
        <v>0</v>
      </c>
      <c r="E130" s="75"/>
      <c r="F130" s="76"/>
      <c r="G130" s="74">
        <v>0</v>
      </c>
      <c r="H130" s="75"/>
      <c r="I130" s="76"/>
      <c r="J130" s="74">
        <v>0</v>
      </c>
      <c r="K130" s="75"/>
      <c r="L130" s="76"/>
      <c r="M130" s="74">
        <v>0</v>
      </c>
      <c r="N130" s="75"/>
      <c r="O130" s="76"/>
      <c r="P130" s="74">
        <v>0</v>
      </c>
      <c r="Q130" s="75"/>
      <c r="R130" s="76"/>
      <c r="S130" s="74">
        <v>0</v>
      </c>
      <c r="T130" s="75"/>
      <c r="U130" s="76"/>
      <c r="V130" s="74">
        <v>0</v>
      </c>
      <c r="W130" s="75"/>
      <c r="X130" s="76"/>
      <c r="Y130" s="74">
        <v>0</v>
      </c>
      <c r="Z130" s="75"/>
      <c r="AA130" s="76"/>
      <c r="AB130" s="74">
        <v>0</v>
      </c>
      <c r="AC130" s="75"/>
      <c r="AD130" s="76"/>
      <c r="AE130" s="74">
        <v>0</v>
      </c>
      <c r="AF130" s="75"/>
      <c r="AG130" s="76"/>
    </row>
    <row r="131" spans="1:33" ht="15.75" thickBot="1" x14ac:dyDescent="0.3">
      <c r="A131" s="68"/>
      <c r="B131" s="68"/>
      <c r="C131" s="106" t="s">
        <v>244</v>
      </c>
      <c r="D131" s="82">
        <v>0</v>
      </c>
      <c r="E131" s="82"/>
      <c r="F131" s="84"/>
      <c r="G131" s="85">
        <v>0</v>
      </c>
      <c r="H131" s="82"/>
      <c r="I131" s="84"/>
      <c r="J131" s="85">
        <v>0</v>
      </c>
      <c r="K131" s="82"/>
      <c r="L131" s="84"/>
      <c r="M131" s="85">
        <v>0</v>
      </c>
      <c r="N131" s="82"/>
      <c r="O131" s="82"/>
      <c r="P131" s="81">
        <v>0</v>
      </c>
      <c r="Q131" s="82"/>
      <c r="R131" s="83"/>
      <c r="S131" s="82">
        <v>0</v>
      </c>
      <c r="T131" s="82"/>
      <c r="U131" s="84"/>
      <c r="V131" s="85">
        <v>0</v>
      </c>
      <c r="W131" s="82"/>
      <c r="X131" s="84"/>
      <c r="Y131" s="85">
        <v>0</v>
      </c>
      <c r="Z131" s="82"/>
      <c r="AA131" s="84"/>
      <c r="AB131" s="85">
        <v>0</v>
      </c>
      <c r="AC131" s="82"/>
      <c r="AD131" s="84"/>
      <c r="AE131" s="85">
        <v>0</v>
      </c>
      <c r="AF131" s="82"/>
      <c r="AG131" s="84"/>
    </row>
    <row r="132" spans="1:33" ht="15.75" thickBot="1" x14ac:dyDescent="0.3">
      <c r="A132" s="68"/>
      <c r="B132" s="68"/>
      <c r="C132" s="107" t="s">
        <v>37</v>
      </c>
      <c r="D132" s="104"/>
      <c r="E132" s="86"/>
      <c r="F132" s="89"/>
      <c r="G132" s="86"/>
      <c r="H132" s="86"/>
      <c r="I132" s="89"/>
      <c r="J132" s="86"/>
      <c r="K132" s="86"/>
      <c r="L132" s="89"/>
      <c r="M132" s="86"/>
      <c r="N132" s="86"/>
      <c r="O132" s="89"/>
      <c r="P132" s="86"/>
      <c r="Q132" s="86"/>
      <c r="R132" s="89"/>
      <c r="S132" s="86"/>
      <c r="T132" s="86"/>
      <c r="U132" s="89"/>
      <c r="V132" s="86"/>
      <c r="W132" s="86"/>
      <c r="X132" s="89"/>
      <c r="Y132" s="86"/>
      <c r="Z132" s="86"/>
      <c r="AA132" s="89"/>
      <c r="AB132" s="86"/>
      <c r="AC132" s="86"/>
      <c r="AD132" s="89"/>
      <c r="AE132" s="86"/>
      <c r="AF132" s="86"/>
      <c r="AG132" s="89"/>
    </row>
    <row r="133" spans="1:33" ht="15.75" thickBot="1" x14ac:dyDescent="0.3">
      <c r="A133" s="68"/>
      <c r="B133" s="68"/>
      <c r="D133" s="87"/>
      <c r="E133" s="87"/>
      <c r="F133" s="90"/>
      <c r="G133" s="87"/>
      <c r="H133" s="87"/>
      <c r="I133" s="90"/>
      <c r="J133" s="87"/>
      <c r="K133" s="87"/>
      <c r="L133" s="90"/>
      <c r="M133" s="87"/>
      <c r="N133" s="87"/>
      <c r="O133" s="90"/>
      <c r="P133" s="87"/>
      <c r="Q133" s="87"/>
      <c r="R133" s="90"/>
      <c r="S133" s="87"/>
      <c r="T133" s="87"/>
      <c r="U133" s="90"/>
      <c r="V133" s="87"/>
      <c r="W133" s="87"/>
      <c r="X133" s="90"/>
      <c r="Y133" s="87"/>
      <c r="Z133" s="87"/>
      <c r="AA133" s="90"/>
      <c r="AB133" s="87"/>
      <c r="AC133" s="87"/>
      <c r="AD133" s="90"/>
      <c r="AE133" s="87"/>
      <c r="AF133" s="87"/>
      <c r="AG133" s="90"/>
    </row>
    <row r="134" spans="1:33" ht="15.75" thickBot="1" x14ac:dyDescent="0.3">
      <c r="A134" s="68"/>
      <c r="B134" s="68"/>
      <c r="D134" s="88"/>
      <c r="E134" s="88"/>
      <c r="F134" s="91"/>
      <c r="G134" s="88"/>
      <c r="H134" s="88"/>
      <c r="I134" s="91"/>
      <c r="J134" s="88"/>
      <c r="K134" s="88"/>
      <c r="L134" s="91"/>
      <c r="M134" s="88"/>
      <c r="N134" s="88"/>
      <c r="O134" s="91"/>
      <c r="P134" s="88"/>
      <c r="Q134" s="88"/>
      <c r="R134" s="91"/>
      <c r="S134" s="88"/>
      <c r="T134" s="88"/>
      <c r="U134" s="91"/>
      <c r="V134" s="88"/>
      <c r="W134" s="88"/>
      <c r="X134" s="91"/>
      <c r="Y134" s="88"/>
      <c r="Z134" s="88"/>
      <c r="AA134" s="91"/>
      <c r="AB134" s="88"/>
      <c r="AC134" s="88"/>
      <c r="AD134" s="91"/>
      <c r="AE134" s="88"/>
      <c r="AF134" s="88"/>
      <c r="AG134" s="91"/>
    </row>
    <row r="136" spans="1:33" ht="15.75" thickBot="1" x14ac:dyDescent="0.3"/>
    <row r="137" spans="1:33" ht="15.75" thickBot="1" x14ac:dyDescent="0.3">
      <c r="A137" s="68" t="s">
        <v>85</v>
      </c>
      <c r="B137" s="68"/>
      <c r="D137" s="52" t="s">
        <v>27</v>
      </c>
      <c r="E137" s="52"/>
      <c r="F137" s="52"/>
      <c r="G137" s="73" t="s">
        <v>28</v>
      </c>
      <c r="H137" s="73"/>
      <c r="I137" s="73"/>
      <c r="J137" s="52" t="s">
        <v>29</v>
      </c>
      <c r="K137" s="52"/>
      <c r="L137" s="52"/>
      <c r="M137" s="73" t="s">
        <v>30</v>
      </c>
      <c r="N137" s="73"/>
      <c r="O137" s="73"/>
      <c r="P137" s="52" t="s">
        <v>31</v>
      </c>
      <c r="Q137" s="52"/>
      <c r="R137" s="52"/>
      <c r="S137" s="73" t="s">
        <v>32</v>
      </c>
      <c r="T137" s="73"/>
      <c r="U137" s="73"/>
      <c r="V137" s="52" t="s">
        <v>33</v>
      </c>
      <c r="W137" s="52"/>
      <c r="X137" s="52"/>
      <c r="Y137" s="73" t="s">
        <v>34</v>
      </c>
      <c r="Z137" s="73"/>
      <c r="AA137" s="73"/>
      <c r="AB137" s="52" t="s">
        <v>35</v>
      </c>
      <c r="AC137" s="52"/>
      <c r="AD137" s="52"/>
      <c r="AE137" s="73" t="s">
        <v>36</v>
      </c>
      <c r="AF137" s="73"/>
      <c r="AG137" s="73"/>
    </row>
    <row r="138" spans="1:33" ht="15.75" thickBot="1" x14ac:dyDescent="0.3">
      <c r="A138" s="68"/>
      <c r="B138" s="68"/>
      <c r="C138" s="105" t="s">
        <v>243</v>
      </c>
      <c r="D138" s="75">
        <v>0</v>
      </c>
      <c r="E138" s="75"/>
      <c r="F138" s="76"/>
      <c r="G138" s="74">
        <v>0</v>
      </c>
      <c r="H138" s="75"/>
      <c r="I138" s="76"/>
      <c r="J138" s="74">
        <v>0</v>
      </c>
      <c r="K138" s="75"/>
      <c r="L138" s="76"/>
      <c r="M138" s="74">
        <v>0</v>
      </c>
      <c r="N138" s="75"/>
      <c r="O138" s="76"/>
      <c r="P138" s="74">
        <v>0</v>
      </c>
      <c r="Q138" s="75"/>
      <c r="R138" s="76"/>
      <c r="S138" s="74">
        <v>0</v>
      </c>
      <c r="T138" s="75"/>
      <c r="U138" s="76"/>
      <c r="V138" s="74">
        <v>0</v>
      </c>
      <c r="W138" s="75"/>
      <c r="X138" s="76"/>
      <c r="Y138" s="74">
        <v>0</v>
      </c>
      <c r="Z138" s="75"/>
      <c r="AA138" s="76"/>
      <c r="AB138" s="74">
        <v>0</v>
      </c>
      <c r="AC138" s="75"/>
      <c r="AD138" s="76"/>
      <c r="AE138" s="74">
        <v>0</v>
      </c>
      <c r="AF138" s="75"/>
      <c r="AG138" s="76"/>
    </row>
    <row r="139" spans="1:33" ht="15.75" thickBot="1" x14ac:dyDescent="0.3">
      <c r="A139" s="68"/>
      <c r="B139" s="68"/>
      <c r="C139" s="106" t="s">
        <v>244</v>
      </c>
      <c r="D139" s="82">
        <v>0</v>
      </c>
      <c r="E139" s="82"/>
      <c r="F139" s="84"/>
      <c r="G139" s="85">
        <v>0</v>
      </c>
      <c r="H139" s="82"/>
      <c r="I139" s="84"/>
      <c r="J139" s="85">
        <v>0</v>
      </c>
      <c r="K139" s="82"/>
      <c r="L139" s="84"/>
      <c r="M139" s="85">
        <v>0</v>
      </c>
      <c r="N139" s="82"/>
      <c r="O139" s="82"/>
      <c r="P139" s="81">
        <v>0</v>
      </c>
      <c r="Q139" s="82"/>
      <c r="R139" s="83"/>
      <c r="S139" s="82">
        <v>0</v>
      </c>
      <c r="T139" s="82"/>
      <c r="U139" s="84"/>
      <c r="V139" s="85">
        <v>0</v>
      </c>
      <c r="W139" s="82"/>
      <c r="X139" s="84"/>
      <c r="Y139" s="85">
        <v>0</v>
      </c>
      <c r="Z139" s="82"/>
      <c r="AA139" s="84"/>
      <c r="AB139" s="85">
        <v>0</v>
      </c>
      <c r="AC139" s="82"/>
      <c r="AD139" s="84"/>
      <c r="AE139" s="85">
        <v>0</v>
      </c>
      <c r="AF139" s="82"/>
      <c r="AG139" s="84"/>
    </row>
    <row r="140" spans="1:33" ht="15.75" thickBot="1" x14ac:dyDescent="0.3">
      <c r="A140" s="68"/>
      <c r="B140" s="68"/>
      <c r="C140" s="107" t="s">
        <v>37</v>
      </c>
      <c r="D140" s="104"/>
      <c r="E140" s="86"/>
      <c r="F140" s="89"/>
      <c r="G140" s="86"/>
      <c r="H140" s="86"/>
      <c r="I140" s="89"/>
      <c r="J140" s="86"/>
      <c r="K140" s="86"/>
      <c r="L140" s="89"/>
      <c r="M140" s="86"/>
      <c r="N140" s="86"/>
      <c r="O140" s="89"/>
      <c r="P140" s="86"/>
      <c r="Q140" s="86"/>
      <c r="R140" s="89"/>
      <c r="S140" s="86"/>
      <c r="T140" s="86"/>
      <c r="U140" s="89"/>
      <c r="V140" s="86"/>
      <c r="W140" s="86"/>
      <c r="X140" s="89"/>
      <c r="Y140" s="86"/>
      <c r="Z140" s="86"/>
      <c r="AA140" s="89"/>
      <c r="AB140" s="86"/>
      <c r="AC140" s="86"/>
      <c r="AD140" s="89"/>
      <c r="AE140" s="86"/>
      <c r="AF140" s="86"/>
      <c r="AG140" s="89"/>
    </row>
    <row r="141" spans="1:33" ht="15.75" thickBot="1" x14ac:dyDescent="0.3">
      <c r="A141" s="68"/>
      <c r="B141" s="68"/>
      <c r="D141" s="87"/>
      <c r="E141" s="87"/>
      <c r="F141" s="90"/>
      <c r="G141" s="87"/>
      <c r="H141" s="87"/>
      <c r="I141" s="90"/>
      <c r="J141" s="87"/>
      <c r="K141" s="87"/>
      <c r="L141" s="90"/>
      <c r="M141" s="87"/>
      <c r="N141" s="87"/>
      <c r="O141" s="90"/>
      <c r="P141" s="87"/>
      <c r="Q141" s="87"/>
      <c r="R141" s="90"/>
      <c r="S141" s="87"/>
      <c r="T141" s="87"/>
      <c r="U141" s="90"/>
      <c r="V141" s="87"/>
      <c r="W141" s="87"/>
      <c r="X141" s="90"/>
      <c r="Y141" s="87"/>
      <c r="Z141" s="87"/>
      <c r="AA141" s="90"/>
      <c r="AB141" s="87"/>
      <c r="AC141" s="87"/>
      <c r="AD141" s="90"/>
      <c r="AE141" s="87"/>
      <c r="AF141" s="87"/>
      <c r="AG141" s="90"/>
    </row>
    <row r="142" spans="1:33" ht="15.75" thickBot="1" x14ac:dyDescent="0.3">
      <c r="A142" s="68"/>
      <c r="B142" s="68"/>
      <c r="D142" s="88"/>
      <c r="E142" s="88"/>
      <c r="F142" s="91"/>
      <c r="G142" s="88"/>
      <c r="H142" s="88"/>
      <c r="I142" s="91"/>
      <c r="J142" s="88"/>
      <c r="K142" s="88"/>
      <c r="L142" s="91"/>
      <c r="M142" s="88"/>
      <c r="N142" s="88"/>
      <c r="O142" s="91"/>
      <c r="P142" s="88"/>
      <c r="Q142" s="88"/>
      <c r="R142" s="91"/>
      <c r="S142" s="88"/>
      <c r="T142" s="88"/>
      <c r="U142" s="91"/>
      <c r="V142" s="88"/>
      <c r="W142" s="88"/>
      <c r="X142" s="91"/>
      <c r="Y142" s="88"/>
      <c r="Z142" s="88"/>
      <c r="AA142" s="91"/>
      <c r="AB142" s="88"/>
      <c r="AC142" s="88"/>
      <c r="AD142" s="91"/>
      <c r="AE142" s="88"/>
      <c r="AF142" s="88"/>
      <c r="AG142" s="91"/>
    </row>
    <row r="144" spans="1:33" ht="15.75" thickBot="1" x14ac:dyDescent="0.3"/>
    <row r="145" spans="1:33" ht="15.75" thickBot="1" x14ac:dyDescent="0.3">
      <c r="A145" s="68" t="s">
        <v>253</v>
      </c>
      <c r="B145" s="68"/>
      <c r="D145" s="52" t="s">
        <v>27</v>
      </c>
      <c r="E145" s="52"/>
      <c r="F145" s="52"/>
      <c r="G145" s="73" t="s">
        <v>28</v>
      </c>
      <c r="H145" s="73"/>
      <c r="I145" s="73"/>
      <c r="J145" s="52" t="s">
        <v>29</v>
      </c>
      <c r="K145" s="52"/>
      <c r="L145" s="52"/>
      <c r="M145" s="73" t="s">
        <v>30</v>
      </c>
      <c r="N145" s="73"/>
      <c r="O145" s="73"/>
      <c r="P145" s="52" t="s">
        <v>31</v>
      </c>
      <c r="Q145" s="52"/>
      <c r="R145" s="52"/>
      <c r="S145" s="73" t="s">
        <v>32</v>
      </c>
      <c r="T145" s="73"/>
      <c r="U145" s="73"/>
      <c r="V145" s="52" t="s">
        <v>33</v>
      </c>
      <c r="W145" s="52"/>
      <c r="X145" s="52"/>
      <c r="Y145" s="73" t="s">
        <v>34</v>
      </c>
      <c r="Z145" s="73"/>
      <c r="AA145" s="73"/>
      <c r="AB145" s="52" t="s">
        <v>35</v>
      </c>
      <c r="AC145" s="52"/>
      <c r="AD145" s="52"/>
      <c r="AE145" s="73" t="s">
        <v>36</v>
      </c>
      <c r="AF145" s="73"/>
      <c r="AG145" s="73"/>
    </row>
    <row r="146" spans="1:33" ht="15.75" thickBot="1" x14ac:dyDescent="0.3">
      <c r="A146" s="68"/>
      <c r="B146" s="68"/>
      <c r="C146" s="105" t="s">
        <v>243</v>
      </c>
      <c r="D146" s="75">
        <v>0</v>
      </c>
      <c r="E146" s="75"/>
      <c r="F146" s="76"/>
      <c r="G146" s="74">
        <v>0</v>
      </c>
      <c r="H146" s="75"/>
      <c r="I146" s="76"/>
      <c r="J146" s="74">
        <v>0</v>
      </c>
      <c r="K146" s="75"/>
      <c r="L146" s="76"/>
      <c r="M146" s="74">
        <v>0</v>
      </c>
      <c r="N146" s="75"/>
      <c r="O146" s="76"/>
      <c r="P146" s="74">
        <v>0</v>
      </c>
      <c r="Q146" s="75"/>
      <c r="R146" s="76"/>
      <c r="S146" s="74">
        <v>0</v>
      </c>
      <c r="T146" s="75"/>
      <c r="U146" s="76"/>
      <c r="V146" s="74">
        <v>0</v>
      </c>
      <c r="W146" s="75"/>
      <c r="X146" s="76"/>
      <c r="Y146" s="74">
        <v>0</v>
      </c>
      <c r="Z146" s="75"/>
      <c r="AA146" s="76"/>
      <c r="AB146" s="74">
        <v>0</v>
      </c>
      <c r="AC146" s="75"/>
      <c r="AD146" s="76"/>
      <c r="AE146" s="74">
        <v>0</v>
      </c>
      <c r="AF146" s="75"/>
      <c r="AG146" s="76"/>
    </row>
    <row r="147" spans="1:33" ht="15.75" thickBot="1" x14ac:dyDescent="0.3">
      <c r="A147" s="68"/>
      <c r="B147" s="68"/>
      <c r="C147" s="106" t="s">
        <v>244</v>
      </c>
      <c r="D147" s="82">
        <v>0</v>
      </c>
      <c r="E147" s="82"/>
      <c r="F147" s="84"/>
      <c r="G147" s="85">
        <v>0</v>
      </c>
      <c r="H147" s="82"/>
      <c r="I147" s="84"/>
      <c r="J147" s="85">
        <v>0</v>
      </c>
      <c r="K147" s="82"/>
      <c r="L147" s="84"/>
      <c r="M147" s="85">
        <v>0</v>
      </c>
      <c r="N147" s="82"/>
      <c r="O147" s="82"/>
      <c r="P147" s="81">
        <v>0</v>
      </c>
      <c r="Q147" s="82"/>
      <c r="R147" s="83"/>
      <c r="S147" s="82">
        <v>0</v>
      </c>
      <c r="T147" s="82"/>
      <c r="U147" s="84"/>
      <c r="V147" s="85">
        <v>0</v>
      </c>
      <c r="W147" s="82"/>
      <c r="X147" s="84"/>
      <c r="Y147" s="85">
        <v>0</v>
      </c>
      <c r="Z147" s="82"/>
      <c r="AA147" s="84"/>
      <c r="AB147" s="85">
        <v>0</v>
      </c>
      <c r="AC147" s="82"/>
      <c r="AD147" s="84"/>
      <c r="AE147" s="85">
        <v>0</v>
      </c>
      <c r="AF147" s="82"/>
      <c r="AG147" s="84"/>
    </row>
    <row r="148" spans="1:33" ht="15.75" thickBot="1" x14ac:dyDescent="0.3">
      <c r="A148" s="68"/>
      <c r="B148" s="68"/>
      <c r="C148" s="107" t="s">
        <v>37</v>
      </c>
      <c r="D148" s="104"/>
      <c r="E148" s="86"/>
      <c r="F148" s="89"/>
      <c r="G148" s="86"/>
      <c r="H148" s="86"/>
      <c r="I148" s="89"/>
      <c r="J148" s="86"/>
      <c r="K148" s="86"/>
      <c r="L148" s="89"/>
      <c r="M148" s="86"/>
      <c r="N148" s="86"/>
      <c r="O148" s="89"/>
      <c r="P148" s="86"/>
      <c r="Q148" s="86"/>
      <c r="R148" s="89"/>
      <c r="S148" s="86"/>
      <c r="T148" s="86"/>
      <c r="U148" s="89"/>
      <c r="V148" s="86"/>
      <c r="W148" s="86"/>
      <c r="X148" s="89"/>
      <c r="Y148" s="86"/>
      <c r="Z148" s="86"/>
      <c r="AA148" s="89"/>
      <c r="AB148" s="86"/>
      <c r="AC148" s="86"/>
      <c r="AD148" s="89"/>
      <c r="AE148" s="86"/>
      <c r="AF148" s="86"/>
      <c r="AG148" s="89"/>
    </row>
    <row r="149" spans="1:33" ht="15.75" thickBot="1" x14ac:dyDescent="0.3">
      <c r="A149" s="68"/>
      <c r="B149" s="68"/>
      <c r="D149" s="87"/>
      <c r="E149" s="87"/>
      <c r="F149" s="90"/>
      <c r="G149" s="87"/>
      <c r="H149" s="87"/>
      <c r="I149" s="90"/>
      <c r="J149" s="87"/>
      <c r="K149" s="87"/>
      <c r="L149" s="90"/>
      <c r="M149" s="87"/>
      <c r="N149" s="87"/>
      <c r="O149" s="90"/>
      <c r="P149" s="87"/>
      <c r="Q149" s="87"/>
      <c r="R149" s="90"/>
      <c r="S149" s="87"/>
      <c r="T149" s="87"/>
      <c r="U149" s="90"/>
      <c r="V149" s="87"/>
      <c r="W149" s="87"/>
      <c r="X149" s="90"/>
      <c r="Y149" s="87"/>
      <c r="Z149" s="87"/>
      <c r="AA149" s="90"/>
      <c r="AB149" s="87"/>
      <c r="AC149" s="87"/>
      <c r="AD149" s="90"/>
      <c r="AE149" s="87"/>
      <c r="AF149" s="87"/>
      <c r="AG149" s="90"/>
    </row>
    <row r="150" spans="1:33" ht="15.75" thickBot="1" x14ac:dyDescent="0.3">
      <c r="A150" s="68"/>
      <c r="B150" s="68"/>
      <c r="D150" s="88"/>
      <c r="E150" s="88"/>
      <c r="F150" s="91"/>
      <c r="G150" s="88"/>
      <c r="H150" s="88"/>
      <c r="I150" s="91"/>
      <c r="J150" s="88"/>
      <c r="K150" s="88"/>
      <c r="L150" s="91"/>
      <c r="M150" s="88"/>
      <c r="N150" s="88"/>
      <c r="O150" s="91"/>
      <c r="P150" s="88"/>
      <c r="Q150" s="88"/>
      <c r="R150" s="91"/>
      <c r="S150" s="88"/>
      <c r="T150" s="88"/>
      <c r="U150" s="91"/>
      <c r="V150" s="88"/>
      <c r="W150" s="88"/>
      <c r="X150" s="91"/>
      <c r="Y150" s="88"/>
      <c r="Z150" s="88"/>
      <c r="AA150" s="91"/>
      <c r="AB150" s="88"/>
      <c r="AC150" s="88"/>
      <c r="AD150" s="91"/>
      <c r="AE150" s="88"/>
      <c r="AF150" s="88"/>
      <c r="AG150" s="91"/>
    </row>
    <row r="152" spans="1:33" ht="15.75" thickBot="1" x14ac:dyDescent="0.3"/>
    <row r="153" spans="1:33" ht="15.75" thickBot="1" x14ac:dyDescent="0.3">
      <c r="A153" s="68" t="s">
        <v>254</v>
      </c>
      <c r="B153" s="68"/>
      <c r="D153" s="52" t="s">
        <v>27</v>
      </c>
      <c r="E153" s="52"/>
      <c r="F153" s="52"/>
      <c r="G153" s="73" t="s">
        <v>28</v>
      </c>
      <c r="H153" s="73"/>
      <c r="I153" s="73"/>
      <c r="J153" s="52" t="s">
        <v>29</v>
      </c>
      <c r="K153" s="52"/>
      <c r="L153" s="52"/>
      <c r="M153" s="73" t="s">
        <v>30</v>
      </c>
      <c r="N153" s="73"/>
      <c r="O153" s="73"/>
      <c r="P153" s="52" t="s">
        <v>31</v>
      </c>
      <c r="Q153" s="52"/>
      <c r="R153" s="52"/>
      <c r="S153" s="73" t="s">
        <v>32</v>
      </c>
      <c r="T153" s="73"/>
      <c r="U153" s="73"/>
      <c r="V153" s="52" t="s">
        <v>33</v>
      </c>
      <c r="W153" s="52"/>
      <c r="X153" s="52"/>
      <c r="Y153" s="73" t="s">
        <v>34</v>
      </c>
      <c r="Z153" s="73"/>
      <c r="AA153" s="73"/>
      <c r="AB153" s="52" t="s">
        <v>35</v>
      </c>
      <c r="AC153" s="52"/>
      <c r="AD153" s="52"/>
      <c r="AE153" s="73" t="s">
        <v>36</v>
      </c>
      <c r="AF153" s="73"/>
      <c r="AG153" s="73"/>
    </row>
    <row r="154" spans="1:33" ht="15.75" thickBot="1" x14ac:dyDescent="0.3">
      <c r="A154" s="68"/>
      <c r="B154" s="68"/>
      <c r="C154" s="105" t="s">
        <v>243</v>
      </c>
      <c r="D154" s="75">
        <v>0</v>
      </c>
      <c r="E154" s="75"/>
      <c r="F154" s="76"/>
      <c r="G154" s="74">
        <v>0</v>
      </c>
      <c r="H154" s="75"/>
      <c r="I154" s="76"/>
      <c r="J154" s="74">
        <v>0</v>
      </c>
      <c r="K154" s="75"/>
      <c r="L154" s="76"/>
      <c r="M154" s="74">
        <v>0</v>
      </c>
      <c r="N154" s="75"/>
      <c r="O154" s="76"/>
      <c r="P154" s="74">
        <v>0</v>
      </c>
      <c r="Q154" s="75"/>
      <c r="R154" s="76"/>
      <c r="S154" s="74">
        <v>0</v>
      </c>
      <c r="T154" s="75"/>
      <c r="U154" s="76"/>
      <c r="V154" s="74">
        <v>0</v>
      </c>
      <c r="W154" s="75"/>
      <c r="X154" s="76"/>
      <c r="Y154" s="74">
        <v>0</v>
      </c>
      <c r="Z154" s="75"/>
      <c r="AA154" s="76"/>
      <c r="AB154" s="74">
        <v>0</v>
      </c>
      <c r="AC154" s="75"/>
      <c r="AD154" s="76"/>
      <c r="AE154" s="74">
        <v>0</v>
      </c>
      <c r="AF154" s="75"/>
      <c r="AG154" s="76"/>
    </row>
    <row r="155" spans="1:33" ht="15.75" thickBot="1" x14ac:dyDescent="0.3">
      <c r="A155" s="68"/>
      <c r="B155" s="68"/>
      <c r="C155" s="106" t="s">
        <v>244</v>
      </c>
      <c r="D155" s="82">
        <v>0</v>
      </c>
      <c r="E155" s="82"/>
      <c r="F155" s="84"/>
      <c r="G155" s="85">
        <v>0</v>
      </c>
      <c r="H155" s="82"/>
      <c r="I155" s="84"/>
      <c r="J155" s="85">
        <v>0</v>
      </c>
      <c r="K155" s="82"/>
      <c r="L155" s="84"/>
      <c r="M155" s="85">
        <v>0</v>
      </c>
      <c r="N155" s="82"/>
      <c r="O155" s="82"/>
      <c r="P155" s="81">
        <v>0</v>
      </c>
      <c r="Q155" s="82"/>
      <c r="R155" s="83"/>
      <c r="S155" s="82">
        <v>0</v>
      </c>
      <c r="T155" s="82"/>
      <c r="U155" s="84"/>
      <c r="V155" s="85">
        <v>0</v>
      </c>
      <c r="W155" s="82"/>
      <c r="X155" s="84"/>
      <c r="Y155" s="85">
        <v>0</v>
      </c>
      <c r="Z155" s="82"/>
      <c r="AA155" s="84"/>
      <c r="AB155" s="85">
        <v>0</v>
      </c>
      <c r="AC155" s="82"/>
      <c r="AD155" s="84"/>
      <c r="AE155" s="85">
        <v>0</v>
      </c>
      <c r="AF155" s="82"/>
      <c r="AG155" s="84"/>
    </row>
    <row r="156" spans="1:33" ht="15.75" thickBot="1" x14ac:dyDescent="0.3">
      <c r="A156" s="68"/>
      <c r="B156" s="68"/>
      <c r="C156" s="107" t="s">
        <v>37</v>
      </c>
      <c r="D156" s="104"/>
      <c r="E156" s="86"/>
      <c r="F156" s="89"/>
      <c r="G156" s="86"/>
      <c r="H156" s="86"/>
      <c r="I156" s="89"/>
      <c r="J156" s="86"/>
      <c r="K156" s="86"/>
      <c r="L156" s="89"/>
      <c r="M156" s="86"/>
      <c r="N156" s="86"/>
      <c r="O156" s="89"/>
      <c r="P156" s="86"/>
      <c r="Q156" s="86"/>
      <c r="R156" s="89"/>
      <c r="S156" s="86"/>
      <c r="T156" s="86"/>
      <c r="U156" s="89"/>
      <c r="V156" s="86"/>
      <c r="W156" s="86"/>
      <c r="X156" s="89"/>
      <c r="Y156" s="86"/>
      <c r="Z156" s="86"/>
      <c r="AA156" s="89"/>
      <c r="AB156" s="86"/>
      <c r="AC156" s="86"/>
      <c r="AD156" s="89"/>
      <c r="AE156" s="86"/>
      <c r="AF156" s="86"/>
      <c r="AG156" s="89"/>
    </row>
    <row r="157" spans="1:33" ht="15.75" thickBot="1" x14ac:dyDescent="0.3">
      <c r="A157" s="68"/>
      <c r="B157" s="68"/>
      <c r="D157" s="87"/>
      <c r="E157" s="87"/>
      <c r="F157" s="90"/>
      <c r="G157" s="87"/>
      <c r="H157" s="87"/>
      <c r="I157" s="90"/>
      <c r="J157" s="87"/>
      <c r="K157" s="87"/>
      <c r="L157" s="90"/>
      <c r="M157" s="87"/>
      <c r="N157" s="87"/>
      <c r="O157" s="90"/>
      <c r="P157" s="87"/>
      <c r="Q157" s="87"/>
      <c r="R157" s="90"/>
      <c r="S157" s="87"/>
      <c r="T157" s="87"/>
      <c r="U157" s="90"/>
      <c r="V157" s="87"/>
      <c r="W157" s="87"/>
      <c r="X157" s="90"/>
      <c r="Y157" s="87"/>
      <c r="Z157" s="87"/>
      <c r="AA157" s="90"/>
      <c r="AB157" s="87"/>
      <c r="AC157" s="87"/>
      <c r="AD157" s="90"/>
      <c r="AE157" s="87"/>
      <c r="AF157" s="87"/>
      <c r="AG157" s="90"/>
    </row>
    <row r="158" spans="1:33" ht="15.75" thickBot="1" x14ac:dyDescent="0.3">
      <c r="A158" s="68"/>
      <c r="B158" s="68"/>
      <c r="D158" s="88"/>
      <c r="E158" s="88"/>
      <c r="F158" s="91"/>
      <c r="G158" s="88"/>
      <c r="H158" s="88"/>
      <c r="I158" s="91"/>
      <c r="J158" s="88"/>
      <c r="K158" s="88"/>
      <c r="L158" s="91"/>
      <c r="M158" s="88"/>
      <c r="N158" s="88"/>
      <c r="O158" s="91"/>
      <c r="P158" s="88"/>
      <c r="Q158" s="88"/>
      <c r="R158" s="91"/>
      <c r="S158" s="88"/>
      <c r="T158" s="88"/>
      <c r="U158" s="91"/>
      <c r="V158" s="88"/>
      <c r="W158" s="88"/>
      <c r="X158" s="91"/>
      <c r="Y158" s="88"/>
      <c r="Z158" s="88"/>
      <c r="AA158" s="91"/>
      <c r="AB158" s="88"/>
      <c r="AC158" s="88"/>
      <c r="AD158" s="91"/>
      <c r="AE158" s="88"/>
      <c r="AF158" s="88"/>
      <c r="AG158" s="91"/>
    </row>
    <row r="160" spans="1:33" ht="15.75" thickBot="1" x14ac:dyDescent="0.3"/>
    <row r="161" spans="1:33" ht="15.75" thickBot="1" x14ac:dyDescent="0.3">
      <c r="A161" s="68" t="s">
        <v>255</v>
      </c>
      <c r="B161" s="68"/>
      <c r="D161" s="52" t="s">
        <v>27</v>
      </c>
      <c r="E161" s="52"/>
      <c r="F161" s="52"/>
      <c r="G161" s="73" t="s">
        <v>28</v>
      </c>
      <c r="H161" s="73"/>
      <c r="I161" s="73"/>
      <c r="J161" s="52" t="s">
        <v>29</v>
      </c>
      <c r="K161" s="52"/>
      <c r="L161" s="52"/>
      <c r="M161" s="73" t="s">
        <v>30</v>
      </c>
      <c r="N161" s="73"/>
      <c r="O161" s="73"/>
      <c r="P161" s="52" t="s">
        <v>31</v>
      </c>
      <c r="Q161" s="52"/>
      <c r="R161" s="52"/>
      <c r="S161" s="73" t="s">
        <v>32</v>
      </c>
      <c r="T161" s="73"/>
      <c r="U161" s="73"/>
      <c r="V161" s="52" t="s">
        <v>33</v>
      </c>
      <c r="W161" s="52"/>
      <c r="X161" s="52"/>
      <c r="Y161" s="73" t="s">
        <v>34</v>
      </c>
      <c r="Z161" s="73"/>
      <c r="AA161" s="73"/>
      <c r="AB161" s="52" t="s">
        <v>35</v>
      </c>
      <c r="AC161" s="52"/>
      <c r="AD161" s="52"/>
      <c r="AE161" s="73" t="s">
        <v>36</v>
      </c>
      <c r="AF161" s="73"/>
      <c r="AG161" s="73"/>
    </row>
    <row r="162" spans="1:33" ht="15.75" thickBot="1" x14ac:dyDescent="0.3">
      <c r="A162" s="68"/>
      <c r="B162" s="68"/>
      <c r="C162" s="105" t="s">
        <v>243</v>
      </c>
      <c r="D162" s="75">
        <v>0</v>
      </c>
      <c r="E162" s="75"/>
      <c r="F162" s="76"/>
      <c r="G162" s="74">
        <v>0</v>
      </c>
      <c r="H162" s="75"/>
      <c r="I162" s="76"/>
      <c r="J162" s="74">
        <v>0</v>
      </c>
      <c r="K162" s="75"/>
      <c r="L162" s="76"/>
      <c r="M162" s="74">
        <v>0</v>
      </c>
      <c r="N162" s="75"/>
      <c r="O162" s="76"/>
      <c r="P162" s="74">
        <v>0</v>
      </c>
      <c r="Q162" s="75"/>
      <c r="R162" s="76"/>
      <c r="S162" s="74">
        <v>0</v>
      </c>
      <c r="T162" s="75"/>
      <c r="U162" s="76"/>
      <c r="V162" s="74">
        <v>0</v>
      </c>
      <c r="W162" s="75"/>
      <c r="X162" s="76"/>
      <c r="Y162" s="74">
        <v>0</v>
      </c>
      <c r="Z162" s="75"/>
      <c r="AA162" s="76"/>
      <c r="AB162" s="74">
        <v>0</v>
      </c>
      <c r="AC162" s="75"/>
      <c r="AD162" s="76"/>
      <c r="AE162" s="74">
        <v>0</v>
      </c>
      <c r="AF162" s="75"/>
      <c r="AG162" s="76"/>
    </row>
    <row r="163" spans="1:33" ht="15.75" thickBot="1" x14ac:dyDescent="0.3">
      <c r="A163" s="68"/>
      <c r="B163" s="68"/>
      <c r="C163" s="106" t="s">
        <v>244</v>
      </c>
      <c r="D163" s="82">
        <v>0</v>
      </c>
      <c r="E163" s="82"/>
      <c r="F163" s="84"/>
      <c r="G163" s="85">
        <v>0</v>
      </c>
      <c r="H163" s="82"/>
      <c r="I163" s="84"/>
      <c r="J163" s="85">
        <v>0</v>
      </c>
      <c r="K163" s="82"/>
      <c r="L163" s="84"/>
      <c r="M163" s="85">
        <v>0</v>
      </c>
      <c r="N163" s="82"/>
      <c r="O163" s="82"/>
      <c r="P163" s="81">
        <v>0</v>
      </c>
      <c r="Q163" s="82"/>
      <c r="R163" s="83"/>
      <c r="S163" s="82">
        <v>0</v>
      </c>
      <c r="T163" s="82"/>
      <c r="U163" s="84"/>
      <c r="V163" s="85">
        <v>0</v>
      </c>
      <c r="W163" s="82"/>
      <c r="X163" s="84"/>
      <c r="Y163" s="85">
        <v>0</v>
      </c>
      <c r="Z163" s="82"/>
      <c r="AA163" s="84"/>
      <c r="AB163" s="85">
        <v>0</v>
      </c>
      <c r="AC163" s="82"/>
      <c r="AD163" s="84"/>
      <c r="AE163" s="85">
        <v>0</v>
      </c>
      <c r="AF163" s="82"/>
      <c r="AG163" s="84"/>
    </row>
    <row r="164" spans="1:33" ht="15.75" thickBot="1" x14ac:dyDescent="0.3">
      <c r="A164" s="68"/>
      <c r="B164" s="68"/>
      <c r="C164" s="107" t="s">
        <v>37</v>
      </c>
      <c r="D164" s="104"/>
      <c r="E164" s="86"/>
      <c r="F164" s="89"/>
      <c r="G164" s="86"/>
      <c r="H164" s="86"/>
      <c r="I164" s="89"/>
      <c r="J164" s="86"/>
      <c r="K164" s="86"/>
      <c r="L164" s="89"/>
      <c r="M164" s="86"/>
      <c r="N164" s="86"/>
      <c r="O164" s="89"/>
      <c r="P164" s="86"/>
      <c r="Q164" s="86"/>
      <c r="R164" s="89"/>
      <c r="S164" s="86"/>
      <c r="T164" s="86"/>
      <c r="U164" s="89"/>
      <c r="V164" s="86"/>
      <c r="W164" s="86"/>
      <c r="X164" s="89"/>
      <c r="Y164" s="86"/>
      <c r="Z164" s="86"/>
      <c r="AA164" s="89"/>
      <c r="AB164" s="86"/>
      <c r="AC164" s="86"/>
      <c r="AD164" s="89"/>
      <c r="AE164" s="86"/>
      <c r="AF164" s="86"/>
      <c r="AG164" s="89"/>
    </row>
    <row r="165" spans="1:33" ht="15.75" thickBot="1" x14ac:dyDescent="0.3">
      <c r="A165" s="68"/>
      <c r="B165" s="68"/>
      <c r="D165" s="87"/>
      <c r="E165" s="87"/>
      <c r="F165" s="90"/>
      <c r="G165" s="87"/>
      <c r="H165" s="87"/>
      <c r="I165" s="90"/>
      <c r="J165" s="87"/>
      <c r="K165" s="87"/>
      <c r="L165" s="90"/>
      <c r="M165" s="87"/>
      <c r="N165" s="87"/>
      <c r="O165" s="90"/>
      <c r="P165" s="87"/>
      <c r="Q165" s="87"/>
      <c r="R165" s="90"/>
      <c r="S165" s="87"/>
      <c r="T165" s="87"/>
      <c r="U165" s="90"/>
      <c r="V165" s="87"/>
      <c r="W165" s="87"/>
      <c r="X165" s="90"/>
      <c r="Y165" s="87"/>
      <c r="Z165" s="87"/>
      <c r="AA165" s="90"/>
      <c r="AB165" s="87"/>
      <c r="AC165" s="87"/>
      <c r="AD165" s="90"/>
      <c r="AE165" s="87"/>
      <c r="AF165" s="87"/>
      <c r="AG165" s="90"/>
    </row>
    <row r="166" spans="1:33" ht="15.75" thickBot="1" x14ac:dyDescent="0.3">
      <c r="A166" s="68"/>
      <c r="B166" s="68"/>
      <c r="D166" s="88"/>
      <c r="E166" s="88"/>
      <c r="F166" s="91"/>
      <c r="G166" s="88"/>
      <c r="H166" s="88"/>
      <c r="I166" s="91"/>
      <c r="J166" s="88"/>
      <c r="K166" s="88"/>
      <c r="L166" s="91"/>
      <c r="M166" s="88"/>
      <c r="N166" s="88"/>
      <c r="O166" s="91"/>
      <c r="P166" s="88"/>
      <c r="Q166" s="88"/>
      <c r="R166" s="91"/>
      <c r="S166" s="88"/>
      <c r="T166" s="88"/>
      <c r="U166" s="91"/>
      <c r="V166" s="88"/>
      <c r="W166" s="88"/>
      <c r="X166" s="91"/>
      <c r="Y166" s="88"/>
      <c r="Z166" s="88"/>
      <c r="AA166" s="91"/>
      <c r="AB166" s="88"/>
      <c r="AC166" s="88"/>
      <c r="AD166" s="91"/>
      <c r="AE166" s="88"/>
      <c r="AF166" s="88"/>
      <c r="AG166" s="91"/>
    </row>
    <row r="168" spans="1:33" ht="15.75" thickBot="1" x14ac:dyDescent="0.3"/>
    <row r="169" spans="1:33" ht="15.75" thickBot="1" x14ac:dyDescent="0.3">
      <c r="A169" s="68" t="s">
        <v>87</v>
      </c>
      <c r="B169" s="68"/>
      <c r="D169" s="52" t="s">
        <v>27</v>
      </c>
      <c r="E169" s="52"/>
      <c r="F169" s="52"/>
      <c r="G169" s="73" t="s">
        <v>28</v>
      </c>
      <c r="H169" s="73"/>
      <c r="I169" s="73"/>
      <c r="J169" s="52" t="s">
        <v>29</v>
      </c>
      <c r="K169" s="52"/>
      <c r="L169" s="52"/>
      <c r="M169" s="73" t="s">
        <v>30</v>
      </c>
      <c r="N169" s="73"/>
      <c r="O169" s="73"/>
      <c r="P169" s="52" t="s">
        <v>31</v>
      </c>
      <c r="Q169" s="52"/>
      <c r="R169" s="52"/>
      <c r="S169" s="73" t="s">
        <v>32</v>
      </c>
      <c r="T169" s="73"/>
      <c r="U169" s="73"/>
      <c r="V169" s="52" t="s">
        <v>33</v>
      </c>
      <c r="W169" s="52"/>
      <c r="X169" s="52"/>
      <c r="Y169" s="73" t="s">
        <v>34</v>
      </c>
      <c r="Z169" s="73"/>
      <c r="AA169" s="73"/>
      <c r="AB169" s="52" t="s">
        <v>35</v>
      </c>
      <c r="AC169" s="52"/>
      <c r="AD169" s="52"/>
      <c r="AE169" s="73" t="s">
        <v>36</v>
      </c>
      <c r="AF169" s="73"/>
      <c r="AG169" s="73"/>
    </row>
    <row r="170" spans="1:33" ht="15.75" thickBot="1" x14ac:dyDescent="0.3">
      <c r="A170" s="68"/>
      <c r="B170" s="68"/>
      <c r="C170" s="105" t="s">
        <v>243</v>
      </c>
      <c r="D170" s="75">
        <v>0</v>
      </c>
      <c r="E170" s="75"/>
      <c r="F170" s="76"/>
      <c r="G170" s="74">
        <v>0</v>
      </c>
      <c r="H170" s="75"/>
      <c r="I170" s="76"/>
      <c r="J170" s="74">
        <v>0</v>
      </c>
      <c r="K170" s="75"/>
      <c r="L170" s="76"/>
      <c r="M170" s="74">
        <v>0</v>
      </c>
      <c r="N170" s="75"/>
      <c r="O170" s="76"/>
      <c r="P170" s="74">
        <v>0</v>
      </c>
      <c r="Q170" s="75"/>
      <c r="R170" s="76"/>
      <c r="S170" s="74">
        <v>0</v>
      </c>
      <c r="T170" s="75"/>
      <c r="U170" s="76"/>
      <c r="V170" s="74">
        <v>0</v>
      </c>
      <c r="W170" s="75"/>
      <c r="X170" s="76"/>
      <c r="Y170" s="74">
        <v>0</v>
      </c>
      <c r="Z170" s="75"/>
      <c r="AA170" s="76"/>
      <c r="AB170" s="74">
        <v>0</v>
      </c>
      <c r="AC170" s="75"/>
      <c r="AD170" s="76"/>
      <c r="AE170" s="74">
        <v>0</v>
      </c>
      <c r="AF170" s="75"/>
      <c r="AG170" s="76"/>
    </row>
    <row r="171" spans="1:33" ht="15.75" thickBot="1" x14ac:dyDescent="0.3">
      <c r="A171" s="68"/>
      <c r="B171" s="68"/>
      <c r="C171" s="106" t="s">
        <v>244</v>
      </c>
      <c r="D171" s="82">
        <v>0</v>
      </c>
      <c r="E171" s="82"/>
      <c r="F171" s="84"/>
      <c r="G171" s="85">
        <v>0</v>
      </c>
      <c r="H171" s="82"/>
      <c r="I171" s="84"/>
      <c r="J171" s="85">
        <v>0</v>
      </c>
      <c r="K171" s="82"/>
      <c r="L171" s="84"/>
      <c r="M171" s="85">
        <v>0</v>
      </c>
      <c r="N171" s="82"/>
      <c r="O171" s="82"/>
      <c r="P171" s="81">
        <v>0</v>
      </c>
      <c r="Q171" s="82"/>
      <c r="R171" s="83"/>
      <c r="S171" s="82">
        <v>0</v>
      </c>
      <c r="T171" s="82"/>
      <c r="U171" s="84"/>
      <c r="V171" s="85">
        <v>0</v>
      </c>
      <c r="W171" s="82"/>
      <c r="X171" s="84"/>
      <c r="Y171" s="85">
        <v>0</v>
      </c>
      <c r="Z171" s="82"/>
      <c r="AA171" s="84"/>
      <c r="AB171" s="85">
        <v>0</v>
      </c>
      <c r="AC171" s="82"/>
      <c r="AD171" s="84"/>
      <c r="AE171" s="85">
        <v>0</v>
      </c>
      <c r="AF171" s="82"/>
      <c r="AG171" s="84"/>
    </row>
    <row r="172" spans="1:33" ht="15.75" thickBot="1" x14ac:dyDescent="0.3">
      <c r="A172" s="68"/>
      <c r="B172" s="68"/>
      <c r="C172" s="107" t="s">
        <v>37</v>
      </c>
      <c r="D172" s="104"/>
      <c r="E172" s="86"/>
      <c r="F172" s="89"/>
      <c r="G172" s="86"/>
      <c r="H172" s="86"/>
      <c r="I172" s="89"/>
      <c r="J172" s="86"/>
      <c r="K172" s="86"/>
      <c r="L172" s="89"/>
      <c r="M172" s="86"/>
      <c r="N172" s="86"/>
      <c r="O172" s="89"/>
      <c r="P172" s="86"/>
      <c r="Q172" s="86"/>
      <c r="R172" s="89"/>
      <c r="S172" s="86"/>
      <c r="T172" s="86"/>
      <c r="U172" s="89"/>
      <c r="V172" s="86"/>
      <c r="W172" s="86"/>
      <c r="X172" s="89"/>
      <c r="Y172" s="86"/>
      <c r="Z172" s="86"/>
      <c r="AA172" s="89"/>
      <c r="AB172" s="86"/>
      <c r="AC172" s="86"/>
      <c r="AD172" s="89"/>
      <c r="AE172" s="86"/>
      <c r="AF172" s="86"/>
      <c r="AG172" s="89"/>
    </row>
    <row r="173" spans="1:33" ht="15.75" thickBot="1" x14ac:dyDescent="0.3">
      <c r="A173" s="68"/>
      <c r="B173" s="68"/>
      <c r="D173" s="87"/>
      <c r="E173" s="87"/>
      <c r="F173" s="90"/>
      <c r="G173" s="87"/>
      <c r="H173" s="87"/>
      <c r="I173" s="90"/>
      <c r="J173" s="87"/>
      <c r="K173" s="87"/>
      <c r="L173" s="90"/>
      <c r="M173" s="87"/>
      <c r="N173" s="87"/>
      <c r="O173" s="90"/>
      <c r="P173" s="87"/>
      <c r="Q173" s="87"/>
      <c r="R173" s="90"/>
      <c r="S173" s="87"/>
      <c r="T173" s="87"/>
      <c r="U173" s="90"/>
      <c r="V173" s="87"/>
      <c r="W173" s="87"/>
      <c r="X173" s="90"/>
      <c r="Y173" s="87"/>
      <c r="Z173" s="87"/>
      <c r="AA173" s="90"/>
      <c r="AB173" s="87"/>
      <c r="AC173" s="87"/>
      <c r="AD173" s="90"/>
      <c r="AE173" s="87"/>
      <c r="AF173" s="87"/>
      <c r="AG173" s="90"/>
    </row>
    <row r="174" spans="1:33" ht="15.75" thickBot="1" x14ac:dyDescent="0.3">
      <c r="A174" s="68"/>
      <c r="B174" s="68"/>
      <c r="D174" s="88"/>
      <c r="E174" s="88"/>
      <c r="F174" s="91"/>
      <c r="G174" s="88"/>
      <c r="H174" s="88"/>
      <c r="I174" s="91"/>
      <c r="J174" s="88"/>
      <c r="K174" s="88"/>
      <c r="L174" s="91"/>
      <c r="M174" s="88"/>
      <c r="N174" s="88"/>
      <c r="O174" s="91"/>
      <c r="P174" s="88"/>
      <c r="Q174" s="88"/>
      <c r="R174" s="91"/>
      <c r="S174" s="88"/>
      <c r="T174" s="88"/>
      <c r="U174" s="91"/>
      <c r="V174" s="88"/>
      <c r="W174" s="88"/>
      <c r="X174" s="91"/>
      <c r="Y174" s="88"/>
      <c r="Z174" s="88"/>
      <c r="AA174" s="91"/>
      <c r="AB174" s="88"/>
      <c r="AC174" s="88"/>
      <c r="AD174" s="91"/>
      <c r="AE174" s="88"/>
      <c r="AF174" s="88"/>
      <c r="AG174" s="91"/>
    </row>
    <row r="176" spans="1:33" ht="15.75" thickBot="1" x14ac:dyDescent="0.3"/>
    <row r="177" spans="1:33" ht="15.75" thickBot="1" x14ac:dyDescent="0.3">
      <c r="A177" s="68" t="s">
        <v>88</v>
      </c>
      <c r="B177" s="68"/>
      <c r="D177" s="52" t="s">
        <v>27</v>
      </c>
      <c r="E177" s="52"/>
      <c r="F177" s="52"/>
      <c r="G177" s="73" t="s">
        <v>28</v>
      </c>
      <c r="H177" s="73"/>
      <c r="I177" s="73"/>
      <c r="J177" s="52" t="s">
        <v>29</v>
      </c>
      <c r="K177" s="52"/>
      <c r="L177" s="52"/>
      <c r="M177" s="73" t="s">
        <v>30</v>
      </c>
      <c r="N177" s="73"/>
      <c r="O177" s="73"/>
      <c r="P177" s="52" t="s">
        <v>31</v>
      </c>
      <c r="Q177" s="52"/>
      <c r="R177" s="52"/>
      <c r="S177" s="73" t="s">
        <v>32</v>
      </c>
      <c r="T177" s="73"/>
      <c r="U177" s="73"/>
      <c r="V177" s="52" t="s">
        <v>33</v>
      </c>
      <c r="W177" s="52"/>
      <c r="X177" s="52"/>
      <c r="Y177" s="73" t="s">
        <v>34</v>
      </c>
      <c r="Z177" s="73"/>
      <c r="AA177" s="73"/>
      <c r="AB177" s="52" t="s">
        <v>35</v>
      </c>
      <c r="AC177" s="52"/>
      <c r="AD177" s="52"/>
      <c r="AE177" s="73" t="s">
        <v>36</v>
      </c>
      <c r="AF177" s="73"/>
      <c r="AG177" s="73"/>
    </row>
    <row r="178" spans="1:33" ht="15.75" thickBot="1" x14ac:dyDescent="0.3">
      <c r="A178" s="68"/>
      <c r="B178" s="68"/>
      <c r="C178" s="105" t="s">
        <v>243</v>
      </c>
      <c r="D178" s="75">
        <v>0</v>
      </c>
      <c r="E178" s="75"/>
      <c r="F178" s="76"/>
      <c r="G178" s="74">
        <v>0</v>
      </c>
      <c r="H178" s="75"/>
      <c r="I178" s="76"/>
      <c r="J178" s="74">
        <v>0</v>
      </c>
      <c r="K178" s="75"/>
      <c r="L178" s="76"/>
      <c r="M178" s="74">
        <v>0</v>
      </c>
      <c r="N178" s="75"/>
      <c r="O178" s="76"/>
      <c r="P178" s="74">
        <v>0</v>
      </c>
      <c r="Q178" s="75"/>
      <c r="R178" s="76"/>
      <c r="S178" s="74">
        <v>0</v>
      </c>
      <c r="T178" s="75"/>
      <c r="U178" s="76"/>
      <c r="V178" s="74">
        <v>0</v>
      </c>
      <c r="W178" s="75"/>
      <c r="X178" s="76"/>
      <c r="Y178" s="74">
        <v>0</v>
      </c>
      <c r="Z178" s="75"/>
      <c r="AA178" s="76"/>
      <c r="AB178" s="74">
        <v>0</v>
      </c>
      <c r="AC178" s="75"/>
      <c r="AD178" s="76"/>
      <c r="AE178" s="74">
        <v>0</v>
      </c>
      <c r="AF178" s="75"/>
      <c r="AG178" s="76"/>
    </row>
    <row r="179" spans="1:33" ht="15.75" thickBot="1" x14ac:dyDescent="0.3">
      <c r="A179" s="68"/>
      <c r="B179" s="68"/>
      <c r="C179" s="106" t="s">
        <v>244</v>
      </c>
      <c r="D179" s="82">
        <v>0</v>
      </c>
      <c r="E179" s="82"/>
      <c r="F179" s="84"/>
      <c r="G179" s="85">
        <v>0</v>
      </c>
      <c r="H179" s="82"/>
      <c r="I179" s="84"/>
      <c r="J179" s="85">
        <v>0</v>
      </c>
      <c r="K179" s="82"/>
      <c r="L179" s="84"/>
      <c r="M179" s="85">
        <v>0</v>
      </c>
      <c r="N179" s="82"/>
      <c r="O179" s="82"/>
      <c r="P179" s="81">
        <v>0</v>
      </c>
      <c r="Q179" s="82"/>
      <c r="R179" s="83"/>
      <c r="S179" s="82">
        <v>0</v>
      </c>
      <c r="T179" s="82"/>
      <c r="U179" s="84"/>
      <c r="V179" s="85">
        <v>0</v>
      </c>
      <c r="W179" s="82"/>
      <c r="X179" s="84"/>
      <c r="Y179" s="85">
        <v>0</v>
      </c>
      <c r="Z179" s="82"/>
      <c r="AA179" s="84"/>
      <c r="AB179" s="85">
        <v>0</v>
      </c>
      <c r="AC179" s="82"/>
      <c r="AD179" s="84"/>
      <c r="AE179" s="85">
        <v>0</v>
      </c>
      <c r="AF179" s="82"/>
      <c r="AG179" s="84"/>
    </row>
    <row r="180" spans="1:33" ht="15.75" thickBot="1" x14ac:dyDescent="0.3">
      <c r="A180" s="68"/>
      <c r="B180" s="68"/>
      <c r="C180" s="107" t="s">
        <v>37</v>
      </c>
      <c r="D180" s="104"/>
      <c r="E180" s="86"/>
      <c r="F180" s="89"/>
      <c r="G180" s="86"/>
      <c r="H180" s="86"/>
      <c r="I180" s="89"/>
      <c r="J180" s="86"/>
      <c r="K180" s="86"/>
      <c r="L180" s="89"/>
      <c r="M180" s="86"/>
      <c r="N180" s="86"/>
      <c r="O180" s="89"/>
      <c r="P180" s="86"/>
      <c r="Q180" s="86"/>
      <c r="R180" s="89"/>
      <c r="S180" s="86"/>
      <c r="T180" s="86"/>
      <c r="U180" s="89"/>
      <c r="V180" s="86"/>
      <c r="W180" s="86"/>
      <c r="X180" s="89"/>
      <c r="Y180" s="86"/>
      <c r="Z180" s="86"/>
      <c r="AA180" s="89"/>
      <c r="AB180" s="86"/>
      <c r="AC180" s="86"/>
      <c r="AD180" s="89"/>
      <c r="AE180" s="86"/>
      <c r="AF180" s="86"/>
      <c r="AG180" s="89"/>
    </row>
    <row r="181" spans="1:33" ht="15.75" thickBot="1" x14ac:dyDescent="0.3">
      <c r="A181" s="68"/>
      <c r="B181" s="68"/>
      <c r="D181" s="87"/>
      <c r="E181" s="87"/>
      <c r="F181" s="90"/>
      <c r="G181" s="87"/>
      <c r="H181" s="87"/>
      <c r="I181" s="90"/>
      <c r="J181" s="87"/>
      <c r="K181" s="87"/>
      <c r="L181" s="90"/>
      <c r="M181" s="87"/>
      <c r="N181" s="87"/>
      <c r="O181" s="90"/>
      <c r="P181" s="87"/>
      <c r="Q181" s="87"/>
      <c r="R181" s="90"/>
      <c r="S181" s="87"/>
      <c r="T181" s="87"/>
      <c r="U181" s="90"/>
      <c r="V181" s="87"/>
      <c r="W181" s="87"/>
      <c r="X181" s="90"/>
      <c r="Y181" s="87"/>
      <c r="Z181" s="87"/>
      <c r="AA181" s="90"/>
      <c r="AB181" s="87"/>
      <c r="AC181" s="87"/>
      <c r="AD181" s="90"/>
      <c r="AE181" s="87"/>
      <c r="AF181" s="87"/>
      <c r="AG181" s="90"/>
    </row>
    <row r="182" spans="1:33" ht="15.75" thickBot="1" x14ac:dyDescent="0.3">
      <c r="A182" s="68"/>
      <c r="B182" s="68"/>
      <c r="D182" s="88"/>
      <c r="E182" s="88"/>
      <c r="F182" s="91"/>
      <c r="G182" s="88"/>
      <c r="H182" s="88"/>
      <c r="I182" s="91"/>
      <c r="J182" s="88"/>
      <c r="K182" s="88"/>
      <c r="L182" s="91"/>
      <c r="M182" s="88"/>
      <c r="N182" s="88"/>
      <c r="O182" s="91"/>
      <c r="P182" s="88"/>
      <c r="Q182" s="88"/>
      <c r="R182" s="91"/>
      <c r="S182" s="88"/>
      <c r="T182" s="88"/>
      <c r="U182" s="91"/>
      <c r="V182" s="88"/>
      <c r="W182" s="88"/>
      <c r="X182" s="91"/>
      <c r="Y182" s="88"/>
      <c r="Z182" s="88"/>
      <c r="AA182" s="91"/>
      <c r="AB182" s="88"/>
      <c r="AC182" s="88"/>
      <c r="AD182" s="91"/>
      <c r="AE182" s="88"/>
      <c r="AF182" s="88"/>
      <c r="AG182" s="91"/>
    </row>
    <row r="184" spans="1:33" ht="15.75" thickBot="1" x14ac:dyDescent="0.3"/>
    <row r="185" spans="1:33" ht="15.75" thickBot="1" x14ac:dyDescent="0.3">
      <c r="A185" s="68" t="s">
        <v>256</v>
      </c>
      <c r="B185" s="68"/>
      <c r="D185" s="52" t="s">
        <v>27</v>
      </c>
      <c r="E185" s="52"/>
      <c r="F185" s="52"/>
      <c r="G185" s="73" t="s">
        <v>28</v>
      </c>
      <c r="H185" s="73"/>
      <c r="I185" s="73"/>
      <c r="J185" s="52" t="s">
        <v>29</v>
      </c>
      <c r="K185" s="52"/>
      <c r="L185" s="52"/>
      <c r="M185" s="73" t="s">
        <v>30</v>
      </c>
      <c r="N185" s="73"/>
      <c r="O185" s="73"/>
      <c r="P185" s="52" t="s">
        <v>31</v>
      </c>
      <c r="Q185" s="52"/>
      <c r="R185" s="52"/>
      <c r="S185" s="73" t="s">
        <v>32</v>
      </c>
      <c r="T185" s="73"/>
      <c r="U185" s="73"/>
      <c r="V185" s="52" t="s">
        <v>33</v>
      </c>
      <c r="W185" s="52"/>
      <c r="X185" s="52"/>
      <c r="Y185" s="73" t="s">
        <v>34</v>
      </c>
      <c r="Z185" s="73"/>
      <c r="AA185" s="73"/>
      <c r="AB185" s="52" t="s">
        <v>35</v>
      </c>
      <c r="AC185" s="52"/>
      <c r="AD185" s="52"/>
      <c r="AE185" s="73" t="s">
        <v>36</v>
      </c>
      <c r="AF185" s="73"/>
      <c r="AG185" s="73"/>
    </row>
    <row r="186" spans="1:33" ht="15.75" thickBot="1" x14ac:dyDescent="0.3">
      <c r="A186" s="68"/>
      <c r="B186" s="68"/>
      <c r="C186" s="105" t="s">
        <v>243</v>
      </c>
      <c r="D186" s="75">
        <v>0</v>
      </c>
      <c r="E186" s="75"/>
      <c r="F186" s="76"/>
      <c r="G186" s="74">
        <v>0</v>
      </c>
      <c r="H186" s="75"/>
      <c r="I186" s="76"/>
      <c r="J186" s="74">
        <v>0</v>
      </c>
      <c r="K186" s="75"/>
      <c r="L186" s="76"/>
      <c r="M186" s="74">
        <v>0</v>
      </c>
      <c r="N186" s="75"/>
      <c r="O186" s="76"/>
      <c r="P186" s="74">
        <v>0</v>
      </c>
      <c r="Q186" s="75"/>
      <c r="R186" s="76"/>
      <c r="S186" s="74">
        <v>0</v>
      </c>
      <c r="T186" s="75"/>
      <c r="U186" s="76"/>
      <c r="V186" s="74">
        <v>0</v>
      </c>
      <c r="W186" s="75"/>
      <c r="X186" s="76"/>
      <c r="Y186" s="74">
        <v>0</v>
      </c>
      <c r="Z186" s="75"/>
      <c r="AA186" s="76"/>
      <c r="AB186" s="74">
        <v>0</v>
      </c>
      <c r="AC186" s="75"/>
      <c r="AD186" s="76"/>
      <c r="AE186" s="74">
        <v>0</v>
      </c>
      <c r="AF186" s="75"/>
      <c r="AG186" s="76"/>
    </row>
    <row r="187" spans="1:33" ht="15.75" thickBot="1" x14ac:dyDescent="0.3">
      <c r="A187" s="68"/>
      <c r="B187" s="68"/>
      <c r="C187" s="106" t="s">
        <v>244</v>
      </c>
      <c r="D187" s="82">
        <v>0</v>
      </c>
      <c r="E187" s="82"/>
      <c r="F187" s="84"/>
      <c r="G187" s="85">
        <v>0</v>
      </c>
      <c r="H187" s="82"/>
      <c r="I187" s="84"/>
      <c r="J187" s="85">
        <v>0</v>
      </c>
      <c r="K187" s="82"/>
      <c r="L187" s="84"/>
      <c r="M187" s="85">
        <v>0</v>
      </c>
      <c r="N187" s="82"/>
      <c r="O187" s="82"/>
      <c r="P187" s="81">
        <v>0</v>
      </c>
      <c r="Q187" s="82"/>
      <c r="R187" s="83"/>
      <c r="S187" s="82">
        <v>0</v>
      </c>
      <c r="T187" s="82"/>
      <c r="U187" s="84"/>
      <c r="V187" s="85">
        <v>0</v>
      </c>
      <c r="W187" s="82"/>
      <c r="X187" s="84"/>
      <c r="Y187" s="85">
        <v>0</v>
      </c>
      <c r="Z187" s="82"/>
      <c r="AA187" s="84"/>
      <c r="AB187" s="85">
        <v>0</v>
      </c>
      <c r="AC187" s="82"/>
      <c r="AD187" s="84"/>
      <c r="AE187" s="85">
        <v>0</v>
      </c>
      <c r="AF187" s="82"/>
      <c r="AG187" s="84"/>
    </row>
    <row r="188" spans="1:33" ht="15.75" thickBot="1" x14ac:dyDescent="0.3">
      <c r="A188" s="68"/>
      <c r="B188" s="68"/>
      <c r="C188" s="107" t="s">
        <v>37</v>
      </c>
      <c r="D188" s="104"/>
      <c r="E188" s="86"/>
      <c r="F188" s="89"/>
      <c r="G188" s="86"/>
      <c r="H188" s="86"/>
      <c r="I188" s="89"/>
      <c r="J188" s="86"/>
      <c r="K188" s="86"/>
      <c r="L188" s="89"/>
      <c r="M188" s="86"/>
      <c r="N188" s="86"/>
      <c r="O188" s="89"/>
      <c r="P188" s="86"/>
      <c r="Q188" s="86"/>
      <c r="R188" s="89"/>
      <c r="S188" s="86"/>
      <c r="T188" s="86"/>
      <c r="U188" s="89"/>
      <c r="V188" s="86"/>
      <c r="W188" s="86"/>
      <c r="X188" s="89"/>
      <c r="Y188" s="86"/>
      <c r="Z188" s="86"/>
      <c r="AA188" s="89"/>
      <c r="AB188" s="86"/>
      <c r="AC188" s="86"/>
      <c r="AD188" s="89"/>
      <c r="AE188" s="86"/>
      <c r="AF188" s="86"/>
      <c r="AG188" s="89"/>
    </row>
    <row r="189" spans="1:33" ht="15.75" thickBot="1" x14ac:dyDescent="0.3">
      <c r="A189" s="68"/>
      <c r="B189" s="68"/>
      <c r="D189" s="87"/>
      <c r="E189" s="87"/>
      <c r="F189" s="90"/>
      <c r="G189" s="87"/>
      <c r="H189" s="87"/>
      <c r="I189" s="90"/>
      <c r="J189" s="87"/>
      <c r="K189" s="87"/>
      <c r="L189" s="90"/>
      <c r="M189" s="87"/>
      <c r="N189" s="87"/>
      <c r="O189" s="90"/>
      <c r="P189" s="87"/>
      <c r="Q189" s="87"/>
      <c r="R189" s="90"/>
      <c r="S189" s="87"/>
      <c r="T189" s="87"/>
      <c r="U189" s="90"/>
      <c r="V189" s="87"/>
      <c r="W189" s="87"/>
      <c r="X189" s="90"/>
      <c r="Y189" s="87"/>
      <c r="Z189" s="87"/>
      <c r="AA189" s="90"/>
      <c r="AB189" s="87"/>
      <c r="AC189" s="87"/>
      <c r="AD189" s="90"/>
      <c r="AE189" s="87"/>
      <c r="AF189" s="87"/>
      <c r="AG189" s="90"/>
    </row>
    <row r="190" spans="1:33" ht="15.75" thickBot="1" x14ac:dyDescent="0.3">
      <c r="A190" s="68"/>
      <c r="B190" s="68"/>
      <c r="D190" s="88"/>
      <c r="E190" s="88"/>
      <c r="F190" s="91"/>
      <c r="G190" s="88"/>
      <c r="H190" s="88"/>
      <c r="I190" s="91"/>
      <c r="J190" s="88"/>
      <c r="K190" s="88"/>
      <c r="L190" s="91"/>
      <c r="M190" s="88"/>
      <c r="N190" s="88"/>
      <c r="O190" s="91"/>
      <c r="P190" s="88"/>
      <c r="Q190" s="88"/>
      <c r="R190" s="91"/>
      <c r="S190" s="88"/>
      <c r="T190" s="88"/>
      <c r="U190" s="91"/>
      <c r="V190" s="88"/>
      <c r="W190" s="88"/>
      <c r="X190" s="91"/>
      <c r="Y190" s="88"/>
      <c r="Z190" s="88"/>
      <c r="AA190" s="91"/>
      <c r="AB190" s="88"/>
      <c r="AC190" s="88"/>
      <c r="AD190" s="91"/>
      <c r="AE190" s="88"/>
      <c r="AF190" s="88"/>
      <c r="AG190" s="91"/>
    </row>
    <row r="192" spans="1:33" ht="15.75" thickBot="1" x14ac:dyDescent="0.3"/>
    <row r="193" spans="1:33" ht="15.75" thickBot="1" x14ac:dyDescent="0.3">
      <c r="A193" s="68" t="s">
        <v>89</v>
      </c>
      <c r="B193" s="68"/>
      <c r="D193" s="52" t="s">
        <v>27</v>
      </c>
      <c r="E193" s="52"/>
      <c r="F193" s="52"/>
      <c r="G193" s="73" t="s">
        <v>28</v>
      </c>
      <c r="H193" s="73"/>
      <c r="I193" s="73"/>
      <c r="J193" s="52" t="s">
        <v>29</v>
      </c>
      <c r="K193" s="52"/>
      <c r="L193" s="52"/>
      <c r="M193" s="73" t="s">
        <v>30</v>
      </c>
      <c r="N193" s="73"/>
      <c r="O193" s="73"/>
      <c r="P193" s="52" t="s">
        <v>31</v>
      </c>
      <c r="Q193" s="52"/>
      <c r="R193" s="52"/>
      <c r="S193" s="73" t="s">
        <v>32</v>
      </c>
      <c r="T193" s="73"/>
      <c r="U193" s="73"/>
      <c r="V193" s="52" t="s">
        <v>33</v>
      </c>
      <c r="W193" s="52"/>
      <c r="X193" s="52"/>
      <c r="Y193" s="73" t="s">
        <v>34</v>
      </c>
      <c r="Z193" s="73"/>
      <c r="AA193" s="73"/>
      <c r="AB193" s="52" t="s">
        <v>35</v>
      </c>
      <c r="AC193" s="52"/>
      <c r="AD193" s="52"/>
      <c r="AE193" s="73" t="s">
        <v>36</v>
      </c>
      <c r="AF193" s="73"/>
      <c r="AG193" s="73"/>
    </row>
    <row r="194" spans="1:33" ht="15.75" thickBot="1" x14ac:dyDescent="0.3">
      <c r="A194" s="68"/>
      <c r="B194" s="68"/>
      <c r="C194" s="105" t="s">
        <v>243</v>
      </c>
      <c r="D194" s="75">
        <v>0</v>
      </c>
      <c r="E194" s="75"/>
      <c r="F194" s="76"/>
      <c r="G194" s="74">
        <v>0</v>
      </c>
      <c r="H194" s="75"/>
      <c r="I194" s="76"/>
      <c r="J194" s="74">
        <v>0</v>
      </c>
      <c r="K194" s="75"/>
      <c r="L194" s="76"/>
      <c r="M194" s="74">
        <v>0</v>
      </c>
      <c r="N194" s="75"/>
      <c r="O194" s="76"/>
      <c r="P194" s="74">
        <v>0</v>
      </c>
      <c r="Q194" s="75"/>
      <c r="R194" s="76"/>
      <c r="S194" s="74">
        <v>0</v>
      </c>
      <c r="T194" s="75"/>
      <c r="U194" s="76"/>
      <c r="V194" s="74">
        <v>0</v>
      </c>
      <c r="W194" s="75"/>
      <c r="X194" s="76"/>
      <c r="Y194" s="74">
        <v>0</v>
      </c>
      <c r="Z194" s="75"/>
      <c r="AA194" s="76"/>
      <c r="AB194" s="74">
        <v>0</v>
      </c>
      <c r="AC194" s="75"/>
      <c r="AD194" s="76"/>
      <c r="AE194" s="74">
        <v>0</v>
      </c>
      <c r="AF194" s="75"/>
      <c r="AG194" s="76"/>
    </row>
    <row r="195" spans="1:33" ht="15.75" thickBot="1" x14ac:dyDescent="0.3">
      <c r="A195" s="68"/>
      <c r="B195" s="68"/>
      <c r="C195" s="106" t="s">
        <v>244</v>
      </c>
      <c r="D195" s="82">
        <v>0</v>
      </c>
      <c r="E195" s="82"/>
      <c r="F195" s="84"/>
      <c r="G195" s="85">
        <v>0</v>
      </c>
      <c r="H195" s="82"/>
      <c r="I195" s="84"/>
      <c r="J195" s="85">
        <v>0</v>
      </c>
      <c r="K195" s="82"/>
      <c r="L195" s="84"/>
      <c r="M195" s="85">
        <v>0</v>
      </c>
      <c r="N195" s="82"/>
      <c r="O195" s="82"/>
      <c r="P195" s="81">
        <v>0</v>
      </c>
      <c r="Q195" s="82"/>
      <c r="R195" s="83"/>
      <c r="S195" s="82">
        <v>0</v>
      </c>
      <c r="T195" s="82"/>
      <c r="U195" s="84"/>
      <c r="V195" s="85">
        <v>0</v>
      </c>
      <c r="W195" s="82"/>
      <c r="X195" s="84"/>
      <c r="Y195" s="85">
        <v>0</v>
      </c>
      <c r="Z195" s="82"/>
      <c r="AA195" s="84"/>
      <c r="AB195" s="85">
        <v>0</v>
      </c>
      <c r="AC195" s="82"/>
      <c r="AD195" s="84"/>
      <c r="AE195" s="85">
        <v>0</v>
      </c>
      <c r="AF195" s="82"/>
      <c r="AG195" s="84"/>
    </row>
    <row r="196" spans="1:33" ht="15.75" thickBot="1" x14ac:dyDescent="0.3">
      <c r="A196" s="68"/>
      <c r="B196" s="68"/>
      <c r="C196" s="107" t="s">
        <v>37</v>
      </c>
      <c r="D196" s="104"/>
      <c r="E196" s="86"/>
      <c r="F196" s="89"/>
      <c r="G196" s="86"/>
      <c r="H196" s="86"/>
      <c r="I196" s="89"/>
      <c r="J196" s="86"/>
      <c r="K196" s="86"/>
      <c r="L196" s="89"/>
      <c r="M196" s="86"/>
      <c r="N196" s="86"/>
      <c r="O196" s="89"/>
      <c r="P196" s="86"/>
      <c r="Q196" s="86"/>
      <c r="R196" s="89"/>
      <c r="S196" s="86"/>
      <c r="T196" s="86"/>
      <c r="U196" s="89"/>
      <c r="V196" s="86"/>
      <c r="W196" s="86"/>
      <c r="X196" s="89"/>
      <c r="Y196" s="86"/>
      <c r="Z196" s="86"/>
      <c r="AA196" s="89"/>
      <c r="AB196" s="86"/>
      <c r="AC196" s="86"/>
      <c r="AD196" s="89"/>
      <c r="AE196" s="86"/>
      <c r="AF196" s="86"/>
      <c r="AG196" s="89"/>
    </row>
    <row r="197" spans="1:33" ht="15.75" thickBot="1" x14ac:dyDescent="0.3">
      <c r="A197" s="68"/>
      <c r="B197" s="68"/>
      <c r="D197" s="87"/>
      <c r="E197" s="87"/>
      <c r="F197" s="90"/>
      <c r="G197" s="87"/>
      <c r="H197" s="87"/>
      <c r="I197" s="90"/>
      <c r="J197" s="87"/>
      <c r="K197" s="87"/>
      <c r="L197" s="90"/>
      <c r="M197" s="87"/>
      <c r="N197" s="87"/>
      <c r="O197" s="90"/>
      <c r="P197" s="87"/>
      <c r="Q197" s="87"/>
      <c r="R197" s="90"/>
      <c r="S197" s="87"/>
      <c r="T197" s="87"/>
      <c r="U197" s="90"/>
      <c r="V197" s="87"/>
      <c r="W197" s="87"/>
      <c r="X197" s="90"/>
      <c r="Y197" s="87"/>
      <c r="Z197" s="87"/>
      <c r="AA197" s="90"/>
      <c r="AB197" s="87"/>
      <c r="AC197" s="87"/>
      <c r="AD197" s="90"/>
      <c r="AE197" s="87"/>
      <c r="AF197" s="87"/>
      <c r="AG197" s="90"/>
    </row>
    <row r="198" spans="1:33" ht="15.75" thickBot="1" x14ac:dyDescent="0.3">
      <c r="A198" s="68"/>
      <c r="B198" s="68"/>
      <c r="D198" s="88"/>
      <c r="E198" s="88"/>
      <c r="F198" s="91"/>
      <c r="G198" s="88"/>
      <c r="H198" s="88"/>
      <c r="I198" s="91"/>
      <c r="J198" s="88"/>
      <c r="K198" s="88"/>
      <c r="L198" s="91"/>
      <c r="M198" s="88"/>
      <c r="N198" s="88"/>
      <c r="O198" s="91"/>
      <c r="P198" s="88"/>
      <c r="Q198" s="88"/>
      <c r="R198" s="91"/>
      <c r="S198" s="88"/>
      <c r="T198" s="88"/>
      <c r="U198" s="91"/>
      <c r="V198" s="88"/>
      <c r="W198" s="88"/>
      <c r="X198" s="91"/>
      <c r="Y198" s="88"/>
      <c r="Z198" s="88"/>
      <c r="AA198" s="91"/>
      <c r="AB198" s="88"/>
      <c r="AC198" s="88"/>
      <c r="AD198" s="91"/>
      <c r="AE198" s="88"/>
      <c r="AF198" s="88"/>
      <c r="AG198" s="91"/>
    </row>
    <row r="200" spans="1:33" ht="15.75" thickBot="1" x14ac:dyDescent="0.3"/>
    <row r="201" spans="1:33" ht="15.75" thickBot="1" x14ac:dyDescent="0.3">
      <c r="A201" s="68" t="s">
        <v>90</v>
      </c>
      <c r="B201" s="68"/>
      <c r="D201" s="52" t="s">
        <v>27</v>
      </c>
      <c r="E201" s="52"/>
      <c r="F201" s="52"/>
      <c r="G201" s="73" t="s">
        <v>28</v>
      </c>
      <c r="H201" s="73"/>
      <c r="I201" s="73"/>
      <c r="J201" s="52" t="s">
        <v>29</v>
      </c>
      <c r="K201" s="52"/>
      <c r="L201" s="52"/>
      <c r="M201" s="73" t="s">
        <v>30</v>
      </c>
      <c r="N201" s="73"/>
      <c r="O201" s="73"/>
      <c r="P201" s="52" t="s">
        <v>31</v>
      </c>
      <c r="Q201" s="52"/>
      <c r="R201" s="52"/>
      <c r="S201" s="73" t="s">
        <v>32</v>
      </c>
      <c r="T201" s="73"/>
      <c r="U201" s="73"/>
      <c r="V201" s="52" t="s">
        <v>33</v>
      </c>
      <c r="W201" s="52"/>
      <c r="X201" s="52"/>
      <c r="Y201" s="73" t="s">
        <v>34</v>
      </c>
      <c r="Z201" s="73"/>
      <c r="AA201" s="73"/>
      <c r="AB201" s="52" t="s">
        <v>35</v>
      </c>
      <c r="AC201" s="52"/>
      <c r="AD201" s="52"/>
      <c r="AE201" s="73" t="s">
        <v>36</v>
      </c>
      <c r="AF201" s="73"/>
      <c r="AG201" s="73"/>
    </row>
    <row r="202" spans="1:33" ht="15.75" thickBot="1" x14ac:dyDescent="0.3">
      <c r="A202" s="68"/>
      <c r="B202" s="68"/>
      <c r="C202" s="105" t="s">
        <v>243</v>
      </c>
      <c r="D202" s="75">
        <v>0</v>
      </c>
      <c r="E202" s="75"/>
      <c r="F202" s="76"/>
      <c r="G202" s="74">
        <v>0</v>
      </c>
      <c r="H202" s="75"/>
      <c r="I202" s="76"/>
      <c r="J202" s="74">
        <v>0</v>
      </c>
      <c r="K202" s="75"/>
      <c r="L202" s="76"/>
      <c r="M202" s="74">
        <v>0</v>
      </c>
      <c r="N202" s="75"/>
      <c r="O202" s="76"/>
      <c r="P202" s="74">
        <v>0</v>
      </c>
      <c r="Q202" s="75"/>
      <c r="R202" s="76"/>
      <c r="S202" s="74">
        <v>0</v>
      </c>
      <c r="T202" s="75"/>
      <c r="U202" s="76"/>
      <c r="V202" s="74">
        <v>0</v>
      </c>
      <c r="W202" s="75"/>
      <c r="X202" s="76"/>
      <c r="Y202" s="74">
        <v>0</v>
      </c>
      <c r="Z202" s="75"/>
      <c r="AA202" s="76"/>
      <c r="AB202" s="74">
        <v>0</v>
      </c>
      <c r="AC202" s="75"/>
      <c r="AD202" s="76"/>
      <c r="AE202" s="74">
        <v>0</v>
      </c>
      <c r="AF202" s="75"/>
      <c r="AG202" s="76"/>
    </row>
    <row r="203" spans="1:33" ht="15.75" thickBot="1" x14ac:dyDescent="0.3">
      <c r="A203" s="68"/>
      <c r="B203" s="68"/>
      <c r="C203" s="106" t="s">
        <v>244</v>
      </c>
      <c r="D203" s="82">
        <v>0</v>
      </c>
      <c r="E203" s="82"/>
      <c r="F203" s="84"/>
      <c r="G203" s="85">
        <v>0</v>
      </c>
      <c r="H203" s="82"/>
      <c r="I203" s="84"/>
      <c r="J203" s="85">
        <v>0</v>
      </c>
      <c r="K203" s="82"/>
      <c r="L203" s="84"/>
      <c r="M203" s="85">
        <v>0</v>
      </c>
      <c r="N203" s="82"/>
      <c r="O203" s="82"/>
      <c r="P203" s="81">
        <v>0</v>
      </c>
      <c r="Q203" s="82"/>
      <c r="R203" s="83"/>
      <c r="S203" s="82">
        <v>0</v>
      </c>
      <c r="T203" s="82"/>
      <c r="U203" s="84"/>
      <c r="V203" s="85">
        <v>0</v>
      </c>
      <c r="W203" s="82"/>
      <c r="X203" s="84"/>
      <c r="Y203" s="85">
        <v>0</v>
      </c>
      <c r="Z203" s="82"/>
      <c r="AA203" s="84"/>
      <c r="AB203" s="85">
        <v>0</v>
      </c>
      <c r="AC203" s="82"/>
      <c r="AD203" s="84"/>
      <c r="AE203" s="85">
        <v>0</v>
      </c>
      <c r="AF203" s="82"/>
      <c r="AG203" s="84"/>
    </row>
    <row r="204" spans="1:33" ht="15.75" thickBot="1" x14ac:dyDescent="0.3">
      <c r="A204" s="68"/>
      <c r="B204" s="68"/>
      <c r="C204" s="107" t="s">
        <v>37</v>
      </c>
      <c r="D204" s="104"/>
      <c r="E204" s="86"/>
      <c r="F204" s="89"/>
      <c r="G204" s="86"/>
      <c r="H204" s="86"/>
      <c r="I204" s="89"/>
      <c r="J204" s="86"/>
      <c r="K204" s="86"/>
      <c r="L204" s="89"/>
      <c r="M204" s="86"/>
      <c r="N204" s="86"/>
      <c r="O204" s="89"/>
      <c r="P204" s="86"/>
      <c r="Q204" s="86"/>
      <c r="R204" s="89"/>
      <c r="S204" s="86"/>
      <c r="T204" s="86"/>
      <c r="U204" s="89"/>
      <c r="V204" s="86"/>
      <c r="W204" s="86"/>
      <c r="X204" s="89"/>
      <c r="Y204" s="86"/>
      <c r="Z204" s="86"/>
      <c r="AA204" s="89"/>
      <c r="AB204" s="86"/>
      <c r="AC204" s="86"/>
      <c r="AD204" s="89"/>
      <c r="AE204" s="86"/>
      <c r="AF204" s="86"/>
      <c r="AG204" s="89"/>
    </row>
    <row r="205" spans="1:33" ht="15.75" thickBot="1" x14ac:dyDescent="0.3">
      <c r="A205" s="68"/>
      <c r="B205" s="68"/>
      <c r="D205" s="87"/>
      <c r="E205" s="87"/>
      <c r="F205" s="90"/>
      <c r="G205" s="87"/>
      <c r="H205" s="87"/>
      <c r="I205" s="90"/>
      <c r="J205" s="87"/>
      <c r="K205" s="87"/>
      <c r="L205" s="90"/>
      <c r="M205" s="87"/>
      <c r="N205" s="87"/>
      <c r="O205" s="90"/>
      <c r="P205" s="87"/>
      <c r="Q205" s="87"/>
      <c r="R205" s="90"/>
      <c r="S205" s="87"/>
      <c r="T205" s="87"/>
      <c r="U205" s="90"/>
      <c r="V205" s="87"/>
      <c r="W205" s="87"/>
      <c r="X205" s="90"/>
      <c r="Y205" s="87"/>
      <c r="Z205" s="87"/>
      <c r="AA205" s="90"/>
      <c r="AB205" s="87"/>
      <c r="AC205" s="87"/>
      <c r="AD205" s="90"/>
      <c r="AE205" s="87"/>
      <c r="AF205" s="87"/>
      <c r="AG205" s="90"/>
    </row>
    <row r="206" spans="1:33" ht="15.75" thickBot="1" x14ac:dyDescent="0.3">
      <c r="A206" s="68"/>
      <c r="B206" s="68"/>
      <c r="D206" s="88"/>
      <c r="E206" s="88"/>
      <c r="F206" s="91"/>
      <c r="G206" s="88"/>
      <c r="H206" s="88"/>
      <c r="I206" s="91"/>
      <c r="J206" s="88"/>
      <c r="K206" s="88"/>
      <c r="L206" s="91"/>
      <c r="M206" s="88"/>
      <c r="N206" s="88"/>
      <c r="O206" s="91"/>
      <c r="P206" s="88"/>
      <c r="Q206" s="88"/>
      <c r="R206" s="91"/>
      <c r="S206" s="88"/>
      <c r="T206" s="88"/>
      <c r="U206" s="91"/>
      <c r="V206" s="88"/>
      <c r="W206" s="88"/>
      <c r="X206" s="91"/>
      <c r="Y206" s="88"/>
      <c r="Z206" s="88"/>
      <c r="AA206" s="91"/>
      <c r="AB206" s="88"/>
      <c r="AC206" s="88"/>
      <c r="AD206" s="91"/>
      <c r="AE206" s="88"/>
      <c r="AF206" s="88"/>
      <c r="AG206" s="91"/>
    </row>
    <row r="208" spans="1:33" ht="15.75" thickBot="1" x14ac:dyDescent="0.3"/>
    <row r="209" spans="1:33" ht="15.75" thickBot="1" x14ac:dyDescent="0.3">
      <c r="A209" s="68" t="s">
        <v>91</v>
      </c>
      <c r="B209" s="68"/>
      <c r="D209" s="52" t="s">
        <v>27</v>
      </c>
      <c r="E209" s="52"/>
      <c r="F209" s="52"/>
      <c r="G209" s="73" t="s">
        <v>28</v>
      </c>
      <c r="H209" s="73"/>
      <c r="I209" s="73"/>
      <c r="J209" s="52" t="s">
        <v>29</v>
      </c>
      <c r="K209" s="52"/>
      <c r="L209" s="52"/>
      <c r="M209" s="73" t="s">
        <v>30</v>
      </c>
      <c r="N209" s="73"/>
      <c r="O209" s="73"/>
      <c r="P209" s="52" t="s">
        <v>31</v>
      </c>
      <c r="Q209" s="52"/>
      <c r="R209" s="52"/>
      <c r="S209" s="73" t="s">
        <v>32</v>
      </c>
      <c r="T209" s="73"/>
      <c r="U209" s="73"/>
      <c r="V209" s="52" t="s">
        <v>33</v>
      </c>
      <c r="W209" s="52"/>
      <c r="X209" s="52"/>
      <c r="Y209" s="73" t="s">
        <v>34</v>
      </c>
      <c r="Z209" s="73"/>
      <c r="AA209" s="73"/>
      <c r="AB209" s="52" t="s">
        <v>35</v>
      </c>
      <c r="AC209" s="52"/>
      <c r="AD209" s="52"/>
      <c r="AE209" s="73" t="s">
        <v>36</v>
      </c>
      <c r="AF209" s="73"/>
      <c r="AG209" s="73"/>
    </row>
    <row r="210" spans="1:33" ht="15.75" thickBot="1" x14ac:dyDescent="0.3">
      <c r="A210" s="68"/>
      <c r="B210" s="68"/>
      <c r="C210" s="105" t="s">
        <v>243</v>
      </c>
      <c r="D210" s="75">
        <v>0</v>
      </c>
      <c r="E210" s="75"/>
      <c r="F210" s="76"/>
      <c r="G210" s="74">
        <v>0</v>
      </c>
      <c r="H210" s="75"/>
      <c r="I210" s="76"/>
      <c r="J210" s="74">
        <v>0</v>
      </c>
      <c r="K210" s="75"/>
      <c r="L210" s="76"/>
      <c r="M210" s="74">
        <v>0</v>
      </c>
      <c r="N210" s="75"/>
      <c r="O210" s="76"/>
      <c r="P210" s="74">
        <v>0</v>
      </c>
      <c r="Q210" s="75"/>
      <c r="R210" s="76"/>
      <c r="S210" s="74">
        <v>0</v>
      </c>
      <c r="T210" s="75"/>
      <c r="U210" s="76"/>
      <c r="V210" s="74">
        <v>0</v>
      </c>
      <c r="W210" s="75"/>
      <c r="X210" s="76"/>
      <c r="Y210" s="74">
        <v>0</v>
      </c>
      <c r="Z210" s="75"/>
      <c r="AA210" s="76"/>
      <c r="AB210" s="74">
        <v>0</v>
      </c>
      <c r="AC210" s="75"/>
      <c r="AD210" s="76"/>
      <c r="AE210" s="74">
        <v>0</v>
      </c>
      <c r="AF210" s="75"/>
      <c r="AG210" s="76"/>
    </row>
    <row r="211" spans="1:33" ht="15.75" thickBot="1" x14ac:dyDescent="0.3">
      <c r="A211" s="68"/>
      <c r="B211" s="68"/>
      <c r="C211" s="106" t="s">
        <v>244</v>
      </c>
      <c r="D211" s="82">
        <v>0</v>
      </c>
      <c r="E211" s="82"/>
      <c r="F211" s="84"/>
      <c r="G211" s="85">
        <v>0</v>
      </c>
      <c r="H211" s="82"/>
      <c r="I211" s="84"/>
      <c r="J211" s="85">
        <v>0</v>
      </c>
      <c r="K211" s="82"/>
      <c r="L211" s="84"/>
      <c r="M211" s="85">
        <v>0</v>
      </c>
      <c r="N211" s="82"/>
      <c r="O211" s="82"/>
      <c r="P211" s="81">
        <v>0</v>
      </c>
      <c r="Q211" s="82"/>
      <c r="R211" s="83"/>
      <c r="S211" s="82">
        <v>0</v>
      </c>
      <c r="T211" s="82"/>
      <c r="U211" s="84"/>
      <c r="V211" s="85">
        <v>0</v>
      </c>
      <c r="W211" s="82"/>
      <c r="X211" s="84"/>
      <c r="Y211" s="85">
        <v>0</v>
      </c>
      <c r="Z211" s="82"/>
      <c r="AA211" s="84"/>
      <c r="AB211" s="85">
        <v>0</v>
      </c>
      <c r="AC211" s="82"/>
      <c r="AD211" s="84"/>
      <c r="AE211" s="85">
        <v>0</v>
      </c>
      <c r="AF211" s="82"/>
      <c r="AG211" s="84"/>
    </row>
    <row r="212" spans="1:33" ht="15.75" thickBot="1" x14ac:dyDescent="0.3">
      <c r="A212" s="68"/>
      <c r="B212" s="68"/>
      <c r="C212" s="107" t="s">
        <v>37</v>
      </c>
      <c r="D212" s="104"/>
      <c r="E212" s="86"/>
      <c r="F212" s="89"/>
      <c r="G212" s="86"/>
      <c r="H212" s="86"/>
      <c r="I212" s="89"/>
      <c r="J212" s="86"/>
      <c r="K212" s="86"/>
      <c r="L212" s="89"/>
      <c r="M212" s="86"/>
      <c r="N212" s="86"/>
      <c r="O212" s="89"/>
      <c r="P212" s="86"/>
      <c r="Q212" s="86"/>
      <c r="R212" s="89"/>
      <c r="S212" s="86"/>
      <c r="T212" s="86"/>
      <c r="U212" s="89"/>
      <c r="V212" s="86"/>
      <c r="W212" s="86"/>
      <c r="X212" s="89"/>
      <c r="Y212" s="86"/>
      <c r="Z212" s="86"/>
      <c r="AA212" s="89"/>
      <c r="AB212" s="86"/>
      <c r="AC212" s="86"/>
      <c r="AD212" s="89"/>
      <c r="AE212" s="86"/>
      <c r="AF212" s="86"/>
      <c r="AG212" s="89"/>
    </row>
    <row r="213" spans="1:33" ht="15.75" thickBot="1" x14ac:dyDescent="0.3">
      <c r="A213" s="68"/>
      <c r="B213" s="68"/>
      <c r="D213" s="87"/>
      <c r="E213" s="87"/>
      <c r="F213" s="90"/>
      <c r="G213" s="87"/>
      <c r="H213" s="87"/>
      <c r="I213" s="90"/>
      <c r="J213" s="87"/>
      <c r="K213" s="87"/>
      <c r="L213" s="90"/>
      <c r="M213" s="87"/>
      <c r="N213" s="87"/>
      <c r="O213" s="90"/>
      <c r="P213" s="87"/>
      <c r="Q213" s="87"/>
      <c r="R213" s="90"/>
      <c r="S213" s="87"/>
      <c r="T213" s="87"/>
      <c r="U213" s="90"/>
      <c r="V213" s="87"/>
      <c r="W213" s="87"/>
      <c r="X213" s="90"/>
      <c r="Y213" s="87"/>
      <c r="Z213" s="87"/>
      <c r="AA213" s="90"/>
      <c r="AB213" s="87"/>
      <c r="AC213" s="87"/>
      <c r="AD213" s="90"/>
      <c r="AE213" s="87"/>
      <c r="AF213" s="87"/>
      <c r="AG213" s="90"/>
    </row>
    <row r="214" spans="1:33" ht="15.75" thickBot="1" x14ac:dyDescent="0.3">
      <c r="A214" s="68"/>
      <c r="B214" s="68"/>
      <c r="D214" s="88"/>
      <c r="E214" s="88"/>
      <c r="F214" s="91"/>
      <c r="G214" s="88"/>
      <c r="H214" s="88"/>
      <c r="I214" s="91"/>
      <c r="J214" s="88"/>
      <c r="K214" s="88"/>
      <c r="L214" s="91"/>
      <c r="M214" s="88"/>
      <c r="N214" s="88"/>
      <c r="O214" s="91"/>
      <c r="P214" s="88"/>
      <c r="Q214" s="88"/>
      <c r="R214" s="91"/>
      <c r="S214" s="88"/>
      <c r="T214" s="88"/>
      <c r="U214" s="91"/>
      <c r="V214" s="88"/>
      <c r="W214" s="88"/>
      <c r="X214" s="91"/>
      <c r="Y214" s="88"/>
      <c r="Z214" s="88"/>
      <c r="AA214" s="91"/>
      <c r="AB214" s="88"/>
      <c r="AC214" s="88"/>
      <c r="AD214" s="91"/>
      <c r="AE214" s="88"/>
      <c r="AF214" s="88"/>
      <c r="AG214" s="91"/>
    </row>
    <row r="216" spans="1:33" ht="15.75" thickBot="1" x14ac:dyDescent="0.3"/>
    <row r="217" spans="1:33" ht="15.75" thickBot="1" x14ac:dyDescent="0.3">
      <c r="A217" s="68" t="s">
        <v>257</v>
      </c>
      <c r="B217" s="68"/>
      <c r="D217" s="52" t="s">
        <v>27</v>
      </c>
      <c r="E217" s="52"/>
      <c r="F217" s="52"/>
      <c r="G217" s="73" t="s">
        <v>28</v>
      </c>
      <c r="H217" s="73"/>
      <c r="I217" s="73"/>
      <c r="J217" s="52" t="s">
        <v>29</v>
      </c>
      <c r="K217" s="52"/>
      <c r="L217" s="52"/>
      <c r="M217" s="73" t="s">
        <v>30</v>
      </c>
      <c r="N217" s="73"/>
      <c r="O217" s="73"/>
      <c r="P217" s="52" t="s">
        <v>31</v>
      </c>
      <c r="Q217" s="52"/>
      <c r="R217" s="52"/>
      <c r="S217" s="73" t="s">
        <v>32</v>
      </c>
      <c r="T217" s="73"/>
      <c r="U217" s="73"/>
      <c r="V217" s="52" t="s">
        <v>33</v>
      </c>
      <c r="W217" s="52"/>
      <c r="X217" s="52"/>
      <c r="Y217" s="73" t="s">
        <v>34</v>
      </c>
      <c r="Z217" s="73"/>
      <c r="AA217" s="73"/>
      <c r="AB217" s="52" t="s">
        <v>35</v>
      </c>
      <c r="AC217" s="52"/>
      <c r="AD217" s="52"/>
      <c r="AE217" s="73" t="s">
        <v>36</v>
      </c>
      <c r="AF217" s="73"/>
      <c r="AG217" s="73"/>
    </row>
    <row r="218" spans="1:33" ht="15.75" thickBot="1" x14ac:dyDescent="0.3">
      <c r="A218" s="68"/>
      <c r="B218" s="68"/>
      <c r="C218" s="105" t="s">
        <v>243</v>
      </c>
      <c r="D218" s="75">
        <v>0</v>
      </c>
      <c r="E218" s="75"/>
      <c r="F218" s="76"/>
      <c r="G218" s="74">
        <v>0</v>
      </c>
      <c r="H218" s="75"/>
      <c r="I218" s="76"/>
      <c r="J218" s="74">
        <v>0</v>
      </c>
      <c r="K218" s="75"/>
      <c r="L218" s="76"/>
      <c r="M218" s="74">
        <v>0</v>
      </c>
      <c r="N218" s="75"/>
      <c r="O218" s="76"/>
      <c r="P218" s="74">
        <v>0</v>
      </c>
      <c r="Q218" s="75"/>
      <c r="R218" s="76"/>
      <c r="S218" s="74">
        <v>0</v>
      </c>
      <c r="T218" s="75"/>
      <c r="U218" s="76"/>
      <c r="V218" s="74">
        <v>0</v>
      </c>
      <c r="W218" s="75"/>
      <c r="X218" s="76"/>
      <c r="Y218" s="74">
        <v>0</v>
      </c>
      <c r="Z218" s="75"/>
      <c r="AA218" s="76"/>
      <c r="AB218" s="74">
        <v>0</v>
      </c>
      <c r="AC218" s="75"/>
      <c r="AD218" s="76"/>
      <c r="AE218" s="74">
        <v>0</v>
      </c>
      <c r="AF218" s="75"/>
      <c r="AG218" s="76"/>
    </row>
    <row r="219" spans="1:33" ht="15.75" thickBot="1" x14ac:dyDescent="0.3">
      <c r="A219" s="68"/>
      <c r="B219" s="68"/>
      <c r="C219" s="106" t="s">
        <v>244</v>
      </c>
      <c r="D219" s="82">
        <v>0</v>
      </c>
      <c r="E219" s="82"/>
      <c r="F219" s="84"/>
      <c r="G219" s="85">
        <v>0</v>
      </c>
      <c r="H219" s="82"/>
      <c r="I219" s="84"/>
      <c r="J219" s="85">
        <v>0</v>
      </c>
      <c r="K219" s="82"/>
      <c r="L219" s="84"/>
      <c r="M219" s="85">
        <v>0</v>
      </c>
      <c r="N219" s="82"/>
      <c r="O219" s="82"/>
      <c r="P219" s="81">
        <v>0</v>
      </c>
      <c r="Q219" s="82"/>
      <c r="R219" s="83"/>
      <c r="S219" s="82">
        <v>0</v>
      </c>
      <c r="T219" s="82"/>
      <c r="U219" s="84"/>
      <c r="V219" s="85">
        <v>0</v>
      </c>
      <c r="W219" s="82"/>
      <c r="X219" s="84"/>
      <c r="Y219" s="85">
        <v>0</v>
      </c>
      <c r="Z219" s="82"/>
      <c r="AA219" s="84"/>
      <c r="AB219" s="85">
        <v>0</v>
      </c>
      <c r="AC219" s="82"/>
      <c r="AD219" s="84"/>
      <c r="AE219" s="85">
        <v>0</v>
      </c>
      <c r="AF219" s="82"/>
      <c r="AG219" s="84"/>
    </row>
    <row r="220" spans="1:33" ht="15.75" thickBot="1" x14ac:dyDescent="0.3">
      <c r="A220" s="68"/>
      <c r="B220" s="68"/>
      <c r="C220" s="107" t="s">
        <v>37</v>
      </c>
      <c r="D220" s="104"/>
      <c r="E220" s="86"/>
      <c r="F220" s="89"/>
      <c r="G220" s="86"/>
      <c r="H220" s="86"/>
      <c r="I220" s="89"/>
      <c r="J220" s="86"/>
      <c r="K220" s="86"/>
      <c r="L220" s="89"/>
      <c r="M220" s="86"/>
      <c r="N220" s="86"/>
      <c r="O220" s="89"/>
      <c r="P220" s="86"/>
      <c r="Q220" s="86"/>
      <c r="R220" s="89"/>
      <c r="S220" s="86"/>
      <c r="T220" s="86"/>
      <c r="U220" s="89"/>
      <c r="V220" s="86"/>
      <c r="W220" s="86"/>
      <c r="X220" s="89"/>
      <c r="Y220" s="86"/>
      <c r="Z220" s="86"/>
      <c r="AA220" s="89"/>
      <c r="AB220" s="86"/>
      <c r="AC220" s="86"/>
      <c r="AD220" s="89"/>
      <c r="AE220" s="86"/>
      <c r="AF220" s="86"/>
      <c r="AG220" s="89"/>
    </row>
    <row r="221" spans="1:33" ht="15.75" thickBot="1" x14ac:dyDescent="0.3">
      <c r="A221" s="68"/>
      <c r="B221" s="68"/>
      <c r="D221" s="87"/>
      <c r="E221" s="87"/>
      <c r="F221" s="90"/>
      <c r="G221" s="87"/>
      <c r="H221" s="87"/>
      <c r="I221" s="90"/>
      <c r="J221" s="87"/>
      <c r="K221" s="87"/>
      <c r="L221" s="90"/>
      <c r="M221" s="87"/>
      <c r="N221" s="87"/>
      <c r="O221" s="90"/>
      <c r="P221" s="87"/>
      <c r="Q221" s="87"/>
      <c r="R221" s="90"/>
      <c r="S221" s="87"/>
      <c r="T221" s="87"/>
      <c r="U221" s="90"/>
      <c r="V221" s="87"/>
      <c r="W221" s="87"/>
      <c r="X221" s="90"/>
      <c r="Y221" s="87"/>
      <c r="Z221" s="87"/>
      <c r="AA221" s="90"/>
      <c r="AB221" s="87"/>
      <c r="AC221" s="87"/>
      <c r="AD221" s="90"/>
      <c r="AE221" s="87"/>
      <c r="AF221" s="87"/>
      <c r="AG221" s="90"/>
    </row>
    <row r="222" spans="1:33" ht="15.75" thickBot="1" x14ac:dyDescent="0.3">
      <c r="A222" s="68"/>
      <c r="B222" s="68"/>
      <c r="D222" s="88"/>
      <c r="E222" s="88"/>
      <c r="F222" s="91"/>
      <c r="G222" s="88"/>
      <c r="H222" s="88"/>
      <c r="I222" s="91"/>
      <c r="J222" s="88"/>
      <c r="K222" s="88"/>
      <c r="L222" s="91"/>
      <c r="M222" s="88"/>
      <c r="N222" s="88"/>
      <c r="O222" s="91"/>
      <c r="P222" s="88"/>
      <c r="Q222" s="88"/>
      <c r="R222" s="91"/>
      <c r="S222" s="88"/>
      <c r="T222" s="88"/>
      <c r="U222" s="91"/>
      <c r="V222" s="88"/>
      <c r="W222" s="88"/>
      <c r="X222" s="91"/>
      <c r="Y222" s="88"/>
      <c r="Z222" s="88"/>
      <c r="AA222" s="91"/>
      <c r="AB222" s="88"/>
      <c r="AC222" s="88"/>
      <c r="AD222" s="91"/>
      <c r="AE222" s="88"/>
      <c r="AF222" s="88"/>
      <c r="AG222" s="91"/>
    </row>
    <row r="224" spans="1:33" ht="15.75" thickBot="1" x14ac:dyDescent="0.3"/>
    <row r="225" spans="1:33" ht="15.75" thickBot="1" x14ac:dyDescent="0.3">
      <c r="A225" s="68" t="s">
        <v>258</v>
      </c>
      <c r="B225" s="68"/>
      <c r="D225" s="52" t="s">
        <v>27</v>
      </c>
      <c r="E225" s="52"/>
      <c r="F225" s="52"/>
      <c r="G225" s="73" t="s">
        <v>28</v>
      </c>
      <c r="H225" s="73"/>
      <c r="I225" s="73"/>
      <c r="J225" s="52" t="s">
        <v>29</v>
      </c>
      <c r="K225" s="52"/>
      <c r="L225" s="52"/>
      <c r="M225" s="73" t="s">
        <v>30</v>
      </c>
      <c r="N225" s="73"/>
      <c r="O225" s="73"/>
      <c r="P225" s="52" t="s">
        <v>31</v>
      </c>
      <c r="Q225" s="52"/>
      <c r="R225" s="52"/>
      <c r="S225" s="73" t="s">
        <v>32</v>
      </c>
      <c r="T225" s="73"/>
      <c r="U225" s="73"/>
      <c r="V225" s="52" t="s">
        <v>33</v>
      </c>
      <c r="W225" s="52"/>
      <c r="X225" s="52"/>
      <c r="Y225" s="73" t="s">
        <v>34</v>
      </c>
      <c r="Z225" s="73"/>
      <c r="AA225" s="73"/>
      <c r="AB225" s="52" t="s">
        <v>35</v>
      </c>
      <c r="AC225" s="52"/>
      <c r="AD225" s="52"/>
      <c r="AE225" s="73" t="s">
        <v>36</v>
      </c>
      <c r="AF225" s="73"/>
      <c r="AG225" s="73"/>
    </row>
    <row r="226" spans="1:33" ht="15.75" thickBot="1" x14ac:dyDescent="0.3">
      <c r="A226" s="68"/>
      <c r="B226" s="68"/>
      <c r="C226" s="105" t="s">
        <v>243</v>
      </c>
      <c r="D226" s="75">
        <v>0</v>
      </c>
      <c r="E226" s="75"/>
      <c r="F226" s="76"/>
      <c r="G226" s="74">
        <v>0</v>
      </c>
      <c r="H226" s="75"/>
      <c r="I226" s="76"/>
      <c r="J226" s="74">
        <v>0</v>
      </c>
      <c r="K226" s="75"/>
      <c r="L226" s="76"/>
      <c r="M226" s="74">
        <v>0</v>
      </c>
      <c r="N226" s="75"/>
      <c r="O226" s="76"/>
      <c r="P226" s="74">
        <v>0</v>
      </c>
      <c r="Q226" s="75"/>
      <c r="R226" s="76"/>
      <c r="S226" s="74">
        <v>0</v>
      </c>
      <c r="T226" s="75"/>
      <c r="U226" s="76"/>
      <c r="V226" s="74">
        <v>0</v>
      </c>
      <c r="W226" s="75"/>
      <c r="X226" s="76"/>
      <c r="Y226" s="74">
        <v>0</v>
      </c>
      <c r="Z226" s="75"/>
      <c r="AA226" s="76"/>
      <c r="AB226" s="74">
        <v>0</v>
      </c>
      <c r="AC226" s="75"/>
      <c r="AD226" s="76"/>
      <c r="AE226" s="74">
        <v>0</v>
      </c>
      <c r="AF226" s="75"/>
      <c r="AG226" s="76"/>
    </row>
    <row r="227" spans="1:33" ht="15.75" thickBot="1" x14ac:dyDescent="0.3">
      <c r="A227" s="68"/>
      <c r="B227" s="68"/>
      <c r="C227" s="106" t="s">
        <v>244</v>
      </c>
      <c r="D227" s="82">
        <v>0</v>
      </c>
      <c r="E227" s="82"/>
      <c r="F227" s="84"/>
      <c r="G227" s="85">
        <v>0</v>
      </c>
      <c r="H227" s="82"/>
      <c r="I227" s="84"/>
      <c r="J227" s="85">
        <v>0</v>
      </c>
      <c r="K227" s="82"/>
      <c r="L227" s="84"/>
      <c r="M227" s="85">
        <v>0</v>
      </c>
      <c r="N227" s="82"/>
      <c r="O227" s="82"/>
      <c r="P227" s="81">
        <v>0</v>
      </c>
      <c r="Q227" s="82"/>
      <c r="R227" s="83"/>
      <c r="S227" s="82">
        <v>0</v>
      </c>
      <c r="T227" s="82"/>
      <c r="U227" s="84"/>
      <c r="V227" s="85">
        <v>0</v>
      </c>
      <c r="W227" s="82"/>
      <c r="X227" s="84"/>
      <c r="Y227" s="85">
        <v>0</v>
      </c>
      <c r="Z227" s="82"/>
      <c r="AA227" s="84"/>
      <c r="AB227" s="85">
        <v>0</v>
      </c>
      <c r="AC227" s="82"/>
      <c r="AD227" s="84"/>
      <c r="AE227" s="85">
        <v>0</v>
      </c>
      <c r="AF227" s="82"/>
      <c r="AG227" s="84"/>
    </row>
    <row r="228" spans="1:33" ht="15.75" thickBot="1" x14ac:dyDescent="0.3">
      <c r="A228" s="68"/>
      <c r="B228" s="68"/>
      <c r="C228" s="107" t="s">
        <v>37</v>
      </c>
      <c r="D228" s="104"/>
      <c r="E228" s="86"/>
      <c r="F228" s="89"/>
      <c r="G228" s="86"/>
      <c r="H228" s="86"/>
      <c r="I228" s="89"/>
      <c r="J228" s="86"/>
      <c r="K228" s="86"/>
      <c r="L228" s="89"/>
      <c r="M228" s="86"/>
      <c r="N228" s="86"/>
      <c r="O228" s="89"/>
      <c r="P228" s="86"/>
      <c r="Q228" s="86"/>
      <c r="R228" s="89"/>
      <c r="S228" s="86"/>
      <c r="T228" s="86"/>
      <c r="U228" s="89"/>
      <c r="V228" s="86"/>
      <c r="W228" s="86"/>
      <c r="X228" s="89"/>
      <c r="Y228" s="86"/>
      <c r="Z228" s="86"/>
      <c r="AA228" s="89"/>
      <c r="AB228" s="86"/>
      <c r="AC228" s="86"/>
      <c r="AD228" s="89"/>
      <c r="AE228" s="86"/>
      <c r="AF228" s="86"/>
      <c r="AG228" s="89"/>
    </row>
    <row r="229" spans="1:33" ht="15.75" thickBot="1" x14ac:dyDescent="0.3">
      <c r="A229" s="68"/>
      <c r="B229" s="68"/>
      <c r="D229" s="87"/>
      <c r="E229" s="87"/>
      <c r="F229" s="90"/>
      <c r="G229" s="87"/>
      <c r="H229" s="87"/>
      <c r="I229" s="90"/>
      <c r="J229" s="87"/>
      <c r="K229" s="87"/>
      <c r="L229" s="90"/>
      <c r="M229" s="87"/>
      <c r="N229" s="87"/>
      <c r="O229" s="90"/>
      <c r="P229" s="87"/>
      <c r="Q229" s="87"/>
      <c r="R229" s="90"/>
      <c r="S229" s="87"/>
      <c r="T229" s="87"/>
      <c r="U229" s="90"/>
      <c r="V229" s="87"/>
      <c r="W229" s="87"/>
      <c r="X229" s="90"/>
      <c r="Y229" s="87"/>
      <c r="Z229" s="87"/>
      <c r="AA229" s="90"/>
      <c r="AB229" s="87"/>
      <c r="AC229" s="87"/>
      <c r="AD229" s="90"/>
      <c r="AE229" s="87"/>
      <c r="AF229" s="87"/>
      <c r="AG229" s="90"/>
    </row>
    <row r="230" spans="1:33" ht="15.75" thickBot="1" x14ac:dyDescent="0.3">
      <c r="A230" s="68"/>
      <c r="B230" s="68"/>
      <c r="D230" s="88"/>
      <c r="E230" s="88"/>
      <c r="F230" s="91"/>
      <c r="G230" s="88"/>
      <c r="H230" s="88"/>
      <c r="I230" s="91"/>
      <c r="J230" s="88"/>
      <c r="K230" s="88"/>
      <c r="L230" s="91"/>
      <c r="M230" s="88"/>
      <c r="N230" s="88"/>
      <c r="O230" s="91"/>
      <c r="P230" s="88"/>
      <c r="Q230" s="88"/>
      <c r="R230" s="91"/>
      <c r="S230" s="88"/>
      <c r="T230" s="88"/>
      <c r="U230" s="91"/>
      <c r="V230" s="88"/>
      <c r="W230" s="88"/>
      <c r="X230" s="91"/>
      <c r="Y230" s="88"/>
      <c r="Z230" s="88"/>
      <c r="AA230" s="91"/>
      <c r="AB230" s="88"/>
      <c r="AC230" s="88"/>
      <c r="AD230" s="91"/>
      <c r="AE230" s="88"/>
      <c r="AF230" s="88"/>
      <c r="AG230" s="91"/>
    </row>
    <row r="232" spans="1:33" ht="15.75" thickBot="1" x14ac:dyDescent="0.3"/>
    <row r="233" spans="1:33" ht="15.75" thickBot="1" x14ac:dyDescent="0.3">
      <c r="A233" s="68" t="s">
        <v>259</v>
      </c>
      <c r="B233" s="68"/>
      <c r="D233" s="52" t="s">
        <v>27</v>
      </c>
      <c r="E233" s="52"/>
      <c r="F233" s="52"/>
      <c r="G233" s="73" t="s">
        <v>28</v>
      </c>
      <c r="H233" s="73"/>
      <c r="I233" s="73"/>
      <c r="J233" s="52" t="s">
        <v>29</v>
      </c>
      <c r="K233" s="52"/>
      <c r="L233" s="52"/>
      <c r="M233" s="73" t="s">
        <v>30</v>
      </c>
      <c r="N233" s="73"/>
      <c r="O233" s="73"/>
      <c r="P233" s="52" t="s">
        <v>31</v>
      </c>
      <c r="Q233" s="52"/>
      <c r="R233" s="52"/>
      <c r="S233" s="73" t="s">
        <v>32</v>
      </c>
      <c r="T233" s="73"/>
      <c r="U233" s="73"/>
      <c r="V233" s="52" t="s">
        <v>33</v>
      </c>
      <c r="W233" s="52"/>
      <c r="X233" s="52"/>
      <c r="Y233" s="73" t="s">
        <v>34</v>
      </c>
      <c r="Z233" s="73"/>
      <c r="AA233" s="73"/>
      <c r="AB233" s="52" t="s">
        <v>35</v>
      </c>
      <c r="AC233" s="52"/>
      <c r="AD233" s="52"/>
      <c r="AE233" s="73" t="s">
        <v>36</v>
      </c>
      <c r="AF233" s="73"/>
      <c r="AG233" s="73"/>
    </row>
    <row r="234" spans="1:33" ht="15.75" thickBot="1" x14ac:dyDescent="0.3">
      <c r="A234" s="68"/>
      <c r="B234" s="68"/>
      <c r="C234" s="105" t="s">
        <v>243</v>
      </c>
      <c r="D234" s="75">
        <v>0</v>
      </c>
      <c r="E234" s="75"/>
      <c r="F234" s="76"/>
      <c r="G234" s="74">
        <v>0</v>
      </c>
      <c r="H234" s="75"/>
      <c r="I234" s="76"/>
      <c r="J234" s="74">
        <v>0</v>
      </c>
      <c r="K234" s="75"/>
      <c r="L234" s="76"/>
      <c r="M234" s="74">
        <v>0</v>
      </c>
      <c r="N234" s="75"/>
      <c r="O234" s="76"/>
      <c r="P234" s="74">
        <v>0</v>
      </c>
      <c r="Q234" s="75"/>
      <c r="R234" s="76"/>
      <c r="S234" s="74">
        <v>0</v>
      </c>
      <c r="T234" s="75"/>
      <c r="U234" s="76"/>
      <c r="V234" s="74">
        <v>0</v>
      </c>
      <c r="W234" s="75"/>
      <c r="X234" s="76"/>
      <c r="Y234" s="74">
        <v>0</v>
      </c>
      <c r="Z234" s="75"/>
      <c r="AA234" s="76"/>
      <c r="AB234" s="74">
        <v>0</v>
      </c>
      <c r="AC234" s="75"/>
      <c r="AD234" s="76"/>
      <c r="AE234" s="74">
        <v>0</v>
      </c>
      <c r="AF234" s="75"/>
      <c r="AG234" s="76"/>
    </row>
    <row r="235" spans="1:33" ht="15.75" thickBot="1" x14ac:dyDescent="0.3">
      <c r="A235" s="68"/>
      <c r="B235" s="68"/>
      <c r="C235" s="106" t="s">
        <v>244</v>
      </c>
      <c r="D235" s="82">
        <v>0</v>
      </c>
      <c r="E235" s="82"/>
      <c r="F235" s="84"/>
      <c r="G235" s="85">
        <v>0</v>
      </c>
      <c r="H235" s="82"/>
      <c r="I235" s="84"/>
      <c r="J235" s="85">
        <v>0</v>
      </c>
      <c r="K235" s="82"/>
      <c r="L235" s="84"/>
      <c r="M235" s="85">
        <v>0</v>
      </c>
      <c r="N235" s="82"/>
      <c r="O235" s="82"/>
      <c r="P235" s="81">
        <v>0</v>
      </c>
      <c r="Q235" s="82"/>
      <c r="R235" s="83"/>
      <c r="S235" s="82">
        <v>0</v>
      </c>
      <c r="T235" s="82"/>
      <c r="U235" s="84"/>
      <c r="V235" s="85">
        <v>0</v>
      </c>
      <c r="W235" s="82"/>
      <c r="X235" s="84"/>
      <c r="Y235" s="85">
        <v>0</v>
      </c>
      <c r="Z235" s="82"/>
      <c r="AA235" s="84"/>
      <c r="AB235" s="85">
        <v>0</v>
      </c>
      <c r="AC235" s="82"/>
      <c r="AD235" s="84"/>
      <c r="AE235" s="85">
        <v>0</v>
      </c>
      <c r="AF235" s="82"/>
      <c r="AG235" s="84"/>
    </row>
    <row r="236" spans="1:33" ht="15.75" thickBot="1" x14ac:dyDescent="0.3">
      <c r="A236" s="68"/>
      <c r="B236" s="68"/>
      <c r="C236" s="107" t="s">
        <v>37</v>
      </c>
      <c r="D236" s="104"/>
      <c r="E236" s="86"/>
      <c r="F236" s="89"/>
      <c r="G236" s="86"/>
      <c r="H236" s="86"/>
      <c r="I236" s="89"/>
      <c r="J236" s="86"/>
      <c r="K236" s="86"/>
      <c r="L236" s="89"/>
      <c r="M236" s="86"/>
      <c r="N236" s="86"/>
      <c r="O236" s="89"/>
      <c r="P236" s="86"/>
      <c r="Q236" s="86"/>
      <c r="R236" s="89"/>
      <c r="S236" s="86"/>
      <c r="T236" s="86"/>
      <c r="U236" s="89"/>
      <c r="V236" s="86"/>
      <c r="W236" s="86"/>
      <c r="X236" s="89"/>
      <c r="Y236" s="86"/>
      <c r="Z236" s="86"/>
      <c r="AA236" s="89"/>
      <c r="AB236" s="86"/>
      <c r="AC236" s="86"/>
      <c r="AD236" s="89"/>
      <c r="AE236" s="86"/>
      <c r="AF236" s="86"/>
      <c r="AG236" s="89"/>
    </row>
    <row r="237" spans="1:33" ht="15.75" thickBot="1" x14ac:dyDescent="0.3">
      <c r="A237" s="68"/>
      <c r="B237" s="68"/>
      <c r="D237" s="87"/>
      <c r="E237" s="87"/>
      <c r="F237" s="90"/>
      <c r="G237" s="87"/>
      <c r="H237" s="87"/>
      <c r="I237" s="90"/>
      <c r="J237" s="87"/>
      <c r="K237" s="87"/>
      <c r="L237" s="90"/>
      <c r="M237" s="87"/>
      <c r="N237" s="87"/>
      <c r="O237" s="90"/>
      <c r="P237" s="87"/>
      <c r="Q237" s="87"/>
      <c r="R237" s="90"/>
      <c r="S237" s="87"/>
      <c r="T237" s="87"/>
      <c r="U237" s="90"/>
      <c r="V237" s="87"/>
      <c r="W237" s="87"/>
      <c r="X237" s="90"/>
      <c r="Y237" s="87"/>
      <c r="Z237" s="87"/>
      <c r="AA237" s="90"/>
      <c r="AB237" s="87"/>
      <c r="AC237" s="87"/>
      <c r="AD237" s="90"/>
      <c r="AE237" s="87"/>
      <c r="AF237" s="87"/>
      <c r="AG237" s="90"/>
    </row>
    <row r="238" spans="1:33" ht="15.75" thickBot="1" x14ac:dyDescent="0.3">
      <c r="A238" s="68"/>
      <c r="B238" s="68"/>
      <c r="D238" s="88"/>
      <c r="E238" s="88"/>
      <c r="F238" s="91"/>
      <c r="G238" s="88"/>
      <c r="H238" s="88"/>
      <c r="I238" s="91"/>
      <c r="J238" s="88"/>
      <c r="K238" s="88"/>
      <c r="L238" s="91"/>
      <c r="M238" s="88"/>
      <c r="N238" s="88"/>
      <c r="O238" s="91"/>
      <c r="P238" s="88"/>
      <c r="Q238" s="88"/>
      <c r="R238" s="91"/>
      <c r="S238" s="88"/>
      <c r="T238" s="88"/>
      <c r="U238" s="91"/>
      <c r="V238" s="88"/>
      <c r="W238" s="88"/>
      <c r="X238" s="91"/>
      <c r="Y238" s="88"/>
      <c r="Z238" s="88"/>
      <c r="AA238" s="91"/>
      <c r="AB238" s="88"/>
      <c r="AC238" s="88"/>
      <c r="AD238" s="91"/>
      <c r="AE238" s="88"/>
      <c r="AF238" s="88"/>
      <c r="AG238" s="91"/>
    </row>
    <row r="240" spans="1:33" ht="15.75" thickBot="1" x14ac:dyDescent="0.3"/>
    <row r="241" spans="1:33" ht="15.75" thickBot="1" x14ac:dyDescent="0.3">
      <c r="A241" s="68" t="s">
        <v>92</v>
      </c>
      <c r="B241" s="68"/>
      <c r="D241" s="52" t="s">
        <v>27</v>
      </c>
      <c r="E241" s="52"/>
      <c r="F241" s="52"/>
      <c r="G241" s="73" t="s">
        <v>28</v>
      </c>
      <c r="H241" s="73"/>
      <c r="I241" s="73"/>
      <c r="J241" s="52" t="s">
        <v>29</v>
      </c>
      <c r="K241" s="52"/>
      <c r="L241" s="52"/>
      <c r="M241" s="73" t="s">
        <v>30</v>
      </c>
      <c r="N241" s="73"/>
      <c r="O241" s="73"/>
      <c r="P241" s="52" t="s">
        <v>31</v>
      </c>
      <c r="Q241" s="52"/>
      <c r="R241" s="52"/>
      <c r="S241" s="73" t="s">
        <v>32</v>
      </c>
      <c r="T241" s="73"/>
      <c r="U241" s="73"/>
      <c r="V241" s="52" t="s">
        <v>33</v>
      </c>
      <c r="W241" s="52"/>
      <c r="X241" s="52"/>
      <c r="Y241" s="73" t="s">
        <v>34</v>
      </c>
      <c r="Z241" s="73"/>
      <c r="AA241" s="73"/>
      <c r="AB241" s="52" t="s">
        <v>35</v>
      </c>
      <c r="AC241" s="52"/>
      <c r="AD241" s="52"/>
      <c r="AE241" s="73" t="s">
        <v>36</v>
      </c>
      <c r="AF241" s="73"/>
      <c r="AG241" s="73"/>
    </row>
    <row r="242" spans="1:33" ht="15.75" thickBot="1" x14ac:dyDescent="0.3">
      <c r="A242" s="68"/>
      <c r="B242" s="68"/>
      <c r="C242" s="105" t="s">
        <v>243</v>
      </c>
      <c r="D242" s="75">
        <v>0</v>
      </c>
      <c r="E242" s="75"/>
      <c r="F242" s="76"/>
      <c r="G242" s="74">
        <v>0</v>
      </c>
      <c r="H242" s="75"/>
      <c r="I242" s="76"/>
      <c r="J242" s="74">
        <v>0</v>
      </c>
      <c r="K242" s="75"/>
      <c r="L242" s="76"/>
      <c r="M242" s="74">
        <v>0</v>
      </c>
      <c r="N242" s="75"/>
      <c r="O242" s="76"/>
      <c r="P242" s="74">
        <v>0</v>
      </c>
      <c r="Q242" s="75"/>
      <c r="R242" s="76"/>
      <c r="S242" s="74">
        <v>0</v>
      </c>
      <c r="T242" s="75"/>
      <c r="U242" s="76"/>
      <c r="V242" s="74">
        <v>0</v>
      </c>
      <c r="W242" s="75"/>
      <c r="X242" s="76"/>
      <c r="Y242" s="74">
        <v>0</v>
      </c>
      <c r="Z242" s="75"/>
      <c r="AA242" s="76"/>
      <c r="AB242" s="74">
        <v>0</v>
      </c>
      <c r="AC242" s="75"/>
      <c r="AD242" s="76"/>
      <c r="AE242" s="74">
        <v>0</v>
      </c>
      <c r="AF242" s="75"/>
      <c r="AG242" s="76"/>
    </row>
    <row r="243" spans="1:33" ht="15.75" thickBot="1" x14ac:dyDescent="0.3">
      <c r="A243" s="68"/>
      <c r="B243" s="68"/>
      <c r="C243" s="106" t="s">
        <v>244</v>
      </c>
      <c r="D243" s="82">
        <v>0</v>
      </c>
      <c r="E243" s="82"/>
      <c r="F243" s="84"/>
      <c r="G243" s="85">
        <v>0</v>
      </c>
      <c r="H243" s="82"/>
      <c r="I243" s="84"/>
      <c r="J243" s="85">
        <v>0</v>
      </c>
      <c r="K243" s="82"/>
      <c r="L243" s="84"/>
      <c r="M243" s="85">
        <v>0</v>
      </c>
      <c r="N243" s="82"/>
      <c r="O243" s="82"/>
      <c r="P243" s="81">
        <v>0</v>
      </c>
      <c r="Q243" s="82"/>
      <c r="R243" s="83"/>
      <c r="S243" s="82">
        <v>0</v>
      </c>
      <c r="T243" s="82"/>
      <c r="U243" s="84"/>
      <c r="V243" s="85">
        <v>0</v>
      </c>
      <c r="W243" s="82"/>
      <c r="X243" s="84"/>
      <c r="Y243" s="85">
        <v>0</v>
      </c>
      <c r="Z243" s="82"/>
      <c r="AA243" s="84"/>
      <c r="AB243" s="85">
        <v>0</v>
      </c>
      <c r="AC243" s="82"/>
      <c r="AD243" s="84"/>
      <c r="AE243" s="85">
        <v>0</v>
      </c>
      <c r="AF243" s="82"/>
      <c r="AG243" s="84"/>
    </row>
    <row r="244" spans="1:33" ht="15.75" thickBot="1" x14ac:dyDescent="0.3">
      <c r="A244" s="68"/>
      <c r="B244" s="68"/>
      <c r="C244" s="107" t="s">
        <v>37</v>
      </c>
      <c r="D244" s="104"/>
      <c r="E244" s="86"/>
      <c r="F244" s="89"/>
      <c r="G244" s="86"/>
      <c r="H244" s="86"/>
      <c r="I244" s="89"/>
      <c r="J244" s="86"/>
      <c r="K244" s="86"/>
      <c r="L244" s="89"/>
      <c r="M244" s="86"/>
      <c r="N244" s="86"/>
      <c r="O244" s="89"/>
      <c r="P244" s="86"/>
      <c r="Q244" s="86"/>
      <c r="R244" s="89"/>
      <c r="S244" s="86"/>
      <c r="T244" s="86"/>
      <c r="U244" s="89"/>
      <c r="V244" s="86"/>
      <c r="W244" s="86"/>
      <c r="X244" s="89"/>
      <c r="Y244" s="86"/>
      <c r="Z244" s="86"/>
      <c r="AA244" s="89"/>
      <c r="AB244" s="86"/>
      <c r="AC244" s="86"/>
      <c r="AD244" s="89"/>
      <c r="AE244" s="86"/>
      <c r="AF244" s="86"/>
      <c r="AG244" s="89"/>
    </row>
    <row r="245" spans="1:33" ht="15.75" thickBot="1" x14ac:dyDescent="0.3">
      <c r="A245" s="68"/>
      <c r="B245" s="68"/>
      <c r="D245" s="87"/>
      <c r="E245" s="87"/>
      <c r="F245" s="90"/>
      <c r="G245" s="87"/>
      <c r="H245" s="87"/>
      <c r="I245" s="90"/>
      <c r="J245" s="87"/>
      <c r="K245" s="87"/>
      <c r="L245" s="90"/>
      <c r="M245" s="87"/>
      <c r="N245" s="87"/>
      <c r="O245" s="90"/>
      <c r="P245" s="87"/>
      <c r="Q245" s="87"/>
      <c r="R245" s="90"/>
      <c r="S245" s="87"/>
      <c r="T245" s="87"/>
      <c r="U245" s="90"/>
      <c r="V245" s="87"/>
      <c r="W245" s="87"/>
      <c r="X245" s="90"/>
      <c r="Y245" s="87"/>
      <c r="Z245" s="87"/>
      <c r="AA245" s="90"/>
      <c r="AB245" s="87"/>
      <c r="AC245" s="87"/>
      <c r="AD245" s="90"/>
      <c r="AE245" s="87"/>
      <c r="AF245" s="87"/>
      <c r="AG245" s="90"/>
    </row>
    <row r="246" spans="1:33" ht="15.75" thickBot="1" x14ac:dyDescent="0.3">
      <c r="A246" s="68"/>
      <c r="B246" s="68"/>
      <c r="D246" s="88"/>
      <c r="E246" s="88"/>
      <c r="F246" s="91"/>
      <c r="G246" s="88"/>
      <c r="H246" s="88"/>
      <c r="I246" s="91"/>
      <c r="J246" s="88"/>
      <c r="K246" s="88"/>
      <c r="L246" s="91"/>
      <c r="M246" s="88"/>
      <c r="N246" s="88"/>
      <c r="O246" s="91"/>
      <c r="P246" s="88"/>
      <c r="Q246" s="88"/>
      <c r="R246" s="91"/>
      <c r="S246" s="88"/>
      <c r="T246" s="88"/>
      <c r="U246" s="91"/>
      <c r="V246" s="88"/>
      <c r="W246" s="88"/>
      <c r="X246" s="91"/>
      <c r="Y246" s="88"/>
      <c r="Z246" s="88"/>
      <c r="AA246" s="91"/>
      <c r="AB246" s="88"/>
      <c r="AC246" s="88"/>
      <c r="AD246" s="91"/>
      <c r="AE246" s="88"/>
      <c r="AF246" s="88"/>
      <c r="AG246" s="91"/>
    </row>
    <row r="248" spans="1:33" ht="15.75" thickBot="1" x14ac:dyDescent="0.3"/>
    <row r="249" spans="1:33" ht="15.75" thickBot="1" x14ac:dyDescent="0.3">
      <c r="A249" s="68" t="s">
        <v>260</v>
      </c>
      <c r="B249" s="68"/>
      <c r="D249" s="52" t="s">
        <v>27</v>
      </c>
      <c r="E249" s="52"/>
      <c r="F249" s="52"/>
      <c r="G249" s="73" t="s">
        <v>28</v>
      </c>
      <c r="H249" s="73"/>
      <c r="I249" s="73"/>
      <c r="J249" s="52" t="s">
        <v>29</v>
      </c>
      <c r="K249" s="52"/>
      <c r="L249" s="52"/>
      <c r="M249" s="73" t="s">
        <v>30</v>
      </c>
      <c r="N249" s="73"/>
      <c r="O249" s="73"/>
      <c r="P249" s="52" t="s">
        <v>31</v>
      </c>
      <c r="Q249" s="52"/>
      <c r="R249" s="52"/>
      <c r="S249" s="73" t="s">
        <v>32</v>
      </c>
      <c r="T249" s="73"/>
      <c r="U249" s="73"/>
      <c r="V249" s="52" t="s">
        <v>33</v>
      </c>
      <c r="W249" s="52"/>
      <c r="X249" s="52"/>
      <c r="Y249" s="73" t="s">
        <v>34</v>
      </c>
      <c r="Z249" s="73"/>
      <c r="AA249" s="73"/>
      <c r="AB249" s="52" t="s">
        <v>35</v>
      </c>
      <c r="AC249" s="52"/>
      <c r="AD249" s="52"/>
      <c r="AE249" s="73" t="s">
        <v>36</v>
      </c>
      <c r="AF249" s="73"/>
      <c r="AG249" s="73"/>
    </row>
    <row r="250" spans="1:33" ht="15.75" thickBot="1" x14ac:dyDescent="0.3">
      <c r="A250" s="68"/>
      <c r="B250" s="68"/>
      <c r="C250" s="105" t="s">
        <v>243</v>
      </c>
      <c r="D250" s="75">
        <v>0</v>
      </c>
      <c r="E250" s="75"/>
      <c r="F250" s="76"/>
      <c r="G250" s="74">
        <v>0</v>
      </c>
      <c r="H250" s="75"/>
      <c r="I250" s="76"/>
      <c r="J250" s="74">
        <v>0</v>
      </c>
      <c r="K250" s="75"/>
      <c r="L250" s="76"/>
      <c r="M250" s="74">
        <v>0</v>
      </c>
      <c r="N250" s="75"/>
      <c r="O250" s="76"/>
      <c r="P250" s="74">
        <v>0</v>
      </c>
      <c r="Q250" s="75"/>
      <c r="R250" s="76"/>
      <c r="S250" s="74">
        <v>0</v>
      </c>
      <c r="T250" s="75"/>
      <c r="U250" s="76"/>
      <c r="V250" s="74">
        <v>0</v>
      </c>
      <c r="W250" s="75"/>
      <c r="X250" s="76"/>
      <c r="Y250" s="74">
        <v>0</v>
      </c>
      <c r="Z250" s="75"/>
      <c r="AA250" s="76"/>
      <c r="AB250" s="74">
        <v>0</v>
      </c>
      <c r="AC250" s="75"/>
      <c r="AD250" s="76"/>
      <c r="AE250" s="74">
        <v>0</v>
      </c>
      <c r="AF250" s="75"/>
      <c r="AG250" s="76"/>
    </row>
    <row r="251" spans="1:33" ht="15.75" thickBot="1" x14ac:dyDescent="0.3">
      <c r="A251" s="68"/>
      <c r="B251" s="68"/>
      <c r="C251" s="106" t="s">
        <v>244</v>
      </c>
      <c r="D251" s="82">
        <v>0</v>
      </c>
      <c r="E251" s="82"/>
      <c r="F251" s="84"/>
      <c r="G251" s="85">
        <v>0</v>
      </c>
      <c r="H251" s="82"/>
      <c r="I251" s="84"/>
      <c r="J251" s="85">
        <v>0</v>
      </c>
      <c r="K251" s="82"/>
      <c r="L251" s="84"/>
      <c r="M251" s="85">
        <v>0</v>
      </c>
      <c r="N251" s="82"/>
      <c r="O251" s="82"/>
      <c r="P251" s="81">
        <v>0</v>
      </c>
      <c r="Q251" s="82"/>
      <c r="R251" s="83"/>
      <c r="S251" s="82">
        <v>0</v>
      </c>
      <c r="T251" s="82"/>
      <c r="U251" s="84"/>
      <c r="V251" s="85">
        <v>0</v>
      </c>
      <c r="W251" s="82"/>
      <c r="X251" s="84"/>
      <c r="Y251" s="85">
        <v>0</v>
      </c>
      <c r="Z251" s="82"/>
      <c r="AA251" s="84"/>
      <c r="AB251" s="85">
        <v>0</v>
      </c>
      <c r="AC251" s="82"/>
      <c r="AD251" s="84"/>
      <c r="AE251" s="85">
        <v>0</v>
      </c>
      <c r="AF251" s="82"/>
      <c r="AG251" s="84"/>
    </row>
    <row r="252" spans="1:33" ht="15.75" thickBot="1" x14ac:dyDescent="0.3">
      <c r="A252" s="68"/>
      <c r="B252" s="68"/>
      <c r="C252" s="107" t="s">
        <v>37</v>
      </c>
      <c r="D252" s="104"/>
      <c r="E252" s="86"/>
      <c r="F252" s="89"/>
      <c r="G252" s="86"/>
      <c r="H252" s="86"/>
      <c r="I252" s="89"/>
      <c r="J252" s="86"/>
      <c r="K252" s="86"/>
      <c r="L252" s="89"/>
      <c r="M252" s="86"/>
      <c r="N252" s="86"/>
      <c r="O252" s="89"/>
      <c r="P252" s="86"/>
      <c r="Q252" s="86"/>
      <c r="R252" s="89"/>
      <c r="S252" s="86"/>
      <c r="T252" s="86"/>
      <c r="U252" s="89"/>
      <c r="V252" s="86"/>
      <c r="W252" s="86"/>
      <c r="X252" s="89"/>
      <c r="Y252" s="86"/>
      <c r="Z252" s="86"/>
      <c r="AA252" s="89"/>
      <c r="AB252" s="86"/>
      <c r="AC252" s="86"/>
      <c r="AD252" s="89"/>
      <c r="AE252" s="86"/>
      <c r="AF252" s="86"/>
      <c r="AG252" s="89"/>
    </row>
    <row r="253" spans="1:33" ht="15.75" thickBot="1" x14ac:dyDescent="0.3">
      <c r="A253" s="68"/>
      <c r="B253" s="68"/>
      <c r="D253" s="87"/>
      <c r="E253" s="87"/>
      <c r="F253" s="90"/>
      <c r="G253" s="87"/>
      <c r="H253" s="87"/>
      <c r="I253" s="90"/>
      <c r="J253" s="87"/>
      <c r="K253" s="87"/>
      <c r="L253" s="90"/>
      <c r="M253" s="87"/>
      <c r="N253" s="87"/>
      <c r="O253" s="90"/>
      <c r="P253" s="87"/>
      <c r="Q253" s="87"/>
      <c r="R253" s="90"/>
      <c r="S253" s="87"/>
      <c r="T253" s="87"/>
      <c r="U253" s="90"/>
      <c r="V253" s="87"/>
      <c r="W253" s="87"/>
      <c r="X253" s="90"/>
      <c r="Y253" s="87"/>
      <c r="Z253" s="87"/>
      <c r="AA253" s="90"/>
      <c r="AB253" s="87"/>
      <c r="AC253" s="87"/>
      <c r="AD253" s="90"/>
      <c r="AE253" s="87"/>
      <c r="AF253" s="87"/>
      <c r="AG253" s="90"/>
    </row>
    <row r="254" spans="1:33" ht="15.75" thickBot="1" x14ac:dyDescent="0.3">
      <c r="A254" s="68"/>
      <c r="B254" s="68"/>
      <c r="D254" s="88"/>
      <c r="E254" s="88"/>
      <c r="F254" s="91"/>
      <c r="G254" s="88"/>
      <c r="H254" s="88"/>
      <c r="I254" s="91"/>
      <c r="J254" s="88"/>
      <c r="K254" s="88"/>
      <c r="L254" s="91"/>
      <c r="M254" s="88"/>
      <c r="N254" s="88"/>
      <c r="O254" s="91"/>
      <c r="P254" s="88"/>
      <c r="Q254" s="88"/>
      <c r="R254" s="91"/>
      <c r="S254" s="88"/>
      <c r="T254" s="88"/>
      <c r="U254" s="91"/>
      <c r="V254" s="88"/>
      <c r="W254" s="88"/>
      <c r="X254" s="91"/>
      <c r="Y254" s="88"/>
      <c r="Z254" s="88"/>
      <c r="AA254" s="91"/>
      <c r="AB254" s="88"/>
      <c r="AC254" s="88"/>
      <c r="AD254" s="91"/>
      <c r="AE254" s="88"/>
      <c r="AF254" s="88"/>
      <c r="AG254" s="91"/>
    </row>
    <row r="256" spans="1:33" ht="15.75" thickBot="1" x14ac:dyDescent="0.3"/>
    <row r="257" spans="1:33" ht="15.75" thickBot="1" x14ac:dyDescent="0.3">
      <c r="A257" s="68" t="s">
        <v>93</v>
      </c>
      <c r="B257" s="68"/>
      <c r="D257" s="52" t="s">
        <v>27</v>
      </c>
      <c r="E257" s="52"/>
      <c r="F257" s="52"/>
      <c r="G257" s="73" t="s">
        <v>28</v>
      </c>
      <c r="H257" s="73"/>
      <c r="I257" s="73"/>
      <c r="J257" s="52" t="s">
        <v>29</v>
      </c>
      <c r="K257" s="52"/>
      <c r="L257" s="52"/>
      <c r="M257" s="73" t="s">
        <v>30</v>
      </c>
      <c r="N257" s="73"/>
      <c r="O257" s="73"/>
      <c r="P257" s="52" t="s">
        <v>31</v>
      </c>
      <c r="Q257" s="52"/>
      <c r="R257" s="52"/>
      <c r="S257" s="73" t="s">
        <v>32</v>
      </c>
      <c r="T257" s="73"/>
      <c r="U257" s="73"/>
      <c r="V257" s="52" t="s">
        <v>33</v>
      </c>
      <c r="W257" s="52"/>
      <c r="X257" s="52"/>
      <c r="Y257" s="73" t="s">
        <v>34</v>
      </c>
      <c r="Z257" s="73"/>
      <c r="AA257" s="73"/>
      <c r="AB257" s="52" t="s">
        <v>35</v>
      </c>
      <c r="AC257" s="52"/>
      <c r="AD257" s="52"/>
      <c r="AE257" s="73" t="s">
        <v>36</v>
      </c>
      <c r="AF257" s="73"/>
      <c r="AG257" s="73"/>
    </row>
    <row r="258" spans="1:33" ht="15.75" thickBot="1" x14ac:dyDescent="0.3">
      <c r="A258" s="68"/>
      <c r="B258" s="68"/>
      <c r="C258" s="105" t="s">
        <v>243</v>
      </c>
      <c r="D258" s="75">
        <v>0</v>
      </c>
      <c r="E258" s="75"/>
      <c r="F258" s="76"/>
      <c r="G258" s="74">
        <v>0</v>
      </c>
      <c r="H258" s="75"/>
      <c r="I258" s="76"/>
      <c r="J258" s="74">
        <v>0</v>
      </c>
      <c r="K258" s="75"/>
      <c r="L258" s="76"/>
      <c r="M258" s="74">
        <v>0</v>
      </c>
      <c r="N258" s="75"/>
      <c r="O258" s="76"/>
      <c r="P258" s="74">
        <v>0</v>
      </c>
      <c r="Q258" s="75"/>
      <c r="R258" s="76"/>
      <c r="S258" s="74">
        <v>0</v>
      </c>
      <c r="T258" s="75"/>
      <c r="U258" s="76"/>
      <c r="V258" s="74">
        <v>0</v>
      </c>
      <c r="W258" s="75"/>
      <c r="X258" s="76"/>
      <c r="Y258" s="74">
        <v>0</v>
      </c>
      <c r="Z258" s="75"/>
      <c r="AA258" s="76"/>
      <c r="AB258" s="74">
        <v>0</v>
      </c>
      <c r="AC258" s="75"/>
      <c r="AD258" s="76"/>
      <c r="AE258" s="74">
        <v>0</v>
      </c>
      <c r="AF258" s="75"/>
      <c r="AG258" s="76"/>
    </row>
    <row r="259" spans="1:33" ht="15.75" thickBot="1" x14ac:dyDescent="0.3">
      <c r="A259" s="68"/>
      <c r="B259" s="68"/>
      <c r="C259" s="106" t="s">
        <v>244</v>
      </c>
      <c r="D259" s="82">
        <v>0</v>
      </c>
      <c r="E259" s="82"/>
      <c r="F259" s="84"/>
      <c r="G259" s="85">
        <v>0</v>
      </c>
      <c r="H259" s="82"/>
      <c r="I259" s="84"/>
      <c r="J259" s="85">
        <v>0</v>
      </c>
      <c r="K259" s="82"/>
      <c r="L259" s="84"/>
      <c r="M259" s="85">
        <v>0</v>
      </c>
      <c r="N259" s="82"/>
      <c r="O259" s="82"/>
      <c r="P259" s="81">
        <v>0</v>
      </c>
      <c r="Q259" s="82"/>
      <c r="R259" s="83"/>
      <c r="S259" s="82">
        <v>0</v>
      </c>
      <c r="T259" s="82"/>
      <c r="U259" s="84"/>
      <c r="V259" s="85">
        <v>0</v>
      </c>
      <c r="W259" s="82"/>
      <c r="X259" s="84"/>
      <c r="Y259" s="85">
        <v>0</v>
      </c>
      <c r="Z259" s="82"/>
      <c r="AA259" s="84"/>
      <c r="AB259" s="85">
        <v>0</v>
      </c>
      <c r="AC259" s="82"/>
      <c r="AD259" s="84"/>
      <c r="AE259" s="85">
        <v>0</v>
      </c>
      <c r="AF259" s="82"/>
      <c r="AG259" s="84"/>
    </row>
    <row r="260" spans="1:33" ht="15.75" thickBot="1" x14ac:dyDescent="0.3">
      <c r="A260" s="68"/>
      <c r="B260" s="68"/>
      <c r="C260" s="107" t="s">
        <v>37</v>
      </c>
      <c r="D260" s="104"/>
      <c r="E260" s="86"/>
      <c r="F260" s="89"/>
      <c r="G260" s="86"/>
      <c r="H260" s="86"/>
      <c r="I260" s="89"/>
      <c r="J260" s="86"/>
      <c r="K260" s="86"/>
      <c r="L260" s="89"/>
      <c r="M260" s="86"/>
      <c r="N260" s="86"/>
      <c r="O260" s="89"/>
      <c r="P260" s="86"/>
      <c r="Q260" s="86"/>
      <c r="R260" s="89"/>
      <c r="S260" s="86"/>
      <c r="T260" s="86"/>
      <c r="U260" s="89"/>
      <c r="V260" s="86"/>
      <c r="W260" s="86"/>
      <c r="X260" s="89"/>
      <c r="Y260" s="86"/>
      <c r="Z260" s="86"/>
      <c r="AA260" s="89"/>
      <c r="AB260" s="86"/>
      <c r="AC260" s="86"/>
      <c r="AD260" s="89"/>
      <c r="AE260" s="86"/>
      <c r="AF260" s="86"/>
      <c r="AG260" s="89"/>
    </row>
    <row r="261" spans="1:33" ht="15.75" thickBot="1" x14ac:dyDescent="0.3">
      <c r="A261" s="68"/>
      <c r="B261" s="68"/>
      <c r="D261" s="87"/>
      <c r="E261" s="87"/>
      <c r="F261" s="90"/>
      <c r="G261" s="87"/>
      <c r="H261" s="87"/>
      <c r="I261" s="90"/>
      <c r="J261" s="87"/>
      <c r="K261" s="87"/>
      <c r="L261" s="90"/>
      <c r="M261" s="87"/>
      <c r="N261" s="87"/>
      <c r="O261" s="90"/>
      <c r="P261" s="87"/>
      <c r="Q261" s="87"/>
      <c r="R261" s="90"/>
      <c r="S261" s="87"/>
      <c r="T261" s="87"/>
      <c r="U261" s="90"/>
      <c r="V261" s="87"/>
      <c r="W261" s="87"/>
      <c r="X261" s="90"/>
      <c r="Y261" s="87"/>
      <c r="Z261" s="87"/>
      <c r="AA261" s="90"/>
      <c r="AB261" s="87"/>
      <c r="AC261" s="87"/>
      <c r="AD261" s="90"/>
      <c r="AE261" s="87"/>
      <c r="AF261" s="87"/>
      <c r="AG261" s="90"/>
    </row>
    <row r="262" spans="1:33" ht="15.75" thickBot="1" x14ac:dyDescent="0.3">
      <c r="A262" s="68"/>
      <c r="B262" s="68"/>
      <c r="D262" s="88"/>
      <c r="E262" s="88"/>
      <c r="F262" s="91"/>
      <c r="G262" s="88"/>
      <c r="H262" s="88"/>
      <c r="I262" s="91"/>
      <c r="J262" s="88"/>
      <c r="K262" s="88"/>
      <c r="L262" s="91"/>
      <c r="M262" s="88"/>
      <c r="N262" s="88"/>
      <c r="O262" s="91"/>
      <c r="P262" s="88"/>
      <c r="Q262" s="88"/>
      <c r="R262" s="91"/>
      <c r="S262" s="88"/>
      <c r="T262" s="88"/>
      <c r="U262" s="91"/>
      <c r="V262" s="88"/>
      <c r="W262" s="88"/>
      <c r="X262" s="91"/>
      <c r="Y262" s="88"/>
      <c r="Z262" s="88"/>
      <c r="AA262" s="91"/>
      <c r="AB262" s="88"/>
      <c r="AC262" s="88"/>
      <c r="AD262" s="91"/>
      <c r="AE262" s="88"/>
      <c r="AF262" s="88"/>
      <c r="AG262" s="91"/>
    </row>
    <row r="264" spans="1:33" ht="15.75" thickBot="1" x14ac:dyDescent="0.3"/>
    <row r="265" spans="1:33" ht="15.75" thickBot="1" x14ac:dyDescent="0.3">
      <c r="A265" s="68" t="s">
        <v>94</v>
      </c>
      <c r="B265" s="68"/>
      <c r="D265" s="52" t="s">
        <v>27</v>
      </c>
      <c r="E265" s="52"/>
      <c r="F265" s="52"/>
      <c r="G265" s="73" t="s">
        <v>28</v>
      </c>
      <c r="H265" s="73"/>
      <c r="I265" s="73"/>
      <c r="J265" s="52" t="s">
        <v>29</v>
      </c>
      <c r="K265" s="52"/>
      <c r="L265" s="52"/>
      <c r="M265" s="73" t="s">
        <v>30</v>
      </c>
      <c r="N265" s="73"/>
      <c r="O265" s="73"/>
      <c r="P265" s="52" t="s">
        <v>31</v>
      </c>
      <c r="Q265" s="52"/>
      <c r="R265" s="52"/>
      <c r="S265" s="73" t="s">
        <v>32</v>
      </c>
      <c r="T265" s="73"/>
      <c r="U265" s="73"/>
      <c r="V265" s="52" t="s">
        <v>33</v>
      </c>
      <c r="W265" s="52"/>
      <c r="X265" s="52"/>
      <c r="Y265" s="73" t="s">
        <v>34</v>
      </c>
      <c r="Z265" s="73"/>
      <c r="AA265" s="73"/>
      <c r="AB265" s="52" t="s">
        <v>35</v>
      </c>
      <c r="AC265" s="52"/>
      <c r="AD265" s="52"/>
      <c r="AE265" s="73" t="s">
        <v>36</v>
      </c>
      <c r="AF265" s="73"/>
      <c r="AG265" s="73"/>
    </row>
    <row r="266" spans="1:33" ht="15.75" thickBot="1" x14ac:dyDescent="0.3">
      <c r="A266" s="68"/>
      <c r="B266" s="68"/>
      <c r="C266" s="105" t="s">
        <v>243</v>
      </c>
      <c r="D266" s="75">
        <v>0</v>
      </c>
      <c r="E266" s="75"/>
      <c r="F266" s="76"/>
      <c r="G266" s="74">
        <v>0</v>
      </c>
      <c r="H266" s="75"/>
      <c r="I266" s="76"/>
      <c r="J266" s="74">
        <v>0</v>
      </c>
      <c r="K266" s="75"/>
      <c r="L266" s="76"/>
      <c r="M266" s="74">
        <v>0</v>
      </c>
      <c r="N266" s="75"/>
      <c r="O266" s="76"/>
      <c r="P266" s="74">
        <v>0</v>
      </c>
      <c r="Q266" s="75"/>
      <c r="R266" s="76"/>
      <c r="S266" s="74">
        <v>0</v>
      </c>
      <c r="T266" s="75"/>
      <c r="U266" s="76"/>
      <c r="V266" s="74">
        <v>0</v>
      </c>
      <c r="W266" s="75"/>
      <c r="X266" s="76"/>
      <c r="Y266" s="74">
        <v>0</v>
      </c>
      <c r="Z266" s="75"/>
      <c r="AA266" s="76"/>
      <c r="AB266" s="74">
        <v>0</v>
      </c>
      <c r="AC266" s="75"/>
      <c r="AD266" s="76"/>
      <c r="AE266" s="74">
        <v>0</v>
      </c>
      <c r="AF266" s="75"/>
      <c r="AG266" s="76"/>
    </row>
    <row r="267" spans="1:33" ht="15.75" thickBot="1" x14ac:dyDescent="0.3">
      <c r="A267" s="68"/>
      <c r="B267" s="68"/>
      <c r="C267" s="106" t="s">
        <v>244</v>
      </c>
      <c r="D267" s="82">
        <v>0</v>
      </c>
      <c r="E267" s="82"/>
      <c r="F267" s="84"/>
      <c r="G267" s="85">
        <v>0</v>
      </c>
      <c r="H267" s="82"/>
      <c r="I267" s="84"/>
      <c r="J267" s="85">
        <v>0</v>
      </c>
      <c r="K267" s="82"/>
      <c r="L267" s="84"/>
      <c r="M267" s="85">
        <v>0</v>
      </c>
      <c r="N267" s="82"/>
      <c r="O267" s="82"/>
      <c r="P267" s="81">
        <v>0</v>
      </c>
      <c r="Q267" s="82"/>
      <c r="R267" s="83"/>
      <c r="S267" s="82">
        <v>0</v>
      </c>
      <c r="T267" s="82"/>
      <c r="U267" s="84"/>
      <c r="V267" s="85">
        <v>0</v>
      </c>
      <c r="W267" s="82"/>
      <c r="X267" s="84"/>
      <c r="Y267" s="85">
        <v>0</v>
      </c>
      <c r="Z267" s="82"/>
      <c r="AA267" s="84"/>
      <c r="AB267" s="85">
        <v>0</v>
      </c>
      <c r="AC267" s="82"/>
      <c r="AD267" s="84"/>
      <c r="AE267" s="85">
        <v>0</v>
      </c>
      <c r="AF267" s="82"/>
      <c r="AG267" s="84"/>
    </row>
    <row r="268" spans="1:33" ht="15.75" thickBot="1" x14ac:dyDescent="0.3">
      <c r="A268" s="68"/>
      <c r="B268" s="68"/>
      <c r="C268" s="107" t="s">
        <v>37</v>
      </c>
      <c r="D268" s="104"/>
      <c r="E268" s="86"/>
      <c r="F268" s="89"/>
      <c r="G268" s="86"/>
      <c r="H268" s="86"/>
      <c r="I268" s="89"/>
      <c r="J268" s="86"/>
      <c r="K268" s="86"/>
      <c r="L268" s="89"/>
      <c r="M268" s="86"/>
      <c r="N268" s="86"/>
      <c r="O268" s="89"/>
      <c r="P268" s="86"/>
      <c r="Q268" s="86"/>
      <c r="R268" s="89"/>
      <c r="S268" s="86"/>
      <c r="T268" s="86"/>
      <c r="U268" s="89"/>
      <c r="V268" s="86"/>
      <c r="W268" s="86"/>
      <c r="X268" s="89"/>
      <c r="Y268" s="86"/>
      <c r="Z268" s="86"/>
      <c r="AA268" s="89"/>
      <c r="AB268" s="86"/>
      <c r="AC268" s="86"/>
      <c r="AD268" s="89"/>
      <c r="AE268" s="86"/>
      <c r="AF268" s="86"/>
      <c r="AG268" s="89"/>
    </row>
    <row r="269" spans="1:33" ht="15.75" thickBot="1" x14ac:dyDescent="0.3">
      <c r="A269" s="68"/>
      <c r="B269" s="68"/>
      <c r="D269" s="87"/>
      <c r="E269" s="87"/>
      <c r="F269" s="90"/>
      <c r="G269" s="87"/>
      <c r="H269" s="87"/>
      <c r="I269" s="90"/>
      <c r="J269" s="87"/>
      <c r="K269" s="87"/>
      <c r="L269" s="90"/>
      <c r="M269" s="87"/>
      <c r="N269" s="87"/>
      <c r="O269" s="90"/>
      <c r="P269" s="87"/>
      <c r="Q269" s="87"/>
      <c r="R269" s="90"/>
      <c r="S269" s="87"/>
      <c r="T269" s="87"/>
      <c r="U269" s="90"/>
      <c r="V269" s="87"/>
      <c r="W269" s="87"/>
      <c r="X269" s="90"/>
      <c r="Y269" s="87"/>
      <c r="Z269" s="87"/>
      <c r="AA269" s="90"/>
      <c r="AB269" s="87"/>
      <c r="AC269" s="87"/>
      <c r="AD269" s="90"/>
      <c r="AE269" s="87"/>
      <c r="AF269" s="87"/>
      <c r="AG269" s="90"/>
    </row>
    <row r="270" spans="1:33" ht="15.75" thickBot="1" x14ac:dyDescent="0.3">
      <c r="A270" s="68"/>
      <c r="B270" s="68"/>
      <c r="D270" s="88"/>
      <c r="E270" s="88"/>
      <c r="F270" s="91"/>
      <c r="G270" s="88"/>
      <c r="H270" s="88"/>
      <c r="I270" s="91"/>
      <c r="J270" s="88"/>
      <c r="K270" s="88"/>
      <c r="L270" s="91"/>
      <c r="M270" s="88"/>
      <c r="N270" s="88"/>
      <c r="O270" s="91"/>
      <c r="P270" s="88"/>
      <c r="Q270" s="88"/>
      <c r="R270" s="91"/>
      <c r="S270" s="88"/>
      <c r="T270" s="88"/>
      <c r="U270" s="91"/>
      <c r="V270" s="88"/>
      <c r="W270" s="88"/>
      <c r="X270" s="91"/>
      <c r="Y270" s="88"/>
      <c r="Z270" s="88"/>
      <c r="AA270" s="91"/>
      <c r="AB270" s="88"/>
      <c r="AC270" s="88"/>
      <c r="AD270" s="91"/>
      <c r="AE270" s="88"/>
      <c r="AF270" s="88"/>
      <c r="AG270" s="91"/>
    </row>
    <row r="272" spans="1:33" ht="15.75" thickBot="1" x14ac:dyDescent="0.3"/>
    <row r="273" spans="1:33" ht="15.75" thickBot="1" x14ac:dyDescent="0.3">
      <c r="A273" s="68" t="s">
        <v>95</v>
      </c>
      <c r="B273" s="68"/>
      <c r="D273" s="52" t="s">
        <v>27</v>
      </c>
      <c r="E273" s="52"/>
      <c r="F273" s="52"/>
      <c r="G273" s="73" t="s">
        <v>28</v>
      </c>
      <c r="H273" s="73"/>
      <c r="I273" s="73"/>
      <c r="J273" s="52" t="s">
        <v>29</v>
      </c>
      <c r="K273" s="52"/>
      <c r="L273" s="52"/>
      <c r="M273" s="73" t="s">
        <v>30</v>
      </c>
      <c r="N273" s="73"/>
      <c r="O273" s="73"/>
      <c r="P273" s="52" t="s">
        <v>31</v>
      </c>
      <c r="Q273" s="52"/>
      <c r="R273" s="52"/>
      <c r="S273" s="73" t="s">
        <v>32</v>
      </c>
      <c r="T273" s="73"/>
      <c r="U273" s="73"/>
      <c r="V273" s="52" t="s">
        <v>33</v>
      </c>
      <c r="W273" s="52"/>
      <c r="X273" s="52"/>
      <c r="Y273" s="73" t="s">
        <v>34</v>
      </c>
      <c r="Z273" s="73"/>
      <c r="AA273" s="73"/>
      <c r="AB273" s="52" t="s">
        <v>35</v>
      </c>
      <c r="AC273" s="52"/>
      <c r="AD273" s="52"/>
      <c r="AE273" s="73" t="s">
        <v>36</v>
      </c>
      <c r="AF273" s="73"/>
      <c r="AG273" s="73"/>
    </row>
    <row r="274" spans="1:33" ht="15.75" thickBot="1" x14ac:dyDescent="0.3">
      <c r="A274" s="68"/>
      <c r="B274" s="68"/>
      <c r="C274" s="105" t="s">
        <v>243</v>
      </c>
      <c r="D274" s="75">
        <v>0</v>
      </c>
      <c r="E274" s="75"/>
      <c r="F274" s="76"/>
      <c r="G274" s="74">
        <v>0</v>
      </c>
      <c r="H274" s="75"/>
      <c r="I274" s="76"/>
      <c r="J274" s="74">
        <v>0</v>
      </c>
      <c r="K274" s="75"/>
      <c r="L274" s="76"/>
      <c r="M274" s="74">
        <v>0</v>
      </c>
      <c r="N274" s="75"/>
      <c r="O274" s="76"/>
      <c r="P274" s="74">
        <v>0</v>
      </c>
      <c r="Q274" s="75"/>
      <c r="R274" s="76"/>
      <c r="S274" s="74">
        <v>0</v>
      </c>
      <c r="T274" s="75"/>
      <c r="U274" s="76"/>
      <c r="V274" s="74">
        <v>0</v>
      </c>
      <c r="W274" s="75"/>
      <c r="X274" s="76"/>
      <c r="Y274" s="74">
        <v>0</v>
      </c>
      <c r="Z274" s="75"/>
      <c r="AA274" s="76"/>
      <c r="AB274" s="74">
        <v>0</v>
      </c>
      <c r="AC274" s="75"/>
      <c r="AD274" s="76"/>
      <c r="AE274" s="74">
        <v>0</v>
      </c>
      <c r="AF274" s="75"/>
      <c r="AG274" s="76"/>
    </row>
    <row r="275" spans="1:33" ht="15.75" thickBot="1" x14ac:dyDescent="0.3">
      <c r="A275" s="68"/>
      <c r="B275" s="68"/>
      <c r="C275" s="106" t="s">
        <v>244</v>
      </c>
      <c r="D275" s="82">
        <v>0</v>
      </c>
      <c r="E275" s="82"/>
      <c r="F275" s="84"/>
      <c r="G275" s="85">
        <v>0</v>
      </c>
      <c r="H275" s="82"/>
      <c r="I275" s="84"/>
      <c r="J275" s="85">
        <v>0</v>
      </c>
      <c r="K275" s="82"/>
      <c r="L275" s="84"/>
      <c r="M275" s="85">
        <v>0</v>
      </c>
      <c r="N275" s="82"/>
      <c r="O275" s="82"/>
      <c r="P275" s="81">
        <v>0</v>
      </c>
      <c r="Q275" s="82"/>
      <c r="R275" s="83"/>
      <c r="S275" s="82">
        <v>0</v>
      </c>
      <c r="T275" s="82"/>
      <c r="U275" s="84"/>
      <c r="V275" s="85">
        <v>0</v>
      </c>
      <c r="W275" s="82"/>
      <c r="X275" s="84"/>
      <c r="Y275" s="85">
        <v>0</v>
      </c>
      <c r="Z275" s="82"/>
      <c r="AA275" s="84"/>
      <c r="AB275" s="85">
        <v>0</v>
      </c>
      <c r="AC275" s="82"/>
      <c r="AD275" s="84"/>
      <c r="AE275" s="85">
        <v>0</v>
      </c>
      <c r="AF275" s="82"/>
      <c r="AG275" s="84"/>
    </row>
    <row r="276" spans="1:33" ht="15.75" thickBot="1" x14ac:dyDescent="0.3">
      <c r="A276" s="68"/>
      <c r="B276" s="68"/>
      <c r="C276" s="107" t="s">
        <v>37</v>
      </c>
      <c r="D276" s="104"/>
      <c r="E276" s="86"/>
      <c r="F276" s="89"/>
      <c r="G276" s="86"/>
      <c r="H276" s="86"/>
      <c r="I276" s="89"/>
      <c r="J276" s="86"/>
      <c r="K276" s="86"/>
      <c r="L276" s="89"/>
      <c r="M276" s="86"/>
      <c r="N276" s="86"/>
      <c r="O276" s="89"/>
      <c r="P276" s="86"/>
      <c r="Q276" s="86"/>
      <c r="R276" s="89"/>
      <c r="S276" s="86"/>
      <c r="T276" s="86"/>
      <c r="U276" s="89"/>
      <c r="V276" s="86"/>
      <c r="W276" s="86"/>
      <c r="X276" s="89"/>
      <c r="Y276" s="86"/>
      <c r="Z276" s="86"/>
      <c r="AA276" s="89"/>
      <c r="AB276" s="86"/>
      <c r="AC276" s="86"/>
      <c r="AD276" s="89"/>
      <c r="AE276" s="86"/>
      <c r="AF276" s="86"/>
      <c r="AG276" s="89"/>
    </row>
    <row r="277" spans="1:33" ht="15.75" thickBot="1" x14ac:dyDescent="0.3">
      <c r="A277" s="68"/>
      <c r="B277" s="68"/>
      <c r="D277" s="87"/>
      <c r="E277" s="87"/>
      <c r="F277" s="90"/>
      <c r="G277" s="87"/>
      <c r="H277" s="87"/>
      <c r="I277" s="90"/>
      <c r="J277" s="87"/>
      <c r="K277" s="87"/>
      <c r="L277" s="90"/>
      <c r="M277" s="87"/>
      <c r="N277" s="87"/>
      <c r="O277" s="90"/>
      <c r="P277" s="87"/>
      <c r="Q277" s="87"/>
      <c r="R277" s="90"/>
      <c r="S277" s="87"/>
      <c r="T277" s="87"/>
      <c r="U277" s="90"/>
      <c r="V277" s="87"/>
      <c r="W277" s="87"/>
      <c r="X277" s="90"/>
      <c r="Y277" s="87"/>
      <c r="Z277" s="87"/>
      <c r="AA277" s="90"/>
      <c r="AB277" s="87"/>
      <c r="AC277" s="87"/>
      <c r="AD277" s="90"/>
      <c r="AE277" s="87"/>
      <c r="AF277" s="87"/>
      <c r="AG277" s="90"/>
    </row>
    <row r="278" spans="1:33" ht="15.75" thickBot="1" x14ac:dyDescent="0.3">
      <c r="A278" s="68"/>
      <c r="B278" s="68"/>
      <c r="D278" s="88"/>
      <c r="E278" s="88"/>
      <c r="F278" s="91"/>
      <c r="G278" s="88"/>
      <c r="H278" s="88"/>
      <c r="I278" s="91"/>
      <c r="J278" s="88"/>
      <c r="K278" s="88"/>
      <c r="L278" s="91"/>
      <c r="M278" s="88"/>
      <c r="N278" s="88"/>
      <c r="O278" s="91"/>
      <c r="P278" s="88"/>
      <c r="Q278" s="88"/>
      <c r="R278" s="91"/>
      <c r="S278" s="88"/>
      <c r="T278" s="88"/>
      <c r="U278" s="91"/>
      <c r="V278" s="88"/>
      <c r="W278" s="88"/>
      <c r="X278" s="91"/>
      <c r="Y278" s="88"/>
      <c r="Z278" s="88"/>
      <c r="AA278" s="91"/>
      <c r="AB278" s="88"/>
      <c r="AC278" s="88"/>
      <c r="AD278" s="91"/>
      <c r="AE278" s="88"/>
      <c r="AF278" s="88"/>
      <c r="AG278" s="91"/>
    </row>
    <row r="280" spans="1:33" ht="15.75" thickBot="1" x14ac:dyDescent="0.3"/>
    <row r="281" spans="1:33" ht="15.75" thickBot="1" x14ac:dyDescent="0.3">
      <c r="A281" s="68" t="s">
        <v>261</v>
      </c>
      <c r="B281" s="68"/>
      <c r="D281" s="52" t="s">
        <v>27</v>
      </c>
      <c r="E281" s="52"/>
      <c r="F281" s="52"/>
      <c r="G281" s="73" t="s">
        <v>28</v>
      </c>
      <c r="H281" s="73"/>
      <c r="I281" s="73"/>
      <c r="J281" s="52" t="s">
        <v>29</v>
      </c>
      <c r="K281" s="52"/>
      <c r="L281" s="52"/>
      <c r="M281" s="73" t="s">
        <v>30</v>
      </c>
      <c r="N281" s="73"/>
      <c r="O281" s="73"/>
      <c r="P281" s="52" t="s">
        <v>31</v>
      </c>
      <c r="Q281" s="52"/>
      <c r="R281" s="52"/>
      <c r="S281" s="73" t="s">
        <v>32</v>
      </c>
      <c r="T281" s="73"/>
      <c r="U281" s="73"/>
      <c r="V281" s="52" t="s">
        <v>33</v>
      </c>
      <c r="W281" s="52"/>
      <c r="X281" s="52"/>
      <c r="Y281" s="73" t="s">
        <v>34</v>
      </c>
      <c r="Z281" s="73"/>
      <c r="AA281" s="73"/>
      <c r="AB281" s="52" t="s">
        <v>35</v>
      </c>
      <c r="AC281" s="52"/>
      <c r="AD281" s="52"/>
      <c r="AE281" s="73" t="s">
        <v>36</v>
      </c>
      <c r="AF281" s="73"/>
      <c r="AG281" s="73"/>
    </row>
    <row r="282" spans="1:33" ht="15.75" thickBot="1" x14ac:dyDescent="0.3">
      <c r="A282" s="68"/>
      <c r="B282" s="68"/>
      <c r="C282" s="105" t="s">
        <v>243</v>
      </c>
      <c r="D282" s="75">
        <v>0</v>
      </c>
      <c r="E282" s="75"/>
      <c r="F282" s="76"/>
      <c r="G282" s="74">
        <v>0</v>
      </c>
      <c r="H282" s="75"/>
      <c r="I282" s="76"/>
      <c r="J282" s="74">
        <v>0</v>
      </c>
      <c r="K282" s="75"/>
      <c r="L282" s="76"/>
      <c r="M282" s="74">
        <v>0</v>
      </c>
      <c r="N282" s="75"/>
      <c r="O282" s="76"/>
      <c r="P282" s="74">
        <v>0</v>
      </c>
      <c r="Q282" s="75"/>
      <c r="R282" s="76"/>
      <c r="S282" s="74">
        <v>0</v>
      </c>
      <c r="T282" s="75"/>
      <c r="U282" s="76"/>
      <c r="V282" s="74">
        <v>0</v>
      </c>
      <c r="W282" s="75"/>
      <c r="X282" s="76"/>
      <c r="Y282" s="74">
        <v>0</v>
      </c>
      <c r="Z282" s="75"/>
      <c r="AA282" s="76"/>
      <c r="AB282" s="74">
        <v>0</v>
      </c>
      <c r="AC282" s="75"/>
      <c r="AD282" s="76"/>
      <c r="AE282" s="74">
        <v>0</v>
      </c>
      <c r="AF282" s="75"/>
      <c r="AG282" s="76"/>
    </row>
    <row r="283" spans="1:33" ht="15.75" thickBot="1" x14ac:dyDescent="0.3">
      <c r="A283" s="68"/>
      <c r="B283" s="68"/>
      <c r="C283" s="106" t="s">
        <v>244</v>
      </c>
      <c r="D283" s="82">
        <v>0</v>
      </c>
      <c r="E283" s="82"/>
      <c r="F283" s="84"/>
      <c r="G283" s="85">
        <v>0</v>
      </c>
      <c r="H283" s="82"/>
      <c r="I283" s="84"/>
      <c r="J283" s="85">
        <v>0</v>
      </c>
      <c r="K283" s="82"/>
      <c r="L283" s="84"/>
      <c r="M283" s="85">
        <v>0</v>
      </c>
      <c r="N283" s="82"/>
      <c r="O283" s="82"/>
      <c r="P283" s="81">
        <v>0</v>
      </c>
      <c r="Q283" s="82"/>
      <c r="R283" s="83"/>
      <c r="S283" s="82">
        <v>0</v>
      </c>
      <c r="T283" s="82"/>
      <c r="U283" s="84"/>
      <c r="V283" s="85">
        <v>0</v>
      </c>
      <c r="W283" s="82"/>
      <c r="X283" s="84"/>
      <c r="Y283" s="85">
        <v>0</v>
      </c>
      <c r="Z283" s="82"/>
      <c r="AA283" s="84"/>
      <c r="AB283" s="85">
        <v>0</v>
      </c>
      <c r="AC283" s="82"/>
      <c r="AD283" s="84"/>
      <c r="AE283" s="85">
        <v>0</v>
      </c>
      <c r="AF283" s="82"/>
      <c r="AG283" s="84"/>
    </row>
    <row r="284" spans="1:33" ht="15.75" thickBot="1" x14ac:dyDescent="0.3">
      <c r="A284" s="68"/>
      <c r="B284" s="68"/>
      <c r="C284" s="107" t="s">
        <v>37</v>
      </c>
      <c r="D284" s="104"/>
      <c r="E284" s="86"/>
      <c r="F284" s="89"/>
      <c r="G284" s="86"/>
      <c r="H284" s="86"/>
      <c r="I284" s="89"/>
      <c r="J284" s="86"/>
      <c r="K284" s="86"/>
      <c r="L284" s="89"/>
      <c r="M284" s="86"/>
      <c r="N284" s="86"/>
      <c r="O284" s="89"/>
      <c r="P284" s="86"/>
      <c r="Q284" s="86"/>
      <c r="R284" s="89"/>
      <c r="S284" s="86"/>
      <c r="T284" s="86"/>
      <c r="U284" s="89"/>
      <c r="V284" s="86"/>
      <c r="W284" s="86"/>
      <c r="X284" s="89"/>
      <c r="Y284" s="86"/>
      <c r="Z284" s="86"/>
      <c r="AA284" s="89"/>
      <c r="AB284" s="86"/>
      <c r="AC284" s="86"/>
      <c r="AD284" s="89"/>
      <c r="AE284" s="86"/>
      <c r="AF284" s="86"/>
      <c r="AG284" s="89"/>
    </row>
    <row r="285" spans="1:33" ht="15.75" thickBot="1" x14ac:dyDescent="0.3">
      <c r="A285" s="68"/>
      <c r="B285" s="68"/>
      <c r="D285" s="87"/>
      <c r="E285" s="87"/>
      <c r="F285" s="90"/>
      <c r="G285" s="87"/>
      <c r="H285" s="87"/>
      <c r="I285" s="90"/>
      <c r="J285" s="87"/>
      <c r="K285" s="87"/>
      <c r="L285" s="90"/>
      <c r="M285" s="87"/>
      <c r="N285" s="87"/>
      <c r="O285" s="90"/>
      <c r="P285" s="87"/>
      <c r="Q285" s="87"/>
      <c r="R285" s="90"/>
      <c r="S285" s="87"/>
      <c r="T285" s="87"/>
      <c r="U285" s="90"/>
      <c r="V285" s="87"/>
      <c r="W285" s="87"/>
      <c r="X285" s="90"/>
      <c r="Y285" s="87"/>
      <c r="Z285" s="87"/>
      <c r="AA285" s="90"/>
      <c r="AB285" s="87"/>
      <c r="AC285" s="87"/>
      <c r="AD285" s="90"/>
      <c r="AE285" s="87"/>
      <c r="AF285" s="87"/>
      <c r="AG285" s="90"/>
    </row>
    <row r="286" spans="1:33" ht="15.75" thickBot="1" x14ac:dyDescent="0.3">
      <c r="A286" s="68"/>
      <c r="B286" s="68"/>
      <c r="D286" s="88"/>
      <c r="E286" s="88"/>
      <c r="F286" s="91"/>
      <c r="G286" s="88"/>
      <c r="H286" s="88"/>
      <c r="I286" s="91"/>
      <c r="J286" s="88"/>
      <c r="K286" s="88"/>
      <c r="L286" s="91"/>
      <c r="M286" s="88"/>
      <c r="N286" s="88"/>
      <c r="O286" s="91"/>
      <c r="P286" s="88"/>
      <c r="Q286" s="88"/>
      <c r="R286" s="91"/>
      <c r="S286" s="88"/>
      <c r="T286" s="88"/>
      <c r="U286" s="91"/>
      <c r="V286" s="88"/>
      <c r="W286" s="88"/>
      <c r="X286" s="91"/>
      <c r="Y286" s="88"/>
      <c r="Z286" s="88"/>
      <c r="AA286" s="91"/>
      <c r="AB286" s="88"/>
      <c r="AC286" s="88"/>
      <c r="AD286" s="91"/>
      <c r="AE286" s="88"/>
      <c r="AF286" s="88"/>
      <c r="AG286" s="91"/>
    </row>
    <row r="288" spans="1:33" ht="15.75" thickBot="1" x14ac:dyDescent="0.3"/>
    <row r="289" spans="1:33" ht="15.75" thickBot="1" x14ac:dyDescent="0.3">
      <c r="A289" s="68" t="s">
        <v>96</v>
      </c>
      <c r="B289" s="68"/>
      <c r="D289" s="52" t="s">
        <v>27</v>
      </c>
      <c r="E289" s="52"/>
      <c r="F289" s="52"/>
      <c r="G289" s="73" t="s">
        <v>28</v>
      </c>
      <c r="H289" s="73"/>
      <c r="I289" s="73"/>
      <c r="J289" s="52" t="s">
        <v>29</v>
      </c>
      <c r="K289" s="52"/>
      <c r="L289" s="52"/>
      <c r="M289" s="73" t="s">
        <v>30</v>
      </c>
      <c r="N289" s="73"/>
      <c r="O289" s="73"/>
      <c r="P289" s="52" t="s">
        <v>31</v>
      </c>
      <c r="Q289" s="52"/>
      <c r="R289" s="52"/>
      <c r="S289" s="73" t="s">
        <v>32</v>
      </c>
      <c r="T289" s="73"/>
      <c r="U289" s="73"/>
      <c r="V289" s="52" t="s">
        <v>33</v>
      </c>
      <c r="W289" s="52"/>
      <c r="X289" s="52"/>
      <c r="Y289" s="73" t="s">
        <v>34</v>
      </c>
      <c r="Z289" s="73"/>
      <c r="AA289" s="73"/>
      <c r="AB289" s="52" t="s">
        <v>35</v>
      </c>
      <c r="AC289" s="52"/>
      <c r="AD289" s="52"/>
      <c r="AE289" s="73" t="s">
        <v>36</v>
      </c>
      <c r="AF289" s="73"/>
      <c r="AG289" s="73"/>
    </row>
    <row r="290" spans="1:33" ht="15.75" thickBot="1" x14ac:dyDescent="0.3">
      <c r="A290" s="68"/>
      <c r="B290" s="68"/>
      <c r="C290" s="105" t="s">
        <v>243</v>
      </c>
      <c r="D290" s="75">
        <v>0</v>
      </c>
      <c r="E290" s="75"/>
      <c r="F290" s="76"/>
      <c r="G290" s="74">
        <v>0</v>
      </c>
      <c r="H290" s="75"/>
      <c r="I290" s="76"/>
      <c r="J290" s="74">
        <v>0</v>
      </c>
      <c r="K290" s="75"/>
      <c r="L290" s="76"/>
      <c r="M290" s="74">
        <v>0</v>
      </c>
      <c r="N290" s="75"/>
      <c r="O290" s="76"/>
      <c r="P290" s="74">
        <v>0</v>
      </c>
      <c r="Q290" s="75"/>
      <c r="R290" s="76"/>
      <c r="S290" s="74">
        <v>0</v>
      </c>
      <c r="T290" s="75"/>
      <c r="U290" s="76"/>
      <c r="V290" s="74">
        <v>0</v>
      </c>
      <c r="W290" s="75"/>
      <c r="X290" s="76"/>
      <c r="Y290" s="74">
        <v>0</v>
      </c>
      <c r="Z290" s="75"/>
      <c r="AA290" s="76"/>
      <c r="AB290" s="74">
        <v>0</v>
      </c>
      <c r="AC290" s="75"/>
      <c r="AD290" s="76"/>
      <c r="AE290" s="74">
        <v>0</v>
      </c>
      <c r="AF290" s="75"/>
      <c r="AG290" s="76"/>
    </row>
    <row r="291" spans="1:33" ht="15.75" thickBot="1" x14ac:dyDescent="0.3">
      <c r="A291" s="68"/>
      <c r="B291" s="68"/>
      <c r="C291" s="106" t="s">
        <v>244</v>
      </c>
      <c r="D291" s="82">
        <v>0</v>
      </c>
      <c r="E291" s="82"/>
      <c r="F291" s="84"/>
      <c r="G291" s="85">
        <v>0</v>
      </c>
      <c r="H291" s="82"/>
      <c r="I291" s="84"/>
      <c r="J291" s="85">
        <v>0</v>
      </c>
      <c r="K291" s="82"/>
      <c r="L291" s="84"/>
      <c r="M291" s="85">
        <v>0</v>
      </c>
      <c r="N291" s="82"/>
      <c r="O291" s="82"/>
      <c r="P291" s="81">
        <v>0</v>
      </c>
      <c r="Q291" s="82"/>
      <c r="R291" s="83"/>
      <c r="S291" s="82">
        <v>0</v>
      </c>
      <c r="T291" s="82"/>
      <c r="U291" s="84"/>
      <c r="V291" s="85">
        <v>0</v>
      </c>
      <c r="W291" s="82"/>
      <c r="X291" s="84"/>
      <c r="Y291" s="85">
        <v>0</v>
      </c>
      <c r="Z291" s="82"/>
      <c r="AA291" s="84"/>
      <c r="AB291" s="85">
        <v>0</v>
      </c>
      <c r="AC291" s="82"/>
      <c r="AD291" s="84"/>
      <c r="AE291" s="85">
        <v>0</v>
      </c>
      <c r="AF291" s="82"/>
      <c r="AG291" s="84"/>
    </row>
    <row r="292" spans="1:33" ht="15.75" thickBot="1" x14ac:dyDescent="0.3">
      <c r="A292" s="68"/>
      <c r="B292" s="68"/>
      <c r="C292" s="107" t="s">
        <v>37</v>
      </c>
      <c r="D292" s="104"/>
      <c r="E292" s="86"/>
      <c r="F292" s="89"/>
      <c r="G292" s="86"/>
      <c r="H292" s="86"/>
      <c r="I292" s="89"/>
      <c r="J292" s="86"/>
      <c r="K292" s="86"/>
      <c r="L292" s="89"/>
      <c r="M292" s="86"/>
      <c r="N292" s="86"/>
      <c r="O292" s="89"/>
      <c r="P292" s="86"/>
      <c r="Q292" s="86"/>
      <c r="R292" s="89"/>
      <c r="S292" s="86"/>
      <c r="T292" s="86"/>
      <c r="U292" s="89"/>
      <c r="V292" s="86"/>
      <c r="W292" s="86"/>
      <c r="X292" s="89"/>
      <c r="Y292" s="86"/>
      <c r="Z292" s="86"/>
      <c r="AA292" s="89"/>
      <c r="AB292" s="86"/>
      <c r="AC292" s="86"/>
      <c r="AD292" s="89"/>
      <c r="AE292" s="86"/>
      <c r="AF292" s="86"/>
      <c r="AG292" s="89"/>
    </row>
    <row r="293" spans="1:33" ht="15.75" thickBot="1" x14ac:dyDescent="0.3">
      <c r="A293" s="68"/>
      <c r="B293" s="68"/>
      <c r="D293" s="87"/>
      <c r="E293" s="87"/>
      <c r="F293" s="90"/>
      <c r="G293" s="87"/>
      <c r="H293" s="87"/>
      <c r="I293" s="90"/>
      <c r="J293" s="87"/>
      <c r="K293" s="87"/>
      <c r="L293" s="90"/>
      <c r="M293" s="87"/>
      <c r="N293" s="87"/>
      <c r="O293" s="90"/>
      <c r="P293" s="87"/>
      <c r="Q293" s="87"/>
      <c r="R293" s="90"/>
      <c r="S293" s="87"/>
      <c r="T293" s="87"/>
      <c r="U293" s="90"/>
      <c r="V293" s="87"/>
      <c r="W293" s="87"/>
      <c r="X293" s="90"/>
      <c r="Y293" s="87"/>
      <c r="Z293" s="87"/>
      <c r="AA293" s="90"/>
      <c r="AB293" s="87"/>
      <c r="AC293" s="87"/>
      <c r="AD293" s="90"/>
      <c r="AE293" s="87"/>
      <c r="AF293" s="87"/>
      <c r="AG293" s="90"/>
    </row>
    <row r="294" spans="1:33" ht="15.75" thickBot="1" x14ac:dyDescent="0.3">
      <c r="A294" s="68"/>
      <c r="B294" s="68"/>
      <c r="D294" s="88"/>
      <c r="E294" s="88"/>
      <c r="F294" s="91"/>
      <c r="G294" s="88"/>
      <c r="H294" s="88"/>
      <c r="I294" s="91"/>
      <c r="J294" s="88"/>
      <c r="K294" s="88"/>
      <c r="L294" s="91"/>
      <c r="M294" s="88"/>
      <c r="N294" s="88"/>
      <c r="O294" s="91"/>
      <c r="P294" s="88"/>
      <c r="Q294" s="88"/>
      <c r="R294" s="91"/>
      <c r="S294" s="88"/>
      <c r="T294" s="88"/>
      <c r="U294" s="91"/>
      <c r="V294" s="88"/>
      <c r="W294" s="88"/>
      <c r="X294" s="91"/>
      <c r="Y294" s="88"/>
      <c r="Z294" s="88"/>
      <c r="AA294" s="91"/>
      <c r="AB294" s="88"/>
      <c r="AC294" s="88"/>
      <c r="AD294" s="91"/>
      <c r="AE294" s="88"/>
      <c r="AF294" s="88"/>
      <c r="AG294" s="91"/>
    </row>
    <row r="296" spans="1:33" ht="15.75" thickBot="1" x14ac:dyDescent="0.3"/>
    <row r="297" spans="1:33" ht="15.75" thickBot="1" x14ac:dyDescent="0.3">
      <c r="A297" s="68" t="s">
        <v>97</v>
      </c>
      <c r="B297" s="68"/>
      <c r="D297" s="52" t="s">
        <v>27</v>
      </c>
      <c r="E297" s="52"/>
      <c r="F297" s="52"/>
      <c r="G297" s="73" t="s">
        <v>28</v>
      </c>
      <c r="H297" s="73"/>
      <c r="I297" s="73"/>
      <c r="J297" s="52" t="s">
        <v>29</v>
      </c>
      <c r="K297" s="52"/>
      <c r="L297" s="52"/>
      <c r="M297" s="73" t="s">
        <v>30</v>
      </c>
      <c r="N297" s="73"/>
      <c r="O297" s="73"/>
      <c r="P297" s="52" t="s">
        <v>31</v>
      </c>
      <c r="Q297" s="52"/>
      <c r="R297" s="52"/>
      <c r="S297" s="73" t="s">
        <v>32</v>
      </c>
      <c r="T297" s="73"/>
      <c r="U297" s="73"/>
      <c r="V297" s="52" t="s">
        <v>33</v>
      </c>
      <c r="W297" s="52"/>
      <c r="X297" s="52"/>
      <c r="Y297" s="73" t="s">
        <v>34</v>
      </c>
      <c r="Z297" s="73"/>
      <c r="AA297" s="73"/>
      <c r="AB297" s="52" t="s">
        <v>35</v>
      </c>
      <c r="AC297" s="52"/>
      <c r="AD297" s="52"/>
      <c r="AE297" s="73" t="s">
        <v>36</v>
      </c>
      <c r="AF297" s="73"/>
      <c r="AG297" s="73"/>
    </row>
    <row r="298" spans="1:33" ht="15.75" thickBot="1" x14ac:dyDescent="0.3">
      <c r="A298" s="68"/>
      <c r="B298" s="68"/>
      <c r="C298" s="105" t="s">
        <v>243</v>
      </c>
      <c r="D298" s="75">
        <v>0</v>
      </c>
      <c r="E298" s="75"/>
      <c r="F298" s="76"/>
      <c r="G298" s="74">
        <v>0</v>
      </c>
      <c r="H298" s="75"/>
      <c r="I298" s="76"/>
      <c r="J298" s="74">
        <v>0</v>
      </c>
      <c r="K298" s="75"/>
      <c r="L298" s="76"/>
      <c r="M298" s="74">
        <v>0</v>
      </c>
      <c r="N298" s="75"/>
      <c r="O298" s="76"/>
      <c r="P298" s="74">
        <v>0</v>
      </c>
      <c r="Q298" s="75"/>
      <c r="R298" s="76"/>
      <c r="S298" s="74">
        <v>0</v>
      </c>
      <c r="T298" s="75"/>
      <c r="U298" s="76"/>
      <c r="V298" s="74">
        <v>0</v>
      </c>
      <c r="W298" s="75"/>
      <c r="X298" s="76"/>
      <c r="Y298" s="74">
        <v>0</v>
      </c>
      <c r="Z298" s="75"/>
      <c r="AA298" s="76"/>
      <c r="AB298" s="74">
        <v>0</v>
      </c>
      <c r="AC298" s="75"/>
      <c r="AD298" s="76"/>
      <c r="AE298" s="74">
        <v>0</v>
      </c>
      <c r="AF298" s="75"/>
      <c r="AG298" s="76"/>
    </row>
    <row r="299" spans="1:33" ht="15.75" thickBot="1" x14ac:dyDescent="0.3">
      <c r="A299" s="68"/>
      <c r="B299" s="68"/>
      <c r="C299" s="106" t="s">
        <v>244</v>
      </c>
      <c r="D299" s="82">
        <v>0</v>
      </c>
      <c r="E299" s="82"/>
      <c r="F299" s="84"/>
      <c r="G299" s="85">
        <v>0</v>
      </c>
      <c r="H299" s="82"/>
      <c r="I299" s="84"/>
      <c r="J299" s="85">
        <v>0</v>
      </c>
      <c r="K299" s="82"/>
      <c r="L299" s="84"/>
      <c r="M299" s="85">
        <v>0</v>
      </c>
      <c r="N299" s="82"/>
      <c r="O299" s="82"/>
      <c r="P299" s="81">
        <v>0</v>
      </c>
      <c r="Q299" s="82"/>
      <c r="R299" s="83"/>
      <c r="S299" s="82">
        <v>0</v>
      </c>
      <c r="T299" s="82"/>
      <c r="U299" s="84"/>
      <c r="V299" s="85">
        <v>0</v>
      </c>
      <c r="W299" s="82"/>
      <c r="X299" s="84"/>
      <c r="Y299" s="85">
        <v>0</v>
      </c>
      <c r="Z299" s="82"/>
      <c r="AA299" s="84"/>
      <c r="AB299" s="85">
        <v>0</v>
      </c>
      <c r="AC299" s="82"/>
      <c r="AD299" s="84"/>
      <c r="AE299" s="85">
        <v>0</v>
      </c>
      <c r="AF299" s="82"/>
      <c r="AG299" s="84"/>
    </row>
    <row r="300" spans="1:33" ht="15.75" thickBot="1" x14ac:dyDescent="0.3">
      <c r="A300" s="68"/>
      <c r="B300" s="68"/>
      <c r="C300" s="107" t="s">
        <v>37</v>
      </c>
      <c r="D300" s="104"/>
      <c r="E300" s="86"/>
      <c r="F300" s="89"/>
      <c r="G300" s="86"/>
      <c r="H300" s="86"/>
      <c r="I300" s="89"/>
      <c r="J300" s="86"/>
      <c r="K300" s="86"/>
      <c r="L300" s="89"/>
      <c r="M300" s="86"/>
      <c r="N300" s="86"/>
      <c r="O300" s="89"/>
      <c r="P300" s="86"/>
      <c r="Q300" s="86"/>
      <c r="R300" s="89"/>
      <c r="S300" s="86"/>
      <c r="T300" s="86"/>
      <c r="U300" s="89"/>
      <c r="V300" s="86"/>
      <c r="W300" s="86"/>
      <c r="X300" s="89"/>
      <c r="Y300" s="86"/>
      <c r="Z300" s="86"/>
      <c r="AA300" s="89"/>
      <c r="AB300" s="86"/>
      <c r="AC300" s="86"/>
      <c r="AD300" s="89"/>
      <c r="AE300" s="86"/>
      <c r="AF300" s="86"/>
      <c r="AG300" s="89"/>
    </row>
    <row r="301" spans="1:33" ht="15.75" thickBot="1" x14ac:dyDescent="0.3">
      <c r="A301" s="68"/>
      <c r="B301" s="68"/>
      <c r="D301" s="87"/>
      <c r="E301" s="87"/>
      <c r="F301" s="90"/>
      <c r="G301" s="87"/>
      <c r="H301" s="87"/>
      <c r="I301" s="90"/>
      <c r="J301" s="87"/>
      <c r="K301" s="87"/>
      <c r="L301" s="90"/>
      <c r="M301" s="87"/>
      <c r="N301" s="87"/>
      <c r="O301" s="90"/>
      <c r="P301" s="87"/>
      <c r="Q301" s="87"/>
      <c r="R301" s="90"/>
      <c r="S301" s="87"/>
      <c r="T301" s="87"/>
      <c r="U301" s="90"/>
      <c r="V301" s="87"/>
      <c r="W301" s="87"/>
      <c r="X301" s="90"/>
      <c r="Y301" s="87"/>
      <c r="Z301" s="87"/>
      <c r="AA301" s="90"/>
      <c r="AB301" s="87"/>
      <c r="AC301" s="87"/>
      <c r="AD301" s="90"/>
      <c r="AE301" s="87"/>
      <c r="AF301" s="87"/>
      <c r="AG301" s="90"/>
    </row>
    <row r="302" spans="1:33" ht="15.75" thickBot="1" x14ac:dyDescent="0.3">
      <c r="A302" s="68"/>
      <c r="B302" s="68"/>
      <c r="D302" s="88"/>
      <c r="E302" s="88"/>
      <c r="F302" s="91"/>
      <c r="G302" s="88"/>
      <c r="H302" s="88"/>
      <c r="I302" s="91"/>
      <c r="J302" s="88"/>
      <c r="K302" s="88"/>
      <c r="L302" s="91"/>
      <c r="M302" s="88"/>
      <c r="N302" s="88"/>
      <c r="O302" s="91"/>
      <c r="P302" s="88"/>
      <c r="Q302" s="88"/>
      <c r="R302" s="91"/>
      <c r="S302" s="88"/>
      <c r="T302" s="88"/>
      <c r="U302" s="91"/>
      <c r="V302" s="88"/>
      <c r="W302" s="88"/>
      <c r="X302" s="91"/>
      <c r="Y302" s="88"/>
      <c r="Z302" s="88"/>
      <c r="AA302" s="91"/>
      <c r="AB302" s="88"/>
      <c r="AC302" s="88"/>
      <c r="AD302" s="91"/>
      <c r="AE302" s="88"/>
      <c r="AF302" s="88"/>
      <c r="AG302" s="91"/>
    </row>
    <row r="304" spans="1:33" ht="15.75" thickBot="1" x14ac:dyDescent="0.3"/>
    <row r="305" spans="1:33" ht="15.75" thickBot="1" x14ac:dyDescent="0.3">
      <c r="A305" s="68" t="s">
        <v>98</v>
      </c>
      <c r="B305" s="68"/>
      <c r="D305" s="52" t="s">
        <v>27</v>
      </c>
      <c r="E305" s="52"/>
      <c r="F305" s="52"/>
      <c r="G305" s="73" t="s">
        <v>28</v>
      </c>
      <c r="H305" s="73"/>
      <c r="I305" s="73"/>
      <c r="J305" s="52" t="s">
        <v>29</v>
      </c>
      <c r="K305" s="52"/>
      <c r="L305" s="52"/>
      <c r="M305" s="73" t="s">
        <v>30</v>
      </c>
      <c r="N305" s="73"/>
      <c r="O305" s="73"/>
      <c r="P305" s="52" t="s">
        <v>31</v>
      </c>
      <c r="Q305" s="52"/>
      <c r="R305" s="52"/>
      <c r="S305" s="73" t="s">
        <v>32</v>
      </c>
      <c r="T305" s="73"/>
      <c r="U305" s="73"/>
      <c r="V305" s="52" t="s">
        <v>33</v>
      </c>
      <c r="W305" s="52"/>
      <c r="X305" s="52"/>
      <c r="Y305" s="73" t="s">
        <v>34</v>
      </c>
      <c r="Z305" s="73"/>
      <c r="AA305" s="73"/>
      <c r="AB305" s="52" t="s">
        <v>35</v>
      </c>
      <c r="AC305" s="52"/>
      <c r="AD305" s="52"/>
      <c r="AE305" s="73" t="s">
        <v>36</v>
      </c>
      <c r="AF305" s="73"/>
      <c r="AG305" s="73"/>
    </row>
    <row r="306" spans="1:33" ht="15.75" thickBot="1" x14ac:dyDescent="0.3">
      <c r="A306" s="68"/>
      <c r="B306" s="68"/>
      <c r="C306" s="105" t="s">
        <v>243</v>
      </c>
      <c r="D306" s="75">
        <v>0</v>
      </c>
      <c r="E306" s="75"/>
      <c r="F306" s="76"/>
      <c r="G306" s="74">
        <v>0</v>
      </c>
      <c r="H306" s="75"/>
      <c r="I306" s="76"/>
      <c r="J306" s="74">
        <v>0</v>
      </c>
      <c r="K306" s="75"/>
      <c r="L306" s="76"/>
      <c r="M306" s="74">
        <v>0</v>
      </c>
      <c r="N306" s="75"/>
      <c r="O306" s="76"/>
      <c r="P306" s="74">
        <v>0</v>
      </c>
      <c r="Q306" s="75"/>
      <c r="R306" s="76"/>
      <c r="S306" s="74">
        <v>0</v>
      </c>
      <c r="T306" s="75"/>
      <c r="U306" s="76"/>
      <c r="V306" s="74">
        <v>0</v>
      </c>
      <c r="W306" s="75"/>
      <c r="X306" s="76"/>
      <c r="Y306" s="74">
        <v>0</v>
      </c>
      <c r="Z306" s="75"/>
      <c r="AA306" s="76"/>
      <c r="AB306" s="74">
        <v>0</v>
      </c>
      <c r="AC306" s="75"/>
      <c r="AD306" s="76"/>
      <c r="AE306" s="74">
        <v>0</v>
      </c>
      <c r="AF306" s="75"/>
      <c r="AG306" s="76"/>
    </row>
    <row r="307" spans="1:33" ht="15.75" thickBot="1" x14ac:dyDescent="0.3">
      <c r="A307" s="68"/>
      <c r="B307" s="68"/>
      <c r="C307" s="106" t="s">
        <v>244</v>
      </c>
      <c r="D307" s="82">
        <v>0</v>
      </c>
      <c r="E307" s="82"/>
      <c r="F307" s="84"/>
      <c r="G307" s="85">
        <v>0</v>
      </c>
      <c r="H307" s="82"/>
      <c r="I307" s="84"/>
      <c r="J307" s="85">
        <v>0</v>
      </c>
      <c r="K307" s="82"/>
      <c r="L307" s="84"/>
      <c r="M307" s="85">
        <v>0</v>
      </c>
      <c r="N307" s="82"/>
      <c r="O307" s="82"/>
      <c r="P307" s="81">
        <v>0</v>
      </c>
      <c r="Q307" s="82"/>
      <c r="R307" s="83"/>
      <c r="S307" s="82">
        <v>0</v>
      </c>
      <c r="T307" s="82"/>
      <c r="U307" s="84"/>
      <c r="V307" s="85">
        <v>0</v>
      </c>
      <c r="W307" s="82"/>
      <c r="X307" s="84"/>
      <c r="Y307" s="85">
        <v>0</v>
      </c>
      <c r="Z307" s="82"/>
      <c r="AA307" s="84"/>
      <c r="AB307" s="85">
        <v>0</v>
      </c>
      <c r="AC307" s="82"/>
      <c r="AD307" s="84"/>
      <c r="AE307" s="85">
        <v>0</v>
      </c>
      <c r="AF307" s="82"/>
      <c r="AG307" s="84"/>
    </row>
    <row r="308" spans="1:33" ht="15.75" thickBot="1" x14ac:dyDescent="0.3">
      <c r="A308" s="68"/>
      <c r="B308" s="68"/>
      <c r="C308" s="107" t="s">
        <v>37</v>
      </c>
      <c r="D308" s="104"/>
      <c r="E308" s="86"/>
      <c r="F308" s="89"/>
      <c r="G308" s="86"/>
      <c r="H308" s="86"/>
      <c r="I308" s="89"/>
      <c r="J308" s="86"/>
      <c r="K308" s="86"/>
      <c r="L308" s="89"/>
      <c r="M308" s="86"/>
      <c r="N308" s="86"/>
      <c r="O308" s="89"/>
      <c r="P308" s="86"/>
      <c r="Q308" s="86"/>
      <c r="R308" s="89"/>
      <c r="S308" s="86"/>
      <c r="T308" s="86"/>
      <c r="U308" s="89"/>
      <c r="V308" s="86"/>
      <c r="W308" s="86"/>
      <c r="X308" s="89"/>
      <c r="Y308" s="86"/>
      <c r="Z308" s="86"/>
      <c r="AA308" s="89"/>
      <c r="AB308" s="86"/>
      <c r="AC308" s="86"/>
      <c r="AD308" s="89"/>
      <c r="AE308" s="86"/>
      <c r="AF308" s="86"/>
      <c r="AG308" s="89"/>
    </row>
    <row r="309" spans="1:33" ht="15.75" thickBot="1" x14ac:dyDescent="0.3">
      <c r="A309" s="68"/>
      <c r="B309" s="68"/>
      <c r="D309" s="87"/>
      <c r="E309" s="87"/>
      <c r="F309" s="90"/>
      <c r="G309" s="87"/>
      <c r="H309" s="87"/>
      <c r="I309" s="90"/>
      <c r="J309" s="87"/>
      <c r="K309" s="87"/>
      <c r="L309" s="90"/>
      <c r="M309" s="87"/>
      <c r="N309" s="87"/>
      <c r="O309" s="90"/>
      <c r="P309" s="87"/>
      <c r="Q309" s="87"/>
      <c r="R309" s="90"/>
      <c r="S309" s="87"/>
      <c r="T309" s="87"/>
      <c r="U309" s="90"/>
      <c r="V309" s="87"/>
      <c r="W309" s="87"/>
      <c r="X309" s="90"/>
      <c r="Y309" s="87"/>
      <c r="Z309" s="87"/>
      <c r="AA309" s="90"/>
      <c r="AB309" s="87"/>
      <c r="AC309" s="87"/>
      <c r="AD309" s="90"/>
      <c r="AE309" s="87"/>
      <c r="AF309" s="87"/>
      <c r="AG309" s="90"/>
    </row>
    <row r="310" spans="1:33" ht="15.75" thickBot="1" x14ac:dyDescent="0.3">
      <c r="A310" s="68"/>
      <c r="B310" s="68"/>
      <c r="D310" s="88"/>
      <c r="E310" s="88"/>
      <c r="F310" s="91"/>
      <c r="G310" s="88"/>
      <c r="H310" s="88"/>
      <c r="I310" s="91"/>
      <c r="J310" s="88"/>
      <c r="K310" s="88"/>
      <c r="L310" s="91"/>
      <c r="M310" s="88"/>
      <c r="N310" s="88"/>
      <c r="O310" s="91"/>
      <c r="P310" s="88"/>
      <c r="Q310" s="88"/>
      <c r="R310" s="91"/>
      <c r="S310" s="88"/>
      <c r="T310" s="88"/>
      <c r="U310" s="91"/>
      <c r="V310" s="88"/>
      <c r="W310" s="88"/>
      <c r="X310" s="91"/>
      <c r="Y310" s="88"/>
      <c r="Z310" s="88"/>
      <c r="AA310" s="91"/>
      <c r="AB310" s="88"/>
      <c r="AC310" s="88"/>
      <c r="AD310" s="91"/>
      <c r="AE310" s="88"/>
      <c r="AF310" s="88"/>
      <c r="AG310" s="91"/>
    </row>
    <row r="312" spans="1:33" ht="15.75" thickBot="1" x14ac:dyDescent="0.3"/>
    <row r="313" spans="1:33" ht="15.75" thickBot="1" x14ac:dyDescent="0.3">
      <c r="A313" s="68" t="s">
        <v>100</v>
      </c>
      <c r="B313" s="68"/>
      <c r="D313" s="52" t="s">
        <v>27</v>
      </c>
      <c r="E313" s="52"/>
      <c r="F313" s="52"/>
      <c r="G313" s="73" t="s">
        <v>28</v>
      </c>
      <c r="H313" s="73"/>
      <c r="I313" s="73"/>
      <c r="J313" s="52" t="s">
        <v>29</v>
      </c>
      <c r="K313" s="52"/>
      <c r="L313" s="52"/>
      <c r="M313" s="73" t="s">
        <v>30</v>
      </c>
      <c r="N313" s="73"/>
      <c r="O313" s="73"/>
      <c r="P313" s="52" t="s">
        <v>31</v>
      </c>
      <c r="Q313" s="52"/>
      <c r="R313" s="52"/>
      <c r="S313" s="73" t="s">
        <v>32</v>
      </c>
      <c r="T313" s="73"/>
      <c r="U313" s="73"/>
      <c r="V313" s="52" t="s">
        <v>33</v>
      </c>
      <c r="W313" s="52"/>
      <c r="X313" s="52"/>
      <c r="Y313" s="73" t="s">
        <v>34</v>
      </c>
      <c r="Z313" s="73"/>
      <c r="AA313" s="73"/>
      <c r="AB313" s="52" t="s">
        <v>35</v>
      </c>
      <c r="AC313" s="52"/>
      <c r="AD313" s="52"/>
      <c r="AE313" s="73" t="s">
        <v>36</v>
      </c>
      <c r="AF313" s="73"/>
      <c r="AG313" s="73"/>
    </row>
    <row r="314" spans="1:33" ht="15.75" thickBot="1" x14ac:dyDescent="0.3">
      <c r="A314" s="68"/>
      <c r="B314" s="68"/>
      <c r="C314" s="105" t="s">
        <v>243</v>
      </c>
      <c r="D314" s="75">
        <v>0</v>
      </c>
      <c r="E314" s="75"/>
      <c r="F314" s="76"/>
      <c r="G314" s="74">
        <v>0</v>
      </c>
      <c r="H314" s="75"/>
      <c r="I314" s="76"/>
      <c r="J314" s="74">
        <v>0</v>
      </c>
      <c r="K314" s="75"/>
      <c r="L314" s="76"/>
      <c r="M314" s="74">
        <v>0</v>
      </c>
      <c r="N314" s="75"/>
      <c r="O314" s="76"/>
      <c r="P314" s="74">
        <v>0</v>
      </c>
      <c r="Q314" s="75"/>
      <c r="R314" s="76"/>
      <c r="S314" s="74">
        <v>0</v>
      </c>
      <c r="T314" s="75"/>
      <c r="U314" s="76"/>
      <c r="V314" s="74">
        <v>0</v>
      </c>
      <c r="W314" s="75"/>
      <c r="X314" s="76"/>
      <c r="Y314" s="74">
        <v>0</v>
      </c>
      <c r="Z314" s="75"/>
      <c r="AA314" s="76"/>
      <c r="AB314" s="74">
        <v>0</v>
      </c>
      <c r="AC314" s="75"/>
      <c r="AD314" s="76"/>
      <c r="AE314" s="74">
        <v>0</v>
      </c>
      <c r="AF314" s="75"/>
      <c r="AG314" s="76"/>
    </row>
    <row r="315" spans="1:33" ht="15.75" thickBot="1" x14ac:dyDescent="0.3">
      <c r="A315" s="68"/>
      <c r="B315" s="68"/>
      <c r="C315" s="106" t="s">
        <v>244</v>
      </c>
      <c r="D315" s="82">
        <v>0</v>
      </c>
      <c r="E315" s="82"/>
      <c r="F315" s="84"/>
      <c r="G315" s="85">
        <v>0</v>
      </c>
      <c r="H315" s="82"/>
      <c r="I315" s="84"/>
      <c r="J315" s="85">
        <v>0</v>
      </c>
      <c r="K315" s="82"/>
      <c r="L315" s="84"/>
      <c r="M315" s="85">
        <v>0</v>
      </c>
      <c r="N315" s="82"/>
      <c r="O315" s="82"/>
      <c r="P315" s="81">
        <v>0</v>
      </c>
      <c r="Q315" s="82"/>
      <c r="R315" s="83"/>
      <c r="S315" s="82">
        <v>0</v>
      </c>
      <c r="T315" s="82"/>
      <c r="U315" s="84"/>
      <c r="V315" s="85">
        <v>0</v>
      </c>
      <c r="W315" s="82"/>
      <c r="X315" s="84"/>
      <c r="Y315" s="85">
        <v>0</v>
      </c>
      <c r="Z315" s="82"/>
      <c r="AA315" s="84"/>
      <c r="AB315" s="85">
        <v>0</v>
      </c>
      <c r="AC315" s="82"/>
      <c r="AD315" s="84"/>
      <c r="AE315" s="85">
        <v>0</v>
      </c>
      <c r="AF315" s="82"/>
      <c r="AG315" s="84"/>
    </row>
    <row r="316" spans="1:33" ht="15.75" thickBot="1" x14ac:dyDescent="0.3">
      <c r="A316" s="68"/>
      <c r="B316" s="68"/>
      <c r="C316" s="107" t="s">
        <v>37</v>
      </c>
      <c r="D316" s="104"/>
      <c r="E316" s="86"/>
      <c r="F316" s="89"/>
      <c r="G316" s="86"/>
      <c r="H316" s="86"/>
      <c r="I316" s="89"/>
      <c r="J316" s="86"/>
      <c r="K316" s="86"/>
      <c r="L316" s="89"/>
      <c r="M316" s="86"/>
      <c r="N316" s="86"/>
      <c r="O316" s="89"/>
      <c r="P316" s="86"/>
      <c r="Q316" s="86"/>
      <c r="R316" s="89"/>
      <c r="S316" s="86"/>
      <c r="T316" s="86"/>
      <c r="U316" s="89"/>
      <c r="V316" s="86"/>
      <c r="W316" s="86"/>
      <c r="X316" s="89"/>
      <c r="Y316" s="86"/>
      <c r="Z316" s="86"/>
      <c r="AA316" s="89"/>
      <c r="AB316" s="86"/>
      <c r="AC316" s="86"/>
      <c r="AD316" s="89"/>
      <c r="AE316" s="86"/>
      <c r="AF316" s="86"/>
      <c r="AG316" s="89"/>
    </row>
    <row r="317" spans="1:33" ht="15.75" thickBot="1" x14ac:dyDescent="0.3">
      <c r="A317" s="68"/>
      <c r="B317" s="68"/>
      <c r="D317" s="87"/>
      <c r="E317" s="87"/>
      <c r="F317" s="90"/>
      <c r="G317" s="87"/>
      <c r="H317" s="87"/>
      <c r="I317" s="90"/>
      <c r="J317" s="87"/>
      <c r="K317" s="87"/>
      <c r="L317" s="90"/>
      <c r="M317" s="87"/>
      <c r="N317" s="87"/>
      <c r="O317" s="90"/>
      <c r="P317" s="87"/>
      <c r="Q317" s="87"/>
      <c r="R317" s="90"/>
      <c r="S317" s="87"/>
      <c r="T317" s="87"/>
      <c r="U317" s="90"/>
      <c r="V317" s="87"/>
      <c r="W317" s="87"/>
      <c r="X317" s="90"/>
      <c r="Y317" s="87"/>
      <c r="Z317" s="87"/>
      <c r="AA317" s="90"/>
      <c r="AB317" s="87"/>
      <c r="AC317" s="87"/>
      <c r="AD317" s="90"/>
      <c r="AE317" s="87"/>
      <c r="AF317" s="87"/>
      <c r="AG317" s="90"/>
    </row>
    <row r="318" spans="1:33" ht="15.75" thickBot="1" x14ac:dyDescent="0.3">
      <c r="A318" s="68"/>
      <c r="B318" s="68"/>
      <c r="D318" s="88"/>
      <c r="E318" s="88"/>
      <c r="F318" s="91"/>
      <c r="G318" s="88"/>
      <c r="H318" s="88"/>
      <c r="I318" s="91"/>
      <c r="J318" s="88"/>
      <c r="K318" s="88"/>
      <c r="L318" s="91"/>
      <c r="M318" s="88"/>
      <c r="N318" s="88"/>
      <c r="O318" s="91"/>
      <c r="P318" s="88"/>
      <c r="Q318" s="88"/>
      <c r="R318" s="91"/>
      <c r="S318" s="88"/>
      <c r="T318" s="88"/>
      <c r="U318" s="91"/>
      <c r="V318" s="88"/>
      <c r="W318" s="88"/>
      <c r="X318" s="91"/>
      <c r="Y318" s="88"/>
      <c r="Z318" s="88"/>
      <c r="AA318" s="91"/>
      <c r="AB318" s="88"/>
      <c r="AC318" s="88"/>
      <c r="AD318" s="91"/>
      <c r="AE318" s="88"/>
      <c r="AF318" s="88"/>
      <c r="AG318" s="91"/>
    </row>
    <row r="320" spans="1:33" ht="15.75" thickBot="1" x14ac:dyDescent="0.3"/>
    <row r="321" spans="1:33" ht="15.75" thickBot="1" x14ac:dyDescent="0.3">
      <c r="A321" s="68" t="s">
        <v>101</v>
      </c>
      <c r="B321" s="68"/>
      <c r="D321" s="52" t="s">
        <v>27</v>
      </c>
      <c r="E321" s="52"/>
      <c r="F321" s="52"/>
      <c r="G321" s="73" t="s">
        <v>28</v>
      </c>
      <c r="H321" s="73"/>
      <c r="I321" s="73"/>
      <c r="J321" s="52" t="s">
        <v>29</v>
      </c>
      <c r="K321" s="52"/>
      <c r="L321" s="52"/>
      <c r="M321" s="73" t="s">
        <v>30</v>
      </c>
      <c r="N321" s="73"/>
      <c r="O321" s="73"/>
      <c r="P321" s="52" t="s">
        <v>31</v>
      </c>
      <c r="Q321" s="52"/>
      <c r="R321" s="52"/>
      <c r="S321" s="73" t="s">
        <v>32</v>
      </c>
      <c r="T321" s="73"/>
      <c r="U321" s="73"/>
      <c r="V321" s="52" t="s">
        <v>33</v>
      </c>
      <c r="W321" s="52"/>
      <c r="X321" s="52"/>
      <c r="Y321" s="73" t="s">
        <v>34</v>
      </c>
      <c r="Z321" s="73"/>
      <c r="AA321" s="73"/>
      <c r="AB321" s="52" t="s">
        <v>35</v>
      </c>
      <c r="AC321" s="52"/>
      <c r="AD321" s="52"/>
      <c r="AE321" s="73" t="s">
        <v>36</v>
      </c>
      <c r="AF321" s="73"/>
      <c r="AG321" s="73"/>
    </row>
    <row r="322" spans="1:33" ht="15.75" thickBot="1" x14ac:dyDescent="0.3">
      <c r="A322" s="68"/>
      <c r="B322" s="68"/>
      <c r="C322" s="105" t="s">
        <v>243</v>
      </c>
      <c r="D322" s="75">
        <v>0</v>
      </c>
      <c r="E322" s="75"/>
      <c r="F322" s="76"/>
      <c r="G322" s="74">
        <v>0</v>
      </c>
      <c r="H322" s="75"/>
      <c r="I322" s="76"/>
      <c r="J322" s="74">
        <v>0</v>
      </c>
      <c r="K322" s="75"/>
      <c r="L322" s="76"/>
      <c r="M322" s="74">
        <v>0</v>
      </c>
      <c r="N322" s="75"/>
      <c r="O322" s="76"/>
      <c r="P322" s="74">
        <v>0</v>
      </c>
      <c r="Q322" s="75"/>
      <c r="R322" s="76"/>
      <c r="S322" s="74">
        <v>0</v>
      </c>
      <c r="T322" s="75"/>
      <c r="U322" s="76"/>
      <c r="V322" s="74">
        <v>0</v>
      </c>
      <c r="W322" s="75"/>
      <c r="X322" s="76"/>
      <c r="Y322" s="74">
        <v>0</v>
      </c>
      <c r="Z322" s="75"/>
      <c r="AA322" s="76"/>
      <c r="AB322" s="74">
        <v>0</v>
      </c>
      <c r="AC322" s="75"/>
      <c r="AD322" s="76"/>
      <c r="AE322" s="74">
        <v>0</v>
      </c>
      <c r="AF322" s="75"/>
      <c r="AG322" s="76"/>
    </row>
    <row r="323" spans="1:33" ht="15.75" thickBot="1" x14ac:dyDescent="0.3">
      <c r="A323" s="68"/>
      <c r="B323" s="68"/>
      <c r="C323" s="106" t="s">
        <v>244</v>
      </c>
      <c r="D323" s="82">
        <v>0</v>
      </c>
      <c r="E323" s="82"/>
      <c r="F323" s="84"/>
      <c r="G323" s="85">
        <v>0</v>
      </c>
      <c r="H323" s="82"/>
      <c r="I323" s="84"/>
      <c r="J323" s="85">
        <v>0</v>
      </c>
      <c r="K323" s="82"/>
      <c r="L323" s="84"/>
      <c r="M323" s="85">
        <v>0</v>
      </c>
      <c r="N323" s="82"/>
      <c r="O323" s="82"/>
      <c r="P323" s="81">
        <v>0</v>
      </c>
      <c r="Q323" s="82"/>
      <c r="R323" s="83"/>
      <c r="S323" s="82">
        <v>0</v>
      </c>
      <c r="T323" s="82"/>
      <c r="U323" s="84"/>
      <c r="V323" s="85">
        <v>0</v>
      </c>
      <c r="W323" s="82"/>
      <c r="X323" s="84"/>
      <c r="Y323" s="85">
        <v>0</v>
      </c>
      <c r="Z323" s="82"/>
      <c r="AA323" s="84"/>
      <c r="AB323" s="85">
        <v>0</v>
      </c>
      <c r="AC323" s="82"/>
      <c r="AD323" s="84"/>
      <c r="AE323" s="85">
        <v>0</v>
      </c>
      <c r="AF323" s="82"/>
      <c r="AG323" s="84"/>
    </row>
    <row r="324" spans="1:33" ht="15.75" thickBot="1" x14ac:dyDescent="0.3">
      <c r="A324" s="68"/>
      <c r="B324" s="68"/>
      <c r="C324" s="107" t="s">
        <v>37</v>
      </c>
      <c r="D324" s="104"/>
      <c r="E324" s="86"/>
      <c r="F324" s="89"/>
      <c r="G324" s="86"/>
      <c r="H324" s="86"/>
      <c r="I324" s="89"/>
      <c r="J324" s="86"/>
      <c r="K324" s="86"/>
      <c r="L324" s="89"/>
      <c r="M324" s="86"/>
      <c r="N324" s="86"/>
      <c r="O324" s="89"/>
      <c r="P324" s="86"/>
      <c r="Q324" s="86"/>
      <c r="R324" s="89"/>
      <c r="S324" s="86"/>
      <c r="T324" s="86"/>
      <c r="U324" s="89"/>
      <c r="V324" s="86"/>
      <c r="W324" s="86"/>
      <c r="X324" s="89"/>
      <c r="Y324" s="86"/>
      <c r="Z324" s="86"/>
      <c r="AA324" s="89"/>
      <c r="AB324" s="86"/>
      <c r="AC324" s="86"/>
      <c r="AD324" s="89"/>
      <c r="AE324" s="86"/>
      <c r="AF324" s="86"/>
      <c r="AG324" s="89"/>
    </row>
    <row r="325" spans="1:33" ht="15.75" thickBot="1" x14ac:dyDescent="0.3">
      <c r="A325" s="68"/>
      <c r="B325" s="68"/>
      <c r="D325" s="87"/>
      <c r="E325" s="87"/>
      <c r="F325" s="90"/>
      <c r="G325" s="87"/>
      <c r="H325" s="87"/>
      <c r="I325" s="90"/>
      <c r="J325" s="87"/>
      <c r="K325" s="87"/>
      <c r="L325" s="90"/>
      <c r="M325" s="87"/>
      <c r="N325" s="87"/>
      <c r="O325" s="90"/>
      <c r="P325" s="87"/>
      <c r="Q325" s="87"/>
      <c r="R325" s="90"/>
      <c r="S325" s="87"/>
      <c r="T325" s="87"/>
      <c r="U325" s="90"/>
      <c r="V325" s="87"/>
      <c r="W325" s="87"/>
      <c r="X325" s="90"/>
      <c r="Y325" s="87"/>
      <c r="Z325" s="87"/>
      <c r="AA325" s="90"/>
      <c r="AB325" s="87"/>
      <c r="AC325" s="87"/>
      <c r="AD325" s="90"/>
      <c r="AE325" s="87"/>
      <c r="AF325" s="87"/>
      <c r="AG325" s="90"/>
    </row>
    <row r="326" spans="1:33" ht="15.75" thickBot="1" x14ac:dyDescent="0.3">
      <c r="A326" s="68"/>
      <c r="B326" s="68"/>
      <c r="D326" s="88"/>
      <c r="E326" s="88"/>
      <c r="F326" s="91"/>
      <c r="G326" s="88"/>
      <c r="H326" s="88"/>
      <c r="I326" s="91"/>
      <c r="J326" s="88"/>
      <c r="K326" s="88"/>
      <c r="L326" s="91"/>
      <c r="M326" s="88"/>
      <c r="N326" s="88"/>
      <c r="O326" s="91"/>
      <c r="P326" s="88"/>
      <c r="Q326" s="88"/>
      <c r="R326" s="91"/>
      <c r="S326" s="88"/>
      <c r="T326" s="88"/>
      <c r="U326" s="91"/>
      <c r="V326" s="88"/>
      <c r="W326" s="88"/>
      <c r="X326" s="91"/>
      <c r="Y326" s="88"/>
      <c r="Z326" s="88"/>
      <c r="AA326" s="91"/>
      <c r="AB326" s="88"/>
      <c r="AC326" s="88"/>
      <c r="AD326" s="91"/>
      <c r="AE326" s="88"/>
      <c r="AF326" s="88"/>
      <c r="AG326" s="91"/>
    </row>
    <row r="328" spans="1:33" ht="15.75" thickBot="1" x14ac:dyDescent="0.3"/>
    <row r="329" spans="1:33" ht="15.75" thickBot="1" x14ac:dyDescent="0.3">
      <c r="A329" s="68" t="s">
        <v>262</v>
      </c>
      <c r="B329" s="68"/>
      <c r="D329" s="52" t="s">
        <v>27</v>
      </c>
      <c r="E329" s="52"/>
      <c r="F329" s="52"/>
      <c r="G329" s="73" t="s">
        <v>28</v>
      </c>
      <c r="H329" s="73"/>
      <c r="I329" s="73"/>
      <c r="J329" s="52" t="s">
        <v>29</v>
      </c>
      <c r="K329" s="52"/>
      <c r="L329" s="52"/>
      <c r="M329" s="73" t="s">
        <v>30</v>
      </c>
      <c r="N329" s="73"/>
      <c r="O329" s="73"/>
      <c r="P329" s="52" t="s">
        <v>31</v>
      </c>
      <c r="Q329" s="52"/>
      <c r="R329" s="52"/>
      <c r="S329" s="73" t="s">
        <v>32</v>
      </c>
      <c r="T329" s="73"/>
      <c r="U329" s="73"/>
      <c r="V329" s="52" t="s">
        <v>33</v>
      </c>
      <c r="W329" s="52"/>
      <c r="X329" s="52"/>
      <c r="Y329" s="73" t="s">
        <v>34</v>
      </c>
      <c r="Z329" s="73"/>
      <c r="AA329" s="73"/>
      <c r="AB329" s="52" t="s">
        <v>35</v>
      </c>
      <c r="AC329" s="52"/>
      <c r="AD329" s="52"/>
      <c r="AE329" s="73" t="s">
        <v>36</v>
      </c>
      <c r="AF329" s="73"/>
      <c r="AG329" s="73"/>
    </row>
    <row r="330" spans="1:33" ht="15.75" thickBot="1" x14ac:dyDescent="0.3">
      <c r="A330" s="68"/>
      <c r="B330" s="68"/>
      <c r="C330" s="105" t="s">
        <v>243</v>
      </c>
      <c r="D330" s="75">
        <v>0</v>
      </c>
      <c r="E330" s="75"/>
      <c r="F330" s="76"/>
      <c r="G330" s="74">
        <v>0</v>
      </c>
      <c r="H330" s="75"/>
      <c r="I330" s="76"/>
      <c r="J330" s="74">
        <v>0</v>
      </c>
      <c r="K330" s="75"/>
      <c r="L330" s="76"/>
      <c r="M330" s="74">
        <v>0</v>
      </c>
      <c r="N330" s="75"/>
      <c r="O330" s="76"/>
      <c r="P330" s="74">
        <v>0</v>
      </c>
      <c r="Q330" s="75"/>
      <c r="R330" s="76"/>
      <c r="S330" s="74">
        <v>0</v>
      </c>
      <c r="T330" s="75"/>
      <c r="U330" s="76"/>
      <c r="V330" s="74">
        <v>0</v>
      </c>
      <c r="W330" s="75"/>
      <c r="X330" s="76"/>
      <c r="Y330" s="74">
        <v>0</v>
      </c>
      <c r="Z330" s="75"/>
      <c r="AA330" s="76"/>
      <c r="AB330" s="74">
        <v>0</v>
      </c>
      <c r="AC330" s="75"/>
      <c r="AD330" s="76"/>
      <c r="AE330" s="74">
        <v>0</v>
      </c>
      <c r="AF330" s="75"/>
      <c r="AG330" s="76"/>
    </row>
    <row r="331" spans="1:33" ht="15.75" thickBot="1" x14ac:dyDescent="0.3">
      <c r="A331" s="68"/>
      <c r="B331" s="68"/>
      <c r="C331" s="106" t="s">
        <v>244</v>
      </c>
      <c r="D331" s="82">
        <v>0</v>
      </c>
      <c r="E331" s="82"/>
      <c r="F331" s="84"/>
      <c r="G331" s="85">
        <v>0</v>
      </c>
      <c r="H331" s="82"/>
      <c r="I331" s="84"/>
      <c r="J331" s="85">
        <v>0</v>
      </c>
      <c r="K331" s="82"/>
      <c r="L331" s="84"/>
      <c r="M331" s="85">
        <v>0</v>
      </c>
      <c r="N331" s="82"/>
      <c r="O331" s="82"/>
      <c r="P331" s="81">
        <v>0</v>
      </c>
      <c r="Q331" s="82"/>
      <c r="R331" s="83"/>
      <c r="S331" s="82">
        <v>0</v>
      </c>
      <c r="T331" s="82"/>
      <c r="U331" s="84"/>
      <c r="V331" s="85">
        <v>0</v>
      </c>
      <c r="W331" s="82"/>
      <c r="X331" s="84"/>
      <c r="Y331" s="85">
        <v>0</v>
      </c>
      <c r="Z331" s="82"/>
      <c r="AA331" s="84"/>
      <c r="AB331" s="85">
        <v>0</v>
      </c>
      <c r="AC331" s="82"/>
      <c r="AD331" s="84"/>
      <c r="AE331" s="85">
        <v>0</v>
      </c>
      <c r="AF331" s="82"/>
      <c r="AG331" s="84"/>
    </row>
    <row r="332" spans="1:33" ht="15.75" thickBot="1" x14ac:dyDescent="0.3">
      <c r="A332" s="68"/>
      <c r="B332" s="68"/>
      <c r="C332" s="107" t="s">
        <v>37</v>
      </c>
      <c r="D332" s="104"/>
      <c r="E332" s="86"/>
      <c r="F332" s="89"/>
      <c r="G332" s="86"/>
      <c r="H332" s="86"/>
      <c r="I332" s="89"/>
      <c r="J332" s="86"/>
      <c r="K332" s="86"/>
      <c r="L332" s="89"/>
      <c r="M332" s="86"/>
      <c r="N332" s="86"/>
      <c r="O332" s="89"/>
      <c r="P332" s="86"/>
      <c r="Q332" s="86"/>
      <c r="R332" s="89"/>
      <c r="S332" s="86"/>
      <c r="T332" s="86"/>
      <c r="U332" s="89"/>
      <c r="V332" s="86"/>
      <c r="W332" s="86"/>
      <c r="X332" s="89"/>
      <c r="Y332" s="86"/>
      <c r="Z332" s="86"/>
      <c r="AA332" s="89"/>
      <c r="AB332" s="86"/>
      <c r="AC332" s="86"/>
      <c r="AD332" s="89"/>
      <c r="AE332" s="86"/>
      <c r="AF332" s="86"/>
      <c r="AG332" s="89"/>
    </row>
    <row r="333" spans="1:33" ht="15.75" thickBot="1" x14ac:dyDescent="0.3">
      <c r="A333" s="68"/>
      <c r="B333" s="68"/>
      <c r="D333" s="87"/>
      <c r="E333" s="87"/>
      <c r="F333" s="90"/>
      <c r="G333" s="87"/>
      <c r="H333" s="87"/>
      <c r="I333" s="90"/>
      <c r="J333" s="87"/>
      <c r="K333" s="87"/>
      <c r="L333" s="90"/>
      <c r="M333" s="87"/>
      <c r="N333" s="87"/>
      <c r="O333" s="90"/>
      <c r="P333" s="87"/>
      <c r="Q333" s="87"/>
      <c r="R333" s="90"/>
      <c r="S333" s="87"/>
      <c r="T333" s="87"/>
      <c r="U333" s="90"/>
      <c r="V333" s="87"/>
      <c r="W333" s="87"/>
      <c r="X333" s="90"/>
      <c r="Y333" s="87"/>
      <c r="Z333" s="87"/>
      <c r="AA333" s="90"/>
      <c r="AB333" s="87"/>
      <c r="AC333" s="87"/>
      <c r="AD333" s="90"/>
      <c r="AE333" s="87"/>
      <c r="AF333" s="87"/>
      <c r="AG333" s="90"/>
    </row>
    <row r="334" spans="1:33" ht="15.75" thickBot="1" x14ac:dyDescent="0.3">
      <c r="A334" s="68"/>
      <c r="B334" s="68"/>
      <c r="D334" s="88"/>
      <c r="E334" s="88"/>
      <c r="F334" s="91"/>
      <c r="G334" s="88"/>
      <c r="H334" s="88"/>
      <c r="I334" s="91"/>
      <c r="J334" s="88"/>
      <c r="K334" s="88"/>
      <c r="L334" s="91"/>
      <c r="M334" s="88"/>
      <c r="N334" s="88"/>
      <c r="O334" s="91"/>
      <c r="P334" s="88"/>
      <c r="Q334" s="88"/>
      <c r="R334" s="91"/>
      <c r="S334" s="88"/>
      <c r="T334" s="88"/>
      <c r="U334" s="91"/>
      <c r="V334" s="88"/>
      <c r="W334" s="88"/>
      <c r="X334" s="91"/>
      <c r="Y334" s="88"/>
      <c r="Z334" s="88"/>
      <c r="AA334" s="91"/>
      <c r="AB334" s="88"/>
      <c r="AC334" s="88"/>
      <c r="AD334" s="91"/>
      <c r="AE334" s="88"/>
      <c r="AF334" s="88"/>
      <c r="AG334" s="91"/>
    </row>
    <row r="336" spans="1:33" ht="15.75" thickBot="1" x14ac:dyDescent="0.3"/>
    <row r="337" spans="1:33" ht="15.75" thickBot="1" x14ac:dyDescent="0.3">
      <c r="A337" s="68" t="s">
        <v>102</v>
      </c>
      <c r="B337" s="68"/>
      <c r="D337" s="52" t="s">
        <v>27</v>
      </c>
      <c r="E337" s="52"/>
      <c r="F337" s="52"/>
      <c r="G337" s="73" t="s">
        <v>28</v>
      </c>
      <c r="H337" s="73"/>
      <c r="I337" s="73"/>
      <c r="J337" s="52" t="s">
        <v>29</v>
      </c>
      <c r="K337" s="52"/>
      <c r="L337" s="52"/>
      <c r="M337" s="73" t="s">
        <v>30</v>
      </c>
      <c r="N337" s="73"/>
      <c r="O337" s="73"/>
      <c r="P337" s="52" t="s">
        <v>31</v>
      </c>
      <c r="Q337" s="52"/>
      <c r="R337" s="52"/>
      <c r="S337" s="73" t="s">
        <v>32</v>
      </c>
      <c r="T337" s="73"/>
      <c r="U337" s="73"/>
      <c r="V337" s="52" t="s">
        <v>33</v>
      </c>
      <c r="W337" s="52"/>
      <c r="X337" s="52"/>
      <c r="Y337" s="73" t="s">
        <v>34</v>
      </c>
      <c r="Z337" s="73"/>
      <c r="AA337" s="73"/>
      <c r="AB337" s="52" t="s">
        <v>35</v>
      </c>
      <c r="AC337" s="52"/>
      <c r="AD337" s="52"/>
      <c r="AE337" s="73" t="s">
        <v>36</v>
      </c>
      <c r="AF337" s="73"/>
      <c r="AG337" s="73"/>
    </row>
    <row r="338" spans="1:33" ht="15.75" thickBot="1" x14ac:dyDescent="0.3">
      <c r="A338" s="68"/>
      <c r="B338" s="68"/>
      <c r="C338" s="105" t="s">
        <v>243</v>
      </c>
      <c r="D338" s="75">
        <v>0</v>
      </c>
      <c r="E338" s="75"/>
      <c r="F338" s="76"/>
      <c r="G338" s="74">
        <v>0</v>
      </c>
      <c r="H338" s="75"/>
      <c r="I338" s="76"/>
      <c r="J338" s="74">
        <v>0</v>
      </c>
      <c r="K338" s="75"/>
      <c r="L338" s="76"/>
      <c r="M338" s="74">
        <v>0</v>
      </c>
      <c r="N338" s="75"/>
      <c r="O338" s="76"/>
      <c r="P338" s="74">
        <v>0</v>
      </c>
      <c r="Q338" s="75"/>
      <c r="R338" s="76"/>
      <c r="S338" s="74">
        <v>0</v>
      </c>
      <c r="T338" s="75"/>
      <c r="U338" s="76"/>
      <c r="V338" s="74">
        <v>0</v>
      </c>
      <c r="W338" s="75"/>
      <c r="X338" s="76"/>
      <c r="Y338" s="74">
        <v>0</v>
      </c>
      <c r="Z338" s="75"/>
      <c r="AA338" s="76"/>
      <c r="AB338" s="74">
        <v>0</v>
      </c>
      <c r="AC338" s="75"/>
      <c r="AD338" s="76"/>
      <c r="AE338" s="74">
        <v>0</v>
      </c>
      <c r="AF338" s="75"/>
      <c r="AG338" s="76"/>
    </row>
    <row r="339" spans="1:33" ht="15.75" thickBot="1" x14ac:dyDescent="0.3">
      <c r="A339" s="68"/>
      <c r="B339" s="68"/>
      <c r="C339" s="106" t="s">
        <v>244</v>
      </c>
      <c r="D339" s="82">
        <v>0</v>
      </c>
      <c r="E339" s="82"/>
      <c r="F339" s="84"/>
      <c r="G339" s="85">
        <v>0</v>
      </c>
      <c r="H339" s="82"/>
      <c r="I339" s="84"/>
      <c r="J339" s="85">
        <v>0</v>
      </c>
      <c r="K339" s="82"/>
      <c r="L339" s="84"/>
      <c r="M339" s="85">
        <v>0</v>
      </c>
      <c r="N339" s="82"/>
      <c r="O339" s="82"/>
      <c r="P339" s="81">
        <v>0</v>
      </c>
      <c r="Q339" s="82"/>
      <c r="R339" s="83"/>
      <c r="S339" s="82">
        <v>0</v>
      </c>
      <c r="T339" s="82"/>
      <c r="U339" s="84"/>
      <c r="V339" s="85">
        <v>0</v>
      </c>
      <c r="W339" s="82"/>
      <c r="X339" s="84"/>
      <c r="Y339" s="85">
        <v>0</v>
      </c>
      <c r="Z339" s="82"/>
      <c r="AA339" s="84"/>
      <c r="AB339" s="85">
        <v>0</v>
      </c>
      <c r="AC339" s="82"/>
      <c r="AD339" s="84"/>
      <c r="AE339" s="85">
        <v>0</v>
      </c>
      <c r="AF339" s="82"/>
      <c r="AG339" s="84"/>
    </row>
    <row r="340" spans="1:33" ht="15.75" thickBot="1" x14ac:dyDescent="0.3">
      <c r="A340" s="68"/>
      <c r="B340" s="68"/>
      <c r="C340" s="107" t="s">
        <v>37</v>
      </c>
      <c r="D340" s="104"/>
      <c r="E340" s="86"/>
      <c r="F340" s="89"/>
      <c r="G340" s="86"/>
      <c r="H340" s="86"/>
      <c r="I340" s="89"/>
      <c r="J340" s="86"/>
      <c r="K340" s="86"/>
      <c r="L340" s="89"/>
      <c r="M340" s="86"/>
      <c r="N340" s="86"/>
      <c r="O340" s="89"/>
      <c r="P340" s="86"/>
      <c r="Q340" s="86"/>
      <c r="R340" s="89"/>
      <c r="S340" s="86"/>
      <c r="T340" s="86"/>
      <c r="U340" s="89"/>
      <c r="V340" s="86"/>
      <c r="W340" s="86"/>
      <c r="X340" s="89"/>
      <c r="Y340" s="86"/>
      <c r="Z340" s="86"/>
      <c r="AA340" s="89"/>
      <c r="AB340" s="86"/>
      <c r="AC340" s="86"/>
      <c r="AD340" s="89"/>
      <c r="AE340" s="86"/>
      <c r="AF340" s="86"/>
      <c r="AG340" s="89"/>
    </row>
    <row r="341" spans="1:33" ht="15.75" thickBot="1" x14ac:dyDescent="0.3">
      <c r="A341" s="68"/>
      <c r="B341" s="68"/>
      <c r="D341" s="87"/>
      <c r="E341" s="87"/>
      <c r="F341" s="90"/>
      <c r="G341" s="87"/>
      <c r="H341" s="87"/>
      <c r="I341" s="90"/>
      <c r="J341" s="87"/>
      <c r="K341" s="87"/>
      <c r="L341" s="90"/>
      <c r="M341" s="87"/>
      <c r="N341" s="87"/>
      <c r="O341" s="90"/>
      <c r="P341" s="87"/>
      <c r="Q341" s="87"/>
      <c r="R341" s="90"/>
      <c r="S341" s="87"/>
      <c r="T341" s="87"/>
      <c r="U341" s="90"/>
      <c r="V341" s="87"/>
      <c r="W341" s="87"/>
      <c r="X341" s="90"/>
      <c r="Y341" s="87"/>
      <c r="Z341" s="87"/>
      <c r="AA341" s="90"/>
      <c r="AB341" s="87"/>
      <c r="AC341" s="87"/>
      <c r="AD341" s="90"/>
      <c r="AE341" s="87"/>
      <c r="AF341" s="87"/>
      <c r="AG341" s="90"/>
    </row>
    <row r="342" spans="1:33" ht="15.75" thickBot="1" x14ac:dyDescent="0.3">
      <c r="A342" s="68"/>
      <c r="B342" s="68"/>
      <c r="D342" s="88"/>
      <c r="E342" s="88"/>
      <c r="F342" s="91"/>
      <c r="G342" s="88"/>
      <c r="H342" s="88"/>
      <c r="I342" s="91"/>
      <c r="J342" s="88"/>
      <c r="K342" s="88"/>
      <c r="L342" s="91"/>
      <c r="M342" s="88"/>
      <c r="N342" s="88"/>
      <c r="O342" s="91"/>
      <c r="P342" s="88"/>
      <c r="Q342" s="88"/>
      <c r="R342" s="91"/>
      <c r="S342" s="88"/>
      <c r="T342" s="88"/>
      <c r="U342" s="91"/>
      <c r="V342" s="88"/>
      <c r="W342" s="88"/>
      <c r="X342" s="91"/>
      <c r="Y342" s="88"/>
      <c r="Z342" s="88"/>
      <c r="AA342" s="91"/>
      <c r="AB342" s="88"/>
      <c r="AC342" s="88"/>
      <c r="AD342" s="91"/>
      <c r="AE342" s="88"/>
      <c r="AF342" s="88"/>
      <c r="AG342" s="91"/>
    </row>
    <row r="344" spans="1:33" ht="15.75" thickBot="1" x14ac:dyDescent="0.3"/>
    <row r="345" spans="1:33" ht="15.75" thickBot="1" x14ac:dyDescent="0.3">
      <c r="A345" s="68" t="s">
        <v>103</v>
      </c>
      <c r="B345" s="68"/>
      <c r="D345" s="52" t="s">
        <v>27</v>
      </c>
      <c r="E345" s="52"/>
      <c r="F345" s="52"/>
      <c r="G345" s="73" t="s">
        <v>28</v>
      </c>
      <c r="H345" s="73"/>
      <c r="I345" s="73"/>
      <c r="J345" s="52" t="s">
        <v>29</v>
      </c>
      <c r="K345" s="52"/>
      <c r="L345" s="52"/>
      <c r="M345" s="73" t="s">
        <v>30</v>
      </c>
      <c r="N345" s="73"/>
      <c r="O345" s="73"/>
      <c r="P345" s="52" t="s">
        <v>31</v>
      </c>
      <c r="Q345" s="52"/>
      <c r="R345" s="52"/>
      <c r="S345" s="73" t="s">
        <v>32</v>
      </c>
      <c r="T345" s="73"/>
      <c r="U345" s="73"/>
      <c r="V345" s="52" t="s">
        <v>33</v>
      </c>
      <c r="W345" s="52"/>
      <c r="X345" s="52"/>
      <c r="Y345" s="73" t="s">
        <v>34</v>
      </c>
      <c r="Z345" s="73"/>
      <c r="AA345" s="73"/>
      <c r="AB345" s="52" t="s">
        <v>35</v>
      </c>
      <c r="AC345" s="52"/>
      <c r="AD345" s="52"/>
      <c r="AE345" s="73" t="s">
        <v>36</v>
      </c>
      <c r="AF345" s="73"/>
      <c r="AG345" s="73"/>
    </row>
    <row r="346" spans="1:33" ht="15.75" thickBot="1" x14ac:dyDescent="0.3">
      <c r="A346" s="68"/>
      <c r="B346" s="68"/>
      <c r="C346" s="105" t="s">
        <v>243</v>
      </c>
      <c r="D346" s="75">
        <v>0</v>
      </c>
      <c r="E346" s="75"/>
      <c r="F346" s="76"/>
      <c r="G346" s="74">
        <v>0</v>
      </c>
      <c r="H346" s="75"/>
      <c r="I346" s="76"/>
      <c r="J346" s="74">
        <v>0</v>
      </c>
      <c r="K346" s="75"/>
      <c r="L346" s="76"/>
      <c r="M346" s="74">
        <v>0</v>
      </c>
      <c r="N346" s="75"/>
      <c r="O346" s="76"/>
      <c r="P346" s="74">
        <v>0</v>
      </c>
      <c r="Q346" s="75"/>
      <c r="R346" s="76"/>
      <c r="S346" s="74">
        <v>0</v>
      </c>
      <c r="T346" s="75"/>
      <c r="U346" s="76"/>
      <c r="V346" s="74">
        <v>0</v>
      </c>
      <c r="W346" s="75"/>
      <c r="X346" s="76"/>
      <c r="Y346" s="74">
        <v>0</v>
      </c>
      <c r="Z346" s="75"/>
      <c r="AA346" s="76"/>
      <c r="AB346" s="74">
        <v>0</v>
      </c>
      <c r="AC346" s="75"/>
      <c r="AD346" s="76"/>
      <c r="AE346" s="74">
        <v>0</v>
      </c>
      <c r="AF346" s="75"/>
      <c r="AG346" s="76"/>
    </row>
    <row r="347" spans="1:33" ht="15.75" thickBot="1" x14ac:dyDescent="0.3">
      <c r="A347" s="68"/>
      <c r="B347" s="68"/>
      <c r="C347" s="106" t="s">
        <v>244</v>
      </c>
      <c r="D347" s="82">
        <v>0</v>
      </c>
      <c r="E347" s="82"/>
      <c r="F347" s="84"/>
      <c r="G347" s="85">
        <v>0</v>
      </c>
      <c r="H347" s="82"/>
      <c r="I347" s="84"/>
      <c r="J347" s="85">
        <v>0</v>
      </c>
      <c r="K347" s="82"/>
      <c r="L347" s="84"/>
      <c r="M347" s="85">
        <v>0</v>
      </c>
      <c r="N347" s="82"/>
      <c r="O347" s="82"/>
      <c r="P347" s="81">
        <v>1</v>
      </c>
      <c r="Q347" s="82"/>
      <c r="R347" s="83"/>
      <c r="S347" s="82">
        <v>1</v>
      </c>
      <c r="T347" s="82"/>
      <c r="U347" s="84"/>
      <c r="V347" s="85">
        <v>1</v>
      </c>
      <c r="W347" s="82"/>
      <c r="X347" s="84"/>
      <c r="Y347" s="85">
        <v>1</v>
      </c>
      <c r="Z347" s="82"/>
      <c r="AA347" s="84"/>
      <c r="AB347" s="85">
        <v>1</v>
      </c>
      <c r="AC347" s="82"/>
      <c r="AD347" s="84"/>
      <c r="AE347" s="85">
        <v>1</v>
      </c>
      <c r="AF347" s="82"/>
      <c r="AG347" s="84"/>
    </row>
    <row r="348" spans="1:33" ht="15.75" thickBot="1" x14ac:dyDescent="0.3">
      <c r="A348" s="68"/>
      <c r="B348" s="68"/>
      <c r="C348" s="107" t="s">
        <v>37</v>
      </c>
      <c r="D348" s="104"/>
      <c r="E348" s="86"/>
      <c r="F348" s="89"/>
      <c r="G348" s="86"/>
      <c r="H348" s="86"/>
      <c r="I348" s="89"/>
      <c r="J348" s="86"/>
      <c r="K348" s="86"/>
      <c r="L348" s="89"/>
      <c r="M348" s="86"/>
      <c r="N348" s="86"/>
      <c r="O348" s="89"/>
      <c r="P348" s="86" t="s">
        <v>7</v>
      </c>
      <c r="Q348" s="86"/>
      <c r="R348" s="89">
        <v>1</v>
      </c>
      <c r="S348" s="86" t="s">
        <v>7</v>
      </c>
      <c r="T348" s="86"/>
      <c r="U348" s="89">
        <v>1</v>
      </c>
      <c r="V348" s="86" t="s">
        <v>7</v>
      </c>
      <c r="W348" s="86"/>
      <c r="X348" s="89">
        <v>1</v>
      </c>
      <c r="Y348" s="86" t="s">
        <v>7</v>
      </c>
      <c r="Z348" s="86"/>
      <c r="AA348" s="89">
        <v>1</v>
      </c>
      <c r="AB348" s="86"/>
      <c r="AC348" s="86"/>
      <c r="AD348" s="89"/>
      <c r="AE348" s="86"/>
      <c r="AF348" s="86"/>
      <c r="AG348" s="89"/>
    </row>
    <row r="349" spans="1:33" ht="15.75" thickBot="1" x14ac:dyDescent="0.3">
      <c r="A349" s="68"/>
      <c r="B349" s="68"/>
      <c r="D349" s="87"/>
      <c r="E349" s="87"/>
      <c r="F349" s="90"/>
      <c r="G349" s="87"/>
      <c r="H349" s="87"/>
      <c r="I349" s="90"/>
      <c r="J349" s="87"/>
      <c r="K349" s="87"/>
      <c r="L349" s="90"/>
      <c r="M349" s="87"/>
      <c r="N349" s="87"/>
      <c r="O349" s="90"/>
      <c r="P349" s="87"/>
      <c r="Q349" s="87"/>
      <c r="R349" s="90"/>
      <c r="S349" s="87" t="s">
        <v>9</v>
      </c>
      <c r="T349" s="87"/>
      <c r="U349" s="90">
        <v>1</v>
      </c>
      <c r="V349" s="87" t="s">
        <v>9</v>
      </c>
      <c r="W349" s="87"/>
      <c r="X349" s="90">
        <v>1</v>
      </c>
      <c r="Y349" s="87" t="s">
        <v>9</v>
      </c>
      <c r="Z349" s="87"/>
      <c r="AA349" s="90">
        <v>2</v>
      </c>
      <c r="AB349" s="87"/>
      <c r="AC349" s="87"/>
      <c r="AD349" s="90"/>
      <c r="AE349" s="87"/>
      <c r="AF349" s="87"/>
      <c r="AG349" s="90"/>
    </row>
    <row r="350" spans="1:33" ht="15.75" thickBot="1" x14ac:dyDescent="0.3">
      <c r="A350" s="68"/>
      <c r="B350" s="68"/>
      <c r="D350" s="88"/>
      <c r="E350" s="88"/>
      <c r="F350" s="91"/>
      <c r="G350" s="88"/>
      <c r="H350" s="88"/>
      <c r="I350" s="91"/>
      <c r="J350" s="88"/>
      <c r="K350" s="88"/>
      <c r="L350" s="91"/>
      <c r="M350" s="88"/>
      <c r="N350" s="88"/>
      <c r="O350" s="91"/>
      <c r="P350" s="88"/>
      <c r="Q350" s="88"/>
      <c r="R350" s="91"/>
      <c r="S350" s="88"/>
      <c r="T350" s="88"/>
      <c r="U350" s="91"/>
      <c r="V350" s="88"/>
      <c r="W350" s="88"/>
      <c r="X350" s="91"/>
      <c r="Y350" s="88"/>
      <c r="Z350" s="88"/>
      <c r="AA350" s="91"/>
      <c r="AB350" s="88"/>
      <c r="AC350" s="88"/>
      <c r="AD350" s="91"/>
      <c r="AE350" s="88"/>
      <c r="AF350" s="88"/>
      <c r="AG350" s="91"/>
    </row>
    <row r="352" spans="1:33" ht="15.75" thickBot="1" x14ac:dyDescent="0.3"/>
    <row r="353" spans="1:33" ht="15.75" thickBot="1" x14ac:dyDescent="0.3">
      <c r="A353" s="68" t="s">
        <v>263</v>
      </c>
      <c r="B353" s="68"/>
      <c r="D353" s="52" t="s">
        <v>27</v>
      </c>
      <c r="E353" s="52"/>
      <c r="F353" s="52"/>
      <c r="G353" s="73" t="s">
        <v>28</v>
      </c>
      <c r="H353" s="73"/>
      <c r="I353" s="73"/>
      <c r="J353" s="52" t="s">
        <v>29</v>
      </c>
      <c r="K353" s="52"/>
      <c r="L353" s="52"/>
      <c r="M353" s="73" t="s">
        <v>30</v>
      </c>
      <c r="N353" s="73"/>
      <c r="O353" s="73"/>
      <c r="P353" s="52" t="s">
        <v>31</v>
      </c>
      <c r="Q353" s="52"/>
      <c r="R353" s="52"/>
      <c r="S353" s="73" t="s">
        <v>32</v>
      </c>
      <c r="T353" s="73"/>
      <c r="U353" s="73"/>
      <c r="V353" s="52" t="s">
        <v>33</v>
      </c>
      <c r="W353" s="52"/>
      <c r="X353" s="52"/>
      <c r="Y353" s="73" t="s">
        <v>34</v>
      </c>
      <c r="Z353" s="73"/>
      <c r="AA353" s="73"/>
      <c r="AB353" s="52" t="s">
        <v>35</v>
      </c>
      <c r="AC353" s="52"/>
      <c r="AD353" s="52"/>
      <c r="AE353" s="73" t="s">
        <v>36</v>
      </c>
      <c r="AF353" s="73"/>
      <c r="AG353" s="73"/>
    </row>
    <row r="354" spans="1:33" ht="15.75" thickBot="1" x14ac:dyDescent="0.3">
      <c r="A354" s="68"/>
      <c r="B354" s="68"/>
      <c r="C354" s="105" t="s">
        <v>243</v>
      </c>
      <c r="D354" s="75">
        <v>0</v>
      </c>
      <c r="E354" s="75"/>
      <c r="F354" s="76"/>
      <c r="G354" s="74">
        <v>0</v>
      </c>
      <c r="H354" s="75"/>
      <c r="I354" s="76"/>
      <c r="J354" s="74">
        <v>0</v>
      </c>
      <c r="K354" s="75"/>
      <c r="L354" s="76"/>
      <c r="M354" s="74">
        <v>0</v>
      </c>
      <c r="N354" s="75"/>
      <c r="O354" s="76"/>
      <c r="P354" s="74">
        <v>0</v>
      </c>
      <c r="Q354" s="75"/>
      <c r="R354" s="76"/>
      <c r="S354" s="74">
        <v>0</v>
      </c>
      <c r="T354" s="75"/>
      <c r="U354" s="76"/>
      <c r="V354" s="74">
        <v>0</v>
      </c>
      <c r="W354" s="75"/>
      <c r="X354" s="76"/>
      <c r="Y354" s="74">
        <v>0</v>
      </c>
      <c r="Z354" s="75"/>
      <c r="AA354" s="76"/>
      <c r="AB354" s="74">
        <v>0</v>
      </c>
      <c r="AC354" s="75"/>
      <c r="AD354" s="76"/>
      <c r="AE354" s="74">
        <v>0</v>
      </c>
      <c r="AF354" s="75"/>
      <c r="AG354" s="76"/>
    </row>
    <row r="355" spans="1:33" ht="15.75" thickBot="1" x14ac:dyDescent="0.3">
      <c r="A355" s="68"/>
      <c r="B355" s="68"/>
      <c r="C355" s="106" t="s">
        <v>244</v>
      </c>
      <c r="D355" s="82">
        <v>0</v>
      </c>
      <c r="E355" s="82"/>
      <c r="F355" s="84"/>
      <c r="G355" s="85">
        <v>0</v>
      </c>
      <c r="H355" s="82"/>
      <c r="I355" s="84"/>
      <c r="J355" s="85">
        <v>0</v>
      </c>
      <c r="K355" s="82"/>
      <c r="L355" s="84"/>
      <c r="M355" s="85">
        <v>0</v>
      </c>
      <c r="N355" s="82"/>
      <c r="O355" s="82"/>
      <c r="P355" s="81">
        <v>0</v>
      </c>
      <c r="Q355" s="82"/>
      <c r="R355" s="83"/>
      <c r="S355" s="82">
        <v>0</v>
      </c>
      <c r="T355" s="82"/>
      <c r="U355" s="84"/>
      <c r="V355" s="85">
        <v>0</v>
      </c>
      <c r="W355" s="82"/>
      <c r="X355" s="84"/>
      <c r="Y355" s="85">
        <v>0</v>
      </c>
      <c r="Z355" s="82"/>
      <c r="AA355" s="84"/>
      <c r="AB355" s="85">
        <v>0</v>
      </c>
      <c r="AC355" s="82"/>
      <c r="AD355" s="84"/>
      <c r="AE355" s="85">
        <v>0</v>
      </c>
      <c r="AF355" s="82"/>
      <c r="AG355" s="84"/>
    </row>
    <row r="356" spans="1:33" ht="15.75" thickBot="1" x14ac:dyDescent="0.3">
      <c r="A356" s="68"/>
      <c r="B356" s="68"/>
      <c r="C356" s="107" t="s">
        <v>37</v>
      </c>
      <c r="D356" s="104"/>
      <c r="E356" s="86"/>
      <c r="F356" s="89"/>
      <c r="G356" s="86"/>
      <c r="H356" s="86"/>
      <c r="I356" s="89"/>
      <c r="J356" s="86"/>
      <c r="K356" s="86"/>
      <c r="L356" s="89"/>
      <c r="M356" s="86"/>
      <c r="N356" s="86"/>
      <c r="O356" s="89"/>
      <c r="P356" s="86"/>
      <c r="Q356" s="86"/>
      <c r="R356" s="89"/>
      <c r="S356" s="86"/>
      <c r="T356" s="86"/>
      <c r="U356" s="89"/>
      <c r="V356" s="86"/>
      <c r="W356" s="86"/>
      <c r="X356" s="89"/>
      <c r="Y356" s="86"/>
      <c r="Z356" s="86"/>
      <c r="AA356" s="89"/>
      <c r="AB356" s="86"/>
      <c r="AC356" s="86"/>
      <c r="AD356" s="89"/>
      <c r="AE356" s="86"/>
      <c r="AF356" s="86"/>
      <c r="AG356" s="89"/>
    </row>
    <row r="357" spans="1:33" ht="15.75" thickBot="1" x14ac:dyDescent="0.3">
      <c r="A357" s="68"/>
      <c r="B357" s="68"/>
      <c r="D357" s="87"/>
      <c r="E357" s="87"/>
      <c r="F357" s="90"/>
      <c r="G357" s="87"/>
      <c r="H357" s="87"/>
      <c r="I357" s="90"/>
      <c r="J357" s="87"/>
      <c r="K357" s="87"/>
      <c r="L357" s="90"/>
      <c r="M357" s="87"/>
      <c r="N357" s="87"/>
      <c r="O357" s="90"/>
      <c r="P357" s="87"/>
      <c r="Q357" s="87"/>
      <c r="R357" s="90"/>
      <c r="S357" s="87"/>
      <c r="T357" s="87"/>
      <c r="U357" s="90"/>
      <c r="V357" s="87"/>
      <c r="W357" s="87"/>
      <c r="X357" s="90"/>
      <c r="Y357" s="87"/>
      <c r="Z357" s="87"/>
      <c r="AA357" s="90"/>
      <c r="AB357" s="87"/>
      <c r="AC357" s="87"/>
      <c r="AD357" s="90"/>
      <c r="AE357" s="87"/>
      <c r="AF357" s="87"/>
      <c r="AG357" s="90"/>
    </row>
    <row r="358" spans="1:33" ht="15.75" thickBot="1" x14ac:dyDescent="0.3">
      <c r="A358" s="68"/>
      <c r="B358" s="68"/>
      <c r="D358" s="88"/>
      <c r="E358" s="88"/>
      <c r="F358" s="91"/>
      <c r="G358" s="88"/>
      <c r="H358" s="88"/>
      <c r="I358" s="91"/>
      <c r="J358" s="88"/>
      <c r="K358" s="88"/>
      <c r="L358" s="91"/>
      <c r="M358" s="88"/>
      <c r="N358" s="88"/>
      <c r="O358" s="91"/>
      <c r="P358" s="88"/>
      <c r="Q358" s="88"/>
      <c r="R358" s="91"/>
      <c r="S358" s="88"/>
      <c r="T358" s="88"/>
      <c r="U358" s="91"/>
      <c r="V358" s="88"/>
      <c r="W358" s="88"/>
      <c r="X358" s="91"/>
      <c r="Y358" s="88"/>
      <c r="Z358" s="88"/>
      <c r="AA358" s="91"/>
      <c r="AB358" s="88"/>
      <c r="AC358" s="88"/>
      <c r="AD358" s="91"/>
      <c r="AE358" s="88"/>
      <c r="AF358" s="88"/>
      <c r="AG358" s="91"/>
    </row>
    <row r="360" spans="1:33" ht="15.75" thickBot="1" x14ac:dyDescent="0.3"/>
    <row r="361" spans="1:33" ht="15.75" thickBot="1" x14ac:dyDescent="0.3">
      <c r="A361" s="68" t="s">
        <v>104</v>
      </c>
      <c r="B361" s="68"/>
      <c r="D361" s="52" t="s">
        <v>27</v>
      </c>
      <c r="E361" s="52"/>
      <c r="F361" s="52"/>
      <c r="G361" s="73" t="s">
        <v>28</v>
      </c>
      <c r="H361" s="73"/>
      <c r="I361" s="73"/>
      <c r="J361" s="52" t="s">
        <v>29</v>
      </c>
      <c r="K361" s="52"/>
      <c r="L361" s="52"/>
      <c r="M361" s="73" t="s">
        <v>30</v>
      </c>
      <c r="N361" s="73"/>
      <c r="O361" s="73"/>
      <c r="P361" s="52" t="s">
        <v>31</v>
      </c>
      <c r="Q361" s="52"/>
      <c r="R361" s="52"/>
      <c r="S361" s="73" t="s">
        <v>32</v>
      </c>
      <c r="T361" s="73"/>
      <c r="U361" s="73"/>
      <c r="V361" s="52" t="s">
        <v>33</v>
      </c>
      <c r="W361" s="52"/>
      <c r="X361" s="52"/>
      <c r="Y361" s="73" t="s">
        <v>34</v>
      </c>
      <c r="Z361" s="73"/>
      <c r="AA361" s="73"/>
      <c r="AB361" s="52" t="s">
        <v>35</v>
      </c>
      <c r="AC361" s="52"/>
      <c r="AD361" s="52"/>
      <c r="AE361" s="73" t="s">
        <v>36</v>
      </c>
      <c r="AF361" s="73"/>
      <c r="AG361" s="73"/>
    </row>
    <row r="362" spans="1:33" ht="15.75" thickBot="1" x14ac:dyDescent="0.3">
      <c r="A362" s="68"/>
      <c r="B362" s="68"/>
      <c r="C362" s="105" t="s">
        <v>243</v>
      </c>
      <c r="D362" s="75">
        <v>0</v>
      </c>
      <c r="E362" s="75"/>
      <c r="F362" s="76"/>
      <c r="G362" s="74">
        <v>0</v>
      </c>
      <c r="H362" s="75"/>
      <c r="I362" s="76"/>
      <c r="J362" s="74">
        <v>0</v>
      </c>
      <c r="K362" s="75"/>
      <c r="L362" s="76"/>
      <c r="M362" s="74">
        <v>0</v>
      </c>
      <c r="N362" s="75"/>
      <c r="O362" s="76"/>
      <c r="P362" s="74">
        <v>0</v>
      </c>
      <c r="Q362" s="75"/>
      <c r="R362" s="76"/>
      <c r="S362" s="74">
        <v>0</v>
      </c>
      <c r="T362" s="75"/>
      <c r="U362" s="76"/>
      <c r="V362" s="74">
        <v>0</v>
      </c>
      <c r="W362" s="75"/>
      <c r="X362" s="76"/>
      <c r="Y362" s="74">
        <v>0</v>
      </c>
      <c r="Z362" s="75"/>
      <c r="AA362" s="76"/>
      <c r="AB362" s="74">
        <v>0</v>
      </c>
      <c r="AC362" s="75"/>
      <c r="AD362" s="76"/>
      <c r="AE362" s="74">
        <v>0</v>
      </c>
      <c r="AF362" s="75"/>
      <c r="AG362" s="76"/>
    </row>
    <row r="363" spans="1:33" ht="15.75" thickBot="1" x14ac:dyDescent="0.3">
      <c r="A363" s="68"/>
      <c r="B363" s="68"/>
      <c r="C363" s="106" t="s">
        <v>244</v>
      </c>
      <c r="D363" s="82">
        <v>0</v>
      </c>
      <c r="E363" s="82"/>
      <c r="F363" s="84"/>
      <c r="G363" s="85">
        <v>0</v>
      </c>
      <c r="H363" s="82"/>
      <c r="I363" s="84"/>
      <c r="J363" s="85">
        <v>0</v>
      </c>
      <c r="K363" s="82"/>
      <c r="L363" s="84"/>
      <c r="M363" s="85">
        <v>0</v>
      </c>
      <c r="N363" s="82"/>
      <c r="O363" s="82"/>
      <c r="P363" s="81">
        <v>0</v>
      </c>
      <c r="Q363" s="82"/>
      <c r="R363" s="83"/>
      <c r="S363" s="82">
        <v>0</v>
      </c>
      <c r="T363" s="82"/>
      <c r="U363" s="84"/>
      <c r="V363" s="85">
        <v>0</v>
      </c>
      <c r="W363" s="82"/>
      <c r="X363" s="84"/>
      <c r="Y363" s="85">
        <v>0</v>
      </c>
      <c r="Z363" s="82"/>
      <c r="AA363" s="84"/>
      <c r="AB363" s="85">
        <v>0</v>
      </c>
      <c r="AC363" s="82"/>
      <c r="AD363" s="84"/>
      <c r="AE363" s="85">
        <v>0</v>
      </c>
      <c r="AF363" s="82"/>
      <c r="AG363" s="84"/>
    </row>
    <row r="364" spans="1:33" ht="15.75" thickBot="1" x14ac:dyDescent="0.3">
      <c r="A364" s="68"/>
      <c r="B364" s="68"/>
      <c r="C364" s="107" t="s">
        <v>37</v>
      </c>
      <c r="D364" s="104"/>
      <c r="E364" s="86"/>
      <c r="F364" s="89"/>
      <c r="G364" s="86"/>
      <c r="H364" s="86"/>
      <c r="I364" s="89"/>
      <c r="J364" s="86"/>
      <c r="K364" s="86"/>
      <c r="L364" s="89"/>
      <c r="M364" s="86"/>
      <c r="N364" s="86"/>
      <c r="O364" s="89"/>
      <c r="P364" s="86"/>
      <c r="Q364" s="86"/>
      <c r="R364" s="89"/>
      <c r="S364" s="86"/>
      <c r="T364" s="86"/>
      <c r="U364" s="89"/>
      <c r="V364" s="86"/>
      <c r="W364" s="86"/>
      <c r="X364" s="89"/>
      <c r="Y364" s="86"/>
      <c r="Z364" s="86"/>
      <c r="AA364" s="89"/>
      <c r="AB364" s="86"/>
      <c r="AC364" s="86"/>
      <c r="AD364" s="89"/>
      <c r="AE364" s="86"/>
      <c r="AF364" s="86"/>
      <c r="AG364" s="89"/>
    </row>
    <row r="365" spans="1:33" ht="15.75" thickBot="1" x14ac:dyDescent="0.3">
      <c r="A365" s="68"/>
      <c r="B365" s="68"/>
      <c r="D365" s="87"/>
      <c r="E365" s="87"/>
      <c r="F365" s="90"/>
      <c r="G365" s="87"/>
      <c r="H365" s="87"/>
      <c r="I365" s="90"/>
      <c r="J365" s="87"/>
      <c r="K365" s="87"/>
      <c r="L365" s="90"/>
      <c r="M365" s="87"/>
      <c r="N365" s="87"/>
      <c r="O365" s="90"/>
      <c r="P365" s="87"/>
      <c r="Q365" s="87"/>
      <c r="R365" s="90"/>
      <c r="S365" s="87"/>
      <c r="T365" s="87"/>
      <c r="U365" s="90"/>
      <c r="V365" s="87"/>
      <c r="W365" s="87"/>
      <c r="X365" s="90"/>
      <c r="Y365" s="87"/>
      <c r="Z365" s="87"/>
      <c r="AA365" s="90"/>
      <c r="AB365" s="87"/>
      <c r="AC365" s="87"/>
      <c r="AD365" s="90"/>
      <c r="AE365" s="87"/>
      <c r="AF365" s="87"/>
      <c r="AG365" s="90"/>
    </row>
    <row r="366" spans="1:33" ht="15.75" thickBot="1" x14ac:dyDescent="0.3">
      <c r="A366" s="68"/>
      <c r="B366" s="68"/>
      <c r="D366" s="88"/>
      <c r="E366" s="88"/>
      <c r="F366" s="91"/>
      <c r="G366" s="88"/>
      <c r="H366" s="88"/>
      <c r="I366" s="91"/>
      <c r="J366" s="88"/>
      <c r="K366" s="88"/>
      <c r="L366" s="91"/>
      <c r="M366" s="88"/>
      <c r="N366" s="88"/>
      <c r="O366" s="91"/>
      <c r="P366" s="88"/>
      <c r="Q366" s="88"/>
      <c r="R366" s="91"/>
      <c r="S366" s="88"/>
      <c r="T366" s="88"/>
      <c r="U366" s="91"/>
      <c r="V366" s="88"/>
      <c r="W366" s="88"/>
      <c r="X366" s="91"/>
      <c r="Y366" s="88"/>
      <c r="Z366" s="88"/>
      <c r="AA366" s="91"/>
      <c r="AB366" s="88"/>
      <c r="AC366" s="88"/>
      <c r="AD366" s="91"/>
      <c r="AE366" s="88"/>
      <c r="AF366" s="88"/>
      <c r="AG366" s="91"/>
    </row>
    <row r="368" spans="1:33" ht="15.75" thickBot="1" x14ac:dyDescent="0.3"/>
    <row r="369" spans="1:33" ht="15.75" thickBot="1" x14ac:dyDescent="0.3">
      <c r="A369" s="68" t="s">
        <v>264</v>
      </c>
      <c r="B369" s="68"/>
      <c r="D369" s="52" t="s">
        <v>27</v>
      </c>
      <c r="E369" s="52"/>
      <c r="F369" s="52"/>
      <c r="G369" s="73" t="s">
        <v>28</v>
      </c>
      <c r="H369" s="73"/>
      <c r="I369" s="73"/>
      <c r="J369" s="52" t="s">
        <v>29</v>
      </c>
      <c r="K369" s="52"/>
      <c r="L369" s="52"/>
      <c r="M369" s="73" t="s">
        <v>30</v>
      </c>
      <c r="N369" s="73"/>
      <c r="O369" s="73"/>
      <c r="P369" s="52" t="s">
        <v>31</v>
      </c>
      <c r="Q369" s="52"/>
      <c r="R369" s="52"/>
      <c r="S369" s="73" t="s">
        <v>32</v>
      </c>
      <c r="T369" s="73"/>
      <c r="U369" s="73"/>
      <c r="V369" s="52" t="s">
        <v>33</v>
      </c>
      <c r="W369" s="52"/>
      <c r="X369" s="52"/>
      <c r="Y369" s="73" t="s">
        <v>34</v>
      </c>
      <c r="Z369" s="73"/>
      <c r="AA369" s="73"/>
      <c r="AB369" s="52" t="s">
        <v>35</v>
      </c>
      <c r="AC369" s="52"/>
      <c r="AD369" s="52"/>
      <c r="AE369" s="73" t="s">
        <v>36</v>
      </c>
      <c r="AF369" s="73"/>
      <c r="AG369" s="73"/>
    </row>
    <row r="370" spans="1:33" ht="15.75" thickBot="1" x14ac:dyDescent="0.3">
      <c r="A370" s="68"/>
      <c r="B370" s="68"/>
      <c r="C370" s="105" t="s">
        <v>243</v>
      </c>
      <c r="D370" s="75">
        <v>0</v>
      </c>
      <c r="E370" s="75"/>
      <c r="F370" s="76"/>
      <c r="G370" s="74">
        <v>0</v>
      </c>
      <c r="H370" s="75"/>
      <c r="I370" s="76"/>
      <c r="J370" s="74">
        <v>0</v>
      </c>
      <c r="K370" s="75"/>
      <c r="L370" s="76"/>
      <c r="M370" s="74">
        <v>0</v>
      </c>
      <c r="N370" s="75"/>
      <c r="O370" s="76"/>
      <c r="P370" s="74">
        <v>0</v>
      </c>
      <c r="Q370" s="75"/>
      <c r="R370" s="76"/>
      <c r="S370" s="74">
        <v>0</v>
      </c>
      <c r="T370" s="75"/>
      <c r="U370" s="76"/>
      <c r="V370" s="74">
        <v>0</v>
      </c>
      <c r="W370" s="75"/>
      <c r="X370" s="76"/>
      <c r="Y370" s="74">
        <v>0</v>
      </c>
      <c r="Z370" s="75"/>
      <c r="AA370" s="76"/>
      <c r="AB370" s="74">
        <v>0</v>
      </c>
      <c r="AC370" s="75"/>
      <c r="AD370" s="76"/>
      <c r="AE370" s="74">
        <v>0</v>
      </c>
      <c r="AF370" s="75"/>
      <c r="AG370" s="76"/>
    </row>
    <row r="371" spans="1:33" ht="15.75" thickBot="1" x14ac:dyDescent="0.3">
      <c r="A371" s="68"/>
      <c r="B371" s="68"/>
      <c r="C371" s="106" t="s">
        <v>244</v>
      </c>
      <c r="D371" s="82">
        <v>0</v>
      </c>
      <c r="E371" s="82"/>
      <c r="F371" s="84"/>
      <c r="G371" s="85">
        <v>0</v>
      </c>
      <c r="H371" s="82"/>
      <c r="I371" s="84"/>
      <c r="J371" s="85">
        <v>0</v>
      </c>
      <c r="K371" s="82"/>
      <c r="L371" s="84"/>
      <c r="M371" s="85">
        <v>0</v>
      </c>
      <c r="N371" s="82"/>
      <c r="O371" s="82"/>
      <c r="P371" s="81">
        <v>0</v>
      </c>
      <c r="Q371" s="82"/>
      <c r="R371" s="83"/>
      <c r="S371" s="82">
        <v>0</v>
      </c>
      <c r="T371" s="82"/>
      <c r="U371" s="84"/>
      <c r="V371" s="85">
        <v>0</v>
      </c>
      <c r="W371" s="82"/>
      <c r="X371" s="84"/>
      <c r="Y371" s="85">
        <v>0</v>
      </c>
      <c r="Z371" s="82"/>
      <c r="AA371" s="84"/>
      <c r="AB371" s="85">
        <v>0</v>
      </c>
      <c r="AC371" s="82"/>
      <c r="AD371" s="84"/>
      <c r="AE371" s="85">
        <v>0</v>
      </c>
      <c r="AF371" s="82"/>
      <c r="AG371" s="84"/>
    </row>
    <row r="372" spans="1:33" ht="15.75" thickBot="1" x14ac:dyDescent="0.3">
      <c r="A372" s="68"/>
      <c r="B372" s="68"/>
      <c r="C372" s="107" t="s">
        <v>37</v>
      </c>
      <c r="D372" s="104"/>
      <c r="E372" s="86"/>
      <c r="F372" s="89"/>
      <c r="G372" s="86"/>
      <c r="H372" s="86"/>
      <c r="I372" s="89"/>
      <c r="J372" s="86"/>
      <c r="K372" s="86"/>
      <c r="L372" s="89"/>
      <c r="M372" s="86"/>
      <c r="N372" s="86"/>
      <c r="O372" s="89"/>
      <c r="P372" s="86"/>
      <c r="Q372" s="86"/>
      <c r="R372" s="89"/>
      <c r="S372" s="86"/>
      <c r="T372" s="86"/>
      <c r="U372" s="89"/>
      <c r="V372" s="86"/>
      <c r="W372" s="86"/>
      <c r="X372" s="89"/>
      <c r="Y372" s="86"/>
      <c r="Z372" s="86"/>
      <c r="AA372" s="89"/>
      <c r="AB372" s="86"/>
      <c r="AC372" s="86"/>
      <c r="AD372" s="89"/>
      <c r="AE372" s="86"/>
      <c r="AF372" s="86"/>
      <c r="AG372" s="89"/>
    </row>
    <row r="373" spans="1:33" ht="15.75" thickBot="1" x14ac:dyDescent="0.3">
      <c r="A373" s="68"/>
      <c r="B373" s="68"/>
      <c r="D373" s="87"/>
      <c r="E373" s="87"/>
      <c r="F373" s="90"/>
      <c r="G373" s="87"/>
      <c r="H373" s="87"/>
      <c r="I373" s="90"/>
      <c r="J373" s="87"/>
      <c r="K373" s="87"/>
      <c r="L373" s="90"/>
      <c r="M373" s="87"/>
      <c r="N373" s="87"/>
      <c r="O373" s="90"/>
      <c r="P373" s="87"/>
      <c r="Q373" s="87"/>
      <c r="R373" s="90"/>
      <c r="S373" s="87"/>
      <c r="T373" s="87"/>
      <c r="U373" s="90"/>
      <c r="V373" s="87"/>
      <c r="W373" s="87"/>
      <c r="X373" s="90"/>
      <c r="Y373" s="87"/>
      <c r="Z373" s="87"/>
      <c r="AA373" s="90"/>
      <c r="AB373" s="87"/>
      <c r="AC373" s="87"/>
      <c r="AD373" s="90"/>
      <c r="AE373" s="87"/>
      <c r="AF373" s="87"/>
      <c r="AG373" s="90"/>
    </row>
    <row r="374" spans="1:33" ht="15.75" thickBot="1" x14ac:dyDescent="0.3">
      <c r="A374" s="68"/>
      <c r="B374" s="68"/>
      <c r="D374" s="88"/>
      <c r="E374" s="88"/>
      <c r="F374" s="91"/>
      <c r="G374" s="88"/>
      <c r="H374" s="88"/>
      <c r="I374" s="91"/>
      <c r="J374" s="88"/>
      <c r="K374" s="88"/>
      <c r="L374" s="91"/>
      <c r="M374" s="88"/>
      <c r="N374" s="88"/>
      <c r="O374" s="91"/>
      <c r="P374" s="88"/>
      <c r="Q374" s="88"/>
      <c r="R374" s="91"/>
      <c r="S374" s="88"/>
      <c r="T374" s="88"/>
      <c r="U374" s="91"/>
      <c r="V374" s="88"/>
      <c r="W374" s="88"/>
      <c r="X374" s="91"/>
      <c r="Y374" s="88"/>
      <c r="Z374" s="88"/>
      <c r="AA374" s="91"/>
      <c r="AB374" s="88"/>
      <c r="AC374" s="88"/>
      <c r="AD374" s="91"/>
      <c r="AE374" s="88"/>
      <c r="AF374" s="88"/>
      <c r="AG374" s="91"/>
    </row>
    <row r="376" spans="1:33" ht="15.75" thickBot="1" x14ac:dyDescent="0.3"/>
    <row r="377" spans="1:33" ht="15.75" thickBot="1" x14ac:dyDescent="0.3">
      <c r="A377" s="68" t="s">
        <v>265</v>
      </c>
      <c r="B377" s="68"/>
      <c r="D377" s="52" t="s">
        <v>27</v>
      </c>
      <c r="E377" s="52"/>
      <c r="F377" s="52"/>
      <c r="G377" s="73" t="s">
        <v>28</v>
      </c>
      <c r="H377" s="73"/>
      <c r="I377" s="73"/>
      <c r="J377" s="52" t="s">
        <v>29</v>
      </c>
      <c r="K377" s="52"/>
      <c r="L377" s="52"/>
      <c r="M377" s="73" t="s">
        <v>30</v>
      </c>
      <c r="N377" s="73"/>
      <c r="O377" s="73"/>
      <c r="P377" s="52" t="s">
        <v>31</v>
      </c>
      <c r="Q377" s="52"/>
      <c r="R377" s="52"/>
      <c r="S377" s="73" t="s">
        <v>32</v>
      </c>
      <c r="T377" s="73"/>
      <c r="U377" s="73"/>
      <c r="V377" s="52" t="s">
        <v>33</v>
      </c>
      <c r="W377" s="52"/>
      <c r="X377" s="52"/>
      <c r="Y377" s="73" t="s">
        <v>34</v>
      </c>
      <c r="Z377" s="73"/>
      <c r="AA377" s="73"/>
      <c r="AB377" s="52" t="s">
        <v>35</v>
      </c>
      <c r="AC377" s="52"/>
      <c r="AD377" s="52"/>
      <c r="AE377" s="73" t="s">
        <v>36</v>
      </c>
      <c r="AF377" s="73"/>
      <c r="AG377" s="73"/>
    </row>
    <row r="378" spans="1:33" ht="15.75" thickBot="1" x14ac:dyDescent="0.3">
      <c r="A378" s="68"/>
      <c r="B378" s="68"/>
      <c r="C378" s="105" t="s">
        <v>243</v>
      </c>
      <c r="D378" s="75">
        <v>0</v>
      </c>
      <c r="E378" s="75"/>
      <c r="F378" s="76"/>
      <c r="G378" s="74">
        <v>0</v>
      </c>
      <c r="H378" s="75"/>
      <c r="I378" s="76"/>
      <c r="J378" s="74">
        <v>0</v>
      </c>
      <c r="K378" s="75"/>
      <c r="L378" s="76"/>
      <c r="M378" s="74">
        <v>0</v>
      </c>
      <c r="N378" s="75"/>
      <c r="O378" s="76"/>
      <c r="P378" s="74">
        <v>0</v>
      </c>
      <c r="Q378" s="75"/>
      <c r="R378" s="76"/>
      <c r="S378" s="74">
        <v>0</v>
      </c>
      <c r="T378" s="75"/>
      <c r="U378" s="76"/>
      <c r="V378" s="74">
        <v>0</v>
      </c>
      <c r="W378" s="75"/>
      <c r="X378" s="76"/>
      <c r="Y378" s="74">
        <v>0</v>
      </c>
      <c r="Z378" s="75"/>
      <c r="AA378" s="76"/>
      <c r="AB378" s="74">
        <v>0</v>
      </c>
      <c r="AC378" s="75"/>
      <c r="AD378" s="76"/>
      <c r="AE378" s="74">
        <v>0</v>
      </c>
      <c r="AF378" s="75"/>
      <c r="AG378" s="76"/>
    </row>
    <row r="379" spans="1:33" ht="15.75" thickBot="1" x14ac:dyDescent="0.3">
      <c r="A379" s="68"/>
      <c r="B379" s="68"/>
      <c r="C379" s="106" t="s">
        <v>244</v>
      </c>
      <c r="D379" s="82">
        <v>0</v>
      </c>
      <c r="E379" s="82"/>
      <c r="F379" s="84"/>
      <c r="G379" s="85">
        <v>0</v>
      </c>
      <c r="H379" s="82"/>
      <c r="I379" s="84"/>
      <c r="J379" s="85">
        <v>0</v>
      </c>
      <c r="K379" s="82"/>
      <c r="L379" s="84"/>
      <c r="M379" s="85">
        <v>0</v>
      </c>
      <c r="N379" s="82"/>
      <c r="O379" s="82"/>
      <c r="P379" s="81">
        <v>0</v>
      </c>
      <c r="Q379" s="82"/>
      <c r="R379" s="83"/>
      <c r="S379" s="82">
        <v>0</v>
      </c>
      <c r="T379" s="82"/>
      <c r="U379" s="84"/>
      <c r="V379" s="85">
        <v>0</v>
      </c>
      <c r="W379" s="82"/>
      <c r="X379" s="84"/>
      <c r="Y379" s="85">
        <v>0</v>
      </c>
      <c r="Z379" s="82"/>
      <c r="AA379" s="84"/>
      <c r="AB379" s="85">
        <v>0</v>
      </c>
      <c r="AC379" s="82"/>
      <c r="AD379" s="84"/>
      <c r="AE379" s="85">
        <v>0</v>
      </c>
      <c r="AF379" s="82"/>
      <c r="AG379" s="84"/>
    </row>
    <row r="380" spans="1:33" ht="15.75" thickBot="1" x14ac:dyDescent="0.3">
      <c r="A380" s="68"/>
      <c r="B380" s="68"/>
      <c r="C380" s="107" t="s">
        <v>37</v>
      </c>
      <c r="D380" s="104"/>
      <c r="E380" s="86"/>
      <c r="F380" s="89"/>
      <c r="G380" s="86"/>
      <c r="H380" s="86"/>
      <c r="I380" s="89"/>
      <c r="J380" s="86"/>
      <c r="K380" s="86"/>
      <c r="L380" s="89"/>
      <c r="M380" s="86"/>
      <c r="N380" s="86"/>
      <c r="O380" s="89"/>
      <c r="P380" s="86"/>
      <c r="Q380" s="86"/>
      <c r="R380" s="89"/>
      <c r="S380" s="86"/>
      <c r="T380" s="86"/>
      <c r="U380" s="89"/>
      <c r="V380" s="86"/>
      <c r="W380" s="86"/>
      <c r="X380" s="89"/>
      <c r="Y380" s="86"/>
      <c r="Z380" s="86"/>
      <c r="AA380" s="89"/>
      <c r="AB380" s="86"/>
      <c r="AC380" s="86"/>
      <c r="AD380" s="89"/>
      <c r="AE380" s="86"/>
      <c r="AF380" s="86"/>
      <c r="AG380" s="89"/>
    </row>
    <row r="381" spans="1:33" ht="15.75" thickBot="1" x14ac:dyDescent="0.3">
      <c r="A381" s="68"/>
      <c r="B381" s="68"/>
      <c r="D381" s="87"/>
      <c r="E381" s="87"/>
      <c r="F381" s="90"/>
      <c r="G381" s="87"/>
      <c r="H381" s="87"/>
      <c r="I381" s="90"/>
      <c r="J381" s="87"/>
      <c r="K381" s="87"/>
      <c r="L381" s="90"/>
      <c r="M381" s="87"/>
      <c r="N381" s="87"/>
      <c r="O381" s="90"/>
      <c r="P381" s="87"/>
      <c r="Q381" s="87"/>
      <c r="R381" s="90"/>
      <c r="S381" s="87"/>
      <c r="T381" s="87"/>
      <c r="U381" s="90"/>
      <c r="V381" s="87"/>
      <c r="W381" s="87"/>
      <c r="X381" s="90"/>
      <c r="Y381" s="87"/>
      <c r="Z381" s="87"/>
      <c r="AA381" s="90"/>
      <c r="AB381" s="87"/>
      <c r="AC381" s="87"/>
      <c r="AD381" s="90"/>
      <c r="AE381" s="87"/>
      <c r="AF381" s="87"/>
      <c r="AG381" s="90"/>
    </row>
    <row r="382" spans="1:33" ht="15.75" thickBot="1" x14ac:dyDescent="0.3">
      <c r="A382" s="68"/>
      <c r="B382" s="68"/>
      <c r="D382" s="88"/>
      <c r="E382" s="88"/>
      <c r="F382" s="91"/>
      <c r="G382" s="88"/>
      <c r="H382" s="88"/>
      <c r="I382" s="91"/>
      <c r="J382" s="88"/>
      <c r="K382" s="88"/>
      <c r="L382" s="91"/>
      <c r="M382" s="88"/>
      <c r="N382" s="88"/>
      <c r="O382" s="91"/>
      <c r="P382" s="88"/>
      <c r="Q382" s="88"/>
      <c r="R382" s="91"/>
      <c r="S382" s="88"/>
      <c r="T382" s="88"/>
      <c r="U382" s="91"/>
      <c r="V382" s="88"/>
      <c r="W382" s="88"/>
      <c r="X382" s="91"/>
      <c r="Y382" s="88"/>
      <c r="Z382" s="88"/>
      <c r="AA382" s="91"/>
      <c r="AB382" s="88"/>
      <c r="AC382" s="88"/>
      <c r="AD382" s="91"/>
      <c r="AE382" s="88"/>
      <c r="AF382" s="88"/>
      <c r="AG382" s="91"/>
    </row>
    <row r="384" spans="1:33" ht="15.75" thickBot="1" x14ac:dyDescent="0.3"/>
    <row r="385" spans="1:33" ht="15.75" thickBot="1" x14ac:dyDescent="0.3">
      <c r="A385" s="68" t="s">
        <v>105</v>
      </c>
      <c r="B385" s="68"/>
      <c r="D385" s="52" t="s">
        <v>27</v>
      </c>
      <c r="E385" s="52"/>
      <c r="F385" s="52"/>
      <c r="G385" s="73" t="s">
        <v>28</v>
      </c>
      <c r="H385" s="73"/>
      <c r="I385" s="73"/>
      <c r="J385" s="52" t="s">
        <v>29</v>
      </c>
      <c r="K385" s="52"/>
      <c r="L385" s="52"/>
      <c r="M385" s="73" t="s">
        <v>30</v>
      </c>
      <c r="N385" s="73"/>
      <c r="O385" s="73"/>
      <c r="P385" s="52" t="s">
        <v>31</v>
      </c>
      <c r="Q385" s="52"/>
      <c r="R385" s="52"/>
      <c r="S385" s="73" t="s">
        <v>32</v>
      </c>
      <c r="T385" s="73"/>
      <c r="U385" s="73"/>
      <c r="V385" s="52" t="s">
        <v>33</v>
      </c>
      <c r="W385" s="52"/>
      <c r="X385" s="52"/>
      <c r="Y385" s="73" t="s">
        <v>34</v>
      </c>
      <c r="Z385" s="73"/>
      <c r="AA385" s="73"/>
      <c r="AB385" s="52" t="s">
        <v>35</v>
      </c>
      <c r="AC385" s="52"/>
      <c r="AD385" s="52"/>
      <c r="AE385" s="73" t="s">
        <v>36</v>
      </c>
      <c r="AF385" s="73"/>
      <c r="AG385" s="73"/>
    </row>
    <row r="386" spans="1:33" ht="15.75" thickBot="1" x14ac:dyDescent="0.3">
      <c r="A386" s="68"/>
      <c r="B386" s="68"/>
      <c r="C386" s="105" t="s">
        <v>243</v>
      </c>
      <c r="D386" s="75">
        <v>0</v>
      </c>
      <c r="E386" s="75"/>
      <c r="F386" s="76"/>
      <c r="G386" s="74">
        <v>0</v>
      </c>
      <c r="H386" s="75"/>
      <c r="I386" s="76"/>
      <c r="J386" s="74">
        <v>0</v>
      </c>
      <c r="K386" s="75"/>
      <c r="L386" s="76"/>
      <c r="M386" s="74">
        <v>0</v>
      </c>
      <c r="N386" s="75"/>
      <c r="O386" s="76"/>
      <c r="P386" s="74">
        <v>0</v>
      </c>
      <c r="Q386" s="75"/>
      <c r="R386" s="76"/>
      <c r="S386" s="74">
        <v>0</v>
      </c>
      <c r="T386" s="75"/>
      <c r="U386" s="76"/>
      <c r="V386" s="74">
        <v>0</v>
      </c>
      <c r="W386" s="75"/>
      <c r="X386" s="76"/>
      <c r="Y386" s="74">
        <v>0</v>
      </c>
      <c r="Z386" s="75"/>
      <c r="AA386" s="76"/>
      <c r="AB386" s="74">
        <v>0</v>
      </c>
      <c r="AC386" s="75"/>
      <c r="AD386" s="76"/>
      <c r="AE386" s="74">
        <v>0</v>
      </c>
      <c r="AF386" s="75"/>
      <c r="AG386" s="76"/>
    </row>
    <row r="387" spans="1:33" ht="15.75" thickBot="1" x14ac:dyDescent="0.3">
      <c r="A387" s="68"/>
      <c r="B387" s="68"/>
      <c r="C387" s="106" t="s">
        <v>244</v>
      </c>
      <c r="D387" s="82">
        <v>0</v>
      </c>
      <c r="E387" s="82"/>
      <c r="F387" s="84"/>
      <c r="G387" s="85">
        <v>0</v>
      </c>
      <c r="H387" s="82"/>
      <c r="I387" s="84"/>
      <c r="J387" s="85">
        <v>0</v>
      </c>
      <c r="K387" s="82"/>
      <c r="L387" s="84"/>
      <c r="M387" s="85">
        <v>0</v>
      </c>
      <c r="N387" s="82"/>
      <c r="O387" s="82"/>
      <c r="P387" s="81">
        <v>0</v>
      </c>
      <c r="Q387" s="82"/>
      <c r="R387" s="83"/>
      <c r="S387" s="82">
        <v>0</v>
      </c>
      <c r="T387" s="82"/>
      <c r="U387" s="84"/>
      <c r="V387" s="85">
        <v>0</v>
      </c>
      <c r="W387" s="82"/>
      <c r="X387" s="84"/>
      <c r="Y387" s="85">
        <v>0</v>
      </c>
      <c r="Z387" s="82"/>
      <c r="AA387" s="84"/>
      <c r="AB387" s="85">
        <v>0</v>
      </c>
      <c r="AC387" s="82"/>
      <c r="AD387" s="84"/>
      <c r="AE387" s="85">
        <v>0</v>
      </c>
      <c r="AF387" s="82"/>
      <c r="AG387" s="84"/>
    </row>
    <row r="388" spans="1:33" ht="15.75" thickBot="1" x14ac:dyDescent="0.3">
      <c r="A388" s="68"/>
      <c r="B388" s="68"/>
      <c r="C388" s="107" t="s">
        <v>37</v>
      </c>
      <c r="D388" s="104"/>
      <c r="E388" s="86"/>
      <c r="F388" s="89"/>
      <c r="G388" s="86"/>
      <c r="H388" s="86"/>
      <c r="I388" s="89"/>
      <c r="J388" s="86"/>
      <c r="K388" s="86"/>
      <c r="L388" s="89"/>
      <c r="M388" s="86"/>
      <c r="N388" s="86"/>
      <c r="O388" s="89"/>
      <c r="P388" s="86"/>
      <c r="Q388" s="86"/>
      <c r="R388" s="89"/>
      <c r="S388" s="86"/>
      <c r="T388" s="86"/>
      <c r="U388" s="89"/>
      <c r="V388" s="86"/>
      <c r="W388" s="86"/>
      <c r="X388" s="89"/>
      <c r="Y388" s="86"/>
      <c r="Z388" s="86"/>
      <c r="AA388" s="89"/>
      <c r="AB388" s="86"/>
      <c r="AC388" s="86"/>
      <c r="AD388" s="89"/>
      <c r="AE388" s="86"/>
      <c r="AF388" s="86"/>
      <c r="AG388" s="89"/>
    </row>
    <row r="389" spans="1:33" ht="15.75" thickBot="1" x14ac:dyDescent="0.3">
      <c r="A389" s="68"/>
      <c r="B389" s="68"/>
      <c r="D389" s="87"/>
      <c r="E389" s="87"/>
      <c r="F389" s="90"/>
      <c r="G389" s="87"/>
      <c r="H389" s="87"/>
      <c r="I389" s="90"/>
      <c r="J389" s="87"/>
      <c r="K389" s="87"/>
      <c r="L389" s="90"/>
      <c r="M389" s="87"/>
      <c r="N389" s="87"/>
      <c r="O389" s="90"/>
      <c r="P389" s="87"/>
      <c r="Q389" s="87"/>
      <c r="R389" s="90"/>
      <c r="S389" s="87"/>
      <c r="T389" s="87"/>
      <c r="U389" s="90"/>
      <c r="V389" s="87"/>
      <c r="W389" s="87"/>
      <c r="X389" s="90"/>
      <c r="Y389" s="87"/>
      <c r="Z389" s="87"/>
      <c r="AA389" s="90"/>
      <c r="AB389" s="87"/>
      <c r="AC389" s="87"/>
      <c r="AD389" s="90"/>
      <c r="AE389" s="87"/>
      <c r="AF389" s="87"/>
      <c r="AG389" s="90"/>
    </row>
    <row r="390" spans="1:33" ht="15.75" thickBot="1" x14ac:dyDescent="0.3">
      <c r="A390" s="68"/>
      <c r="B390" s="68"/>
      <c r="D390" s="88"/>
      <c r="E390" s="88"/>
      <c r="F390" s="91"/>
      <c r="G390" s="88"/>
      <c r="H390" s="88"/>
      <c r="I390" s="91"/>
      <c r="J390" s="88"/>
      <c r="K390" s="88"/>
      <c r="L390" s="91"/>
      <c r="M390" s="88"/>
      <c r="N390" s="88"/>
      <c r="O390" s="91"/>
      <c r="P390" s="88"/>
      <c r="Q390" s="88"/>
      <c r="R390" s="91"/>
      <c r="S390" s="88"/>
      <c r="T390" s="88"/>
      <c r="U390" s="91"/>
      <c r="V390" s="88"/>
      <c r="W390" s="88"/>
      <c r="X390" s="91"/>
      <c r="Y390" s="88"/>
      <c r="Z390" s="88"/>
      <c r="AA390" s="91"/>
      <c r="AB390" s="88"/>
      <c r="AC390" s="88"/>
      <c r="AD390" s="91"/>
      <c r="AE390" s="88"/>
      <c r="AF390" s="88"/>
      <c r="AG390" s="91"/>
    </row>
    <row r="392" spans="1:33" ht="15.75" thickBot="1" x14ac:dyDescent="0.3"/>
    <row r="393" spans="1:33" ht="15.75" thickBot="1" x14ac:dyDescent="0.3">
      <c r="A393" s="68" t="s">
        <v>106</v>
      </c>
      <c r="B393" s="68"/>
      <c r="D393" s="52" t="s">
        <v>27</v>
      </c>
      <c r="E393" s="52"/>
      <c r="F393" s="52"/>
      <c r="G393" s="73" t="s">
        <v>28</v>
      </c>
      <c r="H393" s="73"/>
      <c r="I393" s="73"/>
      <c r="J393" s="52" t="s">
        <v>29</v>
      </c>
      <c r="K393" s="52"/>
      <c r="L393" s="52"/>
      <c r="M393" s="73" t="s">
        <v>30</v>
      </c>
      <c r="N393" s="73"/>
      <c r="O393" s="73"/>
      <c r="P393" s="52" t="s">
        <v>31</v>
      </c>
      <c r="Q393" s="52"/>
      <c r="R393" s="52"/>
      <c r="S393" s="73" t="s">
        <v>32</v>
      </c>
      <c r="T393" s="73"/>
      <c r="U393" s="73"/>
      <c r="V393" s="52" t="s">
        <v>33</v>
      </c>
      <c r="W393" s="52"/>
      <c r="X393" s="52"/>
      <c r="Y393" s="73" t="s">
        <v>34</v>
      </c>
      <c r="Z393" s="73"/>
      <c r="AA393" s="73"/>
      <c r="AB393" s="52" t="s">
        <v>35</v>
      </c>
      <c r="AC393" s="52"/>
      <c r="AD393" s="52"/>
      <c r="AE393" s="73" t="s">
        <v>36</v>
      </c>
      <c r="AF393" s="73"/>
      <c r="AG393" s="73"/>
    </row>
    <row r="394" spans="1:33" ht="15.75" thickBot="1" x14ac:dyDescent="0.3">
      <c r="A394" s="68"/>
      <c r="B394" s="68"/>
      <c r="C394" s="105" t="s">
        <v>243</v>
      </c>
      <c r="D394" s="75">
        <v>0</v>
      </c>
      <c r="E394" s="75"/>
      <c r="F394" s="76"/>
      <c r="G394" s="74">
        <v>0</v>
      </c>
      <c r="H394" s="75"/>
      <c r="I394" s="76"/>
      <c r="J394" s="74">
        <v>0</v>
      </c>
      <c r="K394" s="75"/>
      <c r="L394" s="76"/>
      <c r="M394" s="74">
        <v>0</v>
      </c>
      <c r="N394" s="75"/>
      <c r="O394" s="76"/>
      <c r="P394" s="74">
        <v>0</v>
      </c>
      <c r="Q394" s="75"/>
      <c r="R394" s="76"/>
      <c r="S394" s="74">
        <v>0</v>
      </c>
      <c r="T394" s="75"/>
      <c r="U394" s="76"/>
      <c r="V394" s="74">
        <v>0</v>
      </c>
      <c r="W394" s="75"/>
      <c r="X394" s="76"/>
      <c r="Y394" s="74">
        <v>0</v>
      </c>
      <c r="Z394" s="75"/>
      <c r="AA394" s="76"/>
      <c r="AB394" s="74">
        <v>0</v>
      </c>
      <c r="AC394" s="75"/>
      <c r="AD394" s="76"/>
      <c r="AE394" s="74">
        <v>0</v>
      </c>
      <c r="AF394" s="75"/>
      <c r="AG394" s="76"/>
    </row>
    <row r="395" spans="1:33" ht="15.75" thickBot="1" x14ac:dyDescent="0.3">
      <c r="A395" s="68"/>
      <c r="B395" s="68"/>
      <c r="C395" s="106" t="s">
        <v>244</v>
      </c>
      <c r="D395" s="82">
        <v>0</v>
      </c>
      <c r="E395" s="82"/>
      <c r="F395" s="84"/>
      <c r="G395" s="85">
        <v>0</v>
      </c>
      <c r="H395" s="82"/>
      <c r="I395" s="84"/>
      <c r="J395" s="85">
        <v>0</v>
      </c>
      <c r="K395" s="82"/>
      <c r="L395" s="84"/>
      <c r="M395" s="85">
        <v>0</v>
      </c>
      <c r="N395" s="82"/>
      <c r="O395" s="82"/>
      <c r="P395" s="81">
        <v>0</v>
      </c>
      <c r="Q395" s="82"/>
      <c r="R395" s="83"/>
      <c r="S395" s="82">
        <v>0</v>
      </c>
      <c r="T395" s="82"/>
      <c r="U395" s="84"/>
      <c r="V395" s="85">
        <v>0</v>
      </c>
      <c r="W395" s="82"/>
      <c r="X395" s="84"/>
      <c r="Y395" s="85">
        <v>0</v>
      </c>
      <c r="Z395" s="82"/>
      <c r="AA395" s="84"/>
      <c r="AB395" s="85">
        <v>0</v>
      </c>
      <c r="AC395" s="82"/>
      <c r="AD395" s="84"/>
      <c r="AE395" s="85">
        <v>0</v>
      </c>
      <c r="AF395" s="82"/>
      <c r="AG395" s="84"/>
    </row>
    <row r="396" spans="1:33" ht="15.75" thickBot="1" x14ac:dyDescent="0.3">
      <c r="A396" s="68"/>
      <c r="B396" s="68"/>
      <c r="C396" s="107" t="s">
        <v>37</v>
      </c>
      <c r="D396" s="104"/>
      <c r="E396" s="86"/>
      <c r="F396" s="89"/>
      <c r="G396" s="86"/>
      <c r="H396" s="86"/>
      <c r="I396" s="89"/>
      <c r="J396" s="86"/>
      <c r="K396" s="86"/>
      <c r="L396" s="89"/>
      <c r="M396" s="86"/>
      <c r="N396" s="86"/>
      <c r="O396" s="89"/>
      <c r="P396" s="86"/>
      <c r="Q396" s="86"/>
      <c r="R396" s="89"/>
      <c r="S396" s="86"/>
      <c r="T396" s="86"/>
      <c r="U396" s="89"/>
      <c r="V396" s="86"/>
      <c r="W396" s="86"/>
      <c r="X396" s="89"/>
      <c r="Y396" s="86"/>
      <c r="Z396" s="86"/>
      <c r="AA396" s="89"/>
      <c r="AB396" s="86"/>
      <c r="AC396" s="86"/>
      <c r="AD396" s="89"/>
      <c r="AE396" s="86"/>
      <c r="AF396" s="86"/>
      <c r="AG396" s="89"/>
    </row>
    <row r="397" spans="1:33" ht="15.75" thickBot="1" x14ac:dyDescent="0.3">
      <c r="A397" s="68"/>
      <c r="B397" s="68"/>
      <c r="D397" s="87"/>
      <c r="E397" s="87"/>
      <c r="F397" s="90"/>
      <c r="G397" s="87"/>
      <c r="H397" s="87"/>
      <c r="I397" s="90"/>
      <c r="J397" s="87"/>
      <c r="K397" s="87"/>
      <c r="L397" s="90"/>
      <c r="M397" s="87"/>
      <c r="N397" s="87"/>
      <c r="O397" s="90"/>
      <c r="P397" s="87"/>
      <c r="Q397" s="87"/>
      <c r="R397" s="90"/>
      <c r="S397" s="87"/>
      <c r="T397" s="87"/>
      <c r="U397" s="90"/>
      <c r="V397" s="87"/>
      <c r="W397" s="87"/>
      <c r="X397" s="90"/>
      <c r="Y397" s="87"/>
      <c r="Z397" s="87"/>
      <c r="AA397" s="90"/>
      <c r="AB397" s="87"/>
      <c r="AC397" s="87"/>
      <c r="AD397" s="90"/>
      <c r="AE397" s="87"/>
      <c r="AF397" s="87"/>
      <c r="AG397" s="90"/>
    </row>
    <row r="398" spans="1:33" ht="15.75" thickBot="1" x14ac:dyDescent="0.3">
      <c r="A398" s="68"/>
      <c r="B398" s="68"/>
      <c r="D398" s="88"/>
      <c r="E398" s="88"/>
      <c r="F398" s="91"/>
      <c r="G398" s="88"/>
      <c r="H398" s="88"/>
      <c r="I398" s="91"/>
      <c r="J398" s="88"/>
      <c r="K398" s="88"/>
      <c r="L398" s="91"/>
      <c r="M398" s="88"/>
      <c r="N398" s="88"/>
      <c r="O398" s="91"/>
      <c r="P398" s="88"/>
      <c r="Q398" s="88"/>
      <c r="R398" s="91"/>
      <c r="S398" s="88"/>
      <c r="T398" s="88"/>
      <c r="U398" s="91"/>
      <c r="V398" s="88"/>
      <c r="W398" s="88"/>
      <c r="X398" s="91"/>
      <c r="Y398" s="88"/>
      <c r="Z398" s="88"/>
      <c r="AA398" s="91"/>
      <c r="AB398" s="88"/>
      <c r="AC398" s="88"/>
      <c r="AD398" s="91"/>
      <c r="AE398" s="88"/>
      <c r="AF398" s="88"/>
      <c r="AG398" s="91"/>
    </row>
    <row r="400" spans="1:33" ht="15.75" thickBot="1" x14ac:dyDescent="0.3"/>
    <row r="401" spans="1:33" ht="15.75" thickBot="1" x14ac:dyDescent="0.3">
      <c r="A401" s="68" t="s">
        <v>266</v>
      </c>
      <c r="B401" s="68"/>
      <c r="D401" s="52" t="s">
        <v>27</v>
      </c>
      <c r="E401" s="52"/>
      <c r="F401" s="52"/>
      <c r="G401" s="73" t="s">
        <v>28</v>
      </c>
      <c r="H401" s="73"/>
      <c r="I401" s="73"/>
      <c r="J401" s="52" t="s">
        <v>29</v>
      </c>
      <c r="K401" s="52"/>
      <c r="L401" s="52"/>
      <c r="M401" s="73" t="s">
        <v>30</v>
      </c>
      <c r="N401" s="73"/>
      <c r="O401" s="73"/>
      <c r="P401" s="52" t="s">
        <v>31</v>
      </c>
      <c r="Q401" s="52"/>
      <c r="R401" s="52"/>
      <c r="S401" s="73" t="s">
        <v>32</v>
      </c>
      <c r="T401" s="73"/>
      <c r="U401" s="73"/>
      <c r="V401" s="52" t="s">
        <v>33</v>
      </c>
      <c r="W401" s="52"/>
      <c r="X401" s="52"/>
      <c r="Y401" s="73" t="s">
        <v>34</v>
      </c>
      <c r="Z401" s="73"/>
      <c r="AA401" s="73"/>
      <c r="AB401" s="52" t="s">
        <v>35</v>
      </c>
      <c r="AC401" s="52"/>
      <c r="AD401" s="52"/>
      <c r="AE401" s="73" t="s">
        <v>36</v>
      </c>
      <c r="AF401" s="73"/>
      <c r="AG401" s="73"/>
    </row>
    <row r="402" spans="1:33" ht="15.75" thickBot="1" x14ac:dyDescent="0.3">
      <c r="A402" s="68"/>
      <c r="B402" s="68"/>
      <c r="C402" s="105" t="s">
        <v>243</v>
      </c>
      <c r="D402" s="75">
        <v>0</v>
      </c>
      <c r="E402" s="75"/>
      <c r="F402" s="76"/>
      <c r="G402" s="74">
        <v>0</v>
      </c>
      <c r="H402" s="75"/>
      <c r="I402" s="76"/>
      <c r="J402" s="74">
        <v>0</v>
      </c>
      <c r="K402" s="75"/>
      <c r="L402" s="76"/>
      <c r="M402" s="74">
        <v>0</v>
      </c>
      <c r="N402" s="75"/>
      <c r="O402" s="76"/>
      <c r="P402" s="74">
        <v>0</v>
      </c>
      <c r="Q402" s="75"/>
      <c r="R402" s="76"/>
      <c r="S402" s="74">
        <v>0</v>
      </c>
      <c r="T402" s="75"/>
      <c r="U402" s="76"/>
      <c r="V402" s="74">
        <v>0</v>
      </c>
      <c r="W402" s="75"/>
      <c r="X402" s="76"/>
      <c r="Y402" s="74">
        <v>0</v>
      </c>
      <c r="Z402" s="75"/>
      <c r="AA402" s="76"/>
      <c r="AB402" s="74">
        <v>0</v>
      </c>
      <c r="AC402" s="75"/>
      <c r="AD402" s="76"/>
      <c r="AE402" s="74">
        <v>0</v>
      </c>
      <c r="AF402" s="75"/>
      <c r="AG402" s="76"/>
    </row>
    <row r="403" spans="1:33" ht="15.75" thickBot="1" x14ac:dyDescent="0.3">
      <c r="A403" s="68"/>
      <c r="B403" s="68"/>
      <c r="C403" s="106" t="s">
        <v>244</v>
      </c>
      <c r="D403" s="82">
        <v>0</v>
      </c>
      <c r="E403" s="82"/>
      <c r="F403" s="84"/>
      <c r="G403" s="85">
        <v>0</v>
      </c>
      <c r="H403" s="82"/>
      <c r="I403" s="84"/>
      <c r="J403" s="85">
        <v>0</v>
      </c>
      <c r="K403" s="82"/>
      <c r="L403" s="84"/>
      <c r="M403" s="85">
        <v>0</v>
      </c>
      <c r="N403" s="82"/>
      <c r="O403" s="82"/>
      <c r="P403" s="81">
        <v>0</v>
      </c>
      <c r="Q403" s="82"/>
      <c r="R403" s="83"/>
      <c r="S403" s="82">
        <v>0</v>
      </c>
      <c r="T403" s="82"/>
      <c r="U403" s="84"/>
      <c r="V403" s="85">
        <v>0</v>
      </c>
      <c r="W403" s="82"/>
      <c r="X403" s="84"/>
      <c r="Y403" s="85">
        <v>0</v>
      </c>
      <c r="Z403" s="82"/>
      <c r="AA403" s="84"/>
      <c r="AB403" s="85">
        <v>0</v>
      </c>
      <c r="AC403" s="82"/>
      <c r="AD403" s="84"/>
      <c r="AE403" s="85">
        <v>0</v>
      </c>
      <c r="AF403" s="82"/>
      <c r="AG403" s="84"/>
    </row>
    <row r="404" spans="1:33" ht="15.75" thickBot="1" x14ac:dyDescent="0.3">
      <c r="A404" s="68"/>
      <c r="B404" s="68"/>
      <c r="C404" s="107" t="s">
        <v>37</v>
      </c>
      <c r="D404" s="104"/>
      <c r="E404" s="86"/>
      <c r="F404" s="89"/>
      <c r="G404" s="86"/>
      <c r="H404" s="86"/>
      <c r="I404" s="89"/>
      <c r="J404" s="86"/>
      <c r="K404" s="86"/>
      <c r="L404" s="89"/>
      <c r="M404" s="86"/>
      <c r="N404" s="86"/>
      <c r="O404" s="89"/>
      <c r="P404" s="86"/>
      <c r="Q404" s="86"/>
      <c r="R404" s="89"/>
      <c r="S404" s="86"/>
      <c r="T404" s="86"/>
      <c r="U404" s="89"/>
      <c r="V404" s="86"/>
      <c r="W404" s="86"/>
      <c r="X404" s="89"/>
      <c r="Y404" s="86"/>
      <c r="Z404" s="86"/>
      <c r="AA404" s="89"/>
      <c r="AB404" s="86"/>
      <c r="AC404" s="86"/>
      <c r="AD404" s="89"/>
      <c r="AE404" s="86"/>
      <c r="AF404" s="86"/>
      <c r="AG404" s="89"/>
    </row>
    <row r="405" spans="1:33" ht="15.75" thickBot="1" x14ac:dyDescent="0.3">
      <c r="A405" s="68"/>
      <c r="B405" s="68"/>
      <c r="D405" s="87"/>
      <c r="E405" s="87"/>
      <c r="F405" s="90"/>
      <c r="G405" s="87"/>
      <c r="H405" s="87"/>
      <c r="I405" s="90"/>
      <c r="J405" s="87"/>
      <c r="K405" s="87"/>
      <c r="L405" s="90"/>
      <c r="M405" s="87"/>
      <c r="N405" s="87"/>
      <c r="O405" s="90"/>
      <c r="P405" s="87"/>
      <c r="Q405" s="87"/>
      <c r="R405" s="90"/>
      <c r="S405" s="87"/>
      <c r="T405" s="87"/>
      <c r="U405" s="90"/>
      <c r="V405" s="87"/>
      <c r="W405" s="87"/>
      <c r="X405" s="90"/>
      <c r="Y405" s="87"/>
      <c r="Z405" s="87"/>
      <c r="AA405" s="90"/>
      <c r="AB405" s="87"/>
      <c r="AC405" s="87"/>
      <c r="AD405" s="90"/>
      <c r="AE405" s="87"/>
      <c r="AF405" s="87"/>
      <c r="AG405" s="90"/>
    </row>
    <row r="406" spans="1:33" ht="15.75" thickBot="1" x14ac:dyDescent="0.3">
      <c r="A406" s="68"/>
      <c r="B406" s="68"/>
      <c r="D406" s="88"/>
      <c r="E406" s="88"/>
      <c r="F406" s="91"/>
      <c r="G406" s="88"/>
      <c r="H406" s="88"/>
      <c r="I406" s="91"/>
      <c r="J406" s="88"/>
      <c r="K406" s="88"/>
      <c r="L406" s="91"/>
      <c r="M406" s="88"/>
      <c r="N406" s="88"/>
      <c r="O406" s="91"/>
      <c r="P406" s="88"/>
      <c r="Q406" s="88"/>
      <c r="R406" s="91"/>
      <c r="S406" s="88"/>
      <c r="T406" s="88"/>
      <c r="U406" s="91"/>
      <c r="V406" s="88"/>
      <c r="W406" s="88"/>
      <c r="X406" s="91"/>
      <c r="Y406" s="88"/>
      <c r="Z406" s="88"/>
      <c r="AA406" s="91"/>
      <c r="AB406" s="88"/>
      <c r="AC406" s="88"/>
      <c r="AD406" s="91"/>
      <c r="AE406" s="88"/>
      <c r="AF406" s="88"/>
      <c r="AG406" s="91"/>
    </row>
    <row r="408" spans="1:33" ht="15.75" thickBot="1" x14ac:dyDescent="0.3"/>
    <row r="409" spans="1:33" ht="15.75" thickBot="1" x14ac:dyDescent="0.3">
      <c r="A409" s="68" t="s">
        <v>267</v>
      </c>
      <c r="B409" s="68"/>
      <c r="D409" s="52" t="s">
        <v>27</v>
      </c>
      <c r="E409" s="52"/>
      <c r="F409" s="52"/>
      <c r="G409" s="73" t="s">
        <v>28</v>
      </c>
      <c r="H409" s="73"/>
      <c r="I409" s="73"/>
      <c r="J409" s="52" t="s">
        <v>29</v>
      </c>
      <c r="K409" s="52"/>
      <c r="L409" s="52"/>
      <c r="M409" s="73" t="s">
        <v>30</v>
      </c>
      <c r="N409" s="73"/>
      <c r="O409" s="73"/>
      <c r="P409" s="52" t="s">
        <v>31</v>
      </c>
      <c r="Q409" s="52"/>
      <c r="R409" s="52"/>
      <c r="S409" s="73" t="s">
        <v>32</v>
      </c>
      <c r="T409" s="73"/>
      <c r="U409" s="73"/>
      <c r="V409" s="52" t="s">
        <v>33</v>
      </c>
      <c r="W409" s="52"/>
      <c r="X409" s="52"/>
      <c r="Y409" s="73" t="s">
        <v>34</v>
      </c>
      <c r="Z409" s="73"/>
      <c r="AA409" s="73"/>
      <c r="AB409" s="52" t="s">
        <v>35</v>
      </c>
      <c r="AC409" s="52"/>
      <c r="AD409" s="52"/>
      <c r="AE409" s="73" t="s">
        <v>36</v>
      </c>
      <c r="AF409" s="73"/>
      <c r="AG409" s="73"/>
    </row>
    <row r="410" spans="1:33" ht="15.75" thickBot="1" x14ac:dyDescent="0.3">
      <c r="A410" s="68"/>
      <c r="B410" s="68"/>
      <c r="C410" s="105" t="s">
        <v>243</v>
      </c>
      <c r="D410" s="75">
        <v>0</v>
      </c>
      <c r="E410" s="75"/>
      <c r="F410" s="76"/>
      <c r="G410" s="74">
        <v>0</v>
      </c>
      <c r="H410" s="75"/>
      <c r="I410" s="76"/>
      <c r="J410" s="74">
        <v>0</v>
      </c>
      <c r="K410" s="75"/>
      <c r="L410" s="76"/>
      <c r="M410" s="74">
        <v>0</v>
      </c>
      <c r="N410" s="75"/>
      <c r="O410" s="76"/>
      <c r="P410" s="74">
        <v>0</v>
      </c>
      <c r="Q410" s="75"/>
      <c r="R410" s="76"/>
      <c r="S410" s="74">
        <v>0</v>
      </c>
      <c r="T410" s="75"/>
      <c r="U410" s="76"/>
      <c r="V410" s="74">
        <v>0</v>
      </c>
      <c r="W410" s="75"/>
      <c r="X410" s="76"/>
      <c r="Y410" s="74">
        <v>0</v>
      </c>
      <c r="Z410" s="75"/>
      <c r="AA410" s="76"/>
      <c r="AB410" s="74">
        <v>0</v>
      </c>
      <c r="AC410" s="75"/>
      <c r="AD410" s="76"/>
      <c r="AE410" s="74">
        <v>0</v>
      </c>
      <c r="AF410" s="75"/>
      <c r="AG410" s="76"/>
    </row>
    <row r="411" spans="1:33" ht="15.75" thickBot="1" x14ac:dyDescent="0.3">
      <c r="A411" s="68"/>
      <c r="B411" s="68"/>
      <c r="C411" s="106" t="s">
        <v>244</v>
      </c>
      <c r="D411" s="82">
        <v>0</v>
      </c>
      <c r="E411" s="82"/>
      <c r="F411" s="84"/>
      <c r="G411" s="85">
        <v>0</v>
      </c>
      <c r="H411" s="82"/>
      <c r="I411" s="84"/>
      <c r="J411" s="85">
        <v>0</v>
      </c>
      <c r="K411" s="82"/>
      <c r="L411" s="84"/>
      <c r="M411" s="85">
        <v>0</v>
      </c>
      <c r="N411" s="82"/>
      <c r="O411" s="82"/>
      <c r="P411" s="81">
        <v>0</v>
      </c>
      <c r="Q411" s="82"/>
      <c r="R411" s="83"/>
      <c r="S411" s="82">
        <v>0</v>
      </c>
      <c r="T411" s="82"/>
      <c r="U411" s="84"/>
      <c r="V411" s="85">
        <v>0</v>
      </c>
      <c r="W411" s="82"/>
      <c r="X411" s="84"/>
      <c r="Y411" s="85">
        <v>0</v>
      </c>
      <c r="Z411" s="82"/>
      <c r="AA411" s="84"/>
      <c r="AB411" s="85">
        <v>0</v>
      </c>
      <c r="AC411" s="82"/>
      <c r="AD411" s="84"/>
      <c r="AE411" s="85">
        <v>0</v>
      </c>
      <c r="AF411" s="82"/>
      <c r="AG411" s="84"/>
    </row>
    <row r="412" spans="1:33" ht="15.75" thickBot="1" x14ac:dyDescent="0.3">
      <c r="A412" s="68"/>
      <c r="B412" s="68"/>
      <c r="C412" s="107" t="s">
        <v>37</v>
      </c>
      <c r="D412" s="104"/>
      <c r="E412" s="86"/>
      <c r="F412" s="89"/>
      <c r="G412" s="86"/>
      <c r="H412" s="86"/>
      <c r="I412" s="89"/>
      <c r="J412" s="86"/>
      <c r="K412" s="86"/>
      <c r="L412" s="89"/>
      <c r="M412" s="86"/>
      <c r="N412" s="86"/>
      <c r="O412" s="89"/>
      <c r="P412" s="86"/>
      <c r="Q412" s="86"/>
      <c r="R412" s="89"/>
      <c r="S412" s="86"/>
      <c r="T412" s="86"/>
      <c r="U412" s="89"/>
      <c r="V412" s="86"/>
      <c r="W412" s="86"/>
      <c r="X412" s="89"/>
      <c r="Y412" s="86"/>
      <c r="Z412" s="86"/>
      <c r="AA412" s="89"/>
      <c r="AB412" s="86"/>
      <c r="AC412" s="86"/>
      <c r="AD412" s="89"/>
      <c r="AE412" s="86"/>
      <c r="AF412" s="86"/>
      <c r="AG412" s="89"/>
    </row>
    <row r="413" spans="1:33" ht="15.75" thickBot="1" x14ac:dyDescent="0.3">
      <c r="A413" s="68"/>
      <c r="B413" s="68"/>
      <c r="D413" s="87"/>
      <c r="E413" s="87"/>
      <c r="F413" s="90"/>
      <c r="G413" s="87"/>
      <c r="H413" s="87"/>
      <c r="I413" s="90"/>
      <c r="J413" s="87"/>
      <c r="K413" s="87"/>
      <c r="L413" s="90"/>
      <c r="M413" s="87"/>
      <c r="N413" s="87"/>
      <c r="O413" s="90"/>
      <c r="P413" s="87"/>
      <c r="Q413" s="87"/>
      <c r="R413" s="90"/>
      <c r="S413" s="87"/>
      <c r="T413" s="87"/>
      <c r="U413" s="90"/>
      <c r="V413" s="87"/>
      <c r="W413" s="87"/>
      <c r="X413" s="90"/>
      <c r="Y413" s="87"/>
      <c r="Z413" s="87"/>
      <c r="AA413" s="90"/>
      <c r="AB413" s="87"/>
      <c r="AC413" s="87"/>
      <c r="AD413" s="90"/>
      <c r="AE413" s="87"/>
      <c r="AF413" s="87"/>
      <c r="AG413" s="90"/>
    </row>
    <row r="414" spans="1:33" ht="15.75" thickBot="1" x14ac:dyDescent="0.3">
      <c r="A414" s="68"/>
      <c r="B414" s="68"/>
      <c r="D414" s="88"/>
      <c r="E414" s="88"/>
      <c r="F414" s="91"/>
      <c r="G414" s="88"/>
      <c r="H414" s="88"/>
      <c r="I414" s="91"/>
      <c r="J414" s="88"/>
      <c r="K414" s="88"/>
      <c r="L414" s="91"/>
      <c r="M414" s="88"/>
      <c r="N414" s="88"/>
      <c r="O414" s="91"/>
      <c r="P414" s="88"/>
      <c r="Q414" s="88"/>
      <c r="R414" s="91"/>
      <c r="S414" s="88"/>
      <c r="T414" s="88"/>
      <c r="U414" s="91"/>
      <c r="V414" s="88"/>
      <c r="W414" s="88"/>
      <c r="X414" s="91"/>
      <c r="Y414" s="88"/>
      <c r="Z414" s="88"/>
      <c r="AA414" s="91"/>
      <c r="AB414" s="88"/>
      <c r="AC414" s="88"/>
      <c r="AD414" s="91"/>
      <c r="AE414" s="88"/>
      <c r="AF414" s="88"/>
      <c r="AG414" s="91"/>
    </row>
    <row r="416" spans="1:33" ht="15.75" thickBot="1" x14ac:dyDescent="0.3"/>
    <row r="417" spans="1:33" ht="15.75" thickBot="1" x14ac:dyDescent="0.3">
      <c r="A417" s="68" t="s">
        <v>268</v>
      </c>
      <c r="B417" s="68"/>
      <c r="D417" s="52" t="s">
        <v>27</v>
      </c>
      <c r="E417" s="52"/>
      <c r="F417" s="52"/>
      <c r="G417" s="73" t="s">
        <v>28</v>
      </c>
      <c r="H417" s="73"/>
      <c r="I417" s="73"/>
      <c r="J417" s="52" t="s">
        <v>29</v>
      </c>
      <c r="K417" s="52"/>
      <c r="L417" s="52"/>
      <c r="M417" s="73" t="s">
        <v>30</v>
      </c>
      <c r="N417" s="73"/>
      <c r="O417" s="73"/>
      <c r="P417" s="52" t="s">
        <v>31</v>
      </c>
      <c r="Q417" s="52"/>
      <c r="R417" s="52"/>
      <c r="S417" s="73" t="s">
        <v>32</v>
      </c>
      <c r="T417" s="73"/>
      <c r="U417" s="73"/>
      <c r="V417" s="52" t="s">
        <v>33</v>
      </c>
      <c r="W417" s="52"/>
      <c r="X417" s="52"/>
      <c r="Y417" s="73" t="s">
        <v>34</v>
      </c>
      <c r="Z417" s="73"/>
      <c r="AA417" s="73"/>
      <c r="AB417" s="52" t="s">
        <v>35</v>
      </c>
      <c r="AC417" s="52"/>
      <c r="AD417" s="52"/>
      <c r="AE417" s="73" t="s">
        <v>36</v>
      </c>
      <c r="AF417" s="73"/>
      <c r="AG417" s="73"/>
    </row>
    <row r="418" spans="1:33" ht="15.75" thickBot="1" x14ac:dyDescent="0.3">
      <c r="A418" s="68"/>
      <c r="B418" s="68"/>
      <c r="C418" s="105" t="s">
        <v>243</v>
      </c>
      <c r="D418" s="75">
        <v>0</v>
      </c>
      <c r="E418" s="75"/>
      <c r="F418" s="76"/>
      <c r="G418" s="74">
        <v>0</v>
      </c>
      <c r="H418" s="75"/>
      <c r="I418" s="76"/>
      <c r="J418" s="74">
        <v>0</v>
      </c>
      <c r="K418" s="75"/>
      <c r="L418" s="76"/>
      <c r="M418" s="74">
        <v>0</v>
      </c>
      <c r="N418" s="75"/>
      <c r="O418" s="76"/>
      <c r="P418" s="74">
        <v>0</v>
      </c>
      <c r="Q418" s="75"/>
      <c r="R418" s="76"/>
      <c r="S418" s="74">
        <v>0</v>
      </c>
      <c r="T418" s="75"/>
      <c r="U418" s="76"/>
      <c r="V418" s="74">
        <v>0</v>
      </c>
      <c r="W418" s="75"/>
      <c r="X418" s="76"/>
      <c r="Y418" s="74">
        <v>0</v>
      </c>
      <c r="Z418" s="75"/>
      <c r="AA418" s="76"/>
      <c r="AB418" s="74">
        <v>0</v>
      </c>
      <c r="AC418" s="75"/>
      <c r="AD418" s="76"/>
      <c r="AE418" s="74">
        <v>0</v>
      </c>
      <c r="AF418" s="75"/>
      <c r="AG418" s="76"/>
    </row>
    <row r="419" spans="1:33" ht="15.75" thickBot="1" x14ac:dyDescent="0.3">
      <c r="A419" s="68"/>
      <c r="B419" s="68"/>
      <c r="C419" s="106" t="s">
        <v>244</v>
      </c>
      <c r="D419" s="82">
        <v>0</v>
      </c>
      <c r="E419" s="82"/>
      <c r="F419" s="84"/>
      <c r="G419" s="85">
        <v>0</v>
      </c>
      <c r="H419" s="82"/>
      <c r="I419" s="84"/>
      <c r="J419" s="85">
        <v>0</v>
      </c>
      <c r="K419" s="82"/>
      <c r="L419" s="84"/>
      <c r="M419" s="85">
        <v>0</v>
      </c>
      <c r="N419" s="82"/>
      <c r="O419" s="82"/>
      <c r="P419" s="81">
        <v>0</v>
      </c>
      <c r="Q419" s="82"/>
      <c r="R419" s="83"/>
      <c r="S419" s="82">
        <v>0</v>
      </c>
      <c r="T419" s="82"/>
      <c r="U419" s="84"/>
      <c r="V419" s="85">
        <v>0</v>
      </c>
      <c r="W419" s="82"/>
      <c r="X419" s="84"/>
      <c r="Y419" s="85">
        <v>0</v>
      </c>
      <c r="Z419" s="82"/>
      <c r="AA419" s="84"/>
      <c r="AB419" s="85">
        <v>0</v>
      </c>
      <c r="AC419" s="82"/>
      <c r="AD419" s="84"/>
      <c r="AE419" s="85">
        <v>0</v>
      </c>
      <c r="AF419" s="82"/>
      <c r="AG419" s="84"/>
    </row>
    <row r="420" spans="1:33" ht="15.75" thickBot="1" x14ac:dyDescent="0.3">
      <c r="A420" s="68"/>
      <c r="B420" s="68"/>
      <c r="C420" s="107" t="s">
        <v>37</v>
      </c>
      <c r="D420" s="104"/>
      <c r="E420" s="86"/>
      <c r="F420" s="89"/>
      <c r="G420" s="86"/>
      <c r="H420" s="86"/>
      <c r="I420" s="89"/>
      <c r="J420" s="86"/>
      <c r="K420" s="86"/>
      <c r="L420" s="89"/>
      <c r="M420" s="86"/>
      <c r="N420" s="86"/>
      <c r="O420" s="89"/>
      <c r="P420" s="86"/>
      <c r="Q420" s="86"/>
      <c r="R420" s="89"/>
      <c r="S420" s="86"/>
      <c r="T420" s="86"/>
      <c r="U420" s="89"/>
      <c r="V420" s="86"/>
      <c r="W420" s="86"/>
      <c r="X420" s="89"/>
      <c r="Y420" s="86"/>
      <c r="Z420" s="86"/>
      <c r="AA420" s="89"/>
      <c r="AB420" s="86"/>
      <c r="AC420" s="86"/>
      <c r="AD420" s="89"/>
      <c r="AE420" s="86"/>
      <c r="AF420" s="86"/>
      <c r="AG420" s="89"/>
    </row>
    <row r="421" spans="1:33" ht="15.75" thickBot="1" x14ac:dyDescent="0.3">
      <c r="A421" s="68"/>
      <c r="B421" s="68"/>
      <c r="D421" s="87"/>
      <c r="E421" s="87"/>
      <c r="F421" s="90"/>
      <c r="G421" s="87"/>
      <c r="H421" s="87"/>
      <c r="I421" s="90"/>
      <c r="J421" s="87"/>
      <c r="K421" s="87"/>
      <c r="L421" s="90"/>
      <c r="M421" s="87"/>
      <c r="N421" s="87"/>
      <c r="O421" s="90"/>
      <c r="P421" s="87"/>
      <c r="Q421" s="87"/>
      <c r="R421" s="90"/>
      <c r="S421" s="87"/>
      <c r="T421" s="87"/>
      <c r="U421" s="90"/>
      <c r="V421" s="87"/>
      <c r="W421" s="87"/>
      <c r="X421" s="90"/>
      <c r="Y421" s="87"/>
      <c r="Z421" s="87"/>
      <c r="AA421" s="90"/>
      <c r="AB421" s="87"/>
      <c r="AC421" s="87"/>
      <c r="AD421" s="90"/>
      <c r="AE421" s="87"/>
      <c r="AF421" s="87"/>
      <c r="AG421" s="90"/>
    </row>
    <row r="422" spans="1:33" ht="15.75" thickBot="1" x14ac:dyDescent="0.3">
      <c r="A422" s="68"/>
      <c r="B422" s="68"/>
      <c r="D422" s="88"/>
      <c r="E422" s="88"/>
      <c r="F422" s="91"/>
      <c r="G422" s="88"/>
      <c r="H422" s="88"/>
      <c r="I422" s="91"/>
      <c r="J422" s="88"/>
      <c r="K422" s="88"/>
      <c r="L422" s="91"/>
      <c r="M422" s="88"/>
      <c r="N422" s="88"/>
      <c r="O422" s="91"/>
      <c r="P422" s="88"/>
      <c r="Q422" s="88"/>
      <c r="R422" s="91"/>
      <c r="S422" s="88"/>
      <c r="T422" s="88"/>
      <c r="U422" s="91"/>
      <c r="V422" s="88"/>
      <c r="W422" s="88"/>
      <c r="X422" s="91"/>
      <c r="Y422" s="88"/>
      <c r="Z422" s="88"/>
      <c r="AA422" s="91"/>
      <c r="AB422" s="88"/>
      <c r="AC422" s="88"/>
      <c r="AD422" s="91"/>
      <c r="AE422" s="88"/>
      <c r="AF422" s="88"/>
      <c r="AG422" s="91"/>
    </row>
    <row r="424" spans="1:33" ht="15.75" thickBot="1" x14ac:dyDescent="0.3"/>
    <row r="425" spans="1:33" ht="15.75" thickBot="1" x14ac:dyDescent="0.3">
      <c r="A425" s="68" t="s">
        <v>107</v>
      </c>
      <c r="B425" s="68"/>
      <c r="D425" s="52" t="s">
        <v>27</v>
      </c>
      <c r="E425" s="52"/>
      <c r="F425" s="52"/>
      <c r="G425" s="73" t="s">
        <v>28</v>
      </c>
      <c r="H425" s="73"/>
      <c r="I425" s="73"/>
      <c r="J425" s="52" t="s">
        <v>29</v>
      </c>
      <c r="K425" s="52"/>
      <c r="L425" s="52"/>
      <c r="M425" s="73" t="s">
        <v>30</v>
      </c>
      <c r="N425" s="73"/>
      <c r="O425" s="73"/>
      <c r="P425" s="52" t="s">
        <v>31</v>
      </c>
      <c r="Q425" s="52"/>
      <c r="R425" s="52"/>
      <c r="S425" s="73" t="s">
        <v>32</v>
      </c>
      <c r="T425" s="73"/>
      <c r="U425" s="73"/>
      <c r="V425" s="52" t="s">
        <v>33</v>
      </c>
      <c r="W425" s="52"/>
      <c r="X425" s="52"/>
      <c r="Y425" s="73" t="s">
        <v>34</v>
      </c>
      <c r="Z425" s="73"/>
      <c r="AA425" s="73"/>
      <c r="AB425" s="52" t="s">
        <v>35</v>
      </c>
      <c r="AC425" s="52"/>
      <c r="AD425" s="52"/>
      <c r="AE425" s="73" t="s">
        <v>36</v>
      </c>
      <c r="AF425" s="73"/>
      <c r="AG425" s="73"/>
    </row>
    <row r="426" spans="1:33" ht="15.75" thickBot="1" x14ac:dyDescent="0.3">
      <c r="A426" s="68"/>
      <c r="B426" s="68"/>
      <c r="C426" s="105" t="s">
        <v>243</v>
      </c>
      <c r="D426" s="75">
        <v>0</v>
      </c>
      <c r="E426" s="75"/>
      <c r="F426" s="76"/>
      <c r="G426" s="74">
        <v>0</v>
      </c>
      <c r="H426" s="75"/>
      <c r="I426" s="76"/>
      <c r="J426" s="74">
        <v>0</v>
      </c>
      <c r="K426" s="75"/>
      <c r="L426" s="76"/>
      <c r="M426" s="74">
        <v>0</v>
      </c>
      <c r="N426" s="75"/>
      <c r="O426" s="76"/>
      <c r="P426" s="74">
        <v>0</v>
      </c>
      <c r="Q426" s="75"/>
      <c r="R426" s="76"/>
      <c r="S426" s="74">
        <v>0</v>
      </c>
      <c r="T426" s="75"/>
      <c r="U426" s="76"/>
      <c r="V426" s="74">
        <v>0</v>
      </c>
      <c r="W426" s="75"/>
      <c r="X426" s="76"/>
      <c r="Y426" s="74">
        <v>0</v>
      </c>
      <c r="Z426" s="75"/>
      <c r="AA426" s="76"/>
      <c r="AB426" s="74">
        <v>0</v>
      </c>
      <c r="AC426" s="75"/>
      <c r="AD426" s="76"/>
      <c r="AE426" s="74">
        <v>0</v>
      </c>
      <c r="AF426" s="75"/>
      <c r="AG426" s="76"/>
    </row>
    <row r="427" spans="1:33" ht="15.75" thickBot="1" x14ac:dyDescent="0.3">
      <c r="A427" s="68"/>
      <c r="B427" s="68"/>
      <c r="C427" s="106" t="s">
        <v>244</v>
      </c>
      <c r="D427" s="82">
        <v>0</v>
      </c>
      <c r="E427" s="82"/>
      <c r="F427" s="84"/>
      <c r="G427" s="85">
        <v>0</v>
      </c>
      <c r="H427" s="82"/>
      <c r="I427" s="84"/>
      <c r="J427" s="85">
        <v>0</v>
      </c>
      <c r="K427" s="82"/>
      <c r="L427" s="84"/>
      <c r="M427" s="85">
        <v>0</v>
      </c>
      <c r="N427" s="82"/>
      <c r="O427" s="82"/>
      <c r="P427" s="81">
        <v>0</v>
      </c>
      <c r="Q427" s="82"/>
      <c r="R427" s="83"/>
      <c r="S427" s="82">
        <v>0</v>
      </c>
      <c r="T427" s="82"/>
      <c r="U427" s="84"/>
      <c r="V427" s="85">
        <v>0</v>
      </c>
      <c r="W427" s="82"/>
      <c r="X427" s="84"/>
      <c r="Y427" s="85">
        <v>0</v>
      </c>
      <c r="Z427" s="82"/>
      <c r="AA427" s="84"/>
      <c r="AB427" s="85">
        <v>0</v>
      </c>
      <c r="AC427" s="82"/>
      <c r="AD427" s="84"/>
      <c r="AE427" s="85">
        <v>0</v>
      </c>
      <c r="AF427" s="82"/>
      <c r="AG427" s="84"/>
    </row>
    <row r="428" spans="1:33" ht="15.75" thickBot="1" x14ac:dyDescent="0.3">
      <c r="A428" s="68"/>
      <c r="B428" s="68"/>
      <c r="C428" s="107" t="s">
        <v>37</v>
      </c>
      <c r="D428" s="104"/>
      <c r="E428" s="86"/>
      <c r="F428" s="89"/>
      <c r="G428" s="86"/>
      <c r="H428" s="86"/>
      <c r="I428" s="89"/>
      <c r="J428" s="86"/>
      <c r="K428" s="86"/>
      <c r="L428" s="89"/>
      <c r="M428" s="86"/>
      <c r="N428" s="86"/>
      <c r="O428" s="89"/>
      <c r="P428" s="86"/>
      <c r="Q428" s="86"/>
      <c r="R428" s="89"/>
      <c r="S428" s="86"/>
      <c r="T428" s="86"/>
      <c r="U428" s="89"/>
      <c r="V428" s="86"/>
      <c r="W428" s="86"/>
      <c r="X428" s="89"/>
      <c r="Y428" s="86"/>
      <c r="Z428" s="86"/>
      <c r="AA428" s="89"/>
      <c r="AB428" s="86"/>
      <c r="AC428" s="86"/>
      <c r="AD428" s="89"/>
      <c r="AE428" s="86"/>
      <c r="AF428" s="86"/>
      <c r="AG428" s="89"/>
    </row>
    <row r="429" spans="1:33" ht="15.75" thickBot="1" x14ac:dyDescent="0.3">
      <c r="A429" s="68"/>
      <c r="B429" s="68"/>
      <c r="D429" s="87"/>
      <c r="E429" s="87"/>
      <c r="F429" s="90"/>
      <c r="G429" s="87"/>
      <c r="H429" s="87"/>
      <c r="I429" s="90"/>
      <c r="J429" s="87"/>
      <c r="K429" s="87"/>
      <c r="L429" s="90"/>
      <c r="M429" s="87"/>
      <c r="N429" s="87"/>
      <c r="O429" s="90"/>
      <c r="P429" s="87"/>
      <c r="Q429" s="87"/>
      <c r="R429" s="90"/>
      <c r="S429" s="87"/>
      <c r="T429" s="87"/>
      <c r="U429" s="90"/>
      <c r="V429" s="87"/>
      <c r="W429" s="87"/>
      <c r="X429" s="90"/>
      <c r="Y429" s="87"/>
      <c r="Z429" s="87"/>
      <c r="AA429" s="90"/>
      <c r="AB429" s="87"/>
      <c r="AC429" s="87"/>
      <c r="AD429" s="90"/>
      <c r="AE429" s="87"/>
      <c r="AF429" s="87"/>
      <c r="AG429" s="90"/>
    </row>
    <row r="430" spans="1:33" ht="15.75" thickBot="1" x14ac:dyDescent="0.3">
      <c r="A430" s="68"/>
      <c r="B430" s="68"/>
      <c r="D430" s="88"/>
      <c r="E430" s="88"/>
      <c r="F430" s="91"/>
      <c r="G430" s="88"/>
      <c r="H430" s="88"/>
      <c r="I430" s="91"/>
      <c r="J430" s="88"/>
      <c r="K430" s="88"/>
      <c r="L430" s="91"/>
      <c r="M430" s="88"/>
      <c r="N430" s="88"/>
      <c r="O430" s="91"/>
      <c r="P430" s="88"/>
      <c r="Q430" s="88"/>
      <c r="R430" s="91"/>
      <c r="S430" s="88"/>
      <c r="T430" s="88"/>
      <c r="U430" s="91"/>
      <c r="V430" s="88"/>
      <c r="W430" s="88"/>
      <c r="X430" s="91"/>
      <c r="Y430" s="88"/>
      <c r="Z430" s="88"/>
      <c r="AA430" s="91"/>
      <c r="AB430" s="88"/>
      <c r="AC430" s="88"/>
      <c r="AD430" s="91"/>
      <c r="AE430" s="88"/>
      <c r="AF430" s="88"/>
      <c r="AG430" s="91"/>
    </row>
    <row r="432" spans="1:33" ht="15.75" thickBot="1" x14ac:dyDescent="0.3"/>
    <row r="433" spans="1:33" ht="15.75" thickBot="1" x14ac:dyDescent="0.3">
      <c r="A433" s="68" t="s">
        <v>108</v>
      </c>
      <c r="B433" s="68"/>
      <c r="D433" s="52" t="s">
        <v>27</v>
      </c>
      <c r="E433" s="52"/>
      <c r="F433" s="52"/>
      <c r="G433" s="73" t="s">
        <v>28</v>
      </c>
      <c r="H433" s="73"/>
      <c r="I433" s="73"/>
      <c r="J433" s="52" t="s">
        <v>29</v>
      </c>
      <c r="K433" s="52"/>
      <c r="L433" s="52"/>
      <c r="M433" s="73" t="s">
        <v>30</v>
      </c>
      <c r="N433" s="73"/>
      <c r="O433" s="73"/>
      <c r="P433" s="52" t="s">
        <v>31</v>
      </c>
      <c r="Q433" s="52"/>
      <c r="R433" s="52"/>
      <c r="S433" s="73" t="s">
        <v>32</v>
      </c>
      <c r="T433" s="73"/>
      <c r="U433" s="73"/>
      <c r="V433" s="52" t="s">
        <v>33</v>
      </c>
      <c r="W433" s="52"/>
      <c r="X433" s="52"/>
      <c r="Y433" s="73" t="s">
        <v>34</v>
      </c>
      <c r="Z433" s="73"/>
      <c r="AA433" s="73"/>
      <c r="AB433" s="52" t="s">
        <v>35</v>
      </c>
      <c r="AC433" s="52"/>
      <c r="AD433" s="52"/>
      <c r="AE433" s="73" t="s">
        <v>36</v>
      </c>
      <c r="AF433" s="73"/>
      <c r="AG433" s="73"/>
    </row>
    <row r="434" spans="1:33" ht="15.75" thickBot="1" x14ac:dyDescent="0.3">
      <c r="A434" s="68"/>
      <c r="B434" s="68"/>
      <c r="C434" s="105" t="s">
        <v>243</v>
      </c>
      <c r="D434" s="75">
        <v>0</v>
      </c>
      <c r="E434" s="75"/>
      <c r="F434" s="76"/>
      <c r="G434" s="74">
        <v>0</v>
      </c>
      <c r="H434" s="75"/>
      <c r="I434" s="76"/>
      <c r="J434" s="74">
        <v>0</v>
      </c>
      <c r="K434" s="75"/>
      <c r="L434" s="76"/>
      <c r="M434" s="74">
        <v>0</v>
      </c>
      <c r="N434" s="75"/>
      <c r="O434" s="76"/>
      <c r="P434" s="74">
        <v>0</v>
      </c>
      <c r="Q434" s="75"/>
      <c r="R434" s="76"/>
      <c r="S434" s="74">
        <v>0</v>
      </c>
      <c r="T434" s="75"/>
      <c r="U434" s="76"/>
      <c r="V434" s="74">
        <v>0</v>
      </c>
      <c r="W434" s="75"/>
      <c r="X434" s="76"/>
      <c r="Y434" s="74">
        <v>0</v>
      </c>
      <c r="Z434" s="75"/>
      <c r="AA434" s="76"/>
      <c r="AB434" s="74">
        <v>0</v>
      </c>
      <c r="AC434" s="75"/>
      <c r="AD434" s="76"/>
      <c r="AE434" s="74">
        <v>0</v>
      </c>
      <c r="AF434" s="75"/>
      <c r="AG434" s="76"/>
    </row>
    <row r="435" spans="1:33" ht="15.75" thickBot="1" x14ac:dyDescent="0.3">
      <c r="A435" s="68"/>
      <c r="B435" s="68"/>
      <c r="C435" s="106" t="s">
        <v>244</v>
      </c>
      <c r="D435" s="82">
        <v>0</v>
      </c>
      <c r="E435" s="82"/>
      <c r="F435" s="84"/>
      <c r="G435" s="85">
        <v>0</v>
      </c>
      <c r="H435" s="82"/>
      <c r="I435" s="84"/>
      <c r="J435" s="85">
        <v>0</v>
      </c>
      <c r="K435" s="82"/>
      <c r="L435" s="84"/>
      <c r="M435" s="85">
        <v>0</v>
      </c>
      <c r="N435" s="82"/>
      <c r="O435" s="82"/>
      <c r="P435" s="81">
        <v>0</v>
      </c>
      <c r="Q435" s="82"/>
      <c r="R435" s="83"/>
      <c r="S435" s="82">
        <v>0</v>
      </c>
      <c r="T435" s="82"/>
      <c r="U435" s="84"/>
      <c r="V435" s="85">
        <v>0</v>
      </c>
      <c r="W435" s="82"/>
      <c r="X435" s="84"/>
      <c r="Y435" s="85">
        <v>0</v>
      </c>
      <c r="Z435" s="82"/>
      <c r="AA435" s="84"/>
      <c r="AB435" s="85">
        <v>0</v>
      </c>
      <c r="AC435" s="82"/>
      <c r="AD435" s="84"/>
      <c r="AE435" s="85">
        <v>0</v>
      </c>
      <c r="AF435" s="82"/>
      <c r="AG435" s="84"/>
    </row>
    <row r="436" spans="1:33" ht="15.75" thickBot="1" x14ac:dyDescent="0.3">
      <c r="A436" s="68"/>
      <c r="B436" s="68"/>
      <c r="C436" s="107" t="s">
        <v>37</v>
      </c>
      <c r="D436" s="104"/>
      <c r="E436" s="86"/>
      <c r="F436" s="89"/>
      <c r="G436" s="86"/>
      <c r="H436" s="86"/>
      <c r="I436" s="89"/>
      <c r="J436" s="86"/>
      <c r="K436" s="86"/>
      <c r="L436" s="89"/>
      <c r="M436" s="86"/>
      <c r="N436" s="86"/>
      <c r="O436" s="89"/>
      <c r="P436" s="86"/>
      <c r="Q436" s="86"/>
      <c r="R436" s="89"/>
      <c r="S436" s="86"/>
      <c r="T436" s="86"/>
      <c r="U436" s="89"/>
      <c r="V436" s="86"/>
      <c r="W436" s="86"/>
      <c r="X436" s="89"/>
      <c r="Y436" s="86"/>
      <c r="Z436" s="86"/>
      <c r="AA436" s="89"/>
      <c r="AB436" s="86"/>
      <c r="AC436" s="86"/>
      <c r="AD436" s="89"/>
      <c r="AE436" s="86"/>
      <c r="AF436" s="86"/>
      <c r="AG436" s="89"/>
    </row>
    <row r="437" spans="1:33" ht="15.75" thickBot="1" x14ac:dyDescent="0.3">
      <c r="A437" s="68"/>
      <c r="B437" s="68"/>
      <c r="D437" s="87"/>
      <c r="E437" s="87"/>
      <c r="F437" s="90"/>
      <c r="G437" s="87"/>
      <c r="H437" s="87"/>
      <c r="I437" s="90"/>
      <c r="J437" s="87"/>
      <c r="K437" s="87"/>
      <c r="L437" s="90"/>
      <c r="M437" s="87"/>
      <c r="N437" s="87"/>
      <c r="O437" s="90"/>
      <c r="P437" s="87"/>
      <c r="Q437" s="87"/>
      <c r="R437" s="90"/>
      <c r="S437" s="87"/>
      <c r="T437" s="87"/>
      <c r="U437" s="90"/>
      <c r="V437" s="87"/>
      <c r="W437" s="87"/>
      <c r="X437" s="90"/>
      <c r="Y437" s="87"/>
      <c r="Z437" s="87"/>
      <c r="AA437" s="90"/>
      <c r="AB437" s="87"/>
      <c r="AC437" s="87"/>
      <c r="AD437" s="90"/>
      <c r="AE437" s="87"/>
      <c r="AF437" s="87"/>
      <c r="AG437" s="90"/>
    </row>
    <row r="438" spans="1:33" ht="15.75" thickBot="1" x14ac:dyDescent="0.3">
      <c r="A438" s="68"/>
      <c r="B438" s="68"/>
      <c r="D438" s="88"/>
      <c r="E438" s="88"/>
      <c r="F438" s="91"/>
      <c r="G438" s="88"/>
      <c r="H438" s="88"/>
      <c r="I438" s="91"/>
      <c r="J438" s="88"/>
      <c r="K438" s="88"/>
      <c r="L438" s="91"/>
      <c r="M438" s="88"/>
      <c r="N438" s="88"/>
      <c r="O438" s="91"/>
      <c r="P438" s="88"/>
      <c r="Q438" s="88"/>
      <c r="R438" s="91"/>
      <c r="S438" s="88"/>
      <c r="T438" s="88"/>
      <c r="U438" s="91"/>
      <c r="V438" s="88"/>
      <c r="W438" s="88"/>
      <c r="X438" s="91"/>
      <c r="Y438" s="88"/>
      <c r="Z438" s="88"/>
      <c r="AA438" s="91"/>
      <c r="AB438" s="88"/>
      <c r="AC438" s="88"/>
      <c r="AD438" s="91"/>
      <c r="AE438" s="88"/>
      <c r="AF438" s="88"/>
      <c r="AG438" s="91"/>
    </row>
    <row r="440" spans="1:33" ht="15.75" thickBot="1" x14ac:dyDescent="0.3"/>
    <row r="441" spans="1:33" ht="15.75" thickBot="1" x14ac:dyDescent="0.3">
      <c r="A441" s="68" t="s">
        <v>109</v>
      </c>
      <c r="B441" s="68"/>
      <c r="D441" s="52" t="s">
        <v>27</v>
      </c>
      <c r="E441" s="52"/>
      <c r="F441" s="52"/>
      <c r="G441" s="73" t="s">
        <v>28</v>
      </c>
      <c r="H441" s="73"/>
      <c r="I441" s="73"/>
      <c r="J441" s="52" t="s">
        <v>29</v>
      </c>
      <c r="K441" s="52"/>
      <c r="L441" s="52"/>
      <c r="M441" s="73" t="s">
        <v>30</v>
      </c>
      <c r="N441" s="73"/>
      <c r="O441" s="73"/>
      <c r="P441" s="52" t="s">
        <v>31</v>
      </c>
      <c r="Q441" s="52"/>
      <c r="R441" s="52"/>
      <c r="S441" s="73" t="s">
        <v>32</v>
      </c>
      <c r="T441" s="73"/>
      <c r="U441" s="73"/>
      <c r="V441" s="52" t="s">
        <v>33</v>
      </c>
      <c r="W441" s="52"/>
      <c r="X441" s="52"/>
      <c r="Y441" s="73" t="s">
        <v>34</v>
      </c>
      <c r="Z441" s="73"/>
      <c r="AA441" s="73"/>
      <c r="AB441" s="52" t="s">
        <v>35</v>
      </c>
      <c r="AC441" s="52"/>
      <c r="AD441" s="52"/>
      <c r="AE441" s="73" t="s">
        <v>36</v>
      </c>
      <c r="AF441" s="73"/>
      <c r="AG441" s="73"/>
    </row>
    <row r="442" spans="1:33" ht="15.75" thickBot="1" x14ac:dyDescent="0.3">
      <c r="A442" s="68"/>
      <c r="B442" s="68"/>
      <c r="C442" s="105" t="s">
        <v>243</v>
      </c>
      <c r="D442" s="75">
        <v>0</v>
      </c>
      <c r="E442" s="75"/>
      <c r="F442" s="76"/>
      <c r="G442" s="74">
        <v>0</v>
      </c>
      <c r="H442" s="75"/>
      <c r="I442" s="76"/>
      <c r="J442" s="74">
        <v>0</v>
      </c>
      <c r="K442" s="75"/>
      <c r="L442" s="76"/>
      <c r="M442" s="74">
        <v>0</v>
      </c>
      <c r="N442" s="75"/>
      <c r="O442" s="76"/>
      <c r="P442" s="74">
        <v>0</v>
      </c>
      <c r="Q442" s="75"/>
      <c r="R442" s="76"/>
      <c r="S442" s="74">
        <v>0</v>
      </c>
      <c r="T442" s="75"/>
      <c r="U442" s="76"/>
      <c r="V442" s="74">
        <v>0</v>
      </c>
      <c r="W442" s="75"/>
      <c r="X442" s="76"/>
      <c r="Y442" s="74">
        <v>0</v>
      </c>
      <c r="Z442" s="75"/>
      <c r="AA442" s="76"/>
      <c r="AB442" s="74">
        <v>0</v>
      </c>
      <c r="AC442" s="75"/>
      <c r="AD442" s="76"/>
      <c r="AE442" s="74">
        <v>0</v>
      </c>
      <c r="AF442" s="75"/>
      <c r="AG442" s="76"/>
    </row>
    <row r="443" spans="1:33" ht="15.75" thickBot="1" x14ac:dyDescent="0.3">
      <c r="A443" s="68"/>
      <c r="B443" s="68"/>
      <c r="C443" s="106" t="s">
        <v>244</v>
      </c>
      <c r="D443" s="82">
        <v>0</v>
      </c>
      <c r="E443" s="82"/>
      <c r="F443" s="84"/>
      <c r="G443" s="85">
        <v>0</v>
      </c>
      <c r="H443" s="82"/>
      <c r="I443" s="84"/>
      <c r="J443" s="85">
        <v>0</v>
      </c>
      <c r="K443" s="82"/>
      <c r="L443" s="84"/>
      <c r="M443" s="85">
        <v>0</v>
      </c>
      <c r="N443" s="82"/>
      <c r="O443" s="82"/>
      <c r="P443" s="81">
        <v>0</v>
      </c>
      <c r="Q443" s="82"/>
      <c r="R443" s="83"/>
      <c r="S443" s="82">
        <v>0</v>
      </c>
      <c r="T443" s="82"/>
      <c r="U443" s="84"/>
      <c r="V443" s="85">
        <v>0</v>
      </c>
      <c r="W443" s="82"/>
      <c r="X443" s="84"/>
      <c r="Y443" s="85">
        <v>0</v>
      </c>
      <c r="Z443" s="82"/>
      <c r="AA443" s="84"/>
      <c r="AB443" s="85">
        <v>0</v>
      </c>
      <c r="AC443" s="82"/>
      <c r="AD443" s="84"/>
      <c r="AE443" s="85">
        <v>0</v>
      </c>
      <c r="AF443" s="82"/>
      <c r="AG443" s="84"/>
    </row>
    <row r="444" spans="1:33" ht="15.75" thickBot="1" x14ac:dyDescent="0.3">
      <c r="A444" s="68"/>
      <c r="B444" s="68"/>
      <c r="C444" s="107" t="s">
        <v>37</v>
      </c>
      <c r="D444" s="104"/>
      <c r="E444" s="86"/>
      <c r="F444" s="89"/>
      <c r="G444" s="86"/>
      <c r="H444" s="86"/>
      <c r="I444" s="89"/>
      <c r="J444" s="86"/>
      <c r="K444" s="86"/>
      <c r="L444" s="89"/>
      <c r="M444" s="86"/>
      <c r="N444" s="86"/>
      <c r="O444" s="89"/>
      <c r="P444" s="86"/>
      <c r="Q444" s="86"/>
      <c r="R444" s="89"/>
      <c r="S444" s="86"/>
      <c r="T444" s="86"/>
      <c r="U444" s="89"/>
      <c r="V444" s="86"/>
      <c r="W444" s="86"/>
      <c r="X444" s="89"/>
      <c r="Y444" s="86"/>
      <c r="Z444" s="86"/>
      <c r="AA444" s="89"/>
      <c r="AB444" s="86"/>
      <c r="AC444" s="86"/>
      <c r="AD444" s="89"/>
      <c r="AE444" s="86"/>
      <c r="AF444" s="86"/>
      <c r="AG444" s="89"/>
    </row>
    <row r="445" spans="1:33" ht="15.75" thickBot="1" x14ac:dyDescent="0.3">
      <c r="A445" s="68"/>
      <c r="B445" s="68"/>
      <c r="D445" s="87"/>
      <c r="E445" s="87"/>
      <c r="F445" s="90"/>
      <c r="G445" s="87"/>
      <c r="H445" s="87"/>
      <c r="I445" s="90"/>
      <c r="J445" s="87"/>
      <c r="K445" s="87"/>
      <c r="L445" s="90"/>
      <c r="M445" s="87"/>
      <c r="N445" s="87"/>
      <c r="O445" s="90"/>
      <c r="P445" s="87"/>
      <c r="Q445" s="87"/>
      <c r="R445" s="90"/>
      <c r="S445" s="87"/>
      <c r="T445" s="87"/>
      <c r="U445" s="90"/>
      <c r="V445" s="87"/>
      <c r="W445" s="87"/>
      <c r="X445" s="90"/>
      <c r="Y445" s="87"/>
      <c r="Z445" s="87"/>
      <c r="AA445" s="90"/>
      <c r="AB445" s="87"/>
      <c r="AC445" s="87"/>
      <c r="AD445" s="90"/>
      <c r="AE445" s="87"/>
      <c r="AF445" s="87"/>
      <c r="AG445" s="90"/>
    </row>
    <row r="446" spans="1:33" ht="15.75" thickBot="1" x14ac:dyDescent="0.3">
      <c r="A446" s="68"/>
      <c r="B446" s="68"/>
      <c r="D446" s="88"/>
      <c r="E446" s="88"/>
      <c r="F446" s="91"/>
      <c r="G446" s="88"/>
      <c r="H446" s="88"/>
      <c r="I446" s="91"/>
      <c r="J446" s="88"/>
      <c r="K446" s="88"/>
      <c r="L446" s="91"/>
      <c r="M446" s="88"/>
      <c r="N446" s="88"/>
      <c r="O446" s="91"/>
      <c r="P446" s="88"/>
      <c r="Q446" s="88"/>
      <c r="R446" s="91"/>
      <c r="S446" s="88"/>
      <c r="T446" s="88"/>
      <c r="U446" s="91"/>
      <c r="V446" s="88"/>
      <c r="W446" s="88"/>
      <c r="X446" s="91"/>
      <c r="Y446" s="88"/>
      <c r="Z446" s="88"/>
      <c r="AA446" s="91"/>
      <c r="AB446" s="88"/>
      <c r="AC446" s="88"/>
      <c r="AD446" s="91"/>
      <c r="AE446" s="88"/>
      <c r="AF446" s="88"/>
      <c r="AG446" s="91"/>
    </row>
    <row r="448" spans="1:33" ht="15.75" thickBot="1" x14ac:dyDescent="0.3"/>
    <row r="449" spans="1:33" ht="15.75" thickBot="1" x14ac:dyDescent="0.3">
      <c r="A449" s="68" t="s">
        <v>110</v>
      </c>
      <c r="B449" s="68"/>
      <c r="D449" s="52" t="s">
        <v>27</v>
      </c>
      <c r="E449" s="52"/>
      <c r="F449" s="52"/>
      <c r="G449" s="73" t="s">
        <v>28</v>
      </c>
      <c r="H449" s="73"/>
      <c r="I449" s="73"/>
      <c r="J449" s="52" t="s">
        <v>29</v>
      </c>
      <c r="K449" s="52"/>
      <c r="L449" s="52"/>
      <c r="M449" s="73" t="s">
        <v>30</v>
      </c>
      <c r="N449" s="73"/>
      <c r="O449" s="73"/>
      <c r="P449" s="52" t="s">
        <v>31</v>
      </c>
      <c r="Q449" s="52"/>
      <c r="R449" s="52"/>
      <c r="S449" s="73" t="s">
        <v>32</v>
      </c>
      <c r="T449" s="73"/>
      <c r="U449" s="73"/>
      <c r="V449" s="52" t="s">
        <v>33</v>
      </c>
      <c r="W449" s="52"/>
      <c r="X449" s="52"/>
      <c r="Y449" s="73" t="s">
        <v>34</v>
      </c>
      <c r="Z449" s="73"/>
      <c r="AA449" s="73"/>
      <c r="AB449" s="52" t="s">
        <v>35</v>
      </c>
      <c r="AC449" s="52"/>
      <c r="AD449" s="52"/>
      <c r="AE449" s="73" t="s">
        <v>36</v>
      </c>
      <c r="AF449" s="73"/>
      <c r="AG449" s="73"/>
    </row>
    <row r="450" spans="1:33" ht="15.75" thickBot="1" x14ac:dyDescent="0.3">
      <c r="A450" s="68"/>
      <c r="B450" s="68"/>
      <c r="C450" s="105" t="s">
        <v>243</v>
      </c>
      <c r="D450" s="75">
        <v>0</v>
      </c>
      <c r="E450" s="75"/>
      <c r="F450" s="76"/>
      <c r="G450" s="74">
        <v>0</v>
      </c>
      <c r="H450" s="75"/>
      <c r="I450" s="76"/>
      <c r="J450" s="74">
        <v>0</v>
      </c>
      <c r="K450" s="75"/>
      <c r="L450" s="76"/>
      <c r="M450" s="74">
        <v>0</v>
      </c>
      <c r="N450" s="75"/>
      <c r="O450" s="76"/>
      <c r="P450" s="74">
        <v>0</v>
      </c>
      <c r="Q450" s="75"/>
      <c r="R450" s="76"/>
      <c r="S450" s="74">
        <v>0</v>
      </c>
      <c r="T450" s="75"/>
      <c r="U450" s="76"/>
      <c r="V450" s="74">
        <v>0</v>
      </c>
      <c r="W450" s="75"/>
      <c r="X450" s="76"/>
      <c r="Y450" s="74">
        <v>0</v>
      </c>
      <c r="Z450" s="75"/>
      <c r="AA450" s="76"/>
      <c r="AB450" s="74">
        <v>0</v>
      </c>
      <c r="AC450" s="75"/>
      <c r="AD450" s="76"/>
      <c r="AE450" s="74">
        <v>0</v>
      </c>
      <c r="AF450" s="75"/>
      <c r="AG450" s="76"/>
    </row>
    <row r="451" spans="1:33" ht="15.75" thickBot="1" x14ac:dyDescent="0.3">
      <c r="A451" s="68"/>
      <c r="B451" s="68"/>
      <c r="C451" s="106" t="s">
        <v>244</v>
      </c>
      <c r="D451" s="82">
        <v>0</v>
      </c>
      <c r="E451" s="82"/>
      <c r="F451" s="84"/>
      <c r="G451" s="85">
        <v>0</v>
      </c>
      <c r="H451" s="82"/>
      <c r="I451" s="84"/>
      <c r="J451" s="85">
        <v>0</v>
      </c>
      <c r="K451" s="82"/>
      <c r="L451" s="84"/>
      <c r="M451" s="85">
        <v>0</v>
      </c>
      <c r="N451" s="82"/>
      <c r="O451" s="82"/>
      <c r="P451" s="81">
        <v>0</v>
      </c>
      <c r="Q451" s="82"/>
      <c r="R451" s="83"/>
      <c r="S451" s="82">
        <v>0</v>
      </c>
      <c r="T451" s="82"/>
      <c r="U451" s="84"/>
      <c r="V451" s="85">
        <v>0</v>
      </c>
      <c r="W451" s="82"/>
      <c r="X451" s="84"/>
      <c r="Y451" s="85">
        <v>0</v>
      </c>
      <c r="Z451" s="82"/>
      <c r="AA451" s="84"/>
      <c r="AB451" s="85">
        <v>0</v>
      </c>
      <c r="AC451" s="82"/>
      <c r="AD451" s="84"/>
      <c r="AE451" s="85">
        <v>0</v>
      </c>
      <c r="AF451" s="82"/>
      <c r="AG451" s="84"/>
    </row>
    <row r="452" spans="1:33" ht="15.75" thickBot="1" x14ac:dyDescent="0.3">
      <c r="A452" s="68"/>
      <c r="B452" s="68"/>
      <c r="C452" s="107" t="s">
        <v>37</v>
      </c>
      <c r="D452" s="104"/>
      <c r="E452" s="86"/>
      <c r="F452" s="89"/>
      <c r="G452" s="86"/>
      <c r="H452" s="86"/>
      <c r="I452" s="89"/>
      <c r="J452" s="86"/>
      <c r="K452" s="86"/>
      <c r="L452" s="89"/>
      <c r="M452" s="86"/>
      <c r="N452" s="86"/>
      <c r="O452" s="89"/>
      <c r="P452" s="86"/>
      <c r="Q452" s="86"/>
      <c r="R452" s="89"/>
      <c r="S452" s="86"/>
      <c r="T452" s="86"/>
      <c r="U452" s="89"/>
      <c r="V452" s="86"/>
      <c r="W452" s="86"/>
      <c r="X452" s="89"/>
      <c r="Y452" s="86"/>
      <c r="Z452" s="86"/>
      <c r="AA452" s="89"/>
      <c r="AB452" s="86"/>
      <c r="AC452" s="86"/>
      <c r="AD452" s="89"/>
      <c r="AE452" s="86"/>
      <c r="AF452" s="86"/>
      <c r="AG452" s="89"/>
    </row>
    <row r="453" spans="1:33" ht="15.75" thickBot="1" x14ac:dyDescent="0.3">
      <c r="A453" s="68"/>
      <c r="B453" s="68"/>
      <c r="D453" s="87"/>
      <c r="E453" s="87"/>
      <c r="F453" s="90"/>
      <c r="G453" s="87"/>
      <c r="H453" s="87"/>
      <c r="I453" s="90"/>
      <c r="J453" s="87"/>
      <c r="K453" s="87"/>
      <c r="L453" s="90"/>
      <c r="M453" s="87"/>
      <c r="N453" s="87"/>
      <c r="O453" s="90"/>
      <c r="P453" s="87"/>
      <c r="Q453" s="87"/>
      <c r="R453" s="90"/>
      <c r="S453" s="87"/>
      <c r="T453" s="87"/>
      <c r="U453" s="90"/>
      <c r="V453" s="87"/>
      <c r="W453" s="87"/>
      <c r="X453" s="90"/>
      <c r="Y453" s="87"/>
      <c r="Z453" s="87"/>
      <c r="AA453" s="90"/>
      <c r="AB453" s="87"/>
      <c r="AC453" s="87"/>
      <c r="AD453" s="90"/>
      <c r="AE453" s="87"/>
      <c r="AF453" s="87"/>
      <c r="AG453" s="90"/>
    </row>
    <row r="454" spans="1:33" ht="15.75" thickBot="1" x14ac:dyDescent="0.3">
      <c r="A454" s="68"/>
      <c r="B454" s="68"/>
      <c r="D454" s="88"/>
      <c r="E454" s="88"/>
      <c r="F454" s="91"/>
      <c r="G454" s="88"/>
      <c r="H454" s="88"/>
      <c r="I454" s="91"/>
      <c r="J454" s="88"/>
      <c r="K454" s="88"/>
      <c r="L454" s="91"/>
      <c r="M454" s="88"/>
      <c r="N454" s="88"/>
      <c r="O454" s="91"/>
      <c r="P454" s="88"/>
      <c r="Q454" s="88"/>
      <c r="R454" s="91"/>
      <c r="S454" s="88"/>
      <c r="T454" s="88"/>
      <c r="U454" s="91"/>
      <c r="V454" s="88"/>
      <c r="W454" s="88"/>
      <c r="X454" s="91"/>
      <c r="Y454" s="88"/>
      <c r="Z454" s="88"/>
      <c r="AA454" s="91"/>
      <c r="AB454" s="88"/>
      <c r="AC454" s="88"/>
      <c r="AD454" s="91"/>
      <c r="AE454" s="88"/>
      <c r="AF454" s="88"/>
      <c r="AG454" s="91"/>
    </row>
    <row r="456" spans="1:33" ht="15.75" thickBot="1" x14ac:dyDescent="0.3"/>
    <row r="457" spans="1:33" ht="15.75" thickBot="1" x14ac:dyDescent="0.3">
      <c r="A457" s="68" t="s">
        <v>111</v>
      </c>
      <c r="B457" s="68"/>
      <c r="D457" s="52" t="s">
        <v>27</v>
      </c>
      <c r="E457" s="52"/>
      <c r="F457" s="52"/>
      <c r="G457" s="73" t="s">
        <v>28</v>
      </c>
      <c r="H457" s="73"/>
      <c r="I457" s="73"/>
      <c r="J457" s="52" t="s">
        <v>29</v>
      </c>
      <c r="K457" s="52"/>
      <c r="L457" s="52"/>
      <c r="M457" s="73" t="s">
        <v>30</v>
      </c>
      <c r="N457" s="73"/>
      <c r="O457" s="73"/>
      <c r="P457" s="52" t="s">
        <v>31</v>
      </c>
      <c r="Q457" s="52"/>
      <c r="R457" s="52"/>
      <c r="S457" s="73" t="s">
        <v>32</v>
      </c>
      <c r="T457" s="73"/>
      <c r="U457" s="73"/>
      <c r="V457" s="52" t="s">
        <v>33</v>
      </c>
      <c r="W457" s="52"/>
      <c r="X457" s="52"/>
      <c r="Y457" s="73" t="s">
        <v>34</v>
      </c>
      <c r="Z457" s="73"/>
      <c r="AA457" s="73"/>
      <c r="AB457" s="52" t="s">
        <v>35</v>
      </c>
      <c r="AC457" s="52"/>
      <c r="AD457" s="52"/>
      <c r="AE457" s="73" t="s">
        <v>36</v>
      </c>
      <c r="AF457" s="73"/>
      <c r="AG457" s="73"/>
    </row>
    <row r="458" spans="1:33" ht="15.75" thickBot="1" x14ac:dyDescent="0.3">
      <c r="A458" s="68"/>
      <c r="B458" s="68"/>
      <c r="C458" s="105" t="s">
        <v>243</v>
      </c>
      <c r="D458" s="75">
        <v>0</v>
      </c>
      <c r="E458" s="75"/>
      <c r="F458" s="76"/>
      <c r="G458" s="74">
        <v>0</v>
      </c>
      <c r="H458" s="75"/>
      <c r="I458" s="76"/>
      <c r="J458" s="74">
        <v>0</v>
      </c>
      <c r="K458" s="75"/>
      <c r="L458" s="76"/>
      <c r="M458" s="74">
        <v>0</v>
      </c>
      <c r="N458" s="75"/>
      <c r="O458" s="76"/>
      <c r="P458" s="74">
        <v>0</v>
      </c>
      <c r="Q458" s="75"/>
      <c r="R458" s="76"/>
      <c r="S458" s="74">
        <v>0</v>
      </c>
      <c r="T458" s="75"/>
      <c r="U458" s="76"/>
      <c r="V458" s="74">
        <v>0</v>
      </c>
      <c r="W458" s="75"/>
      <c r="X458" s="76"/>
      <c r="Y458" s="74">
        <v>0</v>
      </c>
      <c r="Z458" s="75"/>
      <c r="AA458" s="76"/>
      <c r="AB458" s="74">
        <v>0</v>
      </c>
      <c r="AC458" s="75"/>
      <c r="AD458" s="76"/>
      <c r="AE458" s="74">
        <v>0</v>
      </c>
      <c r="AF458" s="75"/>
      <c r="AG458" s="76"/>
    </row>
    <row r="459" spans="1:33" ht="15.75" thickBot="1" x14ac:dyDescent="0.3">
      <c r="A459" s="68"/>
      <c r="B459" s="68"/>
      <c r="C459" s="106" t="s">
        <v>244</v>
      </c>
      <c r="D459" s="82">
        <v>0</v>
      </c>
      <c r="E459" s="82"/>
      <c r="F459" s="84"/>
      <c r="G459" s="85">
        <v>0</v>
      </c>
      <c r="H459" s="82"/>
      <c r="I459" s="84"/>
      <c r="J459" s="85">
        <v>0</v>
      </c>
      <c r="K459" s="82"/>
      <c r="L459" s="84"/>
      <c r="M459" s="85">
        <v>0</v>
      </c>
      <c r="N459" s="82"/>
      <c r="O459" s="82"/>
      <c r="P459" s="81">
        <v>0</v>
      </c>
      <c r="Q459" s="82"/>
      <c r="R459" s="83"/>
      <c r="S459" s="82">
        <v>0</v>
      </c>
      <c r="T459" s="82"/>
      <c r="U459" s="84"/>
      <c r="V459" s="85">
        <v>0</v>
      </c>
      <c r="W459" s="82"/>
      <c r="X459" s="84"/>
      <c r="Y459" s="85">
        <v>0</v>
      </c>
      <c r="Z459" s="82"/>
      <c r="AA459" s="84"/>
      <c r="AB459" s="85">
        <v>0</v>
      </c>
      <c r="AC459" s="82"/>
      <c r="AD459" s="84"/>
      <c r="AE459" s="85">
        <v>0</v>
      </c>
      <c r="AF459" s="82"/>
      <c r="AG459" s="84"/>
    </row>
    <row r="460" spans="1:33" ht="15.75" thickBot="1" x14ac:dyDescent="0.3">
      <c r="A460" s="68"/>
      <c r="B460" s="68"/>
      <c r="C460" s="107" t="s">
        <v>37</v>
      </c>
      <c r="D460" s="104"/>
      <c r="E460" s="86"/>
      <c r="F460" s="89"/>
      <c r="G460" s="86"/>
      <c r="H460" s="86"/>
      <c r="I460" s="89"/>
      <c r="J460" s="86"/>
      <c r="K460" s="86"/>
      <c r="L460" s="89"/>
      <c r="M460" s="86"/>
      <c r="N460" s="86"/>
      <c r="O460" s="89"/>
      <c r="P460" s="86"/>
      <c r="Q460" s="86"/>
      <c r="R460" s="89"/>
      <c r="S460" s="86"/>
      <c r="T460" s="86"/>
      <c r="U460" s="89"/>
      <c r="V460" s="86"/>
      <c r="W460" s="86"/>
      <c r="X460" s="89"/>
      <c r="Y460" s="86"/>
      <c r="Z460" s="86"/>
      <c r="AA460" s="89"/>
      <c r="AB460" s="86"/>
      <c r="AC460" s="86"/>
      <c r="AD460" s="89"/>
      <c r="AE460" s="86"/>
      <c r="AF460" s="86"/>
      <c r="AG460" s="89"/>
    </row>
    <row r="461" spans="1:33" ht="15.75" thickBot="1" x14ac:dyDescent="0.3">
      <c r="A461" s="68"/>
      <c r="B461" s="68"/>
      <c r="D461" s="87"/>
      <c r="E461" s="87"/>
      <c r="F461" s="90"/>
      <c r="G461" s="87"/>
      <c r="H461" s="87"/>
      <c r="I461" s="90"/>
      <c r="J461" s="87"/>
      <c r="K461" s="87"/>
      <c r="L461" s="90"/>
      <c r="M461" s="87"/>
      <c r="N461" s="87"/>
      <c r="O461" s="90"/>
      <c r="P461" s="87"/>
      <c r="Q461" s="87"/>
      <c r="R461" s="90"/>
      <c r="S461" s="87"/>
      <c r="T461" s="87"/>
      <c r="U461" s="90"/>
      <c r="V461" s="87"/>
      <c r="W461" s="87"/>
      <c r="X461" s="90"/>
      <c r="Y461" s="87"/>
      <c r="Z461" s="87"/>
      <c r="AA461" s="90"/>
      <c r="AB461" s="87"/>
      <c r="AC461" s="87"/>
      <c r="AD461" s="90"/>
      <c r="AE461" s="87"/>
      <c r="AF461" s="87"/>
      <c r="AG461" s="90"/>
    </row>
    <row r="462" spans="1:33" ht="15.75" thickBot="1" x14ac:dyDescent="0.3">
      <c r="A462" s="68"/>
      <c r="B462" s="68"/>
      <c r="D462" s="88"/>
      <c r="E462" s="88"/>
      <c r="F462" s="91"/>
      <c r="G462" s="88"/>
      <c r="H462" s="88"/>
      <c r="I462" s="91"/>
      <c r="J462" s="88"/>
      <c r="K462" s="88"/>
      <c r="L462" s="91"/>
      <c r="M462" s="88"/>
      <c r="N462" s="88"/>
      <c r="O462" s="91"/>
      <c r="P462" s="88"/>
      <c r="Q462" s="88"/>
      <c r="R462" s="91"/>
      <c r="S462" s="88"/>
      <c r="T462" s="88"/>
      <c r="U462" s="91"/>
      <c r="V462" s="88"/>
      <c r="W462" s="88"/>
      <c r="X462" s="91"/>
      <c r="Y462" s="88"/>
      <c r="Z462" s="88"/>
      <c r="AA462" s="91"/>
      <c r="AB462" s="88"/>
      <c r="AC462" s="88"/>
      <c r="AD462" s="91"/>
      <c r="AE462" s="88"/>
      <c r="AF462" s="88"/>
      <c r="AG462" s="91"/>
    </row>
    <row r="464" spans="1:33" ht="15.75" thickBot="1" x14ac:dyDescent="0.3"/>
    <row r="465" spans="1:33" ht="15.75" thickBot="1" x14ac:dyDescent="0.3">
      <c r="A465" s="68" t="s">
        <v>112</v>
      </c>
      <c r="B465" s="68"/>
      <c r="D465" s="52" t="s">
        <v>27</v>
      </c>
      <c r="E465" s="52"/>
      <c r="F465" s="52"/>
      <c r="G465" s="73" t="s">
        <v>28</v>
      </c>
      <c r="H465" s="73"/>
      <c r="I465" s="73"/>
      <c r="J465" s="52" t="s">
        <v>29</v>
      </c>
      <c r="K465" s="52"/>
      <c r="L465" s="52"/>
      <c r="M465" s="73" t="s">
        <v>30</v>
      </c>
      <c r="N465" s="73"/>
      <c r="O465" s="73"/>
      <c r="P465" s="52" t="s">
        <v>31</v>
      </c>
      <c r="Q465" s="52"/>
      <c r="R465" s="52"/>
      <c r="S465" s="73" t="s">
        <v>32</v>
      </c>
      <c r="T465" s="73"/>
      <c r="U465" s="73"/>
      <c r="V465" s="52" t="s">
        <v>33</v>
      </c>
      <c r="W465" s="52"/>
      <c r="X465" s="52"/>
      <c r="Y465" s="73" t="s">
        <v>34</v>
      </c>
      <c r="Z465" s="73"/>
      <c r="AA465" s="73"/>
      <c r="AB465" s="52" t="s">
        <v>35</v>
      </c>
      <c r="AC465" s="52"/>
      <c r="AD465" s="52"/>
      <c r="AE465" s="73" t="s">
        <v>36</v>
      </c>
      <c r="AF465" s="73"/>
      <c r="AG465" s="73"/>
    </row>
    <row r="466" spans="1:33" ht="15.75" thickBot="1" x14ac:dyDescent="0.3">
      <c r="A466" s="68"/>
      <c r="B466" s="68"/>
      <c r="C466" s="105" t="s">
        <v>243</v>
      </c>
      <c r="D466" s="75">
        <v>0</v>
      </c>
      <c r="E466" s="75"/>
      <c r="F466" s="76"/>
      <c r="G466" s="74">
        <v>0</v>
      </c>
      <c r="H466" s="75"/>
      <c r="I466" s="76"/>
      <c r="J466" s="74">
        <v>0</v>
      </c>
      <c r="K466" s="75"/>
      <c r="L466" s="76"/>
      <c r="M466" s="74">
        <v>0</v>
      </c>
      <c r="N466" s="75"/>
      <c r="O466" s="76"/>
      <c r="P466" s="74">
        <v>0</v>
      </c>
      <c r="Q466" s="75"/>
      <c r="R466" s="76"/>
      <c r="S466" s="74">
        <v>0</v>
      </c>
      <c r="T466" s="75"/>
      <c r="U466" s="76"/>
      <c r="V466" s="74">
        <v>0</v>
      </c>
      <c r="W466" s="75"/>
      <c r="X466" s="76"/>
      <c r="Y466" s="74">
        <v>0</v>
      </c>
      <c r="Z466" s="75"/>
      <c r="AA466" s="76"/>
      <c r="AB466" s="74">
        <v>0</v>
      </c>
      <c r="AC466" s="75"/>
      <c r="AD466" s="76"/>
      <c r="AE466" s="74">
        <v>0</v>
      </c>
      <c r="AF466" s="75"/>
      <c r="AG466" s="76"/>
    </row>
    <row r="467" spans="1:33" ht="15.75" thickBot="1" x14ac:dyDescent="0.3">
      <c r="A467" s="68"/>
      <c r="B467" s="68"/>
      <c r="C467" s="106" t="s">
        <v>244</v>
      </c>
      <c r="D467" s="82">
        <v>0</v>
      </c>
      <c r="E467" s="82"/>
      <c r="F467" s="84"/>
      <c r="G467" s="85">
        <v>0</v>
      </c>
      <c r="H467" s="82"/>
      <c r="I467" s="84"/>
      <c r="J467" s="85">
        <v>0</v>
      </c>
      <c r="K467" s="82"/>
      <c r="L467" s="84"/>
      <c r="M467" s="85">
        <v>0</v>
      </c>
      <c r="N467" s="82"/>
      <c r="O467" s="82"/>
      <c r="P467" s="81">
        <v>0</v>
      </c>
      <c r="Q467" s="82"/>
      <c r="R467" s="83"/>
      <c r="S467" s="82">
        <v>0</v>
      </c>
      <c r="T467" s="82"/>
      <c r="U467" s="84"/>
      <c r="V467" s="85">
        <v>0</v>
      </c>
      <c r="W467" s="82"/>
      <c r="X467" s="84"/>
      <c r="Y467" s="85">
        <v>0</v>
      </c>
      <c r="Z467" s="82"/>
      <c r="AA467" s="84"/>
      <c r="AB467" s="85">
        <v>0</v>
      </c>
      <c r="AC467" s="82"/>
      <c r="AD467" s="84"/>
      <c r="AE467" s="85">
        <v>0</v>
      </c>
      <c r="AF467" s="82"/>
      <c r="AG467" s="84"/>
    </row>
    <row r="468" spans="1:33" ht="15.75" thickBot="1" x14ac:dyDescent="0.3">
      <c r="A468" s="68"/>
      <c r="B468" s="68"/>
      <c r="C468" s="107" t="s">
        <v>37</v>
      </c>
      <c r="D468" s="104"/>
      <c r="E468" s="86"/>
      <c r="F468" s="89"/>
      <c r="G468" s="86"/>
      <c r="H468" s="86"/>
      <c r="I468" s="89"/>
      <c r="J468" s="86"/>
      <c r="K468" s="86"/>
      <c r="L468" s="89"/>
      <c r="M468" s="86"/>
      <c r="N468" s="86"/>
      <c r="O468" s="89"/>
      <c r="P468" s="86"/>
      <c r="Q468" s="86"/>
      <c r="R468" s="89"/>
      <c r="S468" s="86"/>
      <c r="T468" s="86"/>
      <c r="U468" s="89"/>
      <c r="V468" s="86"/>
      <c r="W468" s="86"/>
      <c r="X468" s="89"/>
      <c r="Y468" s="86"/>
      <c r="Z468" s="86"/>
      <c r="AA468" s="89"/>
      <c r="AB468" s="86"/>
      <c r="AC468" s="86"/>
      <c r="AD468" s="89"/>
      <c r="AE468" s="86"/>
      <c r="AF468" s="86"/>
      <c r="AG468" s="89"/>
    </row>
    <row r="469" spans="1:33" ht="15.75" thickBot="1" x14ac:dyDescent="0.3">
      <c r="A469" s="68"/>
      <c r="B469" s="68"/>
      <c r="D469" s="87"/>
      <c r="E469" s="87"/>
      <c r="F469" s="90"/>
      <c r="G469" s="87"/>
      <c r="H469" s="87"/>
      <c r="I469" s="90"/>
      <c r="J469" s="87"/>
      <c r="K469" s="87"/>
      <c r="L469" s="90"/>
      <c r="M469" s="87"/>
      <c r="N469" s="87"/>
      <c r="O469" s="90"/>
      <c r="P469" s="87"/>
      <c r="Q469" s="87"/>
      <c r="R469" s="90"/>
      <c r="S469" s="87"/>
      <c r="T469" s="87"/>
      <c r="U469" s="90"/>
      <c r="V469" s="87"/>
      <c r="W469" s="87"/>
      <c r="X469" s="90"/>
      <c r="Y469" s="87"/>
      <c r="Z469" s="87"/>
      <c r="AA469" s="90"/>
      <c r="AB469" s="87"/>
      <c r="AC469" s="87"/>
      <c r="AD469" s="90"/>
      <c r="AE469" s="87"/>
      <c r="AF469" s="87"/>
      <c r="AG469" s="90"/>
    </row>
    <row r="470" spans="1:33" ht="15.75" thickBot="1" x14ac:dyDescent="0.3">
      <c r="A470" s="68"/>
      <c r="B470" s="68"/>
      <c r="D470" s="88"/>
      <c r="E470" s="88"/>
      <c r="F470" s="91"/>
      <c r="G470" s="88"/>
      <c r="H470" s="88"/>
      <c r="I470" s="91"/>
      <c r="J470" s="88"/>
      <c r="K470" s="88"/>
      <c r="L470" s="91"/>
      <c r="M470" s="88"/>
      <c r="N470" s="88"/>
      <c r="O470" s="91"/>
      <c r="P470" s="88"/>
      <c r="Q470" s="88"/>
      <c r="R470" s="91"/>
      <c r="S470" s="88"/>
      <c r="T470" s="88"/>
      <c r="U470" s="91"/>
      <c r="V470" s="88"/>
      <c r="W470" s="88"/>
      <c r="X470" s="91"/>
      <c r="Y470" s="88"/>
      <c r="Z470" s="88"/>
      <c r="AA470" s="91"/>
      <c r="AB470" s="88"/>
      <c r="AC470" s="88"/>
      <c r="AD470" s="91"/>
      <c r="AE470" s="88"/>
      <c r="AF470" s="88"/>
      <c r="AG470" s="91"/>
    </row>
    <row r="472" spans="1:33" ht="15.75" thickBot="1" x14ac:dyDescent="0.3"/>
    <row r="473" spans="1:33" ht="15.75" thickBot="1" x14ac:dyDescent="0.3">
      <c r="A473" s="68" t="s">
        <v>238</v>
      </c>
      <c r="B473" s="68"/>
      <c r="D473" s="52" t="s">
        <v>27</v>
      </c>
      <c r="E473" s="52"/>
      <c r="F473" s="52"/>
      <c r="G473" s="73" t="s">
        <v>28</v>
      </c>
      <c r="H473" s="73"/>
      <c r="I473" s="73"/>
      <c r="J473" s="52" t="s">
        <v>29</v>
      </c>
      <c r="K473" s="52"/>
      <c r="L473" s="52"/>
      <c r="M473" s="73" t="s">
        <v>30</v>
      </c>
      <c r="N473" s="73"/>
      <c r="O473" s="73"/>
      <c r="P473" s="52" t="s">
        <v>31</v>
      </c>
      <c r="Q473" s="52"/>
      <c r="R473" s="52"/>
      <c r="S473" s="73" t="s">
        <v>32</v>
      </c>
      <c r="T473" s="73"/>
      <c r="U473" s="73"/>
      <c r="V473" s="52" t="s">
        <v>33</v>
      </c>
      <c r="W473" s="52"/>
      <c r="X473" s="52"/>
      <c r="Y473" s="73" t="s">
        <v>34</v>
      </c>
      <c r="Z473" s="73"/>
      <c r="AA473" s="73"/>
      <c r="AB473" s="52" t="s">
        <v>35</v>
      </c>
      <c r="AC473" s="52"/>
      <c r="AD473" s="52"/>
      <c r="AE473" s="73" t="s">
        <v>36</v>
      </c>
      <c r="AF473" s="73"/>
      <c r="AG473" s="73"/>
    </row>
    <row r="474" spans="1:33" ht="15.75" thickBot="1" x14ac:dyDescent="0.3">
      <c r="A474" s="68"/>
      <c r="B474" s="68"/>
      <c r="C474" s="105" t="s">
        <v>243</v>
      </c>
      <c r="D474" s="75">
        <v>0</v>
      </c>
      <c r="E474" s="75"/>
      <c r="F474" s="76"/>
      <c r="G474" s="74">
        <v>0</v>
      </c>
      <c r="H474" s="75"/>
      <c r="I474" s="76"/>
      <c r="J474" s="74">
        <v>0</v>
      </c>
      <c r="K474" s="75"/>
      <c r="L474" s="76"/>
      <c r="M474" s="74">
        <v>0</v>
      </c>
      <c r="N474" s="75"/>
      <c r="O474" s="76"/>
      <c r="P474" s="74">
        <v>0</v>
      </c>
      <c r="Q474" s="75"/>
      <c r="R474" s="76"/>
      <c r="S474" s="74">
        <v>0</v>
      </c>
      <c r="T474" s="75"/>
      <c r="U474" s="76"/>
      <c r="V474" s="74">
        <v>0</v>
      </c>
      <c r="W474" s="75"/>
      <c r="X474" s="76"/>
      <c r="Y474" s="74">
        <v>0</v>
      </c>
      <c r="Z474" s="75"/>
      <c r="AA474" s="76"/>
      <c r="AB474" s="74">
        <v>0</v>
      </c>
      <c r="AC474" s="75"/>
      <c r="AD474" s="76"/>
      <c r="AE474" s="74">
        <v>0</v>
      </c>
      <c r="AF474" s="75"/>
      <c r="AG474" s="76"/>
    </row>
    <row r="475" spans="1:33" ht="15.75" thickBot="1" x14ac:dyDescent="0.3">
      <c r="A475" s="68"/>
      <c r="B475" s="68"/>
      <c r="C475" s="106" t="s">
        <v>244</v>
      </c>
      <c r="D475" s="82">
        <v>0</v>
      </c>
      <c r="E475" s="82"/>
      <c r="F475" s="84"/>
      <c r="G475" s="85">
        <v>0</v>
      </c>
      <c r="H475" s="82"/>
      <c r="I475" s="84"/>
      <c r="J475" s="85">
        <v>0</v>
      </c>
      <c r="K475" s="82"/>
      <c r="L475" s="84"/>
      <c r="M475" s="85">
        <v>0</v>
      </c>
      <c r="N475" s="82"/>
      <c r="O475" s="82"/>
      <c r="P475" s="81">
        <v>0</v>
      </c>
      <c r="Q475" s="82"/>
      <c r="R475" s="83"/>
      <c r="S475" s="82">
        <v>0</v>
      </c>
      <c r="T475" s="82"/>
      <c r="U475" s="84"/>
      <c r="V475" s="85">
        <v>0</v>
      </c>
      <c r="W475" s="82"/>
      <c r="X475" s="84"/>
      <c r="Y475" s="85">
        <v>0</v>
      </c>
      <c r="Z475" s="82"/>
      <c r="AA475" s="84"/>
      <c r="AB475" s="85">
        <v>0</v>
      </c>
      <c r="AC475" s="82"/>
      <c r="AD475" s="84"/>
      <c r="AE475" s="85">
        <v>0</v>
      </c>
      <c r="AF475" s="82"/>
      <c r="AG475" s="84"/>
    </row>
    <row r="476" spans="1:33" ht="15.75" thickBot="1" x14ac:dyDescent="0.3">
      <c r="A476" s="68"/>
      <c r="B476" s="68"/>
      <c r="C476" s="107" t="s">
        <v>37</v>
      </c>
      <c r="D476" s="104"/>
      <c r="E476" s="86"/>
      <c r="F476" s="89"/>
      <c r="G476" s="86"/>
      <c r="H476" s="86"/>
      <c r="I476" s="89"/>
      <c r="J476" s="86"/>
      <c r="K476" s="86"/>
      <c r="L476" s="89"/>
      <c r="M476" s="86"/>
      <c r="N476" s="86"/>
      <c r="O476" s="89"/>
      <c r="P476" s="86"/>
      <c r="Q476" s="86"/>
      <c r="R476" s="89"/>
      <c r="S476" s="86"/>
      <c r="T476" s="86"/>
      <c r="U476" s="89"/>
      <c r="V476" s="86"/>
      <c r="W476" s="86"/>
      <c r="X476" s="89"/>
      <c r="Y476" s="86"/>
      <c r="Z476" s="86"/>
      <c r="AA476" s="89"/>
      <c r="AB476" s="86"/>
      <c r="AC476" s="86"/>
      <c r="AD476" s="89"/>
      <c r="AE476" s="86"/>
      <c r="AF476" s="86"/>
      <c r="AG476" s="89"/>
    </row>
    <row r="477" spans="1:33" ht="15.75" thickBot="1" x14ac:dyDescent="0.3">
      <c r="A477" s="68"/>
      <c r="B477" s="68"/>
      <c r="D477" s="87"/>
      <c r="E477" s="87"/>
      <c r="F477" s="90"/>
      <c r="G477" s="87"/>
      <c r="H477" s="87"/>
      <c r="I477" s="90"/>
      <c r="J477" s="87"/>
      <c r="K477" s="87"/>
      <c r="L477" s="90"/>
      <c r="M477" s="87"/>
      <c r="N477" s="87"/>
      <c r="O477" s="90"/>
      <c r="P477" s="87"/>
      <c r="Q477" s="87"/>
      <c r="R477" s="90"/>
      <c r="S477" s="87"/>
      <c r="T477" s="87"/>
      <c r="U477" s="90"/>
      <c r="V477" s="87"/>
      <c r="W477" s="87"/>
      <c r="X477" s="90"/>
      <c r="Y477" s="87"/>
      <c r="Z477" s="87"/>
      <c r="AA477" s="90"/>
      <c r="AB477" s="87"/>
      <c r="AC477" s="87"/>
      <c r="AD477" s="90"/>
      <c r="AE477" s="87"/>
      <c r="AF477" s="87"/>
      <c r="AG477" s="90"/>
    </row>
    <row r="478" spans="1:33" ht="15.75" thickBot="1" x14ac:dyDescent="0.3">
      <c r="A478" s="68"/>
      <c r="B478" s="68"/>
      <c r="D478" s="88"/>
      <c r="E478" s="88"/>
      <c r="F478" s="91"/>
      <c r="G478" s="88"/>
      <c r="H478" s="88"/>
      <c r="I478" s="91"/>
      <c r="J478" s="88"/>
      <c r="K478" s="88"/>
      <c r="L478" s="91"/>
      <c r="M478" s="88"/>
      <c r="N478" s="88"/>
      <c r="O478" s="91"/>
      <c r="P478" s="88"/>
      <c r="Q478" s="88"/>
      <c r="R478" s="91"/>
      <c r="S478" s="88"/>
      <c r="T478" s="88"/>
      <c r="U478" s="91"/>
      <c r="V478" s="88"/>
      <c r="W478" s="88"/>
      <c r="X478" s="91"/>
      <c r="Y478" s="88"/>
      <c r="Z478" s="88"/>
      <c r="AA478" s="91"/>
      <c r="AB478" s="88"/>
      <c r="AC478" s="88"/>
      <c r="AD478" s="91"/>
      <c r="AE478" s="88"/>
      <c r="AF478" s="88"/>
      <c r="AG478" s="91"/>
    </row>
    <row r="480" spans="1:33" ht="15.75" thickBot="1" x14ac:dyDescent="0.3"/>
    <row r="481" spans="1:33" ht="15.75" thickBot="1" x14ac:dyDescent="0.3">
      <c r="A481" s="68" t="s">
        <v>269</v>
      </c>
      <c r="B481" s="68"/>
      <c r="D481" s="52" t="s">
        <v>27</v>
      </c>
      <c r="E481" s="52"/>
      <c r="F481" s="52"/>
      <c r="G481" s="73" t="s">
        <v>28</v>
      </c>
      <c r="H481" s="73"/>
      <c r="I481" s="73"/>
      <c r="J481" s="52" t="s">
        <v>29</v>
      </c>
      <c r="K481" s="52"/>
      <c r="L481" s="52"/>
      <c r="M481" s="73" t="s">
        <v>30</v>
      </c>
      <c r="N481" s="73"/>
      <c r="O481" s="73"/>
      <c r="P481" s="52" t="s">
        <v>31</v>
      </c>
      <c r="Q481" s="52"/>
      <c r="R481" s="52"/>
      <c r="S481" s="73" t="s">
        <v>32</v>
      </c>
      <c r="T481" s="73"/>
      <c r="U481" s="73"/>
      <c r="V481" s="52" t="s">
        <v>33</v>
      </c>
      <c r="W481" s="52"/>
      <c r="X481" s="52"/>
      <c r="Y481" s="73" t="s">
        <v>34</v>
      </c>
      <c r="Z481" s="73"/>
      <c r="AA481" s="73"/>
      <c r="AB481" s="52" t="s">
        <v>35</v>
      </c>
      <c r="AC481" s="52"/>
      <c r="AD481" s="52"/>
      <c r="AE481" s="73" t="s">
        <v>36</v>
      </c>
      <c r="AF481" s="73"/>
      <c r="AG481" s="73"/>
    </row>
    <row r="482" spans="1:33" ht="15.75" thickBot="1" x14ac:dyDescent="0.3">
      <c r="A482" s="68"/>
      <c r="B482" s="68"/>
      <c r="C482" s="105" t="s">
        <v>243</v>
      </c>
      <c r="D482" s="75">
        <v>0</v>
      </c>
      <c r="E482" s="75"/>
      <c r="F482" s="76"/>
      <c r="G482" s="74">
        <v>0</v>
      </c>
      <c r="H482" s="75"/>
      <c r="I482" s="76"/>
      <c r="J482" s="74">
        <v>0</v>
      </c>
      <c r="K482" s="75"/>
      <c r="L482" s="76"/>
      <c r="M482" s="74">
        <v>0</v>
      </c>
      <c r="N482" s="75"/>
      <c r="O482" s="76"/>
      <c r="P482" s="74">
        <v>0</v>
      </c>
      <c r="Q482" s="75"/>
      <c r="R482" s="76"/>
      <c r="S482" s="74">
        <v>0</v>
      </c>
      <c r="T482" s="75"/>
      <c r="U482" s="76"/>
      <c r="V482" s="74">
        <v>0</v>
      </c>
      <c r="W482" s="75"/>
      <c r="X482" s="76"/>
      <c r="Y482" s="74">
        <v>0</v>
      </c>
      <c r="Z482" s="75"/>
      <c r="AA482" s="76"/>
      <c r="AB482" s="74">
        <v>0</v>
      </c>
      <c r="AC482" s="75"/>
      <c r="AD482" s="76"/>
      <c r="AE482" s="74">
        <v>0</v>
      </c>
      <c r="AF482" s="75"/>
      <c r="AG482" s="76"/>
    </row>
    <row r="483" spans="1:33" ht="15.75" thickBot="1" x14ac:dyDescent="0.3">
      <c r="A483" s="68"/>
      <c r="B483" s="68"/>
      <c r="C483" s="106" t="s">
        <v>244</v>
      </c>
      <c r="D483" s="82">
        <v>0</v>
      </c>
      <c r="E483" s="82"/>
      <c r="F483" s="84"/>
      <c r="G483" s="85">
        <v>0</v>
      </c>
      <c r="H483" s="82"/>
      <c r="I483" s="84"/>
      <c r="J483" s="85">
        <v>0</v>
      </c>
      <c r="K483" s="82"/>
      <c r="L483" s="84"/>
      <c r="M483" s="85">
        <v>0</v>
      </c>
      <c r="N483" s="82"/>
      <c r="O483" s="82"/>
      <c r="P483" s="81">
        <v>0</v>
      </c>
      <c r="Q483" s="82"/>
      <c r="R483" s="83"/>
      <c r="S483" s="82">
        <v>0</v>
      </c>
      <c r="T483" s="82"/>
      <c r="U483" s="84"/>
      <c r="V483" s="85">
        <v>0</v>
      </c>
      <c r="W483" s="82"/>
      <c r="X483" s="84"/>
      <c r="Y483" s="85">
        <v>0</v>
      </c>
      <c r="Z483" s="82"/>
      <c r="AA483" s="84"/>
      <c r="AB483" s="85">
        <v>0</v>
      </c>
      <c r="AC483" s="82"/>
      <c r="AD483" s="84"/>
      <c r="AE483" s="85">
        <v>0</v>
      </c>
      <c r="AF483" s="82"/>
      <c r="AG483" s="84"/>
    </row>
    <row r="484" spans="1:33" ht="15.75" thickBot="1" x14ac:dyDescent="0.3">
      <c r="A484" s="68"/>
      <c r="B484" s="68"/>
      <c r="C484" s="107" t="s">
        <v>37</v>
      </c>
      <c r="D484" s="104"/>
      <c r="E484" s="86"/>
      <c r="F484" s="89"/>
      <c r="G484" s="86"/>
      <c r="H484" s="86"/>
      <c r="I484" s="89"/>
      <c r="J484" s="86"/>
      <c r="K484" s="86"/>
      <c r="L484" s="89"/>
      <c r="M484" s="86"/>
      <c r="N484" s="86"/>
      <c r="O484" s="89"/>
      <c r="P484" s="86"/>
      <c r="Q484" s="86"/>
      <c r="R484" s="89"/>
      <c r="S484" s="86"/>
      <c r="T484" s="86"/>
      <c r="U484" s="89"/>
      <c r="V484" s="86"/>
      <c r="W484" s="86"/>
      <c r="X484" s="89"/>
      <c r="Y484" s="86"/>
      <c r="Z484" s="86"/>
      <c r="AA484" s="89"/>
      <c r="AB484" s="86"/>
      <c r="AC484" s="86"/>
      <c r="AD484" s="89"/>
      <c r="AE484" s="86"/>
      <c r="AF484" s="86"/>
      <c r="AG484" s="89"/>
    </row>
    <row r="485" spans="1:33" ht="15.75" thickBot="1" x14ac:dyDescent="0.3">
      <c r="A485" s="68"/>
      <c r="B485" s="68"/>
      <c r="D485" s="87"/>
      <c r="E485" s="87"/>
      <c r="F485" s="90"/>
      <c r="G485" s="87"/>
      <c r="H485" s="87"/>
      <c r="I485" s="90"/>
      <c r="J485" s="87"/>
      <c r="K485" s="87"/>
      <c r="L485" s="90"/>
      <c r="M485" s="87"/>
      <c r="N485" s="87"/>
      <c r="O485" s="90"/>
      <c r="P485" s="87"/>
      <c r="Q485" s="87"/>
      <c r="R485" s="90"/>
      <c r="S485" s="87"/>
      <c r="T485" s="87"/>
      <c r="U485" s="90"/>
      <c r="V485" s="87"/>
      <c r="W485" s="87"/>
      <c r="X485" s="90"/>
      <c r="Y485" s="87"/>
      <c r="Z485" s="87"/>
      <c r="AA485" s="90"/>
      <c r="AB485" s="87"/>
      <c r="AC485" s="87"/>
      <c r="AD485" s="90"/>
      <c r="AE485" s="87"/>
      <c r="AF485" s="87"/>
      <c r="AG485" s="90"/>
    </row>
    <row r="486" spans="1:33" ht="15.75" thickBot="1" x14ac:dyDescent="0.3">
      <c r="A486" s="68"/>
      <c r="B486" s="68"/>
      <c r="D486" s="88"/>
      <c r="E486" s="88"/>
      <c r="F486" s="91"/>
      <c r="G486" s="88"/>
      <c r="H486" s="88"/>
      <c r="I486" s="91"/>
      <c r="J486" s="88"/>
      <c r="K486" s="88"/>
      <c r="L486" s="91"/>
      <c r="M486" s="88"/>
      <c r="N486" s="88"/>
      <c r="O486" s="91"/>
      <c r="P486" s="88"/>
      <c r="Q486" s="88"/>
      <c r="R486" s="91"/>
      <c r="S486" s="88"/>
      <c r="T486" s="88"/>
      <c r="U486" s="91"/>
      <c r="V486" s="88"/>
      <c r="W486" s="88"/>
      <c r="X486" s="91"/>
      <c r="Y486" s="88"/>
      <c r="Z486" s="88"/>
      <c r="AA486" s="91"/>
      <c r="AB486" s="88"/>
      <c r="AC486" s="88"/>
      <c r="AD486" s="91"/>
      <c r="AE486" s="88"/>
      <c r="AF486" s="88"/>
      <c r="AG486" s="91"/>
    </row>
    <row r="488" spans="1:33" ht="15.75" thickBot="1" x14ac:dyDescent="0.3"/>
    <row r="489" spans="1:33" ht="15.75" thickBot="1" x14ac:dyDescent="0.3">
      <c r="A489" s="68" t="s">
        <v>239</v>
      </c>
      <c r="B489" s="68"/>
      <c r="D489" s="52" t="s">
        <v>27</v>
      </c>
      <c r="E489" s="52"/>
      <c r="F489" s="52"/>
      <c r="G489" s="73" t="s">
        <v>28</v>
      </c>
      <c r="H489" s="73"/>
      <c r="I489" s="73"/>
      <c r="J489" s="52" t="s">
        <v>29</v>
      </c>
      <c r="K489" s="52"/>
      <c r="L489" s="52"/>
      <c r="M489" s="73" t="s">
        <v>30</v>
      </c>
      <c r="N489" s="73"/>
      <c r="O489" s="73"/>
      <c r="P489" s="52" t="s">
        <v>31</v>
      </c>
      <c r="Q489" s="52"/>
      <c r="R489" s="52"/>
      <c r="S489" s="73" t="s">
        <v>32</v>
      </c>
      <c r="T489" s="73"/>
      <c r="U489" s="73"/>
      <c r="V489" s="52" t="s">
        <v>33</v>
      </c>
      <c r="W489" s="52"/>
      <c r="X489" s="52"/>
      <c r="Y489" s="73" t="s">
        <v>34</v>
      </c>
      <c r="Z489" s="73"/>
      <c r="AA489" s="73"/>
      <c r="AB489" s="52" t="s">
        <v>35</v>
      </c>
      <c r="AC489" s="52"/>
      <c r="AD489" s="52"/>
      <c r="AE489" s="73" t="s">
        <v>36</v>
      </c>
      <c r="AF489" s="73"/>
      <c r="AG489" s="73"/>
    </row>
    <row r="490" spans="1:33" ht="15.75" thickBot="1" x14ac:dyDescent="0.3">
      <c r="A490" s="68"/>
      <c r="B490" s="68"/>
      <c r="C490" s="105" t="s">
        <v>243</v>
      </c>
      <c r="D490" s="75">
        <v>0</v>
      </c>
      <c r="E490" s="75"/>
      <c r="F490" s="76"/>
      <c r="G490" s="74">
        <v>0</v>
      </c>
      <c r="H490" s="75"/>
      <c r="I490" s="76"/>
      <c r="J490" s="74">
        <v>0</v>
      </c>
      <c r="K490" s="75"/>
      <c r="L490" s="76"/>
      <c r="M490" s="74">
        <v>0</v>
      </c>
      <c r="N490" s="75"/>
      <c r="O490" s="76"/>
      <c r="P490" s="74">
        <v>0</v>
      </c>
      <c r="Q490" s="75"/>
      <c r="R490" s="76"/>
      <c r="S490" s="74">
        <v>0</v>
      </c>
      <c r="T490" s="75"/>
      <c r="U490" s="76"/>
      <c r="V490" s="74">
        <v>0</v>
      </c>
      <c r="W490" s="75"/>
      <c r="X490" s="76"/>
      <c r="Y490" s="74">
        <v>0</v>
      </c>
      <c r="Z490" s="75"/>
      <c r="AA490" s="76"/>
      <c r="AB490" s="74">
        <v>0</v>
      </c>
      <c r="AC490" s="75"/>
      <c r="AD490" s="76"/>
      <c r="AE490" s="74">
        <v>0</v>
      </c>
      <c r="AF490" s="75"/>
      <c r="AG490" s="76"/>
    </row>
    <row r="491" spans="1:33" ht="15.75" thickBot="1" x14ac:dyDescent="0.3">
      <c r="A491" s="68"/>
      <c r="B491" s="68"/>
      <c r="C491" s="106" t="s">
        <v>244</v>
      </c>
      <c r="D491" s="82">
        <v>0</v>
      </c>
      <c r="E491" s="82"/>
      <c r="F491" s="84"/>
      <c r="G491" s="85">
        <v>0</v>
      </c>
      <c r="H491" s="82"/>
      <c r="I491" s="84"/>
      <c r="J491" s="85">
        <v>0</v>
      </c>
      <c r="K491" s="82"/>
      <c r="L491" s="84"/>
      <c r="M491" s="85">
        <v>0</v>
      </c>
      <c r="N491" s="82"/>
      <c r="O491" s="82"/>
      <c r="P491" s="81">
        <v>0</v>
      </c>
      <c r="Q491" s="82"/>
      <c r="R491" s="83"/>
      <c r="S491" s="82">
        <v>0</v>
      </c>
      <c r="T491" s="82"/>
      <c r="U491" s="84"/>
      <c r="V491" s="85">
        <v>0</v>
      </c>
      <c r="W491" s="82"/>
      <c r="X491" s="84"/>
      <c r="Y491" s="85">
        <v>0</v>
      </c>
      <c r="Z491" s="82"/>
      <c r="AA491" s="84"/>
      <c r="AB491" s="85">
        <v>0</v>
      </c>
      <c r="AC491" s="82"/>
      <c r="AD491" s="84"/>
      <c r="AE491" s="85">
        <v>0</v>
      </c>
      <c r="AF491" s="82"/>
      <c r="AG491" s="84"/>
    </row>
    <row r="492" spans="1:33" ht="15.75" thickBot="1" x14ac:dyDescent="0.3">
      <c r="A492" s="68"/>
      <c r="B492" s="68"/>
      <c r="C492" s="107" t="s">
        <v>37</v>
      </c>
      <c r="D492" s="104"/>
      <c r="E492" s="86"/>
      <c r="F492" s="89"/>
      <c r="G492" s="86"/>
      <c r="H492" s="86"/>
      <c r="I492" s="89"/>
      <c r="J492" s="86"/>
      <c r="K492" s="86"/>
      <c r="L492" s="89"/>
      <c r="M492" s="86"/>
      <c r="N492" s="86"/>
      <c r="O492" s="89"/>
      <c r="P492" s="86"/>
      <c r="Q492" s="86"/>
      <c r="R492" s="89"/>
      <c r="S492" s="86"/>
      <c r="T492" s="86"/>
      <c r="U492" s="89"/>
      <c r="V492" s="86"/>
      <c r="W492" s="86"/>
      <c r="X492" s="89"/>
      <c r="Y492" s="86"/>
      <c r="Z492" s="86"/>
      <c r="AA492" s="89"/>
      <c r="AB492" s="86"/>
      <c r="AC492" s="86"/>
      <c r="AD492" s="89"/>
      <c r="AE492" s="86"/>
      <c r="AF492" s="86"/>
      <c r="AG492" s="89"/>
    </row>
    <row r="493" spans="1:33" ht="15.75" thickBot="1" x14ac:dyDescent="0.3">
      <c r="A493" s="68"/>
      <c r="B493" s="68"/>
      <c r="D493" s="87"/>
      <c r="E493" s="87"/>
      <c r="F493" s="90"/>
      <c r="G493" s="87"/>
      <c r="H493" s="87"/>
      <c r="I493" s="90"/>
      <c r="J493" s="87"/>
      <c r="K493" s="87"/>
      <c r="L493" s="90"/>
      <c r="M493" s="87"/>
      <c r="N493" s="87"/>
      <c r="O493" s="90"/>
      <c r="P493" s="87"/>
      <c r="Q493" s="87"/>
      <c r="R493" s="90"/>
      <c r="S493" s="87"/>
      <c r="T493" s="87"/>
      <c r="U493" s="90"/>
      <c r="V493" s="87"/>
      <c r="W493" s="87"/>
      <c r="X493" s="90"/>
      <c r="Y493" s="87"/>
      <c r="Z493" s="87"/>
      <c r="AA493" s="90"/>
      <c r="AB493" s="87"/>
      <c r="AC493" s="87"/>
      <c r="AD493" s="90"/>
      <c r="AE493" s="87"/>
      <c r="AF493" s="87"/>
      <c r="AG493" s="90"/>
    </row>
    <row r="494" spans="1:33" ht="15.75" thickBot="1" x14ac:dyDescent="0.3">
      <c r="A494" s="68"/>
      <c r="B494" s="68"/>
      <c r="D494" s="88"/>
      <c r="E494" s="88"/>
      <c r="F494" s="91"/>
      <c r="G494" s="88"/>
      <c r="H494" s="88"/>
      <c r="I494" s="91"/>
      <c r="J494" s="88"/>
      <c r="K494" s="88"/>
      <c r="L494" s="91"/>
      <c r="M494" s="88"/>
      <c r="N494" s="88"/>
      <c r="O494" s="91"/>
      <c r="P494" s="88"/>
      <c r="Q494" s="88"/>
      <c r="R494" s="91"/>
      <c r="S494" s="88"/>
      <c r="T494" s="88"/>
      <c r="U494" s="91"/>
      <c r="V494" s="88"/>
      <c r="W494" s="88"/>
      <c r="X494" s="91"/>
      <c r="Y494" s="88"/>
      <c r="Z494" s="88"/>
      <c r="AA494" s="91"/>
      <c r="AB494" s="88"/>
      <c r="AC494" s="88"/>
      <c r="AD494" s="91"/>
      <c r="AE494" s="88"/>
      <c r="AF494" s="88"/>
      <c r="AG494" s="91"/>
    </row>
    <row r="496" spans="1:33" ht="15.75" thickBot="1" x14ac:dyDescent="0.3"/>
    <row r="497" spans="1:33" ht="15.75" thickBot="1" x14ac:dyDescent="0.3">
      <c r="A497" s="68" t="s">
        <v>270</v>
      </c>
      <c r="B497" s="68"/>
      <c r="D497" s="52" t="s">
        <v>27</v>
      </c>
      <c r="E497" s="52"/>
      <c r="F497" s="52"/>
      <c r="G497" s="73" t="s">
        <v>28</v>
      </c>
      <c r="H497" s="73"/>
      <c r="I497" s="73"/>
      <c r="J497" s="52" t="s">
        <v>29</v>
      </c>
      <c r="K497" s="52"/>
      <c r="L497" s="52"/>
      <c r="M497" s="73" t="s">
        <v>30</v>
      </c>
      <c r="N497" s="73"/>
      <c r="O497" s="73"/>
      <c r="P497" s="52" t="s">
        <v>31</v>
      </c>
      <c r="Q497" s="52"/>
      <c r="R497" s="52"/>
      <c r="S497" s="73" t="s">
        <v>32</v>
      </c>
      <c r="T497" s="73"/>
      <c r="U497" s="73"/>
      <c r="V497" s="52" t="s">
        <v>33</v>
      </c>
      <c r="W497" s="52"/>
      <c r="X497" s="52"/>
      <c r="Y497" s="73" t="s">
        <v>34</v>
      </c>
      <c r="Z497" s="73"/>
      <c r="AA497" s="73"/>
      <c r="AB497" s="52" t="s">
        <v>35</v>
      </c>
      <c r="AC497" s="52"/>
      <c r="AD497" s="52"/>
      <c r="AE497" s="73" t="s">
        <v>36</v>
      </c>
      <c r="AF497" s="73"/>
      <c r="AG497" s="73"/>
    </row>
    <row r="498" spans="1:33" ht="15.75" thickBot="1" x14ac:dyDescent="0.3">
      <c r="A498" s="68"/>
      <c r="B498" s="68"/>
      <c r="C498" s="105" t="s">
        <v>243</v>
      </c>
      <c r="D498" s="75">
        <v>0</v>
      </c>
      <c r="E498" s="75"/>
      <c r="F498" s="76"/>
      <c r="G498" s="74">
        <v>0</v>
      </c>
      <c r="H498" s="75"/>
      <c r="I498" s="76"/>
      <c r="J498" s="74">
        <v>0</v>
      </c>
      <c r="K498" s="75"/>
      <c r="L498" s="76"/>
      <c r="M498" s="74">
        <v>0</v>
      </c>
      <c r="N498" s="75"/>
      <c r="O498" s="76"/>
      <c r="P498" s="74">
        <v>0</v>
      </c>
      <c r="Q498" s="75"/>
      <c r="R498" s="76"/>
      <c r="S498" s="74">
        <v>0</v>
      </c>
      <c r="T498" s="75"/>
      <c r="U498" s="76"/>
      <c r="V498" s="74">
        <v>0</v>
      </c>
      <c r="W498" s="75"/>
      <c r="X498" s="76"/>
      <c r="Y498" s="74">
        <v>0</v>
      </c>
      <c r="Z498" s="75"/>
      <c r="AA498" s="76"/>
      <c r="AB498" s="74">
        <v>0</v>
      </c>
      <c r="AC498" s="75"/>
      <c r="AD498" s="76"/>
      <c r="AE498" s="74">
        <v>0</v>
      </c>
      <c r="AF498" s="75"/>
      <c r="AG498" s="76"/>
    </row>
    <row r="499" spans="1:33" ht="15.75" thickBot="1" x14ac:dyDescent="0.3">
      <c r="A499" s="68"/>
      <c r="B499" s="68"/>
      <c r="C499" s="106" t="s">
        <v>244</v>
      </c>
      <c r="D499" s="82">
        <v>0</v>
      </c>
      <c r="E499" s="82"/>
      <c r="F499" s="84"/>
      <c r="G499" s="85">
        <v>0</v>
      </c>
      <c r="H499" s="82"/>
      <c r="I499" s="84"/>
      <c r="J499" s="85">
        <v>0</v>
      </c>
      <c r="K499" s="82"/>
      <c r="L499" s="84"/>
      <c r="M499" s="85">
        <v>0</v>
      </c>
      <c r="N499" s="82"/>
      <c r="O499" s="82"/>
      <c r="P499" s="81">
        <v>0</v>
      </c>
      <c r="Q499" s="82"/>
      <c r="R499" s="83"/>
      <c r="S499" s="82">
        <v>0</v>
      </c>
      <c r="T499" s="82"/>
      <c r="U499" s="84"/>
      <c r="V499" s="85">
        <v>0</v>
      </c>
      <c r="W499" s="82"/>
      <c r="X499" s="84"/>
      <c r="Y499" s="85">
        <v>0</v>
      </c>
      <c r="Z499" s="82"/>
      <c r="AA499" s="84"/>
      <c r="AB499" s="85">
        <v>0</v>
      </c>
      <c r="AC499" s="82"/>
      <c r="AD499" s="84"/>
      <c r="AE499" s="85">
        <v>0</v>
      </c>
      <c r="AF499" s="82"/>
      <c r="AG499" s="84"/>
    </row>
    <row r="500" spans="1:33" ht="15.75" thickBot="1" x14ac:dyDescent="0.3">
      <c r="A500" s="68"/>
      <c r="B500" s="68"/>
      <c r="C500" s="107" t="s">
        <v>37</v>
      </c>
      <c r="D500" s="104"/>
      <c r="E500" s="86"/>
      <c r="F500" s="89"/>
      <c r="G500" s="86"/>
      <c r="H500" s="86"/>
      <c r="I500" s="89"/>
      <c r="J500" s="86"/>
      <c r="K500" s="86"/>
      <c r="L500" s="89"/>
      <c r="M500" s="86"/>
      <c r="N500" s="86"/>
      <c r="O500" s="89"/>
      <c r="P500" s="86"/>
      <c r="Q500" s="86"/>
      <c r="R500" s="89"/>
      <c r="S500" s="86"/>
      <c r="T500" s="86"/>
      <c r="U500" s="89"/>
      <c r="V500" s="86"/>
      <c r="W500" s="86"/>
      <c r="X500" s="89"/>
      <c r="Y500" s="86"/>
      <c r="Z500" s="86"/>
      <c r="AA500" s="89"/>
      <c r="AB500" s="86"/>
      <c r="AC500" s="86"/>
      <c r="AD500" s="89"/>
      <c r="AE500" s="86"/>
      <c r="AF500" s="86"/>
      <c r="AG500" s="89"/>
    </row>
    <row r="501" spans="1:33" ht="15.75" thickBot="1" x14ac:dyDescent="0.3">
      <c r="A501" s="68"/>
      <c r="B501" s="68"/>
      <c r="D501" s="87"/>
      <c r="E501" s="87"/>
      <c r="F501" s="90"/>
      <c r="G501" s="87"/>
      <c r="H501" s="87"/>
      <c r="I501" s="90"/>
      <c r="J501" s="87"/>
      <c r="K501" s="87"/>
      <c r="L501" s="90"/>
      <c r="M501" s="87"/>
      <c r="N501" s="87"/>
      <c r="O501" s="90"/>
      <c r="P501" s="87"/>
      <c r="Q501" s="87"/>
      <c r="R501" s="90"/>
      <c r="S501" s="87"/>
      <c r="T501" s="87"/>
      <c r="U501" s="90"/>
      <c r="V501" s="87"/>
      <c r="W501" s="87"/>
      <c r="X501" s="90"/>
      <c r="Y501" s="87"/>
      <c r="Z501" s="87"/>
      <c r="AA501" s="90"/>
      <c r="AB501" s="87"/>
      <c r="AC501" s="87"/>
      <c r="AD501" s="90"/>
      <c r="AE501" s="87"/>
      <c r="AF501" s="87"/>
      <c r="AG501" s="90"/>
    </row>
    <row r="502" spans="1:33" ht="15.75" thickBot="1" x14ac:dyDescent="0.3">
      <c r="A502" s="68"/>
      <c r="B502" s="68"/>
      <c r="D502" s="88"/>
      <c r="E502" s="88"/>
      <c r="F502" s="91"/>
      <c r="G502" s="88"/>
      <c r="H502" s="88"/>
      <c r="I502" s="91"/>
      <c r="J502" s="88"/>
      <c r="K502" s="88"/>
      <c r="L502" s="91"/>
      <c r="M502" s="88"/>
      <c r="N502" s="88"/>
      <c r="O502" s="91"/>
      <c r="P502" s="88"/>
      <c r="Q502" s="88"/>
      <c r="R502" s="91"/>
      <c r="S502" s="88"/>
      <c r="T502" s="88"/>
      <c r="U502" s="91"/>
      <c r="V502" s="88"/>
      <c r="W502" s="88"/>
      <c r="X502" s="91"/>
      <c r="Y502" s="88"/>
      <c r="Z502" s="88"/>
      <c r="AA502" s="91"/>
      <c r="AB502" s="88"/>
      <c r="AC502" s="88"/>
      <c r="AD502" s="91"/>
      <c r="AE502" s="88"/>
      <c r="AF502" s="88"/>
      <c r="AG502" s="91"/>
    </row>
    <row r="504" spans="1:33" ht="15.75" thickBot="1" x14ac:dyDescent="0.3"/>
    <row r="505" spans="1:33" ht="15.75" thickBot="1" x14ac:dyDescent="0.3">
      <c r="A505" s="68" t="s">
        <v>271</v>
      </c>
      <c r="B505" s="68"/>
      <c r="D505" s="52" t="s">
        <v>27</v>
      </c>
      <c r="E505" s="52"/>
      <c r="F505" s="52"/>
      <c r="G505" s="73" t="s">
        <v>28</v>
      </c>
      <c r="H505" s="73"/>
      <c r="I505" s="73"/>
      <c r="J505" s="52" t="s">
        <v>29</v>
      </c>
      <c r="K505" s="52"/>
      <c r="L505" s="52"/>
      <c r="M505" s="73" t="s">
        <v>30</v>
      </c>
      <c r="N505" s="73"/>
      <c r="O505" s="73"/>
      <c r="P505" s="52" t="s">
        <v>31</v>
      </c>
      <c r="Q505" s="52"/>
      <c r="R505" s="52"/>
      <c r="S505" s="73" t="s">
        <v>32</v>
      </c>
      <c r="T505" s="73"/>
      <c r="U505" s="73"/>
      <c r="V505" s="52" t="s">
        <v>33</v>
      </c>
      <c r="W505" s="52"/>
      <c r="X505" s="52"/>
      <c r="Y505" s="73" t="s">
        <v>34</v>
      </c>
      <c r="Z505" s="73"/>
      <c r="AA505" s="73"/>
      <c r="AB505" s="52" t="s">
        <v>35</v>
      </c>
      <c r="AC505" s="52"/>
      <c r="AD505" s="52"/>
      <c r="AE505" s="73" t="s">
        <v>36</v>
      </c>
      <c r="AF505" s="73"/>
      <c r="AG505" s="73"/>
    </row>
    <row r="506" spans="1:33" ht="15.75" thickBot="1" x14ac:dyDescent="0.3">
      <c r="A506" s="68"/>
      <c r="B506" s="68"/>
      <c r="C506" s="105" t="s">
        <v>243</v>
      </c>
      <c r="D506" s="75">
        <v>0</v>
      </c>
      <c r="E506" s="75"/>
      <c r="F506" s="76"/>
      <c r="G506" s="74">
        <v>0</v>
      </c>
      <c r="H506" s="75"/>
      <c r="I506" s="76"/>
      <c r="J506" s="74">
        <v>0</v>
      </c>
      <c r="K506" s="75"/>
      <c r="L506" s="76"/>
      <c r="M506" s="74">
        <v>0</v>
      </c>
      <c r="N506" s="75"/>
      <c r="O506" s="76"/>
      <c r="P506" s="74">
        <v>0</v>
      </c>
      <c r="Q506" s="75"/>
      <c r="R506" s="76"/>
      <c r="S506" s="74">
        <v>0</v>
      </c>
      <c r="T506" s="75"/>
      <c r="U506" s="76"/>
      <c r="V506" s="74">
        <v>0</v>
      </c>
      <c r="W506" s="75"/>
      <c r="X506" s="76"/>
      <c r="Y506" s="74">
        <v>0</v>
      </c>
      <c r="Z506" s="75"/>
      <c r="AA506" s="76"/>
      <c r="AB506" s="74">
        <v>0</v>
      </c>
      <c r="AC506" s="75"/>
      <c r="AD506" s="76"/>
      <c r="AE506" s="74">
        <v>0</v>
      </c>
      <c r="AF506" s="75"/>
      <c r="AG506" s="76"/>
    </row>
    <row r="507" spans="1:33" ht="15.75" thickBot="1" x14ac:dyDescent="0.3">
      <c r="A507" s="68"/>
      <c r="B507" s="68"/>
      <c r="C507" s="106" t="s">
        <v>244</v>
      </c>
      <c r="D507" s="82">
        <v>0</v>
      </c>
      <c r="E507" s="82"/>
      <c r="F507" s="84"/>
      <c r="G507" s="85">
        <v>0</v>
      </c>
      <c r="H507" s="82"/>
      <c r="I507" s="84"/>
      <c r="J507" s="85">
        <v>0</v>
      </c>
      <c r="K507" s="82"/>
      <c r="L507" s="84"/>
      <c r="M507" s="85">
        <v>0</v>
      </c>
      <c r="N507" s="82"/>
      <c r="O507" s="82"/>
      <c r="P507" s="81">
        <v>0</v>
      </c>
      <c r="Q507" s="82"/>
      <c r="R507" s="83"/>
      <c r="S507" s="82">
        <v>0</v>
      </c>
      <c r="T507" s="82"/>
      <c r="U507" s="84"/>
      <c r="V507" s="85">
        <v>0</v>
      </c>
      <c r="W507" s="82"/>
      <c r="X507" s="84"/>
      <c r="Y507" s="85">
        <v>0</v>
      </c>
      <c r="Z507" s="82"/>
      <c r="AA507" s="84"/>
      <c r="AB507" s="85">
        <v>0</v>
      </c>
      <c r="AC507" s="82"/>
      <c r="AD507" s="84"/>
      <c r="AE507" s="85">
        <v>0</v>
      </c>
      <c r="AF507" s="82"/>
      <c r="AG507" s="84"/>
    </row>
    <row r="508" spans="1:33" ht="15.75" thickBot="1" x14ac:dyDescent="0.3">
      <c r="A508" s="68"/>
      <c r="B508" s="68"/>
      <c r="C508" s="107" t="s">
        <v>37</v>
      </c>
      <c r="D508" s="104"/>
      <c r="E508" s="86"/>
      <c r="F508" s="89"/>
      <c r="G508" s="86"/>
      <c r="H508" s="86"/>
      <c r="I508" s="89"/>
      <c r="J508" s="86"/>
      <c r="K508" s="86"/>
      <c r="L508" s="89"/>
      <c r="M508" s="86"/>
      <c r="N508" s="86"/>
      <c r="O508" s="89"/>
      <c r="P508" s="86"/>
      <c r="Q508" s="86"/>
      <c r="R508" s="89"/>
      <c r="S508" s="86"/>
      <c r="T508" s="86"/>
      <c r="U508" s="89"/>
      <c r="V508" s="86"/>
      <c r="W508" s="86"/>
      <c r="X508" s="89"/>
      <c r="Y508" s="86"/>
      <c r="Z508" s="86"/>
      <c r="AA508" s="89"/>
      <c r="AB508" s="86"/>
      <c r="AC508" s="86"/>
      <c r="AD508" s="89"/>
      <c r="AE508" s="86"/>
      <c r="AF508" s="86"/>
      <c r="AG508" s="89"/>
    </row>
    <row r="509" spans="1:33" ht="15.75" thickBot="1" x14ac:dyDescent="0.3">
      <c r="A509" s="68"/>
      <c r="B509" s="68"/>
      <c r="D509" s="87"/>
      <c r="E509" s="87"/>
      <c r="F509" s="90"/>
      <c r="G509" s="87"/>
      <c r="H509" s="87"/>
      <c r="I509" s="90"/>
      <c r="J509" s="87"/>
      <c r="K509" s="87"/>
      <c r="L509" s="90"/>
      <c r="M509" s="87"/>
      <c r="N509" s="87"/>
      <c r="O509" s="90"/>
      <c r="P509" s="87"/>
      <c r="Q509" s="87"/>
      <c r="R509" s="90"/>
      <c r="S509" s="87"/>
      <c r="T509" s="87"/>
      <c r="U509" s="90"/>
      <c r="V509" s="87"/>
      <c r="W509" s="87"/>
      <c r="X509" s="90"/>
      <c r="Y509" s="87"/>
      <c r="Z509" s="87"/>
      <c r="AA509" s="90"/>
      <c r="AB509" s="87"/>
      <c r="AC509" s="87"/>
      <c r="AD509" s="90"/>
      <c r="AE509" s="87"/>
      <c r="AF509" s="87"/>
      <c r="AG509" s="90"/>
    </row>
    <row r="510" spans="1:33" ht="15.75" thickBot="1" x14ac:dyDescent="0.3">
      <c r="A510" s="68"/>
      <c r="B510" s="68"/>
      <c r="D510" s="88"/>
      <c r="E510" s="88"/>
      <c r="F510" s="91"/>
      <c r="G510" s="88"/>
      <c r="H510" s="88"/>
      <c r="I510" s="91"/>
      <c r="J510" s="88"/>
      <c r="K510" s="88"/>
      <c r="L510" s="91"/>
      <c r="M510" s="88"/>
      <c r="N510" s="88"/>
      <c r="O510" s="91"/>
      <c r="P510" s="88"/>
      <c r="Q510" s="88"/>
      <c r="R510" s="91"/>
      <c r="S510" s="88"/>
      <c r="T510" s="88"/>
      <c r="U510" s="91"/>
      <c r="V510" s="88"/>
      <c r="W510" s="88"/>
      <c r="X510" s="91"/>
      <c r="Y510" s="88"/>
      <c r="Z510" s="88"/>
      <c r="AA510" s="91"/>
      <c r="AB510" s="88"/>
      <c r="AC510" s="88"/>
      <c r="AD510" s="91"/>
      <c r="AE510" s="88"/>
      <c r="AF510" s="88"/>
      <c r="AG510" s="91"/>
    </row>
    <row r="512" spans="1:33" ht="15.75" thickBot="1" x14ac:dyDescent="0.3"/>
    <row r="513" spans="1:33" ht="15.75" thickBot="1" x14ac:dyDescent="0.3">
      <c r="A513" s="68" t="s">
        <v>272</v>
      </c>
      <c r="B513" s="68"/>
      <c r="D513" s="52" t="s">
        <v>27</v>
      </c>
      <c r="E513" s="52"/>
      <c r="F513" s="52"/>
      <c r="G513" s="73" t="s">
        <v>28</v>
      </c>
      <c r="H513" s="73"/>
      <c r="I513" s="73"/>
      <c r="J513" s="52" t="s">
        <v>29</v>
      </c>
      <c r="K513" s="52"/>
      <c r="L513" s="52"/>
      <c r="M513" s="73" t="s">
        <v>30</v>
      </c>
      <c r="N513" s="73"/>
      <c r="O513" s="73"/>
      <c r="P513" s="52" t="s">
        <v>31</v>
      </c>
      <c r="Q513" s="52"/>
      <c r="R513" s="52"/>
      <c r="S513" s="73" t="s">
        <v>32</v>
      </c>
      <c r="T513" s="73"/>
      <c r="U513" s="73"/>
      <c r="V513" s="52" t="s">
        <v>33</v>
      </c>
      <c r="W513" s="52"/>
      <c r="X513" s="52"/>
      <c r="Y513" s="73" t="s">
        <v>34</v>
      </c>
      <c r="Z513" s="73"/>
      <c r="AA513" s="73"/>
      <c r="AB513" s="52" t="s">
        <v>35</v>
      </c>
      <c r="AC513" s="52"/>
      <c r="AD513" s="52"/>
      <c r="AE513" s="73" t="s">
        <v>36</v>
      </c>
      <c r="AF513" s="73"/>
      <c r="AG513" s="73"/>
    </row>
    <row r="514" spans="1:33" ht="15.75" thickBot="1" x14ac:dyDescent="0.3">
      <c r="A514" s="68"/>
      <c r="B514" s="68"/>
      <c r="C514" s="105" t="s">
        <v>243</v>
      </c>
      <c r="D514" s="75">
        <v>0</v>
      </c>
      <c r="E514" s="75"/>
      <c r="F514" s="76"/>
      <c r="G514" s="74">
        <v>0</v>
      </c>
      <c r="H514" s="75"/>
      <c r="I514" s="76"/>
      <c r="J514" s="74">
        <v>0</v>
      </c>
      <c r="K514" s="75"/>
      <c r="L514" s="76"/>
      <c r="M514" s="74">
        <v>0</v>
      </c>
      <c r="N514" s="75"/>
      <c r="O514" s="76"/>
      <c r="P514" s="74">
        <v>0</v>
      </c>
      <c r="Q514" s="75"/>
      <c r="R514" s="76"/>
      <c r="S514" s="74">
        <v>0</v>
      </c>
      <c r="T514" s="75"/>
      <c r="U514" s="76"/>
      <c r="V514" s="74">
        <v>0</v>
      </c>
      <c r="W514" s="75"/>
      <c r="X514" s="76"/>
      <c r="Y514" s="74">
        <v>0</v>
      </c>
      <c r="Z514" s="75"/>
      <c r="AA514" s="76"/>
      <c r="AB514" s="74">
        <v>0</v>
      </c>
      <c r="AC514" s="75"/>
      <c r="AD514" s="76"/>
      <c r="AE514" s="74">
        <v>0</v>
      </c>
      <c r="AF514" s="75"/>
      <c r="AG514" s="76"/>
    </row>
    <row r="515" spans="1:33" ht="15.75" thickBot="1" x14ac:dyDescent="0.3">
      <c r="A515" s="68"/>
      <c r="B515" s="68"/>
      <c r="C515" s="106" t="s">
        <v>244</v>
      </c>
      <c r="D515" s="82">
        <v>0</v>
      </c>
      <c r="E515" s="82"/>
      <c r="F515" s="84"/>
      <c r="G515" s="85">
        <v>0</v>
      </c>
      <c r="H515" s="82"/>
      <c r="I515" s="84"/>
      <c r="J515" s="85">
        <v>0</v>
      </c>
      <c r="K515" s="82"/>
      <c r="L515" s="84"/>
      <c r="M515" s="85">
        <v>0</v>
      </c>
      <c r="N515" s="82"/>
      <c r="O515" s="82"/>
      <c r="P515" s="81">
        <v>0</v>
      </c>
      <c r="Q515" s="82"/>
      <c r="R515" s="83"/>
      <c r="S515" s="82">
        <v>0</v>
      </c>
      <c r="T515" s="82"/>
      <c r="U515" s="84"/>
      <c r="V515" s="85">
        <v>0</v>
      </c>
      <c r="W515" s="82"/>
      <c r="X515" s="84"/>
      <c r="Y515" s="85">
        <v>0</v>
      </c>
      <c r="Z515" s="82"/>
      <c r="AA515" s="84"/>
      <c r="AB515" s="85">
        <v>0</v>
      </c>
      <c r="AC515" s="82"/>
      <c r="AD515" s="84"/>
      <c r="AE515" s="85">
        <v>0</v>
      </c>
      <c r="AF515" s="82"/>
      <c r="AG515" s="84"/>
    </row>
    <row r="516" spans="1:33" ht="15.75" thickBot="1" x14ac:dyDescent="0.3">
      <c r="A516" s="68"/>
      <c r="B516" s="68"/>
      <c r="C516" s="107" t="s">
        <v>37</v>
      </c>
      <c r="D516" s="104"/>
      <c r="E516" s="86"/>
      <c r="F516" s="89"/>
      <c r="G516" s="86"/>
      <c r="H516" s="86"/>
      <c r="I516" s="89"/>
      <c r="J516" s="86"/>
      <c r="K516" s="86"/>
      <c r="L516" s="89"/>
      <c r="M516" s="86"/>
      <c r="N516" s="86"/>
      <c r="O516" s="89"/>
      <c r="P516" s="86"/>
      <c r="Q516" s="86"/>
      <c r="R516" s="89"/>
      <c r="S516" s="86"/>
      <c r="T516" s="86"/>
      <c r="U516" s="89"/>
      <c r="V516" s="86"/>
      <c r="W516" s="86"/>
      <c r="X516" s="89"/>
      <c r="Y516" s="86"/>
      <c r="Z516" s="86"/>
      <c r="AA516" s="89"/>
      <c r="AB516" s="86"/>
      <c r="AC516" s="86"/>
      <c r="AD516" s="89"/>
      <c r="AE516" s="86"/>
      <c r="AF516" s="86"/>
      <c r="AG516" s="89"/>
    </row>
    <row r="517" spans="1:33" ht="15.75" thickBot="1" x14ac:dyDescent="0.3">
      <c r="A517" s="68"/>
      <c r="B517" s="68"/>
      <c r="D517" s="87"/>
      <c r="E517" s="87"/>
      <c r="F517" s="90"/>
      <c r="G517" s="87"/>
      <c r="H517" s="87"/>
      <c r="I517" s="90"/>
      <c r="J517" s="87"/>
      <c r="K517" s="87"/>
      <c r="L517" s="90"/>
      <c r="M517" s="87"/>
      <c r="N517" s="87"/>
      <c r="O517" s="90"/>
      <c r="P517" s="87"/>
      <c r="Q517" s="87"/>
      <c r="R517" s="90"/>
      <c r="S517" s="87"/>
      <c r="T517" s="87"/>
      <c r="U517" s="90"/>
      <c r="V517" s="87"/>
      <c r="W517" s="87"/>
      <c r="X517" s="90"/>
      <c r="Y517" s="87"/>
      <c r="Z517" s="87"/>
      <c r="AA517" s="90"/>
      <c r="AB517" s="87"/>
      <c r="AC517" s="87"/>
      <c r="AD517" s="90"/>
      <c r="AE517" s="87"/>
      <c r="AF517" s="87"/>
      <c r="AG517" s="90"/>
    </row>
    <row r="518" spans="1:33" ht="15.75" thickBot="1" x14ac:dyDescent="0.3">
      <c r="A518" s="68"/>
      <c r="B518" s="68"/>
      <c r="D518" s="88"/>
      <c r="E518" s="88"/>
      <c r="F518" s="91"/>
      <c r="G518" s="88"/>
      <c r="H518" s="88"/>
      <c r="I518" s="91"/>
      <c r="J518" s="88"/>
      <c r="K518" s="88"/>
      <c r="L518" s="91"/>
      <c r="M518" s="88"/>
      <c r="N518" s="88"/>
      <c r="O518" s="91"/>
      <c r="P518" s="88"/>
      <c r="Q518" s="88"/>
      <c r="R518" s="91"/>
      <c r="S518" s="88"/>
      <c r="T518" s="88"/>
      <c r="U518" s="91"/>
      <c r="V518" s="88"/>
      <c r="W518" s="88"/>
      <c r="X518" s="91"/>
      <c r="Y518" s="88"/>
      <c r="Z518" s="88"/>
      <c r="AA518" s="91"/>
      <c r="AB518" s="88"/>
      <c r="AC518" s="88"/>
      <c r="AD518" s="91"/>
      <c r="AE518" s="88"/>
      <c r="AF518" s="88"/>
      <c r="AG518" s="91"/>
    </row>
    <row r="520" spans="1:33" ht="15.75" thickBot="1" x14ac:dyDescent="0.3"/>
    <row r="521" spans="1:33" ht="15.75" thickBot="1" x14ac:dyDescent="0.3">
      <c r="A521" s="68" t="s">
        <v>240</v>
      </c>
      <c r="B521" s="68"/>
      <c r="D521" s="52" t="s">
        <v>27</v>
      </c>
      <c r="E521" s="52"/>
      <c r="F521" s="52"/>
      <c r="G521" s="73" t="s">
        <v>28</v>
      </c>
      <c r="H521" s="73"/>
      <c r="I521" s="73"/>
      <c r="J521" s="52" t="s">
        <v>29</v>
      </c>
      <c r="K521" s="52"/>
      <c r="L521" s="52"/>
      <c r="M521" s="73" t="s">
        <v>30</v>
      </c>
      <c r="N521" s="73"/>
      <c r="O521" s="73"/>
      <c r="P521" s="52" t="s">
        <v>31</v>
      </c>
      <c r="Q521" s="52"/>
      <c r="R521" s="52"/>
      <c r="S521" s="73" t="s">
        <v>32</v>
      </c>
      <c r="T521" s="73"/>
      <c r="U521" s="73"/>
      <c r="V521" s="52" t="s">
        <v>33</v>
      </c>
      <c r="W521" s="52"/>
      <c r="X521" s="52"/>
      <c r="Y521" s="73" t="s">
        <v>34</v>
      </c>
      <c r="Z521" s="73"/>
      <c r="AA521" s="73"/>
      <c r="AB521" s="52" t="s">
        <v>35</v>
      </c>
      <c r="AC521" s="52"/>
      <c r="AD521" s="52"/>
      <c r="AE521" s="73" t="s">
        <v>36</v>
      </c>
      <c r="AF521" s="73"/>
      <c r="AG521" s="73"/>
    </row>
    <row r="522" spans="1:33" ht="15.75" thickBot="1" x14ac:dyDescent="0.3">
      <c r="A522" s="68"/>
      <c r="B522" s="68"/>
      <c r="C522" s="105" t="s">
        <v>243</v>
      </c>
      <c r="D522" s="75">
        <v>0</v>
      </c>
      <c r="E522" s="75"/>
      <c r="F522" s="76"/>
      <c r="G522" s="74">
        <v>0</v>
      </c>
      <c r="H522" s="75"/>
      <c r="I522" s="76"/>
      <c r="J522" s="74">
        <v>0</v>
      </c>
      <c r="K522" s="75"/>
      <c r="L522" s="76"/>
      <c r="M522" s="74">
        <v>0</v>
      </c>
      <c r="N522" s="75"/>
      <c r="O522" s="76"/>
      <c r="P522" s="74">
        <v>0</v>
      </c>
      <c r="Q522" s="75"/>
      <c r="R522" s="76"/>
      <c r="S522" s="74">
        <v>0</v>
      </c>
      <c r="T522" s="75"/>
      <c r="U522" s="76"/>
      <c r="V522" s="74">
        <v>0</v>
      </c>
      <c r="W522" s="75"/>
      <c r="X522" s="76"/>
      <c r="Y522" s="74">
        <v>0</v>
      </c>
      <c r="Z522" s="75"/>
      <c r="AA522" s="76"/>
      <c r="AB522" s="74">
        <v>0</v>
      </c>
      <c r="AC522" s="75"/>
      <c r="AD522" s="76"/>
      <c r="AE522" s="74">
        <v>0</v>
      </c>
      <c r="AF522" s="75"/>
      <c r="AG522" s="76"/>
    </row>
    <row r="523" spans="1:33" ht="15.75" thickBot="1" x14ac:dyDescent="0.3">
      <c r="A523" s="68"/>
      <c r="B523" s="68"/>
      <c r="C523" s="106" t="s">
        <v>244</v>
      </c>
      <c r="D523" s="82">
        <v>0</v>
      </c>
      <c r="E523" s="82"/>
      <c r="F523" s="84"/>
      <c r="G523" s="85">
        <v>0</v>
      </c>
      <c r="H523" s="82"/>
      <c r="I523" s="84"/>
      <c r="J523" s="85">
        <v>0</v>
      </c>
      <c r="K523" s="82"/>
      <c r="L523" s="84"/>
      <c r="M523" s="85">
        <v>0</v>
      </c>
      <c r="N523" s="82"/>
      <c r="O523" s="82"/>
      <c r="P523" s="81">
        <v>0</v>
      </c>
      <c r="Q523" s="82"/>
      <c r="R523" s="83"/>
      <c r="S523" s="82">
        <v>0</v>
      </c>
      <c r="T523" s="82"/>
      <c r="U523" s="84"/>
      <c r="V523" s="85">
        <v>0</v>
      </c>
      <c r="W523" s="82"/>
      <c r="X523" s="84"/>
      <c r="Y523" s="85">
        <v>0</v>
      </c>
      <c r="Z523" s="82"/>
      <c r="AA523" s="84"/>
      <c r="AB523" s="85">
        <v>0</v>
      </c>
      <c r="AC523" s="82"/>
      <c r="AD523" s="84"/>
      <c r="AE523" s="85">
        <v>0</v>
      </c>
      <c r="AF523" s="82"/>
      <c r="AG523" s="84"/>
    </row>
    <row r="524" spans="1:33" ht="15.75" thickBot="1" x14ac:dyDescent="0.3">
      <c r="A524" s="68"/>
      <c r="B524" s="68"/>
      <c r="C524" s="107" t="s">
        <v>37</v>
      </c>
      <c r="D524" s="104"/>
      <c r="E524" s="86"/>
      <c r="F524" s="89"/>
      <c r="G524" s="86"/>
      <c r="H524" s="86"/>
      <c r="I524" s="89"/>
      <c r="J524" s="86"/>
      <c r="K524" s="86"/>
      <c r="L524" s="89"/>
      <c r="M524" s="86"/>
      <c r="N524" s="86"/>
      <c r="O524" s="89"/>
      <c r="P524" s="86"/>
      <c r="Q524" s="86"/>
      <c r="R524" s="89"/>
      <c r="S524" s="86"/>
      <c r="T524" s="86"/>
      <c r="U524" s="89"/>
      <c r="V524" s="86"/>
      <c r="W524" s="86"/>
      <c r="X524" s="89"/>
      <c r="Y524" s="86"/>
      <c r="Z524" s="86"/>
      <c r="AA524" s="89"/>
      <c r="AB524" s="86"/>
      <c r="AC524" s="86"/>
      <c r="AD524" s="89"/>
      <c r="AE524" s="86"/>
      <c r="AF524" s="86"/>
      <c r="AG524" s="89"/>
    </row>
    <row r="525" spans="1:33" ht="15.75" thickBot="1" x14ac:dyDescent="0.3">
      <c r="A525" s="68"/>
      <c r="B525" s="68"/>
      <c r="D525" s="87"/>
      <c r="E525" s="87"/>
      <c r="F525" s="90"/>
      <c r="G525" s="87"/>
      <c r="H525" s="87"/>
      <c r="I525" s="90"/>
      <c r="J525" s="87"/>
      <c r="K525" s="87"/>
      <c r="L525" s="90"/>
      <c r="M525" s="87"/>
      <c r="N525" s="87"/>
      <c r="O525" s="90"/>
      <c r="P525" s="87"/>
      <c r="Q525" s="87"/>
      <c r="R525" s="90"/>
      <c r="S525" s="87"/>
      <c r="T525" s="87"/>
      <c r="U525" s="90"/>
      <c r="V525" s="87"/>
      <c r="W525" s="87"/>
      <c r="X525" s="90"/>
      <c r="Y525" s="87"/>
      <c r="Z525" s="87"/>
      <c r="AA525" s="90"/>
      <c r="AB525" s="87"/>
      <c r="AC525" s="87"/>
      <c r="AD525" s="90"/>
      <c r="AE525" s="87"/>
      <c r="AF525" s="87"/>
      <c r="AG525" s="90"/>
    </row>
    <row r="526" spans="1:33" ht="15.75" thickBot="1" x14ac:dyDescent="0.3">
      <c r="A526" s="68"/>
      <c r="B526" s="68"/>
      <c r="D526" s="88"/>
      <c r="E526" s="88"/>
      <c r="F526" s="91"/>
      <c r="G526" s="88"/>
      <c r="H526" s="88"/>
      <c r="I526" s="91"/>
      <c r="J526" s="88"/>
      <c r="K526" s="88"/>
      <c r="L526" s="91"/>
      <c r="M526" s="88"/>
      <c r="N526" s="88"/>
      <c r="O526" s="91"/>
      <c r="P526" s="88"/>
      <c r="Q526" s="88"/>
      <c r="R526" s="91"/>
      <c r="S526" s="88"/>
      <c r="T526" s="88"/>
      <c r="U526" s="91"/>
      <c r="V526" s="88"/>
      <c r="W526" s="88"/>
      <c r="X526" s="91"/>
      <c r="Y526" s="88"/>
      <c r="Z526" s="88"/>
      <c r="AA526" s="91"/>
      <c r="AB526" s="88"/>
      <c r="AC526" s="88"/>
      <c r="AD526" s="91"/>
      <c r="AE526" s="88"/>
      <c r="AF526" s="88"/>
      <c r="AG526" s="91"/>
    </row>
    <row r="528" spans="1:33" ht="15.75" thickBot="1" x14ac:dyDescent="0.3"/>
    <row r="529" spans="1:33" ht="15.75" thickBot="1" x14ac:dyDescent="0.3">
      <c r="A529" s="68" t="s">
        <v>273</v>
      </c>
      <c r="B529" s="68"/>
      <c r="D529" s="52" t="s">
        <v>27</v>
      </c>
      <c r="E529" s="52"/>
      <c r="F529" s="52"/>
      <c r="G529" s="73" t="s">
        <v>28</v>
      </c>
      <c r="H529" s="73"/>
      <c r="I529" s="73"/>
      <c r="J529" s="52" t="s">
        <v>29</v>
      </c>
      <c r="K529" s="52"/>
      <c r="L529" s="52"/>
      <c r="M529" s="73" t="s">
        <v>30</v>
      </c>
      <c r="N529" s="73"/>
      <c r="O529" s="73"/>
      <c r="P529" s="52" t="s">
        <v>31</v>
      </c>
      <c r="Q529" s="52"/>
      <c r="R529" s="52"/>
      <c r="S529" s="73" t="s">
        <v>32</v>
      </c>
      <c r="T529" s="73"/>
      <c r="U529" s="73"/>
      <c r="V529" s="52" t="s">
        <v>33</v>
      </c>
      <c r="W529" s="52"/>
      <c r="X529" s="52"/>
      <c r="Y529" s="73" t="s">
        <v>34</v>
      </c>
      <c r="Z529" s="73"/>
      <c r="AA529" s="73"/>
      <c r="AB529" s="52" t="s">
        <v>35</v>
      </c>
      <c r="AC529" s="52"/>
      <c r="AD529" s="52"/>
      <c r="AE529" s="73" t="s">
        <v>36</v>
      </c>
      <c r="AF529" s="73"/>
      <c r="AG529" s="73"/>
    </row>
    <row r="530" spans="1:33" ht="15.75" thickBot="1" x14ac:dyDescent="0.3">
      <c r="A530" s="68"/>
      <c r="B530" s="68"/>
      <c r="C530" s="105" t="s">
        <v>243</v>
      </c>
      <c r="D530" s="75">
        <v>0</v>
      </c>
      <c r="E530" s="75"/>
      <c r="F530" s="76"/>
      <c r="G530" s="74">
        <v>0</v>
      </c>
      <c r="H530" s="75"/>
      <c r="I530" s="76"/>
      <c r="J530" s="74">
        <v>0</v>
      </c>
      <c r="K530" s="75"/>
      <c r="L530" s="76"/>
      <c r="M530" s="74">
        <v>0</v>
      </c>
      <c r="N530" s="75"/>
      <c r="O530" s="76"/>
      <c r="P530" s="74">
        <v>0</v>
      </c>
      <c r="Q530" s="75"/>
      <c r="R530" s="76"/>
      <c r="S530" s="74">
        <v>0</v>
      </c>
      <c r="T530" s="75"/>
      <c r="U530" s="76"/>
      <c r="V530" s="74">
        <v>0</v>
      </c>
      <c r="W530" s="75"/>
      <c r="X530" s="76"/>
      <c r="Y530" s="74">
        <v>0</v>
      </c>
      <c r="Z530" s="75"/>
      <c r="AA530" s="76"/>
      <c r="AB530" s="74">
        <v>0</v>
      </c>
      <c r="AC530" s="75"/>
      <c r="AD530" s="76"/>
      <c r="AE530" s="74">
        <v>0</v>
      </c>
      <c r="AF530" s="75"/>
      <c r="AG530" s="76"/>
    </row>
    <row r="531" spans="1:33" ht="15.75" thickBot="1" x14ac:dyDescent="0.3">
      <c r="A531" s="68"/>
      <c r="B531" s="68"/>
      <c r="C531" s="106" t="s">
        <v>244</v>
      </c>
      <c r="D531" s="82">
        <v>0</v>
      </c>
      <c r="E531" s="82"/>
      <c r="F531" s="84"/>
      <c r="G531" s="85">
        <v>0</v>
      </c>
      <c r="H531" s="82"/>
      <c r="I531" s="84"/>
      <c r="J531" s="85">
        <v>0</v>
      </c>
      <c r="K531" s="82"/>
      <c r="L531" s="84"/>
      <c r="M531" s="85">
        <v>0</v>
      </c>
      <c r="N531" s="82"/>
      <c r="O531" s="82"/>
      <c r="P531" s="81">
        <v>0</v>
      </c>
      <c r="Q531" s="82"/>
      <c r="R531" s="83"/>
      <c r="S531" s="82">
        <v>0</v>
      </c>
      <c r="T531" s="82"/>
      <c r="U531" s="84"/>
      <c r="V531" s="85">
        <v>0</v>
      </c>
      <c r="W531" s="82"/>
      <c r="X531" s="84"/>
      <c r="Y531" s="85">
        <v>0</v>
      </c>
      <c r="Z531" s="82"/>
      <c r="AA531" s="84"/>
      <c r="AB531" s="85">
        <v>0</v>
      </c>
      <c r="AC531" s="82"/>
      <c r="AD531" s="84"/>
      <c r="AE531" s="85">
        <v>0</v>
      </c>
      <c r="AF531" s="82"/>
      <c r="AG531" s="84"/>
    </row>
    <row r="532" spans="1:33" ht="15.75" thickBot="1" x14ac:dyDescent="0.3">
      <c r="A532" s="68"/>
      <c r="B532" s="68"/>
      <c r="C532" s="107" t="s">
        <v>37</v>
      </c>
      <c r="D532" s="104"/>
      <c r="E532" s="86"/>
      <c r="F532" s="89"/>
      <c r="G532" s="86"/>
      <c r="H532" s="86"/>
      <c r="I532" s="89"/>
      <c r="J532" s="86"/>
      <c r="K532" s="86"/>
      <c r="L532" s="89"/>
      <c r="M532" s="86"/>
      <c r="N532" s="86"/>
      <c r="O532" s="89"/>
      <c r="P532" s="86"/>
      <c r="Q532" s="86"/>
      <c r="R532" s="89"/>
      <c r="S532" s="86"/>
      <c r="T532" s="86"/>
      <c r="U532" s="89"/>
      <c r="V532" s="86"/>
      <c r="W532" s="86"/>
      <c r="X532" s="89"/>
      <c r="Y532" s="86"/>
      <c r="Z532" s="86"/>
      <c r="AA532" s="89"/>
      <c r="AB532" s="86"/>
      <c r="AC532" s="86"/>
      <c r="AD532" s="89"/>
      <c r="AE532" s="86"/>
      <c r="AF532" s="86"/>
      <c r="AG532" s="89"/>
    </row>
    <row r="533" spans="1:33" ht="15.75" thickBot="1" x14ac:dyDescent="0.3">
      <c r="A533" s="68"/>
      <c r="B533" s="68"/>
      <c r="D533" s="87"/>
      <c r="E533" s="87"/>
      <c r="F533" s="90"/>
      <c r="G533" s="87"/>
      <c r="H533" s="87"/>
      <c r="I533" s="90"/>
      <c r="J533" s="87"/>
      <c r="K533" s="87"/>
      <c r="L533" s="90"/>
      <c r="M533" s="87"/>
      <c r="N533" s="87"/>
      <c r="O533" s="90"/>
      <c r="P533" s="87"/>
      <c r="Q533" s="87"/>
      <c r="R533" s="90"/>
      <c r="S533" s="87"/>
      <c r="T533" s="87"/>
      <c r="U533" s="90"/>
      <c r="V533" s="87"/>
      <c r="W533" s="87"/>
      <c r="X533" s="90"/>
      <c r="Y533" s="87"/>
      <c r="Z533" s="87"/>
      <c r="AA533" s="90"/>
      <c r="AB533" s="87"/>
      <c r="AC533" s="87"/>
      <c r="AD533" s="90"/>
      <c r="AE533" s="87"/>
      <c r="AF533" s="87"/>
      <c r="AG533" s="90"/>
    </row>
    <row r="534" spans="1:33" ht="15.75" thickBot="1" x14ac:dyDescent="0.3">
      <c r="A534" s="68"/>
      <c r="B534" s="68"/>
      <c r="D534" s="88"/>
      <c r="E534" s="88"/>
      <c r="F534" s="91"/>
      <c r="G534" s="88"/>
      <c r="H534" s="88"/>
      <c r="I534" s="91"/>
      <c r="J534" s="88"/>
      <c r="K534" s="88"/>
      <c r="L534" s="91"/>
      <c r="M534" s="88"/>
      <c r="N534" s="88"/>
      <c r="O534" s="91"/>
      <c r="P534" s="88"/>
      <c r="Q534" s="88"/>
      <c r="R534" s="91"/>
      <c r="S534" s="88"/>
      <c r="T534" s="88"/>
      <c r="U534" s="91"/>
      <c r="V534" s="88"/>
      <c r="W534" s="88"/>
      <c r="X534" s="91"/>
      <c r="Y534" s="88"/>
      <c r="Z534" s="88"/>
      <c r="AA534" s="91"/>
      <c r="AB534" s="88"/>
      <c r="AC534" s="88"/>
      <c r="AD534" s="91"/>
      <c r="AE534" s="88"/>
      <c r="AF534" s="88"/>
      <c r="AG534" s="91"/>
    </row>
    <row r="536" spans="1:33" ht="15.75" thickBot="1" x14ac:dyDescent="0.3"/>
    <row r="537" spans="1:33" ht="15.75" thickBot="1" x14ac:dyDescent="0.3">
      <c r="A537" s="68" t="s">
        <v>274</v>
      </c>
      <c r="B537" s="68"/>
      <c r="D537" s="52" t="s">
        <v>27</v>
      </c>
      <c r="E537" s="52"/>
      <c r="F537" s="52"/>
      <c r="G537" s="73" t="s">
        <v>28</v>
      </c>
      <c r="H537" s="73"/>
      <c r="I537" s="73"/>
      <c r="J537" s="52" t="s">
        <v>29</v>
      </c>
      <c r="K537" s="52"/>
      <c r="L537" s="52"/>
      <c r="M537" s="73" t="s">
        <v>30</v>
      </c>
      <c r="N537" s="73"/>
      <c r="O537" s="73"/>
      <c r="P537" s="52" t="s">
        <v>31</v>
      </c>
      <c r="Q537" s="52"/>
      <c r="R537" s="52"/>
      <c r="S537" s="73" t="s">
        <v>32</v>
      </c>
      <c r="T537" s="73"/>
      <c r="U537" s="73"/>
      <c r="V537" s="52" t="s">
        <v>33</v>
      </c>
      <c r="W537" s="52"/>
      <c r="X537" s="52"/>
      <c r="Y537" s="73" t="s">
        <v>34</v>
      </c>
      <c r="Z537" s="73"/>
      <c r="AA537" s="73"/>
      <c r="AB537" s="52" t="s">
        <v>35</v>
      </c>
      <c r="AC537" s="52"/>
      <c r="AD537" s="52"/>
      <c r="AE537" s="73" t="s">
        <v>36</v>
      </c>
      <c r="AF537" s="73"/>
      <c r="AG537" s="73"/>
    </row>
    <row r="538" spans="1:33" ht="15.75" thickBot="1" x14ac:dyDescent="0.3">
      <c r="A538" s="68"/>
      <c r="B538" s="68"/>
      <c r="C538" s="105" t="s">
        <v>243</v>
      </c>
      <c r="D538" s="75">
        <v>0</v>
      </c>
      <c r="E538" s="75"/>
      <c r="F538" s="76"/>
      <c r="G538" s="74">
        <v>0</v>
      </c>
      <c r="H538" s="75"/>
      <c r="I538" s="76"/>
      <c r="J538" s="74">
        <v>0</v>
      </c>
      <c r="K538" s="75"/>
      <c r="L538" s="76"/>
      <c r="M538" s="74">
        <v>0</v>
      </c>
      <c r="N538" s="75"/>
      <c r="O538" s="76"/>
      <c r="P538" s="74">
        <v>0</v>
      </c>
      <c r="Q538" s="75"/>
      <c r="R538" s="76"/>
      <c r="S538" s="74">
        <v>0</v>
      </c>
      <c r="T538" s="75"/>
      <c r="U538" s="76"/>
      <c r="V538" s="74">
        <v>0</v>
      </c>
      <c r="W538" s="75"/>
      <c r="X538" s="76"/>
      <c r="Y538" s="74">
        <v>0</v>
      </c>
      <c r="Z538" s="75"/>
      <c r="AA538" s="76"/>
      <c r="AB538" s="74">
        <v>0</v>
      </c>
      <c r="AC538" s="75"/>
      <c r="AD538" s="76"/>
      <c r="AE538" s="74">
        <v>0</v>
      </c>
      <c r="AF538" s="75"/>
      <c r="AG538" s="76"/>
    </row>
    <row r="539" spans="1:33" ht="15.75" thickBot="1" x14ac:dyDescent="0.3">
      <c r="A539" s="68"/>
      <c r="B539" s="68"/>
      <c r="C539" s="106" t="s">
        <v>244</v>
      </c>
      <c r="D539" s="82">
        <v>0</v>
      </c>
      <c r="E539" s="82"/>
      <c r="F539" s="84"/>
      <c r="G539" s="85">
        <v>0</v>
      </c>
      <c r="H539" s="82"/>
      <c r="I539" s="84"/>
      <c r="J539" s="85">
        <v>0</v>
      </c>
      <c r="K539" s="82"/>
      <c r="L539" s="84"/>
      <c r="M539" s="85">
        <v>0</v>
      </c>
      <c r="N539" s="82"/>
      <c r="O539" s="82"/>
      <c r="P539" s="81">
        <v>0</v>
      </c>
      <c r="Q539" s="82"/>
      <c r="R539" s="83"/>
      <c r="S539" s="82">
        <v>0</v>
      </c>
      <c r="T539" s="82"/>
      <c r="U539" s="84"/>
      <c r="V539" s="85">
        <v>0</v>
      </c>
      <c r="W539" s="82"/>
      <c r="X539" s="84"/>
      <c r="Y539" s="85">
        <v>0</v>
      </c>
      <c r="Z539" s="82"/>
      <c r="AA539" s="84"/>
      <c r="AB539" s="85">
        <v>0</v>
      </c>
      <c r="AC539" s="82"/>
      <c r="AD539" s="84"/>
      <c r="AE539" s="85">
        <v>0</v>
      </c>
      <c r="AF539" s="82"/>
      <c r="AG539" s="84"/>
    </row>
    <row r="540" spans="1:33" ht="15.75" thickBot="1" x14ac:dyDescent="0.3">
      <c r="A540" s="68"/>
      <c r="B540" s="68"/>
      <c r="C540" s="107" t="s">
        <v>37</v>
      </c>
      <c r="D540" s="104"/>
      <c r="E540" s="86"/>
      <c r="F540" s="89"/>
      <c r="G540" s="86"/>
      <c r="H540" s="86"/>
      <c r="I540" s="89"/>
      <c r="J540" s="86"/>
      <c r="K540" s="86"/>
      <c r="L540" s="89"/>
      <c r="M540" s="86"/>
      <c r="N540" s="86"/>
      <c r="O540" s="89"/>
      <c r="P540" s="86"/>
      <c r="Q540" s="86"/>
      <c r="R540" s="89"/>
      <c r="S540" s="86"/>
      <c r="T540" s="86"/>
      <c r="U540" s="89"/>
      <c r="V540" s="86"/>
      <c r="W540" s="86"/>
      <c r="X540" s="89"/>
      <c r="Y540" s="86"/>
      <c r="Z540" s="86"/>
      <c r="AA540" s="89"/>
      <c r="AB540" s="86"/>
      <c r="AC540" s="86"/>
      <c r="AD540" s="89"/>
      <c r="AE540" s="86"/>
      <c r="AF540" s="86"/>
      <c r="AG540" s="89"/>
    </row>
    <row r="541" spans="1:33" ht="15.75" thickBot="1" x14ac:dyDescent="0.3">
      <c r="A541" s="68"/>
      <c r="B541" s="68"/>
      <c r="D541" s="87"/>
      <c r="E541" s="87"/>
      <c r="F541" s="90"/>
      <c r="G541" s="87"/>
      <c r="H541" s="87"/>
      <c r="I541" s="90"/>
      <c r="J541" s="87"/>
      <c r="K541" s="87"/>
      <c r="L541" s="90"/>
      <c r="M541" s="87"/>
      <c r="N541" s="87"/>
      <c r="O541" s="90"/>
      <c r="P541" s="87"/>
      <c r="Q541" s="87"/>
      <c r="R541" s="90"/>
      <c r="S541" s="87"/>
      <c r="T541" s="87"/>
      <c r="U541" s="90"/>
      <c r="V541" s="87"/>
      <c r="W541" s="87"/>
      <c r="X541" s="90"/>
      <c r="Y541" s="87"/>
      <c r="Z541" s="87"/>
      <c r="AA541" s="90"/>
      <c r="AB541" s="87"/>
      <c r="AC541" s="87"/>
      <c r="AD541" s="90"/>
      <c r="AE541" s="87"/>
      <c r="AF541" s="87"/>
      <c r="AG541" s="90"/>
    </row>
    <row r="542" spans="1:33" ht="15.75" thickBot="1" x14ac:dyDescent="0.3">
      <c r="A542" s="68"/>
      <c r="B542" s="68"/>
      <c r="D542" s="88"/>
      <c r="E542" s="88"/>
      <c r="F542" s="91"/>
      <c r="G542" s="88"/>
      <c r="H542" s="88"/>
      <c r="I542" s="91"/>
      <c r="J542" s="88"/>
      <c r="K542" s="88"/>
      <c r="L542" s="91"/>
      <c r="M542" s="88"/>
      <c r="N542" s="88"/>
      <c r="O542" s="91"/>
      <c r="P542" s="88"/>
      <c r="Q542" s="88"/>
      <c r="R542" s="91"/>
      <c r="S542" s="88"/>
      <c r="T542" s="88"/>
      <c r="U542" s="91"/>
      <c r="V542" s="88"/>
      <c r="W542" s="88"/>
      <c r="X542" s="91"/>
      <c r="Y542" s="88"/>
      <c r="Z542" s="88"/>
      <c r="AA542" s="91"/>
      <c r="AB542" s="88"/>
      <c r="AC542" s="88"/>
      <c r="AD542" s="91"/>
      <c r="AE542" s="88"/>
      <c r="AF542" s="88"/>
      <c r="AG542" s="91"/>
    </row>
  </sheetData>
  <mergeCells count="4148">
    <mergeCell ref="V542:W542"/>
    <mergeCell ref="Y542:Z542"/>
    <mergeCell ref="AB542:AC542"/>
    <mergeCell ref="AE542:AF542"/>
    <mergeCell ref="V541:W541"/>
    <mergeCell ref="Y541:Z541"/>
    <mergeCell ref="AB541:AC541"/>
    <mergeCell ref="AE541:AF541"/>
    <mergeCell ref="D542:E542"/>
    <mergeCell ref="G542:H542"/>
    <mergeCell ref="J542:K542"/>
    <mergeCell ref="M542:N542"/>
    <mergeCell ref="P542:Q542"/>
    <mergeCell ref="S542:T542"/>
    <mergeCell ref="V540:W540"/>
    <mergeCell ref="Y540:Z540"/>
    <mergeCell ref="AB540:AC540"/>
    <mergeCell ref="AE540:AF540"/>
    <mergeCell ref="D541:E541"/>
    <mergeCell ref="G541:H541"/>
    <mergeCell ref="J541:K541"/>
    <mergeCell ref="M541:N541"/>
    <mergeCell ref="P541:Q541"/>
    <mergeCell ref="S541:T541"/>
    <mergeCell ref="V539:X539"/>
    <mergeCell ref="Y539:AA539"/>
    <mergeCell ref="AB539:AD539"/>
    <mergeCell ref="AE539:AG539"/>
    <mergeCell ref="D540:E540"/>
    <mergeCell ref="G540:H540"/>
    <mergeCell ref="J540:K540"/>
    <mergeCell ref="M540:N540"/>
    <mergeCell ref="P540:Q540"/>
    <mergeCell ref="S540:T540"/>
    <mergeCell ref="V538:X538"/>
    <mergeCell ref="Y538:AA538"/>
    <mergeCell ref="AB538:AD538"/>
    <mergeCell ref="AE538:AG538"/>
    <mergeCell ref="D539:F539"/>
    <mergeCell ref="G539:I539"/>
    <mergeCell ref="J539:L539"/>
    <mergeCell ref="M539:O539"/>
    <mergeCell ref="P539:R539"/>
    <mergeCell ref="S539:U539"/>
    <mergeCell ref="D538:F538"/>
    <mergeCell ref="G538:I538"/>
    <mergeCell ref="J538:L538"/>
    <mergeCell ref="M538:O538"/>
    <mergeCell ref="P538:R538"/>
    <mergeCell ref="S538:U538"/>
    <mergeCell ref="P537:R537"/>
    <mergeCell ref="S537:U537"/>
    <mergeCell ref="V537:X537"/>
    <mergeCell ref="Y537:AA537"/>
    <mergeCell ref="AB537:AD537"/>
    <mergeCell ref="AE537:AG537"/>
    <mergeCell ref="S534:T534"/>
    <mergeCell ref="V534:W534"/>
    <mergeCell ref="Y534:Z534"/>
    <mergeCell ref="AB534:AC534"/>
    <mergeCell ref="AE534:AF534"/>
    <mergeCell ref="A537:B542"/>
    <mergeCell ref="D537:F537"/>
    <mergeCell ref="G537:I537"/>
    <mergeCell ref="J537:L537"/>
    <mergeCell ref="M537:O537"/>
    <mergeCell ref="S533:T533"/>
    <mergeCell ref="V533:W533"/>
    <mergeCell ref="Y533:Z533"/>
    <mergeCell ref="AB533:AC533"/>
    <mergeCell ref="AE533:AF533"/>
    <mergeCell ref="D534:E534"/>
    <mergeCell ref="G534:H534"/>
    <mergeCell ref="J534:K534"/>
    <mergeCell ref="M534:N534"/>
    <mergeCell ref="P534:Q534"/>
    <mergeCell ref="S532:T532"/>
    <mergeCell ref="V532:W532"/>
    <mergeCell ref="Y532:Z532"/>
    <mergeCell ref="AB532:AC532"/>
    <mergeCell ref="AE532:AF532"/>
    <mergeCell ref="D533:E533"/>
    <mergeCell ref="G533:H533"/>
    <mergeCell ref="J533:K533"/>
    <mergeCell ref="M533:N533"/>
    <mergeCell ref="P533:Q533"/>
    <mergeCell ref="S531:U531"/>
    <mergeCell ref="V531:X531"/>
    <mergeCell ref="Y531:AA531"/>
    <mergeCell ref="AB531:AD531"/>
    <mergeCell ref="AE531:AG531"/>
    <mergeCell ref="D532:E532"/>
    <mergeCell ref="G532:H532"/>
    <mergeCell ref="J532:K532"/>
    <mergeCell ref="M532:N532"/>
    <mergeCell ref="P532:Q532"/>
    <mergeCell ref="S530:U530"/>
    <mergeCell ref="V530:X530"/>
    <mergeCell ref="Y530:AA530"/>
    <mergeCell ref="AB530:AD530"/>
    <mergeCell ref="AE530:AG530"/>
    <mergeCell ref="D531:F531"/>
    <mergeCell ref="G531:I531"/>
    <mergeCell ref="J531:L531"/>
    <mergeCell ref="M531:O531"/>
    <mergeCell ref="P531:R531"/>
    <mergeCell ref="S529:U529"/>
    <mergeCell ref="V529:X529"/>
    <mergeCell ref="Y529:AA529"/>
    <mergeCell ref="AB529:AD529"/>
    <mergeCell ref="AE529:AG529"/>
    <mergeCell ref="D530:F530"/>
    <mergeCell ref="G530:I530"/>
    <mergeCell ref="J530:L530"/>
    <mergeCell ref="M530:O530"/>
    <mergeCell ref="P530:R530"/>
    <mergeCell ref="V526:W526"/>
    <mergeCell ref="Y526:Z526"/>
    <mergeCell ref="AB526:AC526"/>
    <mergeCell ref="AE526:AF526"/>
    <mergeCell ref="A529:B534"/>
    <mergeCell ref="D529:F529"/>
    <mergeCell ref="G529:I529"/>
    <mergeCell ref="J529:L529"/>
    <mergeCell ref="M529:O529"/>
    <mergeCell ref="P529:R529"/>
    <mergeCell ref="V525:W525"/>
    <mergeCell ref="Y525:Z525"/>
    <mergeCell ref="AB525:AC525"/>
    <mergeCell ref="AE525:AF525"/>
    <mergeCell ref="D526:E526"/>
    <mergeCell ref="G526:H526"/>
    <mergeCell ref="J526:K526"/>
    <mergeCell ref="M526:N526"/>
    <mergeCell ref="P526:Q526"/>
    <mergeCell ref="S526:T526"/>
    <mergeCell ref="V524:W524"/>
    <mergeCell ref="Y524:Z524"/>
    <mergeCell ref="AB524:AC524"/>
    <mergeCell ref="AE524:AF524"/>
    <mergeCell ref="D525:E525"/>
    <mergeCell ref="G525:H525"/>
    <mergeCell ref="J525:K525"/>
    <mergeCell ref="M525:N525"/>
    <mergeCell ref="P525:Q525"/>
    <mergeCell ref="S525:T525"/>
    <mergeCell ref="V523:X523"/>
    <mergeCell ref="Y523:AA523"/>
    <mergeCell ref="AB523:AD523"/>
    <mergeCell ref="AE523:AG523"/>
    <mergeCell ref="D524:E524"/>
    <mergeCell ref="G524:H524"/>
    <mergeCell ref="J524:K524"/>
    <mergeCell ref="M524:N524"/>
    <mergeCell ref="P524:Q524"/>
    <mergeCell ref="S524:T524"/>
    <mergeCell ref="V522:X522"/>
    <mergeCell ref="Y522:AA522"/>
    <mergeCell ref="AB522:AD522"/>
    <mergeCell ref="AE522:AG522"/>
    <mergeCell ref="D523:F523"/>
    <mergeCell ref="G523:I523"/>
    <mergeCell ref="J523:L523"/>
    <mergeCell ref="M523:O523"/>
    <mergeCell ref="P523:R523"/>
    <mergeCell ref="S523:U523"/>
    <mergeCell ref="D522:F522"/>
    <mergeCell ref="G522:I522"/>
    <mergeCell ref="J522:L522"/>
    <mergeCell ref="M522:O522"/>
    <mergeCell ref="P522:R522"/>
    <mergeCell ref="S522:U522"/>
    <mergeCell ref="P521:R521"/>
    <mergeCell ref="S521:U521"/>
    <mergeCell ref="V521:X521"/>
    <mergeCell ref="Y521:AA521"/>
    <mergeCell ref="AB521:AD521"/>
    <mergeCell ref="AE521:AG521"/>
    <mergeCell ref="S518:T518"/>
    <mergeCell ref="V518:W518"/>
    <mergeCell ref="Y518:Z518"/>
    <mergeCell ref="AB518:AC518"/>
    <mergeCell ref="AE518:AF518"/>
    <mergeCell ref="A521:B526"/>
    <mergeCell ref="D521:F521"/>
    <mergeCell ref="G521:I521"/>
    <mergeCell ref="J521:L521"/>
    <mergeCell ref="M521:O521"/>
    <mergeCell ref="S517:T517"/>
    <mergeCell ref="V517:W517"/>
    <mergeCell ref="Y517:Z517"/>
    <mergeCell ref="AB517:AC517"/>
    <mergeCell ref="AE517:AF517"/>
    <mergeCell ref="D518:E518"/>
    <mergeCell ref="G518:H518"/>
    <mergeCell ref="J518:K518"/>
    <mergeCell ref="M518:N518"/>
    <mergeCell ref="P518:Q518"/>
    <mergeCell ref="S516:T516"/>
    <mergeCell ref="V516:W516"/>
    <mergeCell ref="Y516:Z516"/>
    <mergeCell ref="AB516:AC516"/>
    <mergeCell ref="AE516:AF516"/>
    <mergeCell ref="D517:E517"/>
    <mergeCell ref="G517:H517"/>
    <mergeCell ref="J517:K517"/>
    <mergeCell ref="M517:N517"/>
    <mergeCell ref="P517:Q517"/>
    <mergeCell ref="S515:U515"/>
    <mergeCell ref="V515:X515"/>
    <mergeCell ref="Y515:AA515"/>
    <mergeCell ref="AB515:AD515"/>
    <mergeCell ref="AE515:AG515"/>
    <mergeCell ref="D516:E516"/>
    <mergeCell ref="G516:H516"/>
    <mergeCell ref="J516:K516"/>
    <mergeCell ref="M516:N516"/>
    <mergeCell ref="P516:Q516"/>
    <mergeCell ref="S514:U514"/>
    <mergeCell ref="V514:X514"/>
    <mergeCell ref="Y514:AA514"/>
    <mergeCell ref="AB514:AD514"/>
    <mergeCell ref="AE514:AG514"/>
    <mergeCell ref="D515:F515"/>
    <mergeCell ref="G515:I515"/>
    <mergeCell ref="J515:L515"/>
    <mergeCell ref="M515:O515"/>
    <mergeCell ref="P515:R515"/>
    <mergeCell ref="S513:U513"/>
    <mergeCell ref="V513:X513"/>
    <mergeCell ref="Y513:AA513"/>
    <mergeCell ref="AB513:AD513"/>
    <mergeCell ref="AE513:AG513"/>
    <mergeCell ref="D514:F514"/>
    <mergeCell ref="G514:I514"/>
    <mergeCell ref="J514:L514"/>
    <mergeCell ref="M514:O514"/>
    <mergeCell ref="P514:R514"/>
    <mergeCell ref="V510:W510"/>
    <mergeCell ref="Y510:Z510"/>
    <mergeCell ref="AB510:AC510"/>
    <mergeCell ref="AE510:AF510"/>
    <mergeCell ref="A513:B518"/>
    <mergeCell ref="D513:F513"/>
    <mergeCell ref="G513:I513"/>
    <mergeCell ref="J513:L513"/>
    <mergeCell ref="M513:O513"/>
    <mergeCell ref="P513:R513"/>
    <mergeCell ref="V509:W509"/>
    <mergeCell ref="Y509:Z509"/>
    <mergeCell ref="AB509:AC509"/>
    <mergeCell ref="AE509:AF509"/>
    <mergeCell ref="D510:E510"/>
    <mergeCell ref="G510:H510"/>
    <mergeCell ref="J510:K510"/>
    <mergeCell ref="M510:N510"/>
    <mergeCell ref="P510:Q510"/>
    <mergeCell ref="S510:T510"/>
    <mergeCell ref="V508:W508"/>
    <mergeCell ref="Y508:Z508"/>
    <mergeCell ref="AB508:AC508"/>
    <mergeCell ref="AE508:AF508"/>
    <mergeCell ref="D509:E509"/>
    <mergeCell ref="G509:H509"/>
    <mergeCell ref="J509:K509"/>
    <mergeCell ref="M509:N509"/>
    <mergeCell ref="P509:Q509"/>
    <mergeCell ref="S509:T509"/>
    <mergeCell ref="V507:X507"/>
    <mergeCell ref="Y507:AA507"/>
    <mergeCell ref="AB507:AD507"/>
    <mergeCell ref="AE507:AG507"/>
    <mergeCell ref="D508:E508"/>
    <mergeCell ref="G508:H508"/>
    <mergeCell ref="J508:K508"/>
    <mergeCell ref="M508:N508"/>
    <mergeCell ref="P508:Q508"/>
    <mergeCell ref="S508:T508"/>
    <mergeCell ref="V506:X506"/>
    <mergeCell ref="Y506:AA506"/>
    <mergeCell ref="AB506:AD506"/>
    <mergeCell ref="AE506:AG506"/>
    <mergeCell ref="D507:F507"/>
    <mergeCell ref="G507:I507"/>
    <mergeCell ref="J507:L507"/>
    <mergeCell ref="M507:O507"/>
    <mergeCell ref="P507:R507"/>
    <mergeCell ref="S507:U507"/>
    <mergeCell ref="D506:F506"/>
    <mergeCell ref="G506:I506"/>
    <mergeCell ref="J506:L506"/>
    <mergeCell ref="M506:O506"/>
    <mergeCell ref="P506:R506"/>
    <mergeCell ref="S506:U506"/>
    <mergeCell ref="P505:R505"/>
    <mergeCell ref="S505:U505"/>
    <mergeCell ref="V505:X505"/>
    <mergeCell ref="Y505:AA505"/>
    <mergeCell ref="AB505:AD505"/>
    <mergeCell ref="AE505:AG505"/>
    <mergeCell ref="S502:T502"/>
    <mergeCell ref="V502:W502"/>
    <mergeCell ref="Y502:Z502"/>
    <mergeCell ref="AB502:AC502"/>
    <mergeCell ref="AE502:AF502"/>
    <mergeCell ref="A505:B510"/>
    <mergeCell ref="D505:F505"/>
    <mergeCell ref="G505:I505"/>
    <mergeCell ref="J505:L505"/>
    <mergeCell ref="M505:O505"/>
    <mergeCell ref="S501:T501"/>
    <mergeCell ref="V501:W501"/>
    <mergeCell ref="Y501:Z501"/>
    <mergeCell ref="AB501:AC501"/>
    <mergeCell ref="AE501:AF501"/>
    <mergeCell ref="D502:E502"/>
    <mergeCell ref="G502:H502"/>
    <mergeCell ref="J502:K502"/>
    <mergeCell ref="M502:N502"/>
    <mergeCell ref="P502:Q502"/>
    <mergeCell ref="S500:T500"/>
    <mergeCell ref="V500:W500"/>
    <mergeCell ref="Y500:Z500"/>
    <mergeCell ref="AB500:AC500"/>
    <mergeCell ref="AE500:AF500"/>
    <mergeCell ref="D501:E501"/>
    <mergeCell ref="G501:H501"/>
    <mergeCell ref="J501:K501"/>
    <mergeCell ref="M501:N501"/>
    <mergeCell ref="P501:Q501"/>
    <mergeCell ref="S499:U499"/>
    <mergeCell ref="V499:X499"/>
    <mergeCell ref="Y499:AA499"/>
    <mergeCell ref="AB499:AD499"/>
    <mergeCell ref="AE499:AG499"/>
    <mergeCell ref="D500:E500"/>
    <mergeCell ref="G500:H500"/>
    <mergeCell ref="J500:K500"/>
    <mergeCell ref="M500:N500"/>
    <mergeCell ref="P500:Q500"/>
    <mergeCell ref="S498:U498"/>
    <mergeCell ref="V498:X498"/>
    <mergeCell ref="Y498:AA498"/>
    <mergeCell ref="AB498:AD498"/>
    <mergeCell ref="AE498:AG498"/>
    <mergeCell ref="D499:F499"/>
    <mergeCell ref="G499:I499"/>
    <mergeCell ref="J499:L499"/>
    <mergeCell ref="M499:O499"/>
    <mergeCell ref="P499:R499"/>
    <mergeCell ref="S497:U497"/>
    <mergeCell ref="V497:X497"/>
    <mergeCell ref="Y497:AA497"/>
    <mergeCell ref="AB497:AD497"/>
    <mergeCell ref="AE497:AG497"/>
    <mergeCell ref="D498:F498"/>
    <mergeCell ref="G498:I498"/>
    <mergeCell ref="J498:L498"/>
    <mergeCell ref="M498:O498"/>
    <mergeCell ref="P498:R498"/>
    <mergeCell ref="V494:W494"/>
    <mergeCell ref="Y494:Z494"/>
    <mergeCell ref="AB494:AC494"/>
    <mergeCell ref="AE494:AF494"/>
    <mergeCell ref="A497:B502"/>
    <mergeCell ref="D497:F497"/>
    <mergeCell ref="G497:I497"/>
    <mergeCell ref="J497:L497"/>
    <mergeCell ref="M497:O497"/>
    <mergeCell ref="P497:R497"/>
    <mergeCell ref="V493:W493"/>
    <mergeCell ref="Y493:Z493"/>
    <mergeCell ref="AB493:AC493"/>
    <mergeCell ref="AE493:AF493"/>
    <mergeCell ref="D494:E494"/>
    <mergeCell ref="G494:H494"/>
    <mergeCell ref="J494:K494"/>
    <mergeCell ref="M494:N494"/>
    <mergeCell ref="P494:Q494"/>
    <mergeCell ref="S494:T494"/>
    <mergeCell ref="V492:W492"/>
    <mergeCell ref="Y492:Z492"/>
    <mergeCell ref="AB492:AC492"/>
    <mergeCell ref="AE492:AF492"/>
    <mergeCell ref="D493:E493"/>
    <mergeCell ref="G493:H493"/>
    <mergeCell ref="J493:K493"/>
    <mergeCell ref="M493:N493"/>
    <mergeCell ref="P493:Q493"/>
    <mergeCell ref="S493:T493"/>
    <mergeCell ref="V491:X491"/>
    <mergeCell ref="Y491:AA491"/>
    <mergeCell ref="AB491:AD491"/>
    <mergeCell ref="AE491:AG491"/>
    <mergeCell ref="D492:E492"/>
    <mergeCell ref="G492:H492"/>
    <mergeCell ref="J492:K492"/>
    <mergeCell ref="M492:N492"/>
    <mergeCell ref="P492:Q492"/>
    <mergeCell ref="S492:T492"/>
    <mergeCell ref="V490:X490"/>
    <mergeCell ref="Y490:AA490"/>
    <mergeCell ref="AB490:AD490"/>
    <mergeCell ref="AE490:AG490"/>
    <mergeCell ref="D491:F491"/>
    <mergeCell ref="G491:I491"/>
    <mergeCell ref="J491:L491"/>
    <mergeCell ref="M491:O491"/>
    <mergeCell ref="P491:R491"/>
    <mergeCell ref="S491:U491"/>
    <mergeCell ref="D490:F490"/>
    <mergeCell ref="G490:I490"/>
    <mergeCell ref="J490:L490"/>
    <mergeCell ref="M490:O490"/>
    <mergeCell ref="P490:R490"/>
    <mergeCell ref="S490:U490"/>
    <mergeCell ref="P489:R489"/>
    <mergeCell ref="S489:U489"/>
    <mergeCell ref="V489:X489"/>
    <mergeCell ref="Y489:AA489"/>
    <mergeCell ref="AB489:AD489"/>
    <mergeCell ref="AE489:AG489"/>
    <mergeCell ref="S486:T486"/>
    <mergeCell ref="V486:W486"/>
    <mergeCell ref="Y486:Z486"/>
    <mergeCell ref="AB486:AC486"/>
    <mergeCell ref="AE486:AF486"/>
    <mergeCell ref="A489:B494"/>
    <mergeCell ref="D489:F489"/>
    <mergeCell ref="G489:I489"/>
    <mergeCell ref="J489:L489"/>
    <mergeCell ref="M489:O489"/>
    <mergeCell ref="S485:T485"/>
    <mergeCell ref="V485:W485"/>
    <mergeCell ref="Y485:Z485"/>
    <mergeCell ref="AB485:AC485"/>
    <mergeCell ref="AE485:AF485"/>
    <mergeCell ref="D486:E486"/>
    <mergeCell ref="G486:H486"/>
    <mergeCell ref="J486:K486"/>
    <mergeCell ref="M486:N486"/>
    <mergeCell ref="P486:Q486"/>
    <mergeCell ref="S484:T484"/>
    <mergeCell ref="V484:W484"/>
    <mergeCell ref="Y484:Z484"/>
    <mergeCell ref="AB484:AC484"/>
    <mergeCell ref="AE484:AF484"/>
    <mergeCell ref="D485:E485"/>
    <mergeCell ref="G485:H485"/>
    <mergeCell ref="J485:K485"/>
    <mergeCell ref="M485:N485"/>
    <mergeCell ref="P485:Q485"/>
    <mergeCell ref="S483:U483"/>
    <mergeCell ref="V483:X483"/>
    <mergeCell ref="Y483:AA483"/>
    <mergeCell ref="AB483:AD483"/>
    <mergeCell ref="AE483:AG483"/>
    <mergeCell ref="D484:E484"/>
    <mergeCell ref="G484:H484"/>
    <mergeCell ref="J484:K484"/>
    <mergeCell ref="M484:N484"/>
    <mergeCell ref="P484:Q484"/>
    <mergeCell ref="S482:U482"/>
    <mergeCell ref="V482:X482"/>
    <mergeCell ref="Y482:AA482"/>
    <mergeCell ref="AB482:AD482"/>
    <mergeCell ref="AE482:AG482"/>
    <mergeCell ref="D483:F483"/>
    <mergeCell ref="G483:I483"/>
    <mergeCell ref="J483:L483"/>
    <mergeCell ref="M483:O483"/>
    <mergeCell ref="P483:R483"/>
    <mergeCell ref="S481:U481"/>
    <mergeCell ref="V481:X481"/>
    <mergeCell ref="Y481:AA481"/>
    <mergeCell ref="AB481:AD481"/>
    <mergeCell ref="AE481:AG481"/>
    <mergeCell ref="D482:F482"/>
    <mergeCell ref="G482:I482"/>
    <mergeCell ref="J482:L482"/>
    <mergeCell ref="M482:O482"/>
    <mergeCell ref="P482:R482"/>
    <mergeCell ref="V478:W478"/>
    <mergeCell ref="Y478:Z478"/>
    <mergeCell ref="AB478:AC478"/>
    <mergeCell ref="AE478:AF478"/>
    <mergeCell ref="A481:B486"/>
    <mergeCell ref="D481:F481"/>
    <mergeCell ref="G481:I481"/>
    <mergeCell ref="J481:L481"/>
    <mergeCell ref="M481:O481"/>
    <mergeCell ref="P481:R481"/>
    <mergeCell ref="V477:W477"/>
    <mergeCell ref="Y477:Z477"/>
    <mergeCell ref="AB477:AC477"/>
    <mergeCell ref="AE477:AF477"/>
    <mergeCell ref="D478:E478"/>
    <mergeCell ref="G478:H478"/>
    <mergeCell ref="J478:K478"/>
    <mergeCell ref="M478:N478"/>
    <mergeCell ref="P478:Q478"/>
    <mergeCell ref="S478:T478"/>
    <mergeCell ref="V476:W476"/>
    <mergeCell ref="Y476:Z476"/>
    <mergeCell ref="AB476:AC476"/>
    <mergeCell ref="AE476:AF476"/>
    <mergeCell ref="D477:E477"/>
    <mergeCell ref="G477:H477"/>
    <mergeCell ref="J477:K477"/>
    <mergeCell ref="M477:N477"/>
    <mergeCell ref="P477:Q477"/>
    <mergeCell ref="S477:T477"/>
    <mergeCell ref="V475:X475"/>
    <mergeCell ref="Y475:AA475"/>
    <mergeCell ref="AB475:AD475"/>
    <mergeCell ref="AE475:AG475"/>
    <mergeCell ref="D476:E476"/>
    <mergeCell ref="G476:H476"/>
    <mergeCell ref="J476:K476"/>
    <mergeCell ref="M476:N476"/>
    <mergeCell ref="P476:Q476"/>
    <mergeCell ref="S476:T476"/>
    <mergeCell ref="V474:X474"/>
    <mergeCell ref="Y474:AA474"/>
    <mergeCell ref="AB474:AD474"/>
    <mergeCell ref="AE474:AG474"/>
    <mergeCell ref="D475:F475"/>
    <mergeCell ref="G475:I475"/>
    <mergeCell ref="J475:L475"/>
    <mergeCell ref="M475:O475"/>
    <mergeCell ref="P475:R475"/>
    <mergeCell ref="S475:U475"/>
    <mergeCell ref="D474:F474"/>
    <mergeCell ref="G474:I474"/>
    <mergeCell ref="J474:L474"/>
    <mergeCell ref="M474:O474"/>
    <mergeCell ref="P474:R474"/>
    <mergeCell ref="S474:U474"/>
    <mergeCell ref="P473:R473"/>
    <mergeCell ref="S473:U473"/>
    <mergeCell ref="V473:X473"/>
    <mergeCell ref="Y473:AA473"/>
    <mergeCell ref="AB473:AD473"/>
    <mergeCell ref="AE473:AG473"/>
    <mergeCell ref="S470:T470"/>
    <mergeCell ref="V470:W470"/>
    <mergeCell ref="Y470:Z470"/>
    <mergeCell ref="AB470:AC470"/>
    <mergeCell ref="AE470:AF470"/>
    <mergeCell ref="A473:B478"/>
    <mergeCell ref="D473:F473"/>
    <mergeCell ref="G473:I473"/>
    <mergeCell ref="J473:L473"/>
    <mergeCell ref="M473:O473"/>
    <mergeCell ref="S469:T469"/>
    <mergeCell ref="V469:W469"/>
    <mergeCell ref="Y469:Z469"/>
    <mergeCell ref="AB469:AC469"/>
    <mergeCell ref="AE469:AF469"/>
    <mergeCell ref="D470:E470"/>
    <mergeCell ref="G470:H470"/>
    <mergeCell ref="J470:K470"/>
    <mergeCell ref="M470:N470"/>
    <mergeCell ref="P470:Q470"/>
    <mergeCell ref="S468:T468"/>
    <mergeCell ref="V468:W468"/>
    <mergeCell ref="Y468:Z468"/>
    <mergeCell ref="AB468:AC468"/>
    <mergeCell ref="AE468:AF468"/>
    <mergeCell ref="D469:E469"/>
    <mergeCell ref="G469:H469"/>
    <mergeCell ref="J469:K469"/>
    <mergeCell ref="M469:N469"/>
    <mergeCell ref="P469:Q469"/>
    <mergeCell ref="S467:U467"/>
    <mergeCell ref="V467:X467"/>
    <mergeCell ref="Y467:AA467"/>
    <mergeCell ref="AB467:AD467"/>
    <mergeCell ref="AE467:AG467"/>
    <mergeCell ref="D468:E468"/>
    <mergeCell ref="G468:H468"/>
    <mergeCell ref="J468:K468"/>
    <mergeCell ref="M468:N468"/>
    <mergeCell ref="P468:Q468"/>
    <mergeCell ref="S466:U466"/>
    <mergeCell ref="V466:X466"/>
    <mergeCell ref="Y466:AA466"/>
    <mergeCell ref="AB466:AD466"/>
    <mergeCell ref="AE466:AG466"/>
    <mergeCell ref="D467:F467"/>
    <mergeCell ref="G467:I467"/>
    <mergeCell ref="J467:L467"/>
    <mergeCell ref="M467:O467"/>
    <mergeCell ref="P467:R467"/>
    <mergeCell ref="S465:U465"/>
    <mergeCell ref="V465:X465"/>
    <mergeCell ref="Y465:AA465"/>
    <mergeCell ref="AB465:AD465"/>
    <mergeCell ref="AE465:AG465"/>
    <mergeCell ref="D466:F466"/>
    <mergeCell ref="G466:I466"/>
    <mergeCell ref="J466:L466"/>
    <mergeCell ref="M466:O466"/>
    <mergeCell ref="P466:R466"/>
    <mergeCell ref="V462:W462"/>
    <mergeCell ref="Y462:Z462"/>
    <mergeCell ref="AB462:AC462"/>
    <mergeCell ref="AE462:AF462"/>
    <mergeCell ref="A465:B470"/>
    <mergeCell ref="D465:F465"/>
    <mergeCell ref="G465:I465"/>
    <mergeCell ref="J465:L465"/>
    <mergeCell ref="M465:O465"/>
    <mergeCell ref="P465:R465"/>
    <mergeCell ref="V461:W461"/>
    <mergeCell ref="Y461:Z461"/>
    <mergeCell ref="AB461:AC461"/>
    <mergeCell ref="AE461:AF461"/>
    <mergeCell ref="D462:E462"/>
    <mergeCell ref="G462:H462"/>
    <mergeCell ref="J462:K462"/>
    <mergeCell ref="M462:N462"/>
    <mergeCell ref="P462:Q462"/>
    <mergeCell ref="S462:T462"/>
    <mergeCell ref="V460:W460"/>
    <mergeCell ref="Y460:Z460"/>
    <mergeCell ref="AB460:AC460"/>
    <mergeCell ref="AE460:AF460"/>
    <mergeCell ref="D461:E461"/>
    <mergeCell ref="G461:H461"/>
    <mergeCell ref="J461:K461"/>
    <mergeCell ref="M461:N461"/>
    <mergeCell ref="P461:Q461"/>
    <mergeCell ref="S461:T461"/>
    <mergeCell ref="V459:X459"/>
    <mergeCell ref="Y459:AA459"/>
    <mergeCell ref="AB459:AD459"/>
    <mergeCell ref="AE459:AG459"/>
    <mergeCell ref="D460:E460"/>
    <mergeCell ref="G460:H460"/>
    <mergeCell ref="J460:K460"/>
    <mergeCell ref="M460:N460"/>
    <mergeCell ref="P460:Q460"/>
    <mergeCell ref="S460:T460"/>
    <mergeCell ref="V458:X458"/>
    <mergeCell ref="Y458:AA458"/>
    <mergeCell ref="AB458:AD458"/>
    <mergeCell ref="AE458:AG458"/>
    <mergeCell ref="D459:F459"/>
    <mergeCell ref="G459:I459"/>
    <mergeCell ref="J459:L459"/>
    <mergeCell ref="M459:O459"/>
    <mergeCell ref="P459:R459"/>
    <mergeCell ref="S459:U459"/>
    <mergeCell ref="D458:F458"/>
    <mergeCell ref="G458:I458"/>
    <mergeCell ref="J458:L458"/>
    <mergeCell ref="M458:O458"/>
    <mergeCell ref="P458:R458"/>
    <mergeCell ref="S458:U458"/>
    <mergeCell ref="P457:R457"/>
    <mergeCell ref="S457:U457"/>
    <mergeCell ref="V457:X457"/>
    <mergeCell ref="Y457:AA457"/>
    <mergeCell ref="AB457:AD457"/>
    <mergeCell ref="AE457:AG457"/>
    <mergeCell ref="S454:T454"/>
    <mergeCell ref="V454:W454"/>
    <mergeCell ref="Y454:Z454"/>
    <mergeCell ref="AB454:AC454"/>
    <mergeCell ref="AE454:AF454"/>
    <mergeCell ref="A457:B462"/>
    <mergeCell ref="D457:F457"/>
    <mergeCell ref="G457:I457"/>
    <mergeCell ref="J457:L457"/>
    <mergeCell ref="M457:O457"/>
    <mergeCell ref="S453:T453"/>
    <mergeCell ref="V453:W453"/>
    <mergeCell ref="Y453:Z453"/>
    <mergeCell ref="AB453:AC453"/>
    <mergeCell ref="AE453:AF453"/>
    <mergeCell ref="D454:E454"/>
    <mergeCell ref="G454:H454"/>
    <mergeCell ref="J454:K454"/>
    <mergeCell ref="M454:N454"/>
    <mergeCell ref="P454:Q454"/>
    <mergeCell ref="S452:T452"/>
    <mergeCell ref="V452:W452"/>
    <mergeCell ref="Y452:Z452"/>
    <mergeCell ref="AB452:AC452"/>
    <mergeCell ref="AE452:AF452"/>
    <mergeCell ref="D453:E453"/>
    <mergeCell ref="G453:H453"/>
    <mergeCell ref="J453:K453"/>
    <mergeCell ref="M453:N453"/>
    <mergeCell ref="P453:Q453"/>
    <mergeCell ref="S451:U451"/>
    <mergeCell ref="V451:X451"/>
    <mergeCell ref="Y451:AA451"/>
    <mergeCell ref="AB451:AD451"/>
    <mergeCell ref="AE451:AG451"/>
    <mergeCell ref="D452:E452"/>
    <mergeCell ref="G452:H452"/>
    <mergeCell ref="J452:K452"/>
    <mergeCell ref="M452:N452"/>
    <mergeCell ref="P452:Q452"/>
    <mergeCell ref="S450:U450"/>
    <mergeCell ref="V450:X450"/>
    <mergeCell ref="Y450:AA450"/>
    <mergeCell ref="AB450:AD450"/>
    <mergeCell ref="AE450:AG450"/>
    <mergeCell ref="D451:F451"/>
    <mergeCell ref="G451:I451"/>
    <mergeCell ref="J451:L451"/>
    <mergeCell ref="M451:O451"/>
    <mergeCell ref="P451:R451"/>
    <mergeCell ref="S449:U449"/>
    <mergeCell ref="V449:X449"/>
    <mergeCell ref="Y449:AA449"/>
    <mergeCell ref="AB449:AD449"/>
    <mergeCell ref="AE449:AG449"/>
    <mergeCell ref="D450:F450"/>
    <mergeCell ref="G450:I450"/>
    <mergeCell ref="J450:L450"/>
    <mergeCell ref="M450:O450"/>
    <mergeCell ref="P450:R450"/>
    <mergeCell ref="V446:W446"/>
    <mergeCell ref="Y446:Z446"/>
    <mergeCell ref="AB446:AC446"/>
    <mergeCell ref="AE446:AF446"/>
    <mergeCell ref="A449:B454"/>
    <mergeCell ref="D449:F449"/>
    <mergeCell ref="G449:I449"/>
    <mergeCell ref="J449:L449"/>
    <mergeCell ref="M449:O449"/>
    <mergeCell ref="P449:R449"/>
    <mergeCell ref="V445:W445"/>
    <mergeCell ref="Y445:Z445"/>
    <mergeCell ref="AB445:AC445"/>
    <mergeCell ref="AE445:AF445"/>
    <mergeCell ref="D446:E446"/>
    <mergeCell ref="G446:H446"/>
    <mergeCell ref="J446:K446"/>
    <mergeCell ref="M446:N446"/>
    <mergeCell ref="P446:Q446"/>
    <mergeCell ref="S446:T446"/>
    <mergeCell ref="V444:W444"/>
    <mergeCell ref="Y444:Z444"/>
    <mergeCell ref="AB444:AC444"/>
    <mergeCell ref="AE444:AF444"/>
    <mergeCell ref="D445:E445"/>
    <mergeCell ref="G445:H445"/>
    <mergeCell ref="J445:K445"/>
    <mergeCell ref="M445:N445"/>
    <mergeCell ref="P445:Q445"/>
    <mergeCell ref="S445:T445"/>
    <mergeCell ref="V443:X443"/>
    <mergeCell ref="Y443:AA443"/>
    <mergeCell ref="AB443:AD443"/>
    <mergeCell ref="AE443:AG443"/>
    <mergeCell ref="D444:E444"/>
    <mergeCell ref="G444:H444"/>
    <mergeCell ref="J444:K444"/>
    <mergeCell ref="M444:N444"/>
    <mergeCell ref="P444:Q444"/>
    <mergeCell ref="S444:T444"/>
    <mergeCell ref="V442:X442"/>
    <mergeCell ref="Y442:AA442"/>
    <mergeCell ref="AB442:AD442"/>
    <mergeCell ref="AE442:AG442"/>
    <mergeCell ref="D443:F443"/>
    <mergeCell ref="G443:I443"/>
    <mergeCell ref="J443:L443"/>
    <mergeCell ref="M443:O443"/>
    <mergeCell ref="P443:R443"/>
    <mergeCell ref="S443:U443"/>
    <mergeCell ref="D442:F442"/>
    <mergeCell ref="G442:I442"/>
    <mergeCell ref="J442:L442"/>
    <mergeCell ref="M442:O442"/>
    <mergeCell ref="P442:R442"/>
    <mergeCell ref="S442:U442"/>
    <mergeCell ref="P441:R441"/>
    <mergeCell ref="S441:U441"/>
    <mergeCell ref="V441:X441"/>
    <mergeCell ref="Y441:AA441"/>
    <mergeCell ref="AB441:AD441"/>
    <mergeCell ref="AE441:AG441"/>
    <mergeCell ref="S438:T438"/>
    <mergeCell ref="V438:W438"/>
    <mergeCell ref="Y438:Z438"/>
    <mergeCell ref="AB438:AC438"/>
    <mergeCell ref="AE438:AF438"/>
    <mergeCell ref="A441:B446"/>
    <mergeCell ref="D441:F441"/>
    <mergeCell ref="G441:I441"/>
    <mergeCell ref="J441:L441"/>
    <mergeCell ref="M441:O441"/>
    <mergeCell ref="S437:T437"/>
    <mergeCell ref="V437:W437"/>
    <mergeCell ref="Y437:Z437"/>
    <mergeCell ref="AB437:AC437"/>
    <mergeCell ref="AE437:AF437"/>
    <mergeCell ref="D438:E438"/>
    <mergeCell ref="G438:H438"/>
    <mergeCell ref="J438:K438"/>
    <mergeCell ref="M438:N438"/>
    <mergeCell ref="P438:Q438"/>
    <mergeCell ref="S436:T436"/>
    <mergeCell ref="V436:W436"/>
    <mergeCell ref="Y436:Z436"/>
    <mergeCell ref="AB436:AC436"/>
    <mergeCell ref="AE436:AF436"/>
    <mergeCell ref="D437:E437"/>
    <mergeCell ref="G437:H437"/>
    <mergeCell ref="J437:K437"/>
    <mergeCell ref="M437:N437"/>
    <mergeCell ref="P437:Q437"/>
    <mergeCell ref="S435:U435"/>
    <mergeCell ref="V435:X435"/>
    <mergeCell ref="Y435:AA435"/>
    <mergeCell ref="AB435:AD435"/>
    <mergeCell ref="AE435:AG435"/>
    <mergeCell ref="D436:E436"/>
    <mergeCell ref="G436:H436"/>
    <mergeCell ref="J436:K436"/>
    <mergeCell ref="M436:N436"/>
    <mergeCell ref="P436:Q436"/>
    <mergeCell ref="S434:U434"/>
    <mergeCell ref="V434:X434"/>
    <mergeCell ref="Y434:AA434"/>
    <mergeCell ref="AB434:AD434"/>
    <mergeCell ref="AE434:AG434"/>
    <mergeCell ref="D435:F435"/>
    <mergeCell ref="G435:I435"/>
    <mergeCell ref="J435:L435"/>
    <mergeCell ref="M435:O435"/>
    <mergeCell ref="P435:R435"/>
    <mergeCell ref="S433:U433"/>
    <mergeCell ref="V433:X433"/>
    <mergeCell ref="Y433:AA433"/>
    <mergeCell ref="AB433:AD433"/>
    <mergeCell ref="AE433:AG433"/>
    <mergeCell ref="D434:F434"/>
    <mergeCell ref="G434:I434"/>
    <mergeCell ref="J434:L434"/>
    <mergeCell ref="M434:O434"/>
    <mergeCell ref="P434:R434"/>
    <mergeCell ref="V430:W430"/>
    <mergeCell ref="Y430:Z430"/>
    <mergeCell ref="AB430:AC430"/>
    <mergeCell ref="AE430:AF430"/>
    <mergeCell ref="A433:B438"/>
    <mergeCell ref="D433:F433"/>
    <mergeCell ref="G433:I433"/>
    <mergeCell ref="J433:L433"/>
    <mergeCell ref="M433:O433"/>
    <mergeCell ref="P433:R433"/>
    <mergeCell ref="V429:W429"/>
    <mergeCell ref="Y429:Z429"/>
    <mergeCell ref="AB429:AC429"/>
    <mergeCell ref="AE429:AF429"/>
    <mergeCell ref="D430:E430"/>
    <mergeCell ref="G430:H430"/>
    <mergeCell ref="J430:K430"/>
    <mergeCell ref="M430:N430"/>
    <mergeCell ref="P430:Q430"/>
    <mergeCell ref="S430:T430"/>
    <mergeCell ref="V428:W428"/>
    <mergeCell ref="Y428:Z428"/>
    <mergeCell ref="AB428:AC428"/>
    <mergeCell ref="AE428:AF428"/>
    <mergeCell ref="D429:E429"/>
    <mergeCell ref="G429:H429"/>
    <mergeCell ref="J429:K429"/>
    <mergeCell ref="M429:N429"/>
    <mergeCell ref="P429:Q429"/>
    <mergeCell ref="S429:T429"/>
    <mergeCell ref="V427:X427"/>
    <mergeCell ref="Y427:AA427"/>
    <mergeCell ref="AB427:AD427"/>
    <mergeCell ref="AE427:AG427"/>
    <mergeCell ref="D428:E428"/>
    <mergeCell ref="G428:H428"/>
    <mergeCell ref="J428:K428"/>
    <mergeCell ref="M428:N428"/>
    <mergeCell ref="P428:Q428"/>
    <mergeCell ref="S428:T428"/>
    <mergeCell ref="V426:X426"/>
    <mergeCell ref="Y426:AA426"/>
    <mergeCell ref="AB426:AD426"/>
    <mergeCell ref="AE426:AG426"/>
    <mergeCell ref="D427:F427"/>
    <mergeCell ref="G427:I427"/>
    <mergeCell ref="J427:L427"/>
    <mergeCell ref="M427:O427"/>
    <mergeCell ref="P427:R427"/>
    <mergeCell ref="S427:U427"/>
    <mergeCell ref="D426:F426"/>
    <mergeCell ref="G426:I426"/>
    <mergeCell ref="J426:L426"/>
    <mergeCell ref="M426:O426"/>
    <mergeCell ref="P426:R426"/>
    <mergeCell ref="S426:U426"/>
    <mergeCell ref="P425:R425"/>
    <mergeCell ref="S425:U425"/>
    <mergeCell ref="V425:X425"/>
    <mergeCell ref="Y425:AA425"/>
    <mergeCell ref="AB425:AD425"/>
    <mergeCell ref="AE425:AG425"/>
    <mergeCell ref="S422:T422"/>
    <mergeCell ref="V422:W422"/>
    <mergeCell ref="Y422:Z422"/>
    <mergeCell ref="AB422:AC422"/>
    <mergeCell ref="AE422:AF422"/>
    <mergeCell ref="A425:B430"/>
    <mergeCell ref="D425:F425"/>
    <mergeCell ref="G425:I425"/>
    <mergeCell ref="J425:L425"/>
    <mergeCell ref="M425:O425"/>
    <mergeCell ref="S421:T421"/>
    <mergeCell ref="V421:W421"/>
    <mergeCell ref="Y421:Z421"/>
    <mergeCell ref="AB421:AC421"/>
    <mergeCell ref="AE421:AF421"/>
    <mergeCell ref="D422:E422"/>
    <mergeCell ref="G422:H422"/>
    <mergeCell ref="J422:K422"/>
    <mergeCell ref="M422:N422"/>
    <mergeCell ref="P422:Q422"/>
    <mergeCell ref="S420:T420"/>
    <mergeCell ref="V420:W420"/>
    <mergeCell ref="Y420:Z420"/>
    <mergeCell ref="AB420:AC420"/>
    <mergeCell ref="AE420:AF420"/>
    <mergeCell ref="D421:E421"/>
    <mergeCell ref="G421:H421"/>
    <mergeCell ref="J421:K421"/>
    <mergeCell ref="M421:N421"/>
    <mergeCell ref="P421:Q421"/>
    <mergeCell ref="S419:U419"/>
    <mergeCell ref="V419:X419"/>
    <mergeCell ref="Y419:AA419"/>
    <mergeCell ref="AB419:AD419"/>
    <mergeCell ref="AE419:AG419"/>
    <mergeCell ref="D420:E420"/>
    <mergeCell ref="G420:H420"/>
    <mergeCell ref="J420:K420"/>
    <mergeCell ref="M420:N420"/>
    <mergeCell ref="P420:Q420"/>
    <mergeCell ref="S418:U418"/>
    <mergeCell ref="V418:X418"/>
    <mergeCell ref="Y418:AA418"/>
    <mergeCell ref="AB418:AD418"/>
    <mergeCell ref="AE418:AG418"/>
    <mergeCell ref="D419:F419"/>
    <mergeCell ref="G419:I419"/>
    <mergeCell ref="J419:L419"/>
    <mergeCell ref="M419:O419"/>
    <mergeCell ref="P419:R419"/>
    <mergeCell ref="S417:U417"/>
    <mergeCell ref="V417:X417"/>
    <mergeCell ref="Y417:AA417"/>
    <mergeCell ref="AB417:AD417"/>
    <mergeCell ref="AE417:AG417"/>
    <mergeCell ref="D418:F418"/>
    <mergeCell ref="G418:I418"/>
    <mergeCell ref="J418:L418"/>
    <mergeCell ref="M418:O418"/>
    <mergeCell ref="P418:R418"/>
    <mergeCell ref="V414:W414"/>
    <mergeCell ref="Y414:Z414"/>
    <mergeCell ref="AB414:AC414"/>
    <mergeCell ref="AE414:AF414"/>
    <mergeCell ref="A417:B422"/>
    <mergeCell ref="D417:F417"/>
    <mergeCell ref="G417:I417"/>
    <mergeCell ref="J417:L417"/>
    <mergeCell ref="M417:O417"/>
    <mergeCell ref="P417:R417"/>
    <mergeCell ref="V413:W413"/>
    <mergeCell ref="Y413:Z413"/>
    <mergeCell ref="AB413:AC413"/>
    <mergeCell ref="AE413:AF413"/>
    <mergeCell ref="D414:E414"/>
    <mergeCell ref="G414:H414"/>
    <mergeCell ref="J414:K414"/>
    <mergeCell ref="M414:N414"/>
    <mergeCell ref="P414:Q414"/>
    <mergeCell ref="S414:T414"/>
    <mergeCell ref="V412:W412"/>
    <mergeCell ref="Y412:Z412"/>
    <mergeCell ref="AB412:AC412"/>
    <mergeCell ref="AE412:AF412"/>
    <mergeCell ref="D413:E413"/>
    <mergeCell ref="G413:H413"/>
    <mergeCell ref="J413:K413"/>
    <mergeCell ref="M413:N413"/>
    <mergeCell ref="P413:Q413"/>
    <mergeCell ref="S413:T413"/>
    <mergeCell ref="V411:X411"/>
    <mergeCell ref="Y411:AA411"/>
    <mergeCell ref="AB411:AD411"/>
    <mergeCell ref="AE411:AG411"/>
    <mergeCell ref="D412:E412"/>
    <mergeCell ref="G412:H412"/>
    <mergeCell ref="J412:K412"/>
    <mergeCell ref="M412:N412"/>
    <mergeCell ref="P412:Q412"/>
    <mergeCell ref="S412:T412"/>
    <mergeCell ref="V410:X410"/>
    <mergeCell ref="Y410:AA410"/>
    <mergeCell ref="AB410:AD410"/>
    <mergeCell ref="AE410:AG410"/>
    <mergeCell ref="D411:F411"/>
    <mergeCell ref="G411:I411"/>
    <mergeCell ref="J411:L411"/>
    <mergeCell ref="M411:O411"/>
    <mergeCell ref="P411:R411"/>
    <mergeCell ref="S411:U411"/>
    <mergeCell ref="D410:F410"/>
    <mergeCell ref="G410:I410"/>
    <mergeCell ref="J410:L410"/>
    <mergeCell ref="M410:O410"/>
    <mergeCell ref="P410:R410"/>
    <mergeCell ref="S410:U410"/>
    <mergeCell ref="P409:R409"/>
    <mergeCell ref="S409:U409"/>
    <mergeCell ref="V409:X409"/>
    <mergeCell ref="Y409:AA409"/>
    <mergeCell ref="AB409:AD409"/>
    <mergeCell ref="AE409:AG409"/>
    <mergeCell ref="S406:T406"/>
    <mergeCell ref="V406:W406"/>
    <mergeCell ref="Y406:Z406"/>
    <mergeCell ref="AB406:AC406"/>
    <mergeCell ref="AE406:AF406"/>
    <mergeCell ref="A409:B414"/>
    <mergeCell ref="D409:F409"/>
    <mergeCell ref="G409:I409"/>
    <mergeCell ref="J409:L409"/>
    <mergeCell ref="M409:O409"/>
    <mergeCell ref="S405:T405"/>
    <mergeCell ref="V405:W405"/>
    <mergeCell ref="Y405:Z405"/>
    <mergeCell ref="AB405:AC405"/>
    <mergeCell ref="AE405:AF405"/>
    <mergeCell ref="D406:E406"/>
    <mergeCell ref="G406:H406"/>
    <mergeCell ref="J406:K406"/>
    <mergeCell ref="M406:N406"/>
    <mergeCell ref="P406:Q406"/>
    <mergeCell ref="S404:T404"/>
    <mergeCell ref="V404:W404"/>
    <mergeCell ref="Y404:Z404"/>
    <mergeCell ref="AB404:AC404"/>
    <mergeCell ref="AE404:AF404"/>
    <mergeCell ref="D405:E405"/>
    <mergeCell ref="G405:H405"/>
    <mergeCell ref="J405:K405"/>
    <mergeCell ref="M405:N405"/>
    <mergeCell ref="P405:Q405"/>
    <mergeCell ref="S403:U403"/>
    <mergeCell ref="V403:X403"/>
    <mergeCell ref="Y403:AA403"/>
    <mergeCell ref="AB403:AD403"/>
    <mergeCell ref="AE403:AG403"/>
    <mergeCell ref="D404:E404"/>
    <mergeCell ref="G404:H404"/>
    <mergeCell ref="J404:K404"/>
    <mergeCell ref="M404:N404"/>
    <mergeCell ref="P404:Q404"/>
    <mergeCell ref="S402:U402"/>
    <mergeCell ref="V402:X402"/>
    <mergeCell ref="Y402:AA402"/>
    <mergeCell ref="AB402:AD402"/>
    <mergeCell ref="AE402:AG402"/>
    <mergeCell ref="D403:F403"/>
    <mergeCell ref="G403:I403"/>
    <mergeCell ref="J403:L403"/>
    <mergeCell ref="M403:O403"/>
    <mergeCell ref="P403:R403"/>
    <mergeCell ref="S401:U401"/>
    <mergeCell ref="V401:X401"/>
    <mergeCell ref="Y401:AA401"/>
    <mergeCell ref="AB401:AD401"/>
    <mergeCell ref="AE401:AG401"/>
    <mergeCell ref="D402:F402"/>
    <mergeCell ref="G402:I402"/>
    <mergeCell ref="J402:L402"/>
    <mergeCell ref="M402:O402"/>
    <mergeCell ref="P402:R402"/>
    <mergeCell ref="V398:W398"/>
    <mergeCell ref="Y398:Z398"/>
    <mergeCell ref="AB398:AC398"/>
    <mergeCell ref="AE398:AF398"/>
    <mergeCell ref="A401:B406"/>
    <mergeCell ref="D401:F401"/>
    <mergeCell ref="G401:I401"/>
    <mergeCell ref="J401:L401"/>
    <mergeCell ref="M401:O401"/>
    <mergeCell ref="P401:R401"/>
    <mergeCell ref="V397:W397"/>
    <mergeCell ref="Y397:Z397"/>
    <mergeCell ref="AB397:AC397"/>
    <mergeCell ref="AE397:AF397"/>
    <mergeCell ref="D398:E398"/>
    <mergeCell ref="G398:H398"/>
    <mergeCell ref="J398:K398"/>
    <mergeCell ref="M398:N398"/>
    <mergeCell ref="P398:Q398"/>
    <mergeCell ref="S398:T398"/>
    <mergeCell ref="V396:W396"/>
    <mergeCell ref="Y396:Z396"/>
    <mergeCell ref="AB396:AC396"/>
    <mergeCell ref="AE396:AF396"/>
    <mergeCell ref="D397:E397"/>
    <mergeCell ref="G397:H397"/>
    <mergeCell ref="J397:K397"/>
    <mergeCell ref="M397:N397"/>
    <mergeCell ref="P397:Q397"/>
    <mergeCell ref="S397:T397"/>
    <mergeCell ref="V395:X395"/>
    <mergeCell ref="Y395:AA395"/>
    <mergeCell ref="AB395:AD395"/>
    <mergeCell ref="AE395:AG395"/>
    <mergeCell ref="D396:E396"/>
    <mergeCell ref="G396:H396"/>
    <mergeCell ref="J396:K396"/>
    <mergeCell ref="M396:N396"/>
    <mergeCell ref="P396:Q396"/>
    <mergeCell ref="S396:T396"/>
    <mergeCell ref="V394:X394"/>
    <mergeCell ref="Y394:AA394"/>
    <mergeCell ref="AB394:AD394"/>
    <mergeCell ref="AE394:AG394"/>
    <mergeCell ref="D395:F395"/>
    <mergeCell ref="G395:I395"/>
    <mergeCell ref="J395:L395"/>
    <mergeCell ref="M395:O395"/>
    <mergeCell ref="P395:R395"/>
    <mergeCell ref="S395:U395"/>
    <mergeCell ref="D394:F394"/>
    <mergeCell ref="G394:I394"/>
    <mergeCell ref="J394:L394"/>
    <mergeCell ref="M394:O394"/>
    <mergeCell ref="P394:R394"/>
    <mergeCell ref="S394:U394"/>
    <mergeCell ref="P393:R393"/>
    <mergeCell ref="S393:U393"/>
    <mergeCell ref="V393:X393"/>
    <mergeCell ref="Y393:AA393"/>
    <mergeCell ref="AB393:AD393"/>
    <mergeCell ref="AE393:AG393"/>
    <mergeCell ref="S390:T390"/>
    <mergeCell ref="V390:W390"/>
    <mergeCell ref="Y390:Z390"/>
    <mergeCell ref="AB390:AC390"/>
    <mergeCell ref="AE390:AF390"/>
    <mergeCell ref="A393:B398"/>
    <mergeCell ref="D393:F393"/>
    <mergeCell ref="G393:I393"/>
    <mergeCell ref="J393:L393"/>
    <mergeCell ref="M393:O393"/>
    <mergeCell ref="S389:T389"/>
    <mergeCell ref="V389:W389"/>
    <mergeCell ref="Y389:Z389"/>
    <mergeCell ref="AB389:AC389"/>
    <mergeCell ref="AE389:AF389"/>
    <mergeCell ref="D390:E390"/>
    <mergeCell ref="G390:H390"/>
    <mergeCell ref="J390:K390"/>
    <mergeCell ref="M390:N390"/>
    <mergeCell ref="P390:Q390"/>
    <mergeCell ref="S388:T388"/>
    <mergeCell ref="V388:W388"/>
    <mergeCell ref="Y388:Z388"/>
    <mergeCell ref="AB388:AC388"/>
    <mergeCell ref="AE388:AF388"/>
    <mergeCell ref="D389:E389"/>
    <mergeCell ref="G389:H389"/>
    <mergeCell ref="J389:K389"/>
    <mergeCell ref="M389:N389"/>
    <mergeCell ref="P389:Q389"/>
    <mergeCell ref="S387:U387"/>
    <mergeCell ref="V387:X387"/>
    <mergeCell ref="Y387:AA387"/>
    <mergeCell ref="AB387:AD387"/>
    <mergeCell ref="AE387:AG387"/>
    <mergeCell ref="D388:E388"/>
    <mergeCell ref="G388:H388"/>
    <mergeCell ref="J388:K388"/>
    <mergeCell ref="M388:N388"/>
    <mergeCell ref="P388:Q388"/>
    <mergeCell ref="S386:U386"/>
    <mergeCell ref="V386:X386"/>
    <mergeCell ref="Y386:AA386"/>
    <mergeCell ref="AB386:AD386"/>
    <mergeCell ref="AE386:AG386"/>
    <mergeCell ref="D387:F387"/>
    <mergeCell ref="G387:I387"/>
    <mergeCell ref="J387:L387"/>
    <mergeCell ref="M387:O387"/>
    <mergeCell ref="P387:R387"/>
    <mergeCell ref="S385:U385"/>
    <mergeCell ref="V385:X385"/>
    <mergeCell ref="Y385:AA385"/>
    <mergeCell ref="AB385:AD385"/>
    <mergeCell ref="AE385:AG385"/>
    <mergeCell ref="D386:F386"/>
    <mergeCell ref="G386:I386"/>
    <mergeCell ref="J386:L386"/>
    <mergeCell ref="M386:O386"/>
    <mergeCell ref="P386:R386"/>
    <mergeCell ref="V382:W382"/>
    <mergeCell ref="Y382:Z382"/>
    <mergeCell ref="AB382:AC382"/>
    <mergeCell ref="AE382:AF382"/>
    <mergeCell ref="A385:B390"/>
    <mergeCell ref="D385:F385"/>
    <mergeCell ref="G385:I385"/>
    <mergeCell ref="J385:L385"/>
    <mergeCell ref="M385:O385"/>
    <mergeCell ref="P385:R385"/>
    <mergeCell ref="V381:W381"/>
    <mergeCell ref="Y381:Z381"/>
    <mergeCell ref="AB381:AC381"/>
    <mergeCell ref="AE381:AF381"/>
    <mergeCell ref="D382:E382"/>
    <mergeCell ref="G382:H382"/>
    <mergeCell ref="J382:K382"/>
    <mergeCell ref="M382:N382"/>
    <mergeCell ref="P382:Q382"/>
    <mergeCell ref="S382:T382"/>
    <mergeCell ref="V380:W380"/>
    <mergeCell ref="Y380:Z380"/>
    <mergeCell ref="AB380:AC380"/>
    <mergeCell ref="AE380:AF380"/>
    <mergeCell ref="D381:E381"/>
    <mergeCell ref="G381:H381"/>
    <mergeCell ref="J381:K381"/>
    <mergeCell ref="M381:N381"/>
    <mergeCell ref="P381:Q381"/>
    <mergeCell ref="S381:T381"/>
    <mergeCell ref="V379:X379"/>
    <mergeCell ref="Y379:AA379"/>
    <mergeCell ref="AB379:AD379"/>
    <mergeCell ref="AE379:AG379"/>
    <mergeCell ref="D380:E380"/>
    <mergeCell ref="G380:H380"/>
    <mergeCell ref="J380:K380"/>
    <mergeCell ref="M380:N380"/>
    <mergeCell ref="P380:Q380"/>
    <mergeCell ref="S380:T380"/>
    <mergeCell ref="V378:X378"/>
    <mergeCell ref="Y378:AA378"/>
    <mergeCell ref="AB378:AD378"/>
    <mergeCell ref="AE378:AG378"/>
    <mergeCell ref="D379:F379"/>
    <mergeCell ref="G379:I379"/>
    <mergeCell ref="J379:L379"/>
    <mergeCell ref="M379:O379"/>
    <mergeCell ref="P379:R379"/>
    <mergeCell ref="S379:U379"/>
    <mergeCell ref="D378:F378"/>
    <mergeCell ref="G378:I378"/>
    <mergeCell ref="J378:L378"/>
    <mergeCell ref="M378:O378"/>
    <mergeCell ref="P378:R378"/>
    <mergeCell ref="S378:U378"/>
    <mergeCell ref="P377:R377"/>
    <mergeCell ref="S377:U377"/>
    <mergeCell ref="V377:X377"/>
    <mergeCell ref="Y377:AA377"/>
    <mergeCell ref="AB377:AD377"/>
    <mergeCell ref="AE377:AG377"/>
    <mergeCell ref="S374:T374"/>
    <mergeCell ref="V374:W374"/>
    <mergeCell ref="Y374:Z374"/>
    <mergeCell ref="AB374:AC374"/>
    <mergeCell ref="AE374:AF374"/>
    <mergeCell ref="A377:B382"/>
    <mergeCell ref="D377:F377"/>
    <mergeCell ref="G377:I377"/>
    <mergeCell ref="J377:L377"/>
    <mergeCell ref="M377:O377"/>
    <mergeCell ref="S373:T373"/>
    <mergeCell ref="V373:W373"/>
    <mergeCell ref="Y373:Z373"/>
    <mergeCell ref="AB373:AC373"/>
    <mergeCell ref="AE373:AF373"/>
    <mergeCell ref="D374:E374"/>
    <mergeCell ref="G374:H374"/>
    <mergeCell ref="J374:K374"/>
    <mergeCell ref="M374:N374"/>
    <mergeCell ref="P374:Q374"/>
    <mergeCell ref="S372:T372"/>
    <mergeCell ref="V372:W372"/>
    <mergeCell ref="Y372:Z372"/>
    <mergeCell ref="AB372:AC372"/>
    <mergeCell ref="AE372:AF372"/>
    <mergeCell ref="D373:E373"/>
    <mergeCell ref="G373:H373"/>
    <mergeCell ref="J373:K373"/>
    <mergeCell ref="M373:N373"/>
    <mergeCell ref="P373:Q373"/>
    <mergeCell ref="S371:U371"/>
    <mergeCell ref="V371:X371"/>
    <mergeCell ref="Y371:AA371"/>
    <mergeCell ref="AB371:AD371"/>
    <mergeCell ref="AE371:AG371"/>
    <mergeCell ref="D372:E372"/>
    <mergeCell ref="G372:H372"/>
    <mergeCell ref="J372:K372"/>
    <mergeCell ref="M372:N372"/>
    <mergeCell ref="P372:Q372"/>
    <mergeCell ref="S370:U370"/>
    <mergeCell ref="V370:X370"/>
    <mergeCell ref="Y370:AA370"/>
    <mergeCell ref="AB370:AD370"/>
    <mergeCell ref="AE370:AG370"/>
    <mergeCell ref="D371:F371"/>
    <mergeCell ref="G371:I371"/>
    <mergeCell ref="J371:L371"/>
    <mergeCell ref="M371:O371"/>
    <mergeCell ref="P371:R371"/>
    <mergeCell ref="S369:U369"/>
    <mergeCell ref="V369:X369"/>
    <mergeCell ref="Y369:AA369"/>
    <mergeCell ref="AB369:AD369"/>
    <mergeCell ref="AE369:AG369"/>
    <mergeCell ref="D370:F370"/>
    <mergeCell ref="G370:I370"/>
    <mergeCell ref="J370:L370"/>
    <mergeCell ref="M370:O370"/>
    <mergeCell ref="P370:R370"/>
    <mergeCell ref="V366:W366"/>
    <mergeCell ref="Y366:Z366"/>
    <mergeCell ref="AB366:AC366"/>
    <mergeCell ref="AE366:AF366"/>
    <mergeCell ref="A369:B374"/>
    <mergeCell ref="D369:F369"/>
    <mergeCell ref="G369:I369"/>
    <mergeCell ref="J369:L369"/>
    <mergeCell ref="M369:O369"/>
    <mergeCell ref="P369:R369"/>
    <mergeCell ref="V365:W365"/>
    <mergeCell ref="Y365:Z365"/>
    <mergeCell ref="AB365:AC365"/>
    <mergeCell ref="AE365:AF365"/>
    <mergeCell ref="D366:E366"/>
    <mergeCell ref="G366:H366"/>
    <mergeCell ref="J366:K366"/>
    <mergeCell ref="M366:N366"/>
    <mergeCell ref="P366:Q366"/>
    <mergeCell ref="S366:T366"/>
    <mergeCell ref="V364:W364"/>
    <mergeCell ref="Y364:Z364"/>
    <mergeCell ref="AB364:AC364"/>
    <mergeCell ref="AE364:AF364"/>
    <mergeCell ref="D365:E365"/>
    <mergeCell ref="G365:H365"/>
    <mergeCell ref="J365:K365"/>
    <mergeCell ref="M365:N365"/>
    <mergeCell ref="P365:Q365"/>
    <mergeCell ref="S365:T365"/>
    <mergeCell ref="V363:X363"/>
    <mergeCell ref="Y363:AA363"/>
    <mergeCell ref="AB363:AD363"/>
    <mergeCell ref="AE363:AG363"/>
    <mergeCell ref="D364:E364"/>
    <mergeCell ref="G364:H364"/>
    <mergeCell ref="J364:K364"/>
    <mergeCell ref="M364:N364"/>
    <mergeCell ref="P364:Q364"/>
    <mergeCell ref="S364:T364"/>
    <mergeCell ref="V362:X362"/>
    <mergeCell ref="Y362:AA362"/>
    <mergeCell ref="AB362:AD362"/>
    <mergeCell ref="AE362:AG362"/>
    <mergeCell ref="D363:F363"/>
    <mergeCell ref="G363:I363"/>
    <mergeCell ref="J363:L363"/>
    <mergeCell ref="M363:O363"/>
    <mergeCell ref="P363:R363"/>
    <mergeCell ref="S363:U363"/>
    <mergeCell ref="D362:F362"/>
    <mergeCell ref="G362:I362"/>
    <mergeCell ref="J362:L362"/>
    <mergeCell ref="M362:O362"/>
    <mergeCell ref="P362:R362"/>
    <mergeCell ref="S362:U362"/>
    <mergeCell ref="P361:R361"/>
    <mergeCell ref="S361:U361"/>
    <mergeCell ref="V361:X361"/>
    <mergeCell ref="Y361:AA361"/>
    <mergeCell ref="AB361:AD361"/>
    <mergeCell ref="AE361:AG361"/>
    <mergeCell ref="S358:T358"/>
    <mergeCell ref="V358:W358"/>
    <mergeCell ref="Y358:Z358"/>
    <mergeCell ref="AB358:AC358"/>
    <mergeCell ref="AE358:AF358"/>
    <mergeCell ref="A361:B366"/>
    <mergeCell ref="D361:F361"/>
    <mergeCell ref="G361:I361"/>
    <mergeCell ref="J361:L361"/>
    <mergeCell ref="M361:O361"/>
    <mergeCell ref="S357:T357"/>
    <mergeCell ref="V357:W357"/>
    <mergeCell ref="Y357:Z357"/>
    <mergeCell ref="AB357:AC357"/>
    <mergeCell ref="AE357:AF357"/>
    <mergeCell ref="D358:E358"/>
    <mergeCell ref="G358:H358"/>
    <mergeCell ref="J358:K358"/>
    <mergeCell ref="M358:N358"/>
    <mergeCell ref="P358:Q358"/>
    <mergeCell ref="S356:T356"/>
    <mergeCell ref="V356:W356"/>
    <mergeCell ref="Y356:Z356"/>
    <mergeCell ref="AB356:AC356"/>
    <mergeCell ref="AE356:AF356"/>
    <mergeCell ref="D357:E357"/>
    <mergeCell ref="G357:H357"/>
    <mergeCell ref="J357:K357"/>
    <mergeCell ref="M357:N357"/>
    <mergeCell ref="P357:Q357"/>
    <mergeCell ref="S355:U355"/>
    <mergeCell ref="V355:X355"/>
    <mergeCell ref="Y355:AA355"/>
    <mergeCell ref="AB355:AD355"/>
    <mergeCell ref="AE355:AG355"/>
    <mergeCell ref="D356:E356"/>
    <mergeCell ref="G356:H356"/>
    <mergeCell ref="J356:K356"/>
    <mergeCell ref="M356:N356"/>
    <mergeCell ref="P356:Q356"/>
    <mergeCell ref="S354:U354"/>
    <mergeCell ref="V354:X354"/>
    <mergeCell ref="Y354:AA354"/>
    <mergeCell ref="AB354:AD354"/>
    <mergeCell ref="AE354:AG354"/>
    <mergeCell ref="D355:F355"/>
    <mergeCell ref="G355:I355"/>
    <mergeCell ref="J355:L355"/>
    <mergeCell ref="M355:O355"/>
    <mergeCell ref="P355:R355"/>
    <mergeCell ref="S353:U353"/>
    <mergeCell ref="V353:X353"/>
    <mergeCell ref="Y353:AA353"/>
    <mergeCell ref="AB353:AD353"/>
    <mergeCell ref="AE353:AG353"/>
    <mergeCell ref="D354:F354"/>
    <mergeCell ref="G354:I354"/>
    <mergeCell ref="J354:L354"/>
    <mergeCell ref="M354:O354"/>
    <mergeCell ref="P354:R354"/>
    <mergeCell ref="V350:W350"/>
    <mergeCell ref="Y350:Z350"/>
    <mergeCell ref="AB350:AC350"/>
    <mergeCell ref="AE350:AF350"/>
    <mergeCell ref="A353:B358"/>
    <mergeCell ref="D353:F353"/>
    <mergeCell ref="G353:I353"/>
    <mergeCell ref="J353:L353"/>
    <mergeCell ref="M353:O353"/>
    <mergeCell ref="P353:R353"/>
    <mergeCell ref="V349:W349"/>
    <mergeCell ref="Y349:Z349"/>
    <mergeCell ref="AB349:AC349"/>
    <mergeCell ref="AE349:AF349"/>
    <mergeCell ref="D350:E350"/>
    <mergeCell ref="G350:H350"/>
    <mergeCell ref="J350:K350"/>
    <mergeCell ref="M350:N350"/>
    <mergeCell ref="P350:Q350"/>
    <mergeCell ref="S350:T350"/>
    <mergeCell ref="V348:W348"/>
    <mergeCell ref="Y348:Z348"/>
    <mergeCell ref="AB348:AC348"/>
    <mergeCell ref="AE348:AF348"/>
    <mergeCell ref="D349:E349"/>
    <mergeCell ref="G349:H349"/>
    <mergeCell ref="J349:K349"/>
    <mergeCell ref="M349:N349"/>
    <mergeCell ref="P349:Q349"/>
    <mergeCell ref="S349:T349"/>
    <mergeCell ref="V347:X347"/>
    <mergeCell ref="Y347:AA347"/>
    <mergeCell ref="AB347:AD347"/>
    <mergeCell ref="AE347:AG347"/>
    <mergeCell ref="D348:E348"/>
    <mergeCell ref="G348:H348"/>
    <mergeCell ref="J348:K348"/>
    <mergeCell ref="M348:N348"/>
    <mergeCell ref="P348:Q348"/>
    <mergeCell ref="S348:T348"/>
    <mergeCell ref="V346:X346"/>
    <mergeCell ref="Y346:AA346"/>
    <mergeCell ref="AB346:AD346"/>
    <mergeCell ref="AE346:AG346"/>
    <mergeCell ref="D347:F347"/>
    <mergeCell ref="G347:I347"/>
    <mergeCell ref="J347:L347"/>
    <mergeCell ref="M347:O347"/>
    <mergeCell ref="P347:R347"/>
    <mergeCell ref="S347:U347"/>
    <mergeCell ref="D346:F346"/>
    <mergeCell ref="G346:I346"/>
    <mergeCell ref="J346:L346"/>
    <mergeCell ref="M346:O346"/>
    <mergeCell ref="P346:R346"/>
    <mergeCell ref="S346:U346"/>
    <mergeCell ref="P345:R345"/>
    <mergeCell ref="S345:U345"/>
    <mergeCell ref="V345:X345"/>
    <mergeCell ref="Y345:AA345"/>
    <mergeCell ref="AB345:AD345"/>
    <mergeCell ref="AE345:AG345"/>
    <mergeCell ref="S342:T342"/>
    <mergeCell ref="V342:W342"/>
    <mergeCell ref="Y342:Z342"/>
    <mergeCell ref="AB342:AC342"/>
    <mergeCell ref="AE342:AF342"/>
    <mergeCell ref="A345:B350"/>
    <mergeCell ref="D345:F345"/>
    <mergeCell ref="G345:I345"/>
    <mergeCell ref="J345:L345"/>
    <mergeCell ref="M345:O345"/>
    <mergeCell ref="S341:T341"/>
    <mergeCell ref="V341:W341"/>
    <mergeCell ref="Y341:Z341"/>
    <mergeCell ref="AB341:AC341"/>
    <mergeCell ref="AE341:AF341"/>
    <mergeCell ref="D342:E342"/>
    <mergeCell ref="G342:H342"/>
    <mergeCell ref="J342:K342"/>
    <mergeCell ref="M342:N342"/>
    <mergeCell ref="P342:Q342"/>
    <mergeCell ref="S340:T340"/>
    <mergeCell ref="V340:W340"/>
    <mergeCell ref="Y340:Z340"/>
    <mergeCell ref="AB340:AC340"/>
    <mergeCell ref="AE340:AF340"/>
    <mergeCell ref="D341:E341"/>
    <mergeCell ref="G341:H341"/>
    <mergeCell ref="J341:K341"/>
    <mergeCell ref="M341:N341"/>
    <mergeCell ref="P341:Q341"/>
    <mergeCell ref="S339:U339"/>
    <mergeCell ref="V339:X339"/>
    <mergeCell ref="Y339:AA339"/>
    <mergeCell ref="AB339:AD339"/>
    <mergeCell ref="AE339:AG339"/>
    <mergeCell ref="D340:E340"/>
    <mergeCell ref="G340:H340"/>
    <mergeCell ref="J340:K340"/>
    <mergeCell ref="M340:N340"/>
    <mergeCell ref="P340:Q340"/>
    <mergeCell ref="S338:U338"/>
    <mergeCell ref="V338:X338"/>
    <mergeCell ref="Y338:AA338"/>
    <mergeCell ref="AB338:AD338"/>
    <mergeCell ref="AE338:AG338"/>
    <mergeCell ref="D339:F339"/>
    <mergeCell ref="G339:I339"/>
    <mergeCell ref="J339:L339"/>
    <mergeCell ref="M339:O339"/>
    <mergeCell ref="P339:R339"/>
    <mergeCell ref="S337:U337"/>
    <mergeCell ref="V337:X337"/>
    <mergeCell ref="Y337:AA337"/>
    <mergeCell ref="AB337:AD337"/>
    <mergeCell ref="AE337:AG337"/>
    <mergeCell ref="D338:F338"/>
    <mergeCell ref="G338:I338"/>
    <mergeCell ref="J338:L338"/>
    <mergeCell ref="M338:O338"/>
    <mergeCell ref="P338:R338"/>
    <mergeCell ref="V334:W334"/>
    <mergeCell ref="Y334:Z334"/>
    <mergeCell ref="AB334:AC334"/>
    <mergeCell ref="AE334:AF334"/>
    <mergeCell ref="A337:B342"/>
    <mergeCell ref="D337:F337"/>
    <mergeCell ref="G337:I337"/>
    <mergeCell ref="J337:L337"/>
    <mergeCell ref="M337:O337"/>
    <mergeCell ref="P337:R337"/>
    <mergeCell ref="V333:W333"/>
    <mergeCell ref="Y333:Z333"/>
    <mergeCell ref="AB333:AC333"/>
    <mergeCell ref="AE333:AF333"/>
    <mergeCell ref="D334:E334"/>
    <mergeCell ref="G334:H334"/>
    <mergeCell ref="J334:K334"/>
    <mergeCell ref="M334:N334"/>
    <mergeCell ref="P334:Q334"/>
    <mergeCell ref="S334:T334"/>
    <mergeCell ref="V332:W332"/>
    <mergeCell ref="Y332:Z332"/>
    <mergeCell ref="AB332:AC332"/>
    <mergeCell ref="AE332:AF332"/>
    <mergeCell ref="D333:E333"/>
    <mergeCell ref="G333:H333"/>
    <mergeCell ref="J333:K333"/>
    <mergeCell ref="M333:N333"/>
    <mergeCell ref="P333:Q333"/>
    <mergeCell ref="S333:T333"/>
    <mergeCell ref="V331:X331"/>
    <mergeCell ref="Y331:AA331"/>
    <mergeCell ref="AB331:AD331"/>
    <mergeCell ref="AE331:AG331"/>
    <mergeCell ref="D332:E332"/>
    <mergeCell ref="G332:H332"/>
    <mergeCell ref="J332:K332"/>
    <mergeCell ref="M332:N332"/>
    <mergeCell ref="P332:Q332"/>
    <mergeCell ref="S332:T332"/>
    <mergeCell ref="V330:X330"/>
    <mergeCell ref="Y330:AA330"/>
    <mergeCell ref="AB330:AD330"/>
    <mergeCell ref="AE330:AG330"/>
    <mergeCell ref="D331:F331"/>
    <mergeCell ref="G331:I331"/>
    <mergeCell ref="J331:L331"/>
    <mergeCell ref="M331:O331"/>
    <mergeCell ref="P331:R331"/>
    <mergeCell ref="S331:U331"/>
    <mergeCell ref="D330:F330"/>
    <mergeCell ref="G330:I330"/>
    <mergeCell ref="J330:L330"/>
    <mergeCell ref="M330:O330"/>
    <mergeCell ref="P330:R330"/>
    <mergeCell ref="S330:U330"/>
    <mergeCell ref="P329:R329"/>
    <mergeCell ref="S329:U329"/>
    <mergeCell ref="V329:X329"/>
    <mergeCell ref="Y329:AA329"/>
    <mergeCell ref="AB329:AD329"/>
    <mergeCell ref="AE329:AG329"/>
    <mergeCell ref="S326:T326"/>
    <mergeCell ref="V326:W326"/>
    <mergeCell ref="Y326:Z326"/>
    <mergeCell ref="AB326:AC326"/>
    <mergeCell ref="AE326:AF326"/>
    <mergeCell ref="A329:B334"/>
    <mergeCell ref="D329:F329"/>
    <mergeCell ref="G329:I329"/>
    <mergeCell ref="J329:L329"/>
    <mergeCell ref="M329:O329"/>
    <mergeCell ref="S325:T325"/>
    <mergeCell ref="V325:W325"/>
    <mergeCell ref="Y325:Z325"/>
    <mergeCell ref="AB325:AC325"/>
    <mergeCell ref="AE325:AF325"/>
    <mergeCell ref="D326:E326"/>
    <mergeCell ref="G326:H326"/>
    <mergeCell ref="J326:K326"/>
    <mergeCell ref="M326:N326"/>
    <mergeCell ref="P326:Q326"/>
    <mergeCell ref="S324:T324"/>
    <mergeCell ref="V324:W324"/>
    <mergeCell ref="Y324:Z324"/>
    <mergeCell ref="AB324:AC324"/>
    <mergeCell ref="AE324:AF324"/>
    <mergeCell ref="D325:E325"/>
    <mergeCell ref="G325:H325"/>
    <mergeCell ref="J325:K325"/>
    <mergeCell ref="M325:N325"/>
    <mergeCell ref="P325:Q325"/>
    <mergeCell ref="S323:U323"/>
    <mergeCell ref="V323:X323"/>
    <mergeCell ref="Y323:AA323"/>
    <mergeCell ref="AB323:AD323"/>
    <mergeCell ref="AE323:AG323"/>
    <mergeCell ref="D324:E324"/>
    <mergeCell ref="G324:H324"/>
    <mergeCell ref="J324:K324"/>
    <mergeCell ref="M324:N324"/>
    <mergeCell ref="P324:Q324"/>
    <mergeCell ref="S322:U322"/>
    <mergeCell ref="V322:X322"/>
    <mergeCell ref="Y322:AA322"/>
    <mergeCell ref="AB322:AD322"/>
    <mergeCell ref="AE322:AG322"/>
    <mergeCell ref="D323:F323"/>
    <mergeCell ref="G323:I323"/>
    <mergeCell ref="J323:L323"/>
    <mergeCell ref="M323:O323"/>
    <mergeCell ref="P323:R323"/>
    <mergeCell ref="S321:U321"/>
    <mergeCell ref="V321:X321"/>
    <mergeCell ref="Y321:AA321"/>
    <mergeCell ref="AB321:AD321"/>
    <mergeCell ref="AE321:AG321"/>
    <mergeCell ref="D322:F322"/>
    <mergeCell ref="G322:I322"/>
    <mergeCell ref="J322:L322"/>
    <mergeCell ref="M322:O322"/>
    <mergeCell ref="P322:R322"/>
    <mergeCell ref="V318:W318"/>
    <mergeCell ref="Y318:Z318"/>
    <mergeCell ref="AB318:AC318"/>
    <mergeCell ref="AE318:AF318"/>
    <mergeCell ref="A321:B326"/>
    <mergeCell ref="D321:F321"/>
    <mergeCell ref="G321:I321"/>
    <mergeCell ref="J321:L321"/>
    <mergeCell ref="M321:O321"/>
    <mergeCell ref="P321:R321"/>
    <mergeCell ref="V317:W317"/>
    <mergeCell ref="Y317:Z317"/>
    <mergeCell ref="AB317:AC317"/>
    <mergeCell ref="AE317:AF317"/>
    <mergeCell ref="D318:E318"/>
    <mergeCell ref="G318:H318"/>
    <mergeCell ref="J318:K318"/>
    <mergeCell ref="M318:N318"/>
    <mergeCell ref="P318:Q318"/>
    <mergeCell ref="S318:T318"/>
    <mergeCell ref="V316:W316"/>
    <mergeCell ref="Y316:Z316"/>
    <mergeCell ref="AB316:AC316"/>
    <mergeCell ref="AE316:AF316"/>
    <mergeCell ref="D317:E317"/>
    <mergeCell ref="G317:H317"/>
    <mergeCell ref="J317:K317"/>
    <mergeCell ref="M317:N317"/>
    <mergeCell ref="P317:Q317"/>
    <mergeCell ref="S317:T317"/>
    <mergeCell ref="V315:X315"/>
    <mergeCell ref="Y315:AA315"/>
    <mergeCell ref="AB315:AD315"/>
    <mergeCell ref="AE315:AG315"/>
    <mergeCell ref="D316:E316"/>
    <mergeCell ref="G316:H316"/>
    <mergeCell ref="J316:K316"/>
    <mergeCell ref="M316:N316"/>
    <mergeCell ref="P316:Q316"/>
    <mergeCell ref="S316:T316"/>
    <mergeCell ref="V314:X314"/>
    <mergeCell ref="Y314:AA314"/>
    <mergeCell ref="AB314:AD314"/>
    <mergeCell ref="AE314:AG314"/>
    <mergeCell ref="D315:F315"/>
    <mergeCell ref="G315:I315"/>
    <mergeCell ref="J315:L315"/>
    <mergeCell ref="M315:O315"/>
    <mergeCell ref="P315:R315"/>
    <mergeCell ref="S315:U315"/>
    <mergeCell ref="D314:F314"/>
    <mergeCell ref="G314:I314"/>
    <mergeCell ref="J314:L314"/>
    <mergeCell ref="M314:O314"/>
    <mergeCell ref="P314:R314"/>
    <mergeCell ref="S314:U314"/>
    <mergeCell ref="P313:R313"/>
    <mergeCell ref="S313:U313"/>
    <mergeCell ref="V313:X313"/>
    <mergeCell ref="Y313:AA313"/>
    <mergeCell ref="AB313:AD313"/>
    <mergeCell ref="AE313:AG313"/>
    <mergeCell ref="S310:T310"/>
    <mergeCell ref="V310:W310"/>
    <mergeCell ref="Y310:Z310"/>
    <mergeCell ref="AB310:AC310"/>
    <mergeCell ref="AE310:AF310"/>
    <mergeCell ref="A313:B318"/>
    <mergeCell ref="D313:F313"/>
    <mergeCell ref="G313:I313"/>
    <mergeCell ref="J313:L313"/>
    <mergeCell ref="M313:O313"/>
    <mergeCell ref="S309:T309"/>
    <mergeCell ref="V309:W309"/>
    <mergeCell ref="Y309:Z309"/>
    <mergeCell ref="AB309:AC309"/>
    <mergeCell ref="AE309:AF309"/>
    <mergeCell ref="D310:E310"/>
    <mergeCell ref="G310:H310"/>
    <mergeCell ref="J310:K310"/>
    <mergeCell ref="M310:N310"/>
    <mergeCell ref="P310:Q310"/>
    <mergeCell ref="S308:T308"/>
    <mergeCell ref="V308:W308"/>
    <mergeCell ref="Y308:Z308"/>
    <mergeCell ref="AB308:AC308"/>
    <mergeCell ref="AE308:AF308"/>
    <mergeCell ref="D309:E309"/>
    <mergeCell ref="G309:H309"/>
    <mergeCell ref="J309:K309"/>
    <mergeCell ref="M309:N309"/>
    <mergeCell ref="P309:Q309"/>
    <mergeCell ref="S307:U307"/>
    <mergeCell ref="V307:X307"/>
    <mergeCell ref="Y307:AA307"/>
    <mergeCell ref="AB307:AD307"/>
    <mergeCell ref="AE307:AG307"/>
    <mergeCell ref="D308:E308"/>
    <mergeCell ref="G308:H308"/>
    <mergeCell ref="J308:K308"/>
    <mergeCell ref="M308:N308"/>
    <mergeCell ref="P308:Q308"/>
    <mergeCell ref="S306:U306"/>
    <mergeCell ref="V306:X306"/>
    <mergeCell ref="Y306:AA306"/>
    <mergeCell ref="AB306:AD306"/>
    <mergeCell ref="AE306:AG306"/>
    <mergeCell ref="D307:F307"/>
    <mergeCell ref="G307:I307"/>
    <mergeCell ref="J307:L307"/>
    <mergeCell ref="M307:O307"/>
    <mergeCell ref="P307:R307"/>
    <mergeCell ref="S305:U305"/>
    <mergeCell ref="V305:X305"/>
    <mergeCell ref="Y305:AA305"/>
    <mergeCell ref="AB305:AD305"/>
    <mergeCell ref="AE305:AG305"/>
    <mergeCell ref="D306:F306"/>
    <mergeCell ref="G306:I306"/>
    <mergeCell ref="J306:L306"/>
    <mergeCell ref="M306:O306"/>
    <mergeCell ref="P306:R306"/>
    <mergeCell ref="V302:W302"/>
    <mergeCell ref="Y302:Z302"/>
    <mergeCell ref="AB302:AC302"/>
    <mergeCell ref="AE302:AF302"/>
    <mergeCell ref="A305:B310"/>
    <mergeCell ref="D305:F305"/>
    <mergeCell ref="G305:I305"/>
    <mergeCell ref="J305:L305"/>
    <mergeCell ref="M305:O305"/>
    <mergeCell ref="P305:R305"/>
    <mergeCell ref="V301:W301"/>
    <mergeCell ref="Y301:Z301"/>
    <mergeCell ref="AB301:AC301"/>
    <mergeCell ref="AE301:AF301"/>
    <mergeCell ref="D302:E302"/>
    <mergeCell ref="G302:H302"/>
    <mergeCell ref="J302:K302"/>
    <mergeCell ref="M302:N302"/>
    <mergeCell ref="P302:Q302"/>
    <mergeCell ref="S302:T302"/>
    <mergeCell ref="V300:W300"/>
    <mergeCell ref="Y300:Z300"/>
    <mergeCell ref="AB300:AC300"/>
    <mergeCell ref="AE300:AF300"/>
    <mergeCell ref="D301:E301"/>
    <mergeCell ref="G301:H301"/>
    <mergeCell ref="J301:K301"/>
    <mergeCell ref="M301:N301"/>
    <mergeCell ref="P301:Q301"/>
    <mergeCell ref="S301:T301"/>
    <mergeCell ref="V299:X299"/>
    <mergeCell ref="Y299:AA299"/>
    <mergeCell ref="AB299:AD299"/>
    <mergeCell ref="AE299:AG299"/>
    <mergeCell ref="D300:E300"/>
    <mergeCell ref="G300:H300"/>
    <mergeCell ref="J300:K300"/>
    <mergeCell ref="M300:N300"/>
    <mergeCell ref="P300:Q300"/>
    <mergeCell ref="S300:T300"/>
    <mergeCell ref="V298:X298"/>
    <mergeCell ref="Y298:AA298"/>
    <mergeCell ref="AB298:AD298"/>
    <mergeCell ref="AE298:AG298"/>
    <mergeCell ref="D299:F299"/>
    <mergeCell ref="G299:I299"/>
    <mergeCell ref="J299:L299"/>
    <mergeCell ref="M299:O299"/>
    <mergeCell ref="P299:R299"/>
    <mergeCell ref="S299:U299"/>
    <mergeCell ref="D298:F298"/>
    <mergeCell ref="G298:I298"/>
    <mergeCell ref="J298:L298"/>
    <mergeCell ref="M298:O298"/>
    <mergeCell ref="P298:R298"/>
    <mergeCell ref="S298:U298"/>
    <mergeCell ref="P297:R297"/>
    <mergeCell ref="S297:U297"/>
    <mergeCell ref="V297:X297"/>
    <mergeCell ref="Y297:AA297"/>
    <mergeCell ref="AB297:AD297"/>
    <mergeCell ref="AE297:AG297"/>
    <mergeCell ref="S294:T294"/>
    <mergeCell ref="V294:W294"/>
    <mergeCell ref="Y294:Z294"/>
    <mergeCell ref="AB294:AC294"/>
    <mergeCell ref="AE294:AF294"/>
    <mergeCell ref="A297:B302"/>
    <mergeCell ref="D297:F297"/>
    <mergeCell ref="G297:I297"/>
    <mergeCell ref="J297:L297"/>
    <mergeCell ref="M297:O297"/>
    <mergeCell ref="S293:T293"/>
    <mergeCell ref="V293:W293"/>
    <mergeCell ref="Y293:Z293"/>
    <mergeCell ref="AB293:AC293"/>
    <mergeCell ref="AE293:AF293"/>
    <mergeCell ref="D294:E294"/>
    <mergeCell ref="G294:H294"/>
    <mergeCell ref="J294:K294"/>
    <mergeCell ref="M294:N294"/>
    <mergeCell ref="P294:Q294"/>
    <mergeCell ref="S292:T292"/>
    <mergeCell ref="V292:W292"/>
    <mergeCell ref="Y292:Z292"/>
    <mergeCell ref="AB292:AC292"/>
    <mergeCell ref="AE292:AF292"/>
    <mergeCell ref="D293:E293"/>
    <mergeCell ref="G293:H293"/>
    <mergeCell ref="J293:K293"/>
    <mergeCell ref="M293:N293"/>
    <mergeCell ref="P293:Q293"/>
    <mergeCell ref="S291:U291"/>
    <mergeCell ref="V291:X291"/>
    <mergeCell ref="Y291:AA291"/>
    <mergeCell ref="AB291:AD291"/>
    <mergeCell ref="AE291:AG291"/>
    <mergeCell ref="D292:E292"/>
    <mergeCell ref="G292:H292"/>
    <mergeCell ref="J292:K292"/>
    <mergeCell ref="M292:N292"/>
    <mergeCell ref="P292:Q292"/>
    <mergeCell ref="S290:U290"/>
    <mergeCell ref="V290:X290"/>
    <mergeCell ref="Y290:AA290"/>
    <mergeCell ref="AB290:AD290"/>
    <mergeCell ref="AE290:AG290"/>
    <mergeCell ref="D291:F291"/>
    <mergeCell ref="G291:I291"/>
    <mergeCell ref="J291:L291"/>
    <mergeCell ref="M291:O291"/>
    <mergeCell ref="P291:R291"/>
    <mergeCell ref="S289:U289"/>
    <mergeCell ref="V289:X289"/>
    <mergeCell ref="Y289:AA289"/>
    <mergeCell ref="AB289:AD289"/>
    <mergeCell ref="AE289:AG289"/>
    <mergeCell ref="D290:F290"/>
    <mergeCell ref="G290:I290"/>
    <mergeCell ref="J290:L290"/>
    <mergeCell ref="M290:O290"/>
    <mergeCell ref="P290:R290"/>
    <mergeCell ref="V286:W286"/>
    <mergeCell ref="Y286:Z286"/>
    <mergeCell ref="AB286:AC286"/>
    <mergeCell ref="AE286:AF286"/>
    <mergeCell ref="A289:B294"/>
    <mergeCell ref="D289:F289"/>
    <mergeCell ref="G289:I289"/>
    <mergeCell ref="J289:L289"/>
    <mergeCell ref="M289:O289"/>
    <mergeCell ref="P289:R289"/>
    <mergeCell ref="V285:W285"/>
    <mergeCell ref="Y285:Z285"/>
    <mergeCell ref="AB285:AC285"/>
    <mergeCell ref="AE285:AF285"/>
    <mergeCell ref="D286:E286"/>
    <mergeCell ref="G286:H286"/>
    <mergeCell ref="J286:K286"/>
    <mergeCell ref="M286:N286"/>
    <mergeCell ref="P286:Q286"/>
    <mergeCell ref="S286:T286"/>
    <mergeCell ref="V284:W284"/>
    <mergeCell ref="Y284:Z284"/>
    <mergeCell ref="AB284:AC284"/>
    <mergeCell ref="AE284:AF284"/>
    <mergeCell ref="D285:E285"/>
    <mergeCell ref="G285:H285"/>
    <mergeCell ref="J285:K285"/>
    <mergeCell ref="M285:N285"/>
    <mergeCell ref="P285:Q285"/>
    <mergeCell ref="S285:T285"/>
    <mergeCell ref="V283:X283"/>
    <mergeCell ref="Y283:AA283"/>
    <mergeCell ref="AB283:AD283"/>
    <mergeCell ref="AE283:AG283"/>
    <mergeCell ref="D284:E284"/>
    <mergeCell ref="G284:H284"/>
    <mergeCell ref="J284:K284"/>
    <mergeCell ref="M284:N284"/>
    <mergeCell ref="P284:Q284"/>
    <mergeCell ref="S284:T284"/>
    <mergeCell ref="V282:X282"/>
    <mergeCell ref="Y282:AA282"/>
    <mergeCell ref="AB282:AD282"/>
    <mergeCell ref="AE282:AG282"/>
    <mergeCell ref="D283:F283"/>
    <mergeCell ref="G283:I283"/>
    <mergeCell ref="J283:L283"/>
    <mergeCell ref="M283:O283"/>
    <mergeCell ref="P283:R283"/>
    <mergeCell ref="S283:U283"/>
    <mergeCell ref="D282:F282"/>
    <mergeCell ref="G282:I282"/>
    <mergeCell ref="J282:L282"/>
    <mergeCell ref="M282:O282"/>
    <mergeCell ref="P282:R282"/>
    <mergeCell ref="S282:U282"/>
    <mergeCell ref="P281:R281"/>
    <mergeCell ref="S281:U281"/>
    <mergeCell ref="V281:X281"/>
    <mergeCell ref="Y281:AA281"/>
    <mergeCell ref="AB281:AD281"/>
    <mergeCell ref="AE281:AG281"/>
    <mergeCell ref="S278:T278"/>
    <mergeCell ref="V278:W278"/>
    <mergeCell ref="Y278:Z278"/>
    <mergeCell ref="AB278:AC278"/>
    <mergeCell ref="AE278:AF278"/>
    <mergeCell ref="A281:B286"/>
    <mergeCell ref="D281:F281"/>
    <mergeCell ref="G281:I281"/>
    <mergeCell ref="J281:L281"/>
    <mergeCell ref="M281:O281"/>
    <mergeCell ref="S277:T277"/>
    <mergeCell ref="V277:W277"/>
    <mergeCell ref="Y277:Z277"/>
    <mergeCell ref="AB277:AC277"/>
    <mergeCell ref="AE277:AF277"/>
    <mergeCell ref="D278:E278"/>
    <mergeCell ref="G278:H278"/>
    <mergeCell ref="J278:K278"/>
    <mergeCell ref="M278:N278"/>
    <mergeCell ref="P278:Q278"/>
    <mergeCell ref="S276:T276"/>
    <mergeCell ref="V276:W276"/>
    <mergeCell ref="Y276:Z276"/>
    <mergeCell ref="AB276:AC276"/>
    <mergeCell ref="AE276:AF276"/>
    <mergeCell ref="D277:E277"/>
    <mergeCell ref="G277:H277"/>
    <mergeCell ref="J277:K277"/>
    <mergeCell ref="M277:N277"/>
    <mergeCell ref="P277:Q277"/>
    <mergeCell ref="S275:U275"/>
    <mergeCell ref="V275:X275"/>
    <mergeCell ref="Y275:AA275"/>
    <mergeCell ref="AB275:AD275"/>
    <mergeCell ref="AE275:AG275"/>
    <mergeCell ref="D276:E276"/>
    <mergeCell ref="G276:H276"/>
    <mergeCell ref="J276:K276"/>
    <mergeCell ref="M276:N276"/>
    <mergeCell ref="P276:Q276"/>
    <mergeCell ref="S274:U274"/>
    <mergeCell ref="V274:X274"/>
    <mergeCell ref="Y274:AA274"/>
    <mergeCell ref="AB274:AD274"/>
    <mergeCell ref="AE274:AG274"/>
    <mergeCell ref="D275:F275"/>
    <mergeCell ref="G275:I275"/>
    <mergeCell ref="J275:L275"/>
    <mergeCell ref="M275:O275"/>
    <mergeCell ref="P275:R275"/>
    <mergeCell ref="S273:U273"/>
    <mergeCell ref="V273:X273"/>
    <mergeCell ref="Y273:AA273"/>
    <mergeCell ref="AB273:AD273"/>
    <mergeCell ref="AE273:AG273"/>
    <mergeCell ref="D274:F274"/>
    <mergeCell ref="G274:I274"/>
    <mergeCell ref="J274:L274"/>
    <mergeCell ref="M274:O274"/>
    <mergeCell ref="P274:R274"/>
    <mergeCell ref="V270:W270"/>
    <mergeCell ref="Y270:Z270"/>
    <mergeCell ref="AB270:AC270"/>
    <mergeCell ref="AE270:AF270"/>
    <mergeCell ref="A273:B278"/>
    <mergeCell ref="D273:F273"/>
    <mergeCell ref="G273:I273"/>
    <mergeCell ref="J273:L273"/>
    <mergeCell ref="M273:O273"/>
    <mergeCell ref="P273:R273"/>
    <mergeCell ref="V269:W269"/>
    <mergeCell ref="Y269:Z269"/>
    <mergeCell ref="AB269:AC269"/>
    <mergeCell ref="AE269:AF269"/>
    <mergeCell ref="D270:E270"/>
    <mergeCell ref="G270:H270"/>
    <mergeCell ref="J270:K270"/>
    <mergeCell ref="M270:N270"/>
    <mergeCell ref="P270:Q270"/>
    <mergeCell ref="S270:T270"/>
    <mergeCell ref="V268:W268"/>
    <mergeCell ref="Y268:Z268"/>
    <mergeCell ref="AB268:AC268"/>
    <mergeCell ref="AE268:AF268"/>
    <mergeCell ref="D269:E269"/>
    <mergeCell ref="G269:H269"/>
    <mergeCell ref="J269:K269"/>
    <mergeCell ref="M269:N269"/>
    <mergeCell ref="P269:Q269"/>
    <mergeCell ref="S269:T269"/>
    <mergeCell ref="V267:X267"/>
    <mergeCell ref="Y267:AA267"/>
    <mergeCell ref="AB267:AD267"/>
    <mergeCell ref="AE267:AG267"/>
    <mergeCell ref="D268:E268"/>
    <mergeCell ref="G268:H268"/>
    <mergeCell ref="J268:K268"/>
    <mergeCell ref="M268:N268"/>
    <mergeCell ref="P268:Q268"/>
    <mergeCell ref="S268:T268"/>
    <mergeCell ref="V266:X266"/>
    <mergeCell ref="Y266:AA266"/>
    <mergeCell ref="AB266:AD266"/>
    <mergeCell ref="AE266:AG266"/>
    <mergeCell ref="D267:F267"/>
    <mergeCell ref="G267:I267"/>
    <mergeCell ref="J267:L267"/>
    <mergeCell ref="M267:O267"/>
    <mergeCell ref="P267:R267"/>
    <mergeCell ref="S267:U267"/>
    <mergeCell ref="D266:F266"/>
    <mergeCell ref="G266:I266"/>
    <mergeCell ref="J266:L266"/>
    <mergeCell ref="M266:O266"/>
    <mergeCell ref="P266:R266"/>
    <mergeCell ref="S266:U266"/>
    <mergeCell ref="P265:R265"/>
    <mergeCell ref="S265:U265"/>
    <mergeCell ref="V265:X265"/>
    <mergeCell ref="Y265:AA265"/>
    <mergeCell ref="AB265:AD265"/>
    <mergeCell ref="AE265:AG265"/>
    <mergeCell ref="S262:T262"/>
    <mergeCell ref="V262:W262"/>
    <mergeCell ref="Y262:Z262"/>
    <mergeCell ref="AB262:AC262"/>
    <mergeCell ref="AE262:AF262"/>
    <mergeCell ref="A265:B270"/>
    <mergeCell ref="D265:F265"/>
    <mergeCell ref="G265:I265"/>
    <mergeCell ref="J265:L265"/>
    <mergeCell ref="M265:O265"/>
    <mergeCell ref="S261:T261"/>
    <mergeCell ref="V261:W261"/>
    <mergeCell ref="Y261:Z261"/>
    <mergeCell ref="AB261:AC261"/>
    <mergeCell ref="AE261:AF261"/>
    <mergeCell ref="D262:E262"/>
    <mergeCell ref="G262:H262"/>
    <mergeCell ref="J262:K262"/>
    <mergeCell ref="M262:N262"/>
    <mergeCell ref="P262:Q262"/>
    <mergeCell ref="S260:T260"/>
    <mergeCell ref="V260:W260"/>
    <mergeCell ref="Y260:Z260"/>
    <mergeCell ref="AB260:AC260"/>
    <mergeCell ref="AE260:AF260"/>
    <mergeCell ref="D261:E261"/>
    <mergeCell ref="G261:H261"/>
    <mergeCell ref="J261:K261"/>
    <mergeCell ref="M261:N261"/>
    <mergeCell ref="P261:Q261"/>
    <mergeCell ref="S259:U259"/>
    <mergeCell ref="V259:X259"/>
    <mergeCell ref="Y259:AA259"/>
    <mergeCell ref="AB259:AD259"/>
    <mergeCell ref="AE259:AG259"/>
    <mergeCell ref="D260:E260"/>
    <mergeCell ref="G260:H260"/>
    <mergeCell ref="J260:K260"/>
    <mergeCell ref="M260:N260"/>
    <mergeCell ref="P260:Q260"/>
    <mergeCell ref="S258:U258"/>
    <mergeCell ref="V258:X258"/>
    <mergeCell ref="Y258:AA258"/>
    <mergeCell ref="AB258:AD258"/>
    <mergeCell ref="AE258:AG258"/>
    <mergeCell ref="D259:F259"/>
    <mergeCell ref="G259:I259"/>
    <mergeCell ref="J259:L259"/>
    <mergeCell ref="M259:O259"/>
    <mergeCell ref="P259:R259"/>
    <mergeCell ref="S257:U257"/>
    <mergeCell ref="V257:X257"/>
    <mergeCell ref="Y257:AA257"/>
    <mergeCell ref="AB257:AD257"/>
    <mergeCell ref="AE257:AG257"/>
    <mergeCell ref="D258:F258"/>
    <mergeCell ref="G258:I258"/>
    <mergeCell ref="J258:L258"/>
    <mergeCell ref="M258:O258"/>
    <mergeCell ref="P258:R258"/>
    <mergeCell ref="V254:W254"/>
    <mergeCell ref="Y254:Z254"/>
    <mergeCell ref="AB254:AC254"/>
    <mergeCell ref="AE254:AF254"/>
    <mergeCell ref="A257:B262"/>
    <mergeCell ref="D257:F257"/>
    <mergeCell ref="G257:I257"/>
    <mergeCell ref="J257:L257"/>
    <mergeCell ref="M257:O257"/>
    <mergeCell ref="P257:R257"/>
    <mergeCell ref="V253:W253"/>
    <mergeCell ref="Y253:Z253"/>
    <mergeCell ref="AB253:AC253"/>
    <mergeCell ref="AE253:AF253"/>
    <mergeCell ref="D254:E254"/>
    <mergeCell ref="G254:H254"/>
    <mergeCell ref="J254:K254"/>
    <mergeCell ref="M254:N254"/>
    <mergeCell ref="P254:Q254"/>
    <mergeCell ref="S254:T254"/>
    <mergeCell ref="V252:W252"/>
    <mergeCell ref="Y252:Z252"/>
    <mergeCell ref="AB252:AC252"/>
    <mergeCell ref="AE252:AF252"/>
    <mergeCell ref="D253:E253"/>
    <mergeCell ref="G253:H253"/>
    <mergeCell ref="J253:K253"/>
    <mergeCell ref="M253:N253"/>
    <mergeCell ref="P253:Q253"/>
    <mergeCell ref="S253:T253"/>
    <mergeCell ref="V251:X251"/>
    <mergeCell ref="Y251:AA251"/>
    <mergeCell ref="AB251:AD251"/>
    <mergeCell ref="AE251:AG251"/>
    <mergeCell ref="D252:E252"/>
    <mergeCell ref="G252:H252"/>
    <mergeCell ref="J252:K252"/>
    <mergeCell ref="M252:N252"/>
    <mergeCell ref="P252:Q252"/>
    <mergeCell ref="S252:T252"/>
    <mergeCell ref="V250:X250"/>
    <mergeCell ref="Y250:AA250"/>
    <mergeCell ref="AB250:AD250"/>
    <mergeCell ref="AE250:AG250"/>
    <mergeCell ref="D251:F251"/>
    <mergeCell ref="G251:I251"/>
    <mergeCell ref="J251:L251"/>
    <mergeCell ref="M251:O251"/>
    <mergeCell ref="P251:R251"/>
    <mergeCell ref="S251:U251"/>
    <mergeCell ref="D250:F250"/>
    <mergeCell ref="G250:I250"/>
    <mergeCell ref="J250:L250"/>
    <mergeCell ref="M250:O250"/>
    <mergeCell ref="P250:R250"/>
    <mergeCell ref="S250:U250"/>
    <mergeCell ref="P249:R249"/>
    <mergeCell ref="S249:U249"/>
    <mergeCell ref="V249:X249"/>
    <mergeCell ref="Y249:AA249"/>
    <mergeCell ref="AB249:AD249"/>
    <mergeCell ref="AE249:AG249"/>
    <mergeCell ref="S246:T246"/>
    <mergeCell ref="V246:W246"/>
    <mergeCell ref="Y246:Z246"/>
    <mergeCell ref="AB246:AC246"/>
    <mergeCell ref="AE246:AF246"/>
    <mergeCell ref="A249:B254"/>
    <mergeCell ref="D249:F249"/>
    <mergeCell ref="G249:I249"/>
    <mergeCell ref="J249:L249"/>
    <mergeCell ref="M249:O249"/>
    <mergeCell ref="S245:T245"/>
    <mergeCell ref="V245:W245"/>
    <mergeCell ref="Y245:Z245"/>
    <mergeCell ref="AB245:AC245"/>
    <mergeCell ref="AE245:AF245"/>
    <mergeCell ref="D246:E246"/>
    <mergeCell ref="G246:H246"/>
    <mergeCell ref="J246:K246"/>
    <mergeCell ref="M246:N246"/>
    <mergeCell ref="P246:Q246"/>
    <mergeCell ref="S244:T244"/>
    <mergeCell ref="V244:W244"/>
    <mergeCell ref="Y244:Z244"/>
    <mergeCell ref="AB244:AC244"/>
    <mergeCell ref="AE244:AF244"/>
    <mergeCell ref="D245:E245"/>
    <mergeCell ref="G245:H245"/>
    <mergeCell ref="J245:K245"/>
    <mergeCell ref="M245:N245"/>
    <mergeCell ref="P245:Q245"/>
    <mergeCell ref="S243:U243"/>
    <mergeCell ref="V243:X243"/>
    <mergeCell ref="Y243:AA243"/>
    <mergeCell ref="AB243:AD243"/>
    <mergeCell ref="AE243:AG243"/>
    <mergeCell ref="D244:E244"/>
    <mergeCell ref="G244:H244"/>
    <mergeCell ref="J244:K244"/>
    <mergeCell ref="M244:N244"/>
    <mergeCell ref="P244:Q244"/>
    <mergeCell ref="S242:U242"/>
    <mergeCell ref="V242:X242"/>
    <mergeCell ref="Y242:AA242"/>
    <mergeCell ref="AB242:AD242"/>
    <mergeCell ref="AE242:AG242"/>
    <mergeCell ref="D243:F243"/>
    <mergeCell ref="G243:I243"/>
    <mergeCell ref="J243:L243"/>
    <mergeCell ref="M243:O243"/>
    <mergeCell ref="P243:R243"/>
    <mergeCell ref="S241:U241"/>
    <mergeCell ref="V241:X241"/>
    <mergeCell ref="Y241:AA241"/>
    <mergeCell ref="AB241:AD241"/>
    <mergeCell ref="AE241:AG241"/>
    <mergeCell ref="D242:F242"/>
    <mergeCell ref="G242:I242"/>
    <mergeCell ref="J242:L242"/>
    <mergeCell ref="M242:O242"/>
    <mergeCell ref="P242:R242"/>
    <mergeCell ref="V238:W238"/>
    <mergeCell ref="Y238:Z238"/>
    <mergeCell ref="AB238:AC238"/>
    <mergeCell ref="AE238:AF238"/>
    <mergeCell ref="A241:B246"/>
    <mergeCell ref="D241:F241"/>
    <mergeCell ref="G241:I241"/>
    <mergeCell ref="J241:L241"/>
    <mergeCell ref="M241:O241"/>
    <mergeCell ref="P241:R241"/>
    <mergeCell ref="V237:W237"/>
    <mergeCell ref="Y237:Z237"/>
    <mergeCell ref="AB237:AC237"/>
    <mergeCell ref="AE237:AF237"/>
    <mergeCell ref="D238:E238"/>
    <mergeCell ref="G238:H238"/>
    <mergeCell ref="J238:K238"/>
    <mergeCell ref="M238:N238"/>
    <mergeCell ref="P238:Q238"/>
    <mergeCell ref="S238:T238"/>
    <mergeCell ref="V236:W236"/>
    <mergeCell ref="Y236:Z236"/>
    <mergeCell ref="AB236:AC236"/>
    <mergeCell ref="AE236:AF236"/>
    <mergeCell ref="D237:E237"/>
    <mergeCell ref="G237:H237"/>
    <mergeCell ref="J237:K237"/>
    <mergeCell ref="M237:N237"/>
    <mergeCell ref="P237:Q237"/>
    <mergeCell ref="S237:T237"/>
    <mergeCell ref="V235:X235"/>
    <mergeCell ref="Y235:AA235"/>
    <mergeCell ref="AB235:AD235"/>
    <mergeCell ref="AE235:AG235"/>
    <mergeCell ref="D236:E236"/>
    <mergeCell ref="G236:H236"/>
    <mergeCell ref="J236:K236"/>
    <mergeCell ref="M236:N236"/>
    <mergeCell ref="P236:Q236"/>
    <mergeCell ref="S236:T236"/>
    <mergeCell ref="V234:X234"/>
    <mergeCell ref="Y234:AA234"/>
    <mergeCell ref="AB234:AD234"/>
    <mergeCell ref="AE234:AG234"/>
    <mergeCell ref="D235:F235"/>
    <mergeCell ref="G235:I235"/>
    <mergeCell ref="J235:L235"/>
    <mergeCell ref="M235:O235"/>
    <mergeCell ref="P235:R235"/>
    <mergeCell ref="S235:U235"/>
    <mergeCell ref="D234:F234"/>
    <mergeCell ref="G234:I234"/>
    <mergeCell ref="J234:L234"/>
    <mergeCell ref="M234:O234"/>
    <mergeCell ref="P234:R234"/>
    <mergeCell ref="S234:U234"/>
    <mergeCell ref="P233:R233"/>
    <mergeCell ref="S233:U233"/>
    <mergeCell ref="V233:X233"/>
    <mergeCell ref="Y233:AA233"/>
    <mergeCell ref="AB233:AD233"/>
    <mergeCell ref="AE233:AG233"/>
    <mergeCell ref="S230:T230"/>
    <mergeCell ref="V230:W230"/>
    <mergeCell ref="Y230:Z230"/>
    <mergeCell ref="AB230:AC230"/>
    <mergeCell ref="AE230:AF230"/>
    <mergeCell ref="A233:B238"/>
    <mergeCell ref="D233:F233"/>
    <mergeCell ref="G233:I233"/>
    <mergeCell ref="J233:L233"/>
    <mergeCell ref="M233:O233"/>
    <mergeCell ref="S229:T229"/>
    <mergeCell ref="V229:W229"/>
    <mergeCell ref="Y229:Z229"/>
    <mergeCell ref="AB229:AC229"/>
    <mergeCell ref="AE229:AF229"/>
    <mergeCell ref="D230:E230"/>
    <mergeCell ref="G230:H230"/>
    <mergeCell ref="J230:K230"/>
    <mergeCell ref="M230:N230"/>
    <mergeCell ref="P230:Q230"/>
    <mergeCell ref="S228:T228"/>
    <mergeCell ref="V228:W228"/>
    <mergeCell ref="Y228:Z228"/>
    <mergeCell ref="AB228:AC228"/>
    <mergeCell ref="AE228:AF228"/>
    <mergeCell ref="D229:E229"/>
    <mergeCell ref="G229:H229"/>
    <mergeCell ref="J229:K229"/>
    <mergeCell ref="M229:N229"/>
    <mergeCell ref="P229:Q229"/>
    <mergeCell ref="S227:U227"/>
    <mergeCell ref="V227:X227"/>
    <mergeCell ref="Y227:AA227"/>
    <mergeCell ref="AB227:AD227"/>
    <mergeCell ref="AE227:AG227"/>
    <mergeCell ref="D228:E228"/>
    <mergeCell ref="G228:H228"/>
    <mergeCell ref="J228:K228"/>
    <mergeCell ref="M228:N228"/>
    <mergeCell ref="P228:Q228"/>
    <mergeCell ref="S226:U226"/>
    <mergeCell ref="V226:X226"/>
    <mergeCell ref="Y226:AA226"/>
    <mergeCell ref="AB226:AD226"/>
    <mergeCell ref="AE226:AG226"/>
    <mergeCell ref="D227:F227"/>
    <mergeCell ref="G227:I227"/>
    <mergeCell ref="J227:L227"/>
    <mergeCell ref="M227:O227"/>
    <mergeCell ref="P227:R227"/>
    <mergeCell ref="S225:U225"/>
    <mergeCell ref="V225:X225"/>
    <mergeCell ref="Y225:AA225"/>
    <mergeCell ref="AB225:AD225"/>
    <mergeCell ref="AE225:AG225"/>
    <mergeCell ref="D226:F226"/>
    <mergeCell ref="G226:I226"/>
    <mergeCell ref="J226:L226"/>
    <mergeCell ref="M226:O226"/>
    <mergeCell ref="P226:R226"/>
    <mergeCell ref="V222:W222"/>
    <mergeCell ref="Y222:Z222"/>
    <mergeCell ref="AB222:AC222"/>
    <mergeCell ref="AE222:AF222"/>
    <mergeCell ref="A225:B230"/>
    <mergeCell ref="D225:F225"/>
    <mergeCell ref="G225:I225"/>
    <mergeCell ref="J225:L225"/>
    <mergeCell ref="M225:O225"/>
    <mergeCell ref="P225:R225"/>
    <mergeCell ref="V221:W221"/>
    <mergeCell ref="Y221:Z221"/>
    <mergeCell ref="AB221:AC221"/>
    <mergeCell ref="AE221:AF221"/>
    <mergeCell ref="D222:E222"/>
    <mergeCell ref="G222:H222"/>
    <mergeCell ref="J222:K222"/>
    <mergeCell ref="M222:N222"/>
    <mergeCell ref="P222:Q222"/>
    <mergeCell ref="S222:T222"/>
    <mergeCell ref="V220:W220"/>
    <mergeCell ref="Y220:Z220"/>
    <mergeCell ref="AB220:AC220"/>
    <mergeCell ref="AE220:AF220"/>
    <mergeCell ref="D221:E221"/>
    <mergeCell ref="G221:H221"/>
    <mergeCell ref="J221:K221"/>
    <mergeCell ref="M221:N221"/>
    <mergeCell ref="P221:Q221"/>
    <mergeCell ref="S221:T221"/>
    <mergeCell ref="V219:X219"/>
    <mergeCell ref="Y219:AA219"/>
    <mergeCell ref="AB219:AD219"/>
    <mergeCell ref="AE219:AG219"/>
    <mergeCell ref="D220:E220"/>
    <mergeCell ref="G220:H220"/>
    <mergeCell ref="J220:K220"/>
    <mergeCell ref="M220:N220"/>
    <mergeCell ref="P220:Q220"/>
    <mergeCell ref="S220:T220"/>
    <mergeCell ref="V218:X218"/>
    <mergeCell ref="Y218:AA218"/>
    <mergeCell ref="AB218:AD218"/>
    <mergeCell ref="AE218:AG218"/>
    <mergeCell ref="D219:F219"/>
    <mergeCell ref="G219:I219"/>
    <mergeCell ref="J219:L219"/>
    <mergeCell ref="M219:O219"/>
    <mergeCell ref="P219:R219"/>
    <mergeCell ref="S219:U219"/>
    <mergeCell ref="D218:F218"/>
    <mergeCell ref="G218:I218"/>
    <mergeCell ref="J218:L218"/>
    <mergeCell ref="M218:O218"/>
    <mergeCell ref="P218:R218"/>
    <mergeCell ref="S218:U218"/>
    <mergeCell ref="P217:R217"/>
    <mergeCell ref="S217:U217"/>
    <mergeCell ref="V217:X217"/>
    <mergeCell ref="Y217:AA217"/>
    <mergeCell ref="AB217:AD217"/>
    <mergeCell ref="AE217:AG217"/>
    <mergeCell ref="S214:T214"/>
    <mergeCell ref="V214:W214"/>
    <mergeCell ref="Y214:Z214"/>
    <mergeCell ref="AB214:AC214"/>
    <mergeCell ref="AE214:AF214"/>
    <mergeCell ref="A217:B222"/>
    <mergeCell ref="D217:F217"/>
    <mergeCell ref="G217:I217"/>
    <mergeCell ref="J217:L217"/>
    <mergeCell ref="M217:O217"/>
    <mergeCell ref="S213:T213"/>
    <mergeCell ref="V213:W213"/>
    <mergeCell ref="Y213:Z213"/>
    <mergeCell ref="AB213:AC213"/>
    <mergeCell ref="AE213:AF213"/>
    <mergeCell ref="D214:E214"/>
    <mergeCell ref="G214:H214"/>
    <mergeCell ref="J214:K214"/>
    <mergeCell ref="M214:N214"/>
    <mergeCell ref="P214:Q214"/>
    <mergeCell ref="S212:T212"/>
    <mergeCell ref="V212:W212"/>
    <mergeCell ref="Y212:Z212"/>
    <mergeCell ref="AB212:AC212"/>
    <mergeCell ref="AE212:AF212"/>
    <mergeCell ref="D213:E213"/>
    <mergeCell ref="G213:H213"/>
    <mergeCell ref="J213:K213"/>
    <mergeCell ref="M213:N213"/>
    <mergeCell ref="P213:Q213"/>
    <mergeCell ref="S211:U211"/>
    <mergeCell ref="V211:X211"/>
    <mergeCell ref="Y211:AA211"/>
    <mergeCell ref="AB211:AD211"/>
    <mergeCell ref="AE211:AG211"/>
    <mergeCell ref="D212:E212"/>
    <mergeCell ref="G212:H212"/>
    <mergeCell ref="J212:K212"/>
    <mergeCell ref="M212:N212"/>
    <mergeCell ref="P212:Q212"/>
    <mergeCell ref="S210:U210"/>
    <mergeCell ref="V210:X210"/>
    <mergeCell ref="Y210:AA210"/>
    <mergeCell ref="AB210:AD210"/>
    <mergeCell ref="AE210:AG210"/>
    <mergeCell ref="D211:F211"/>
    <mergeCell ref="G211:I211"/>
    <mergeCell ref="J211:L211"/>
    <mergeCell ref="M211:O211"/>
    <mergeCell ref="P211:R211"/>
    <mergeCell ref="S209:U209"/>
    <mergeCell ref="V209:X209"/>
    <mergeCell ref="Y209:AA209"/>
    <mergeCell ref="AB209:AD209"/>
    <mergeCell ref="AE209:AG209"/>
    <mergeCell ref="D210:F210"/>
    <mergeCell ref="G210:I210"/>
    <mergeCell ref="J210:L210"/>
    <mergeCell ref="M210:O210"/>
    <mergeCell ref="P210:R210"/>
    <mergeCell ref="V206:W206"/>
    <mergeCell ref="Y206:Z206"/>
    <mergeCell ref="AB206:AC206"/>
    <mergeCell ref="AE206:AF206"/>
    <mergeCell ref="A209:B214"/>
    <mergeCell ref="D209:F209"/>
    <mergeCell ref="G209:I209"/>
    <mergeCell ref="J209:L209"/>
    <mergeCell ref="M209:O209"/>
    <mergeCell ref="P209:R209"/>
    <mergeCell ref="V205:W205"/>
    <mergeCell ref="Y205:Z205"/>
    <mergeCell ref="AB205:AC205"/>
    <mergeCell ref="AE205:AF205"/>
    <mergeCell ref="D206:E206"/>
    <mergeCell ref="G206:H206"/>
    <mergeCell ref="J206:K206"/>
    <mergeCell ref="M206:N206"/>
    <mergeCell ref="P206:Q206"/>
    <mergeCell ref="S206:T206"/>
    <mergeCell ref="V204:W204"/>
    <mergeCell ref="Y204:Z204"/>
    <mergeCell ref="AB204:AC204"/>
    <mergeCell ref="AE204:AF204"/>
    <mergeCell ref="D205:E205"/>
    <mergeCell ref="G205:H205"/>
    <mergeCell ref="J205:K205"/>
    <mergeCell ref="M205:N205"/>
    <mergeCell ref="P205:Q205"/>
    <mergeCell ref="S205:T205"/>
    <mergeCell ref="V203:X203"/>
    <mergeCell ref="Y203:AA203"/>
    <mergeCell ref="AB203:AD203"/>
    <mergeCell ref="AE203:AG203"/>
    <mergeCell ref="D204:E204"/>
    <mergeCell ref="G204:H204"/>
    <mergeCell ref="J204:K204"/>
    <mergeCell ref="M204:N204"/>
    <mergeCell ref="P204:Q204"/>
    <mergeCell ref="S204:T204"/>
    <mergeCell ref="V202:X202"/>
    <mergeCell ref="Y202:AA202"/>
    <mergeCell ref="AB202:AD202"/>
    <mergeCell ref="AE202:AG202"/>
    <mergeCell ref="D203:F203"/>
    <mergeCell ref="G203:I203"/>
    <mergeCell ref="J203:L203"/>
    <mergeCell ref="M203:O203"/>
    <mergeCell ref="P203:R203"/>
    <mergeCell ref="S203:U203"/>
    <mergeCell ref="D202:F202"/>
    <mergeCell ref="G202:I202"/>
    <mergeCell ref="J202:L202"/>
    <mergeCell ref="M202:O202"/>
    <mergeCell ref="P202:R202"/>
    <mergeCell ref="S202:U202"/>
    <mergeCell ref="P201:R201"/>
    <mergeCell ref="S201:U201"/>
    <mergeCell ref="V201:X201"/>
    <mergeCell ref="Y201:AA201"/>
    <mergeCell ref="AB201:AD201"/>
    <mergeCell ref="AE201:AG201"/>
    <mergeCell ref="S198:T198"/>
    <mergeCell ref="V198:W198"/>
    <mergeCell ref="Y198:Z198"/>
    <mergeCell ref="AB198:AC198"/>
    <mergeCell ref="AE198:AF198"/>
    <mergeCell ref="A201:B206"/>
    <mergeCell ref="D201:F201"/>
    <mergeCell ref="G201:I201"/>
    <mergeCell ref="J201:L201"/>
    <mergeCell ref="M201:O201"/>
    <mergeCell ref="S197:T197"/>
    <mergeCell ref="V197:W197"/>
    <mergeCell ref="Y197:Z197"/>
    <mergeCell ref="AB197:AC197"/>
    <mergeCell ref="AE197:AF197"/>
    <mergeCell ref="D198:E198"/>
    <mergeCell ref="G198:H198"/>
    <mergeCell ref="J198:K198"/>
    <mergeCell ref="M198:N198"/>
    <mergeCell ref="P198:Q198"/>
    <mergeCell ref="S196:T196"/>
    <mergeCell ref="V196:W196"/>
    <mergeCell ref="Y196:Z196"/>
    <mergeCell ref="AB196:AC196"/>
    <mergeCell ref="AE196:AF196"/>
    <mergeCell ref="D197:E197"/>
    <mergeCell ref="G197:H197"/>
    <mergeCell ref="J197:K197"/>
    <mergeCell ref="M197:N197"/>
    <mergeCell ref="P197:Q197"/>
    <mergeCell ref="S195:U195"/>
    <mergeCell ref="V195:X195"/>
    <mergeCell ref="Y195:AA195"/>
    <mergeCell ref="AB195:AD195"/>
    <mergeCell ref="AE195:AG195"/>
    <mergeCell ref="D196:E196"/>
    <mergeCell ref="G196:H196"/>
    <mergeCell ref="J196:K196"/>
    <mergeCell ref="M196:N196"/>
    <mergeCell ref="P196:Q196"/>
    <mergeCell ref="S194:U194"/>
    <mergeCell ref="V194:X194"/>
    <mergeCell ref="Y194:AA194"/>
    <mergeCell ref="AB194:AD194"/>
    <mergeCell ref="AE194:AG194"/>
    <mergeCell ref="D195:F195"/>
    <mergeCell ref="G195:I195"/>
    <mergeCell ref="J195:L195"/>
    <mergeCell ref="M195:O195"/>
    <mergeCell ref="P195:R195"/>
    <mergeCell ref="S193:U193"/>
    <mergeCell ref="V193:X193"/>
    <mergeCell ref="Y193:AA193"/>
    <mergeCell ref="AB193:AD193"/>
    <mergeCell ref="AE193:AG193"/>
    <mergeCell ref="D194:F194"/>
    <mergeCell ref="G194:I194"/>
    <mergeCell ref="J194:L194"/>
    <mergeCell ref="M194:O194"/>
    <mergeCell ref="P194:R194"/>
    <mergeCell ref="V190:W190"/>
    <mergeCell ref="Y190:Z190"/>
    <mergeCell ref="AB190:AC190"/>
    <mergeCell ref="AE190:AF190"/>
    <mergeCell ref="A193:B198"/>
    <mergeCell ref="D193:F193"/>
    <mergeCell ref="G193:I193"/>
    <mergeCell ref="J193:L193"/>
    <mergeCell ref="M193:O193"/>
    <mergeCell ref="P193:R193"/>
    <mergeCell ref="V189:W189"/>
    <mergeCell ref="Y189:Z189"/>
    <mergeCell ref="AB189:AC189"/>
    <mergeCell ref="AE189:AF189"/>
    <mergeCell ref="D190:E190"/>
    <mergeCell ref="G190:H190"/>
    <mergeCell ref="J190:K190"/>
    <mergeCell ref="M190:N190"/>
    <mergeCell ref="P190:Q190"/>
    <mergeCell ref="S190:T190"/>
    <mergeCell ref="V188:W188"/>
    <mergeCell ref="Y188:Z188"/>
    <mergeCell ref="AB188:AC188"/>
    <mergeCell ref="AE188:AF188"/>
    <mergeCell ref="D189:E189"/>
    <mergeCell ref="G189:H189"/>
    <mergeCell ref="J189:K189"/>
    <mergeCell ref="M189:N189"/>
    <mergeCell ref="P189:Q189"/>
    <mergeCell ref="S189:T189"/>
    <mergeCell ref="V187:X187"/>
    <mergeCell ref="Y187:AA187"/>
    <mergeCell ref="AB187:AD187"/>
    <mergeCell ref="AE187:AG187"/>
    <mergeCell ref="D188:E188"/>
    <mergeCell ref="G188:H188"/>
    <mergeCell ref="J188:K188"/>
    <mergeCell ref="M188:N188"/>
    <mergeCell ref="P188:Q188"/>
    <mergeCell ref="S188:T188"/>
    <mergeCell ref="V186:X186"/>
    <mergeCell ref="Y186:AA186"/>
    <mergeCell ref="AB186:AD186"/>
    <mergeCell ref="AE186:AG186"/>
    <mergeCell ref="D187:F187"/>
    <mergeCell ref="G187:I187"/>
    <mergeCell ref="J187:L187"/>
    <mergeCell ref="M187:O187"/>
    <mergeCell ref="P187:R187"/>
    <mergeCell ref="S187:U187"/>
    <mergeCell ref="D186:F186"/>
    <mergeCell ref="G186:I186"/>
    <mergeCell ref="J186:L186"/>
    <mergeCell ref="M186:O186"/>
    <mergeCell ref="P186:R186"/>
    <mergeCell ref="S186:U186"/>
    <mergeCell ref="P185:R185"/>
    <mergeCell ref="S185:U185"/>
    <mergeCell ref="V185:X185"/>
    <mergeCell ref="Y185:AA185"/>
    <mergeCell ref="AB185:AD185"/>
    <mergeCell ref="AE185:AG185"/>
    <mergeCell ref="S182:T182"/>
    <mergeCell ref="V182:W182"/>
    <mergeCell ref="Y182:Z182"/>
    <mergeCell ref="AB182:AC182"/>
    <mergeCell ref="AE182:AF182"/>
    <mergeCell ref="A185:B190"/>
    <mergeCell ref="D185:F185"/>
    <mergeCell ref="G185:I185"/>
    <mergeCell ref="J185:L185"/>
    <mergeCell ref="M185:O185"/>
    <mergeCell ref="S181:T181"/>
    <mergeCell ref="V181:W181"/>
    <mergeCell ref="Y181:Z181"/>
    <mergeCell ref="AB181:AC181"/>
    <mergeCell ref="AE181:AF181"/>
    <mergeCell ref="D182:E182"/>
    <mergeCell ref="G182:H182"/>
    <mergeCell ref="J182:K182"/>
    <mergeCell ref="M182:N182"/>
    <mergeCell ref="P182:Q182"/>
    <mergeCell ref="S180:T180"/>
    <mergeCell ref="V180:W180"/>
    <mergeCell ref="Y180:Z180"/>
    <mergeCell ref="AB180:AC180"/>
    <mergeCell ref="AE180:AF180"/>
    <mergeCell ref="D181:E181"/>
    <mergeCell ref="G181:H181"/>
    <mergeCell ref="J181:K181"/>
    <mergeCell ref="M181:N181"/>
    <mergeCell ref="P181:Q181"/>
    <mergeCell ref="S179:U179"/>
    <mergeCell ref="V179:X179"/>
    <mergeCell ref="Y179:AA179"/>
    <mergeCell ref="AB179:AD179"/>
    <mergeCell ref="AE179:AG179"/>
    <mergeCell ref="D180:E180"/>
    <mergeCell ref="G180:H180"/>
    <mergeCell ref="J180:K180"/>
    <mergeCell ref="M180:N180"/>
    <mergeCell ref="P180:Q180"/>
    <mergeCell ref="S178:U178"/>
    <mergeCell ref="V178:X178"/>
    <mergeCell ref="Y178:AA178"/>
    <mergeCell ref="AB178:AD178"/>
    <mergeCell ref="AE178:AG178"/>
    <mergeCell ref="D179:F179"/>
    <mergeCell ref="G179:I179"/>
    <mergeCell ref="J179:L179"/>
    <mergeCell ref="M179:O179"/>
    <mergeCell ref="P179:R179"/>
    <mergeCell ref="S177:U177"/>
    <mergeCell ref="V177:X177"/>
    <mergeCell ref="Y177:AA177"/>
    <mergeCell ref="AB177:AD177"/>
    <mergeCell ref="AE177:AG177"/>
    <mergeCell ref="D178:F178"/>
    <mergeCell ref="G178:I178"/>
    <mergeCell ref="J178:L178"/>
    <mergeCell ref="M178:O178"/>
    <mergeCell ref="P178:R178"/>
    <mergeCell ref="V174:W174"/>
    <mergeCell ref="Y174:Z174"/>
    <mergeCell ref="AB174:AC174"/>
    <mergeCell ref="AE174:AF174"/>
    <mergeCell ref="A177:B182"/>
    <mergeCell ref="D177:F177"/>
    <mergeCell ref="G177:I177"/>
    <mergeCell ref="J177:L177"/>
    <mergeCell ref="M177:O177"/>
    <mergeCell ref="P177:R177"/>
    <mergeCell ref="V173:W173"/>
    <mergeCell ref="Y173:Z173"/>
    <mergeCell ref="AB173:AC173"/>
    <mergeCell ref="AE173:AF173"/>
    <mergeCell ref="D174:E174"/>
    <mergeCell ref="G174:H174"/>
    <mergeCell ref="J174:K174"/>
    <mergeCell ref="M174:N174"/>
    <mergeCell ref="P174:Q174"/>
    <mergeCell ref="S174:T174"/>
    <mergeCell ref="V172:W172"/>
    <mergeCell ref="Y172:Z172"/>
    <mergeCell ref="AB172:AC172"/>
    <mergeCell ref="AE172:AF172"/>
    <mergeCell ref="D173:E173"/>
    <mergeCell ref="G173:H173"/>
    <mergeCell ref="J173:K173"/>
    <mergeCell ref="M173:N173"/>
    <mergeCell ref="P173:Q173"/>
    <mergeCell ref="S173:T173"/>
    <mergeCell ref="V171:X171"/>
    <mergeCell ref="Y171:AA171"/>
    <mergeCell ref="AB171:AD171"/>
    <mergeCell ref="AE171:AG171"/>
    <mergeCell ref="D172:E172"/>
    <mergeCell ref="G172:H172"/>
    <mergeCell ref="J172:K172"/>
    <mergeCell ref="M172:N172"/>
    <mergeCell ref="P172:Q172"/>
    <mergeCell ref="S172:T172"/>
    <mergeCell ref="V170:X170"/>
    <mergeCell ref="Y170:AA170"/>
    <mergeCell ref="AB170:AD170"/>
    <mergeCell ref="AE170:AG170"/>
    <mergeCell ref="D171:F171"/>
    <mergeCell ref="G171:I171"/>
    <mergeCell ref="J171:L171"/>
    <mergeCell ref="M171:O171"/>
    <mergeCell ref="P171:R171"/>
    <mergeCell ref="S171:U171"/>
    <mergeCell ref="D170:F170"/>
    <mergeCell ref="G170:I170"/>
    <mergeCell ref="J170:L170"/>
    <mergeCell ref="M170:O170"/>
    <mergeCell ref="P170:R170"/>
    <mergeCell ref="S170:U170"/>
    <mergeCell ref="P169:R169"/>
    <mergeCell ref="S169:U169"/>
    <mergeCell ref="V169:X169"/>
    <mergeCell ref="Y169:AA169"/>
    <mergeCell ref="AB169:AD169"/>
    <mergeCell ref="AE169:AG169"/>
    <mergeCell ref="S166:T166"/>
    <mergeCell ref="V166:W166"/>
    <mergeCell ref="Y166:Z166"/>
    <mergeCell ref="AB166:AC166"/>
    <mergeCell ref="AE166:AF166"/>
    <mergeCell ref="A169:B174"/>
    <mergeCell ref="D169:F169"/>
    <mergeCell ref="G169:I169"/>
    <mergeCell ref="J169:L169"/>
    <mergeCell ref="M169:O169"/>
    <mergeCell ref="S165:T165"/>
    <mergeCell ref="V165:W165"/>
    <mergeCell ref="Y165:Z165"/>
    <mergeCell ref="AB165:AC165"/>
    <mergeCell ref="AE165:AF165"/>
    <mergeCell ref="D166:E166"/>
    <mergeCell ref="G166:H166"/>
    <mergeCell ref="J166:K166"/>
    <mergeCell ref="M166:N166"/>
    <mergeCell ref="P166:Q166"/>
    <mergeCell ref="S164:T164"/>
    <mergeCell ref="V164:W164"/>
    <mergeCell ref="Y164:Z164"/>
    <mergeCell ref="AB164:AC164"/>
    <mergeCell ref="AE164:AF164"/>
    <mergeCell ref="D165:E165"/>
    <mergeCell ref="G165:H165"/>
    <mergeCell ref="J165:K165"/>
    <mergeCell ref="M165:N165"/>
    <mergeCell ref="P165:Q165"/>
    <mergeCell ref="S163:U163"/>
    <mergeCell ref="V163:X163"/>
    <mergeCell ref="Y163:AA163"/>
    <mergeCell ref="AB163:AD163"/>
    <mergeCell ref="AE163:AG163"/>
    <mergeCell ref="D164:E164"/>
    <mergeCell ref="G164:H164"/>
    <mergeCell ref="J164:K164"/>
    <mergeCell ref="M164:N164"/>
    <mergeCell ref="P164:Q164"/>
    <mergeCell ref="S162:U162"/>
    <mergeCell ref="V162:X162"/>
    <mergeCell ref="Y162:AA162"/>
    <mergeCell ref="AB162:AD162"/>
    <mergeCell ref="AE162:AG162"/>
    <mergeCell ref="D163:F163"/>
    <mergeCell ref="G163:I163"/>
    <mergeCell ref="J163:L163"/>
    <mergeCell ref="M163:O163"/>
    <mergeCell ref="P163:R163"/>
    <mergeCell ref="S161:U161"/>
    <mergeCell ref="V161:X161"/>
    <mergeCell ref="Y161:AA161"/>
    <mergeCell ref="AB161:AD161"/>
    <mergeCell ref="AE161:AG161"/>
    <mergeCell ref="D162:F162"/>
    <mergeCell ref="G162:I162"/>
    <mergeCell ref="J162:L162"/>
    <mergeCell ref="M162:O162"/>
    <mergeCell ref="P162:R162"/>
    <mergeCell ref="V158:W158"/>
    <mergeCell ref="Y158:Z158"/>
    <mergeCell ref="AB158:AC158"/>
    <mergeCell ref="AE158:AF158"/>
    <mergeCell ref="A161:B166"/>
    <mergeCell ref="D161:F161"/>
    <mergeCell ref="G161:I161"/>
    <mergeCell ref="J161:L161"/>
    <mergeCell ref="M161:O161"/>
    <mergeCell ref="P161:R161"/>
    <mergeCell ref="V157:W157"/>
    <mergeCell ref="Y157:Z157"/>
    <mergeCell ref="AB157:AC157"/>
    <mergeCell ref="AE157:AF157"/>
    <mergeCell ref="D158:E158"/>
    <mergeCell ref="G158:H158"/>
    <mergeCell ref="J158:K158"/>
    <mergeCell ref="M158:N158"/>
    <mergeCell ref="P158:Q158"/>
    <mergeCell ref="S158:T158"/>
    <mergeCell ref="V156:W156"/>
    <mergeCell ref="Y156:Z156"/>
    <mergeCell ref="AB156:AC156"/>
    <mergeCell ref="AE156:AF156"/>
    <mergeCell ref="D157:E157"/>
    <mergeCell ref="G157:H157"/>
    <mergeCell ref="J157:K157"/>
    <mergeCell ref="M157:N157"/>
    <mergeCell ref="P157:Q157"/>
    <mergeCell ref="S157:T157"/>
    <mergeCell ref="V155:X155"/>
    <mergeCell ref="Y155:AA155"/>
    <mergeCell ref="AB155:AD155"/>
    <mergeCell ref="AE155:AG155"/>
    <mergeCell ref="D156:E156"/>
    <mergeCell ref="G156:H156"/>
    <mergeCell ref="J156:K156"/>
    <mergeCell ref="M156:N156"/>
    <mergeCell ref="P156:Q156"/>
    <mergeCell ref="S156:T156"/>
    <mergeCell ref="V154:X154"/>
    <mergeCell ref="Y154:AA154"/>
    <mergeCell ref="AB154:AD154"/>
    <mergeCell ref="AE154:AG154"/>
    <mergeCell ref="D155:F155"/>
    <mergeCell ref="G155:I155"/>
    <mergeCell ref="J155:L155"/>
    <mergeCell ref="M155:O155"/>
    <mergeCell ref="P155:R155"/>
    <mergeCell ref="S155:U155"/>
    <mergeCell ref="D154:F154"/>
    <mergeCell ref="G154:I154"/>
    <mergeCell ref="J154:L154"/>
    <mergeCell ref="M154:O154"/>
    <mergeCell ref="P154:R154"/>
    <mergeCell ref="S154:U154"/>
    <mergeCell ref="P153:R153"/>
    <mergeCell ref="S153:U153"/>
    <mergeCell ref="V153:X153"/>
    <mergeCell ref="Y153:AA153"/>
    <mergeCell ref="AB153:AD153"/>
    <mergeCell ref="AE153:AG153"/>
    <mergeCell ref="S150:T150"/>
    <mergeCell ref="V150:W150"/>
    <mergeCell ref="Y150:Z150"/>
    <mergeCell ref="AB150:AC150"/>
    <mergeCell ref="AE150:AF150"/>
    <mergeCell ref="A153:B158"/>
    <mergeCell ref="D153:F153"/>
    <mergeCell ref="G153:I153"/>
    <mergeCell ref="J153:L153"/>
    <mergeCell ref="M153:O153"/>
    <mergeCell ref="S149:T149"/>
    <mergeCell ref="V149:W149"/>
    <mergeCell ref="Y149:Z149"/>
    <mergeCell ref="AB149:AC149"/>
    <mergeCell ref="AE149:AF149"/>
    <mergeCell ref="D150:E150"/>
    <mergeCell ref="G150:H150"/>
    <mergeCell ref="J150:K150"/>
    <mergeCell ref="M150:N150"/>
    <mergeCell ref="P150:Q150"/>
    <mergeCell ref="S148:T148"/>
    <mergeCell ref="V148:W148"/>
    <mergeCell ref="Y148:Z148"/>
    <mergeCell ref="AB148:AC148"/>
    <mergeCell ref="AE148:AF148"/>
    <mergeCell ref="D149:E149"/>
    <mergeCell ref="G149:H149"/>
    <mergeCell ref="J149:K149"/>
    <mergeCell ref="M149:N149"/>
    <mergeCell ref="P149:Q149"/>
    <mergeCell ref="S147:U147"/>
    <mergeCell ref="V147:X147"/>
    <mergeCell ref="Y147:AA147"/>
    <mergeCell ref="AB147:AD147"/>
    <mergeCell ref="AE147:AG147"/>
    <mergeCell ref="D148:E148"/>
    <mergeCell ref="G148:H148"/>
    <mergeCell ref="J148:K148"/>
    <mergeCell ref="M148:N148"/>
    <mergeCell ref="P148:Q148"/>
    <mergeCell ref="S146:U146"/>
    <mergeCell ref="V146:X146"/>
    <mergeCell ref="Y146:AA146"/>
    <mergeCell ref="AB146:AD146"/>
    <mergeCell ref="AE146:AG146"/>
    <mergeCell ref="D147:F147"/>
    <mergeCell ref="G147:I147"/>
    <mergeCell ref="J147:L147"/>
    <mergeCell ref="M147:O147"/>
    <mergeCell ref="P147:R147"/>
    <mergeCell ref="S145:U145"/>
    <mergeCell ref="V145:X145"/>
    <mergeCell ref="Y145:AA145"/>
    <mergeCell ref="AB145:AD145"/>
    <mergeCell ref="AE145:AG145"/>
    <mergeCell ref="D146:F146"/>
    <mergeCell ref="G146:I146"/>
    <mergeCell ref="J146:L146"/>
    <mergeCell ref="M146:O146"/>
    <mergeCell ref="P146:R146"/>
    <mergeCell ref="V142:W142"/>
    <mergeCell ref="Y142:Z142"/>
    <mergeCell ref="AB142:AC142"/>
    <mergeCell ref="AE142:AF142"/>
    <mergeCell ref="A145:B150"/>
    <mergeCell ref="D145:F145"/>
    <mergeCell ref="G145:I145"/>
    <mergeCell ref="J145:L145"/>
    <mergeCell ref="M145:O145"/>
    <mergeCell ref="P145:R145"/>
    <mergeCell ref="V141:W141"/>
    <mergeCell ref="Y141:Z141"/>
    <mergeCell ref="AB141:AC141"/>
    <mergeCell ref="AE141:AF141"/>
    <mergeCell ref="D142:E142"/>
    <mergeCell ref="G142:H142"/>
    <mergeCell ref="J142:K142"/>
    <mergeCell ref="M142:N142"/>
    <mergeCell ref="P142:Q142"/>
    <mergeCell ref="S142:T142"/>
    <mergeCell ref="V140:W140"/>
    <mergeCell ref="Y140:Z140"/>
    <mergeCell ref="AB140:AC140"/>
    <mergeCell ref="AE140:AF140"/>
    <mergeCell ref="D141:E141"/>
    <mergeCell ref="G141:H141"/>
    <mergeCell ref="J141:K141"/>
    <mergeCell ref="M141:N141"/>
    <mergeCell ref="P141:Q141"/>
    <mergeCell ref="S141:T141"/>
    <mergeCell ref="V139:X139"/>
    <mergeCell ref="Y139:AA139"/>
    <mergeCell ref="AB139:AD139"/>
    <mergeCell ref="AE139:AG139"/>
    <mergeCell ref="D140:E140"/>
    <mergeCell ref="G140:H140"/>
    <mergeCell ref="J140:K140"/>
    <mergeCell ref="M140:N140"/>
    <mergeCell ref="P140:Q140"/>
    <mergeCell ref="S140:T140"/>
    <mergeCell ref="V138:X138"/>
    <mergeCell ref="Y138:AA138"/>
    <mergeCell ref="AB138:AD138"/>
    <mergeCell ref="AE138:AG138"/>
    <mergeCell ref="D139:F139"/>
    <mergeCell ref="G139:I139"/>
    <mergeCell ref="J139:L139"/>
    <mergeCell ref="M139:O139"/>
    <mergeCell ref="P139:R139"/>
    <mergeCell ref="S139:U139"/>
    <mergeCell ref="D138:F138"/>
    <mergeCell ref="G138:I138"/>
    <mergeCell ref="J138:L138"/>
    <mergeCell ref="M138:O138"/>
    <mergeCell ref="P138:R138"/>
    <mergeCell ref="S138:U138"/>
    <mergeCell ref="P137:R137"/>
    <mergeCell ref="S137:U137"/>
    <mergeCell ref="V137:X137"/>
    <mergeCell ref="Y137:AA137"/>
    <mergeCell ref="AB137:AD137"/>
    <mergeCell ref="AE137:AG137"/>
    <mergeCell ref="S134:T134"/>
    <mergeCell ref="V134:W134"/>
    <mergeCell ref="Y134:Z134"/>
    <mergeCell ref="AB134:AC134"/>
    <mergeCell ref="AE134:AF134"/>
    <mergeCell ref="A137:B142"/>
    <mergeCell ref="D137:F137"/>
    <mergeCell ref="G137:I137"/>
    <mergeCell ref="J137:L137"/>
    <mergeCell ref="M137:O137"/>
    <mergeCell ref="S133:T133"/>
    <mergeCell ref="V133:W133"/>
    <mergeCell ref="Y133:Z133"/>
    <mergeCell ref="AB133:AC133"/>
    <mergeCell ref="AE133:AF133"/>
    <mergeCell ref="D134:E134"/>
    <mergeCell ref="G134:H134"/>
    <mergeCell ref="J134:K134"/>
    <mergeCell ref="M134:N134"/>
    <mergeCell ref="P134:Q134"/>
    <mergeCell ref="S132:T132"/>
    <mergeCell ref="V132:W132"/>
    <mergeCell ref="Y132:Z132"/>
    <mergeCell ref="AB132:AC132"/>
    <mergeCell ref="AE132:AF132"/>
    <mergeCell ref="D133:E133"/>
    <mergeCell ref="G133:H133"/>
    <mergeCell ref="J133:K133"/>
    <mergeCell ref="M133:N133"/>
    <mergeCell ref="P133:Q133"/>
    <mergeCell ref="S131:U131"/>
    <mergeCell ref="V131:X131"/>
    <mergeCell ref="Y131:AA131"/>
    <mergeCell ref="AB131:AD131"/>
    <mergeCell ref="AE131:AG131"/>
    <mergeCell ref="D132:E132"/>
    <mergeCell ref="G132:H132"/>
    <mergeCell ref="J132:K132"/>
    <mergeCell ref="M132:N132"/>
    <mergeCell ref="P132:Q132"/>
    <mergeCell ref="S130:U130"/>
    <mergeCell ref="V130:X130"/>
    <mergeCell ref="Y130:AA130"/>
    <mergeCell ref="AB130:AD130"/>
    <mergeCell ref="AE130:AG130"/>
    <mergeCell ref="D131:F131"/>
    <mergeCell ref="G131:I131"/>
    <mergeCell ref="J131:L131"/>
    <mergeCell ref="M131:O131"/>
    <mergeCell ref="P131:R131"/>
    <mergeCell ref="S129:U129"/>
    <mergeCell ref="V129:X129"/>
    <mergeCell ref="Y129:AA129"/>
    <mergeCell ref="AB129:AD129"/>
    <mergeCell ref="AE129:AG129"/>
    <mergeCell ref="D130:F130"/>
    <mergeCell ref="G130:I130"/>
    <mergeCell ref="J130:L130"/>
    <mergeCell ref="M130:O130"/>
    <mergeCell ref="P130:R130"/>
    <mergeCell ref="V126:W126"/>
    <mergeCell ref="Y126:Z126"/>
    <mergeCell ref="AB126:AC126"/>
    <mergeCell ref="AE126:AF126"/>
    <mergeCell ref="A129:B134"/>
    <mergeCell ref="D129:F129"/>
    <mergeCell ref="G129:I129"/>
    <mergeCell ref="J129:L129"/>
    <mergeCell ref="M129:O129"/>
    <mergeCell ref="P129:R129"/>
    <mergeCell ref="V125:W125"/>
    <mergeCell ref="Y125:Z125"/>
    <mergeCell ref="AB125:AC125"/>
    <mergeCell ref="AE125:AF125"/>
    <mergeCell ref="D126:E126"/>
    <mergeCell ref="G126:H126"/>
    <mergeCell ref="J126:K126"/>
    <mergeCell ref="M126:N126"/>
    <mergeCell ref="P126:Q126"/>
    <mergeCell ref="S126:T126"/>
    <mergeCell ref="V124:W124"/>
    <mergeCell ref="Y124:Z124"/>
    <mergeCell ref="AB124:AC124"/>
    <mergeCell ref="AE124:AF124"/>
    <mergeCell ref="D125:E125"/>
    <mergeCell ref="G125:H125"/>
    <mergeCell ref="J125:K125"/>
    <mergeCell ref="M125:N125"/>
    <mergeCell ref="P125:Q125"/>
    <mergeCell ref="S125:T125"/>
    <mergeCell ref="V123:X123"/>
    <mergeCell ref="Y123:AA123"/>
    <mergeCell ref="AB123:AD123"/>
    <mergeCell ref="AE123:AG123"/>
    <mergeCell ref="D124:E124"/>
    <mergeCell ref="G124:H124"/>
    <mergeCell ref="J124:K124"/>
    <mergeCell ref="M124:N124"/>
    <mergeCell ref="P124:Q124"/>
    <mergeCell ref="S124:T124"/>
    <mergeCell ref="V122:X122"/>
    <mergeCell ref="Y122:AA122"/>
    <mergeCell ref="AB122:AD122"/>
    <mergeCell ref="AE122:AG122"/>
    <mergeCell ref="D123:F123"/>
    <mergeCell ref="G123:I123"/>
    <mergeCell ref="J123:L123"/>
    <mergeCell ref="M123:O123"/>
    <mergeCell ref="P123:R123"/>
    <mergeCell ref="S123:U123"/>
    <mergeCell ref="D122:F122"/>
    <mergeCell ref="G122:I122"/>
    <mergeCell ref="J122:L122"/>
    <mergeCell ref="M122:O122"/>
    <mergeCell ref="P122:R122"/>
    <mergeCell ref="S122:U122"/>
    <mergeCell ref="P121:R121"/>
    <mergeCell ref="S121:U121"/>
    <mergeCell ref="V121:X121"/>
    <mergeCell ref="Y121:AA121"/>
    <mergeCell ref="AB121:AD121"/>
    <mergeCell ref="AE121:AG121"/>
    <mergeCell ref="S118:T118"/>
    <mergeCell ref="V118:W118"/>
    <mergeCell ref="Y118:Z118"/>
    <mergeCell ref="AB118:AC118"/>
    <mergeCell ref="AE118:AF118"/>
    <mergeCell ref="A121:B126"/>
    <mergeCell ref="D121:F121"/>
    <mergeCell ref="G121:I121"/>
    <mergeCell ref="J121:L121"/>
    <mergeCell ref="M121:O121"/>
    <mergeCell ref="S117:T117"/>
    <mergeCell ref="V117:W117"/>
    <mergeCell ref="Y117:Z117"/>
    <mergeCell ref="AB117:AC117"/>
    <mergeCell ref="AE117:AF117"/>
    <mergeCell ref="D118:E118"/>
    <mergeCell ref="G118:H118"/>
    <mergeCell ref="J118:K118"/>
    <mergeCell ref="M118:N118"/>
    <mergeCell ref="P118:Q118"/>
    <mergeCell ref="S116:T116"/>
    <mergeCell ref="V116:W116"/>
    <mergeCell ref="Y116:Z116"/>
    <mergeCell ref="AB116:AC116"/>
    <mergeCell ref="AE116:AF116"/>
    <mergeCell ref="D117:E117"/>
    <mergeCell ref="G117:H117"/>
    <mergeCell ref="J117:K117"/>
    <mergeCell ref="M117:N117"/>
    <mergeCell ref="P117:Q117"/>
    <mergeCell ref="S115:U115"/>
    <mergeCell ref="V115:X115"/>
    <mergeCell ref="Y115:AA115"/>
    <mergeCell ref="AB115:AD115"/>
    <mergeCell ref="AE115:AG115"/>
    <mergeCell ref="D116:E116"/>
    <mergeCell ref="G116:H116"/>
    <mergeCell ref="J116:K116"/>
    <mergeCell ref="M116:N116"/>
    <mergeCell ref="P116:Q116"/>
    <mergeCell ref="S114:U114"/>
    <mergeCell ref="V114:X114"/>
    <mergeCell ref="Y114:AA114"/>
    <mergeCell ref="AB114:AD114"/>
    <mergeCell ref="AE114:AG114"/>
    <mergeCell ref="D115:F115"/>
    <mergeCell ref="G115:I115"/>
    <mergeCell ref="J115:L115"/>
    <mergeCell ref="M115:O115"/>
    <mergeCell ref="P115:R115"/>
    <mergeCell ref="S113:U113"/>
    <mergeCell ref="V113:X113"/>
    <mergeCell ref="Y113:AA113"/>
    <mergeCell ref="AB113:AD113"/>
    <mergeCell ref="AE113:AG113"/>
    <mergeCell ref="D114:F114"/>
    <mergeCell ref="G114:I114"/>
    <mergeCell ref="J114:L114"/>
    <mergeCell ref="M114:O114"/>
    <mergeCell ref="P114:R114"/>
    <mergeCell ref="V110:W110"/>
    <mergeCell ref="Y110:Z110"/>
    <mergeCell ref="AB110:AC110"/>
    <mergeCell ref="AE110:AF110"/>
    <mergeCell ref="A113:B118"/>
    <mergeCell ref="D113:F113"/>
    <mergeCell ref="G113:I113"/>
    <mergeCell ref="J113:L113"/>
    <mergeCell ref="M113:O113"/>
    <mergeCell ref="P113:R113"/>
    <mergeCell ref="V109:W109"/>
    <mergeCell ref="Y109:Z109"/>
    <mergeCell ref="AB109:AC109"/>
    <mergeCell ref="AE109:AF109"/>
    <mergeCell ref="D110:E110"/>
    <mergeCell ref="G110:H110"/>
    <mergeCell ref="J110:K110"/>
    <mergeCell ref="M110:N110"/>
    <mergeCell ref="P110:Q110"/>
    <mergeCell ref="S110:T110"/>
    <mergeCell ref="V108:W108"/>
    <mergeCell ref="Y108:Z108"/>
    <mergeCell ref="AB108:AC108"/>
    <mergeCell ref="AE108:AF108"/>
    <mergeCell ref="D109:E109"/>
    <mergeCell ref="G109:H109"/>
    <mergeCell ref="J109:K109"/>
    <mergeCell ref="M109:N109"/>
    <mergeCell ref="P109:Q109"/>
    <mergeCell ref="S109:T109"/>
    <mergeCell ref="V107:X107"/>
    <mergeCell ref="Y107:AA107"/>
    <mergeCell ref="AB107:AD107"/>
    <mergeCell ref="AE107:AG107"/>
    <mergeCell ref="D108:E108"/>
    <mergeCell ref="G108:H108"/>
    <mergeCell ref="J108:K108"/>
    <mergeCell ref="M108:N108"/>
    <mergeCell ref="P108:Q108"/>
    <mergeCell ref="S108:T108"/>
    <mergeCell ref="V106:X106"/>
    <mergeCell ref="Y106:AA106"/>
    <mergeCell ref="AB106:AD106"/>
    <mergeCell ref="AE106:AG106"/>
    <mergeCell ref="D107:F107"/>
    <mergeCell ref="G107:I107"/>
    <mergeCell ref="J107:L107"/>
    <mergeCell ref="M107:O107"/>
    <mergeCell ref="P107:R107"/>
    <mergeCell ref="S107:U107"/>
    <mergeCell ref="D106:F106"/>
    <mergeCell ref="G106:I106"/>
    <mergeCell ref="J106:L106"/>
    <mergeCell ref="M106:O106"/>
    <mergeCell ref="P106:R106"/>
    <mergeCell ref="S106:U106"/>
    <mergeCell ref="P105:R105"/>
    <mergeCell ref="S105:U105"/>
    <mergeCell ref="V105:X105"/>
    <mergeCell ref="Y105:AA105"/>
    <mergeCell ref="AB105:AD105"/>
    <mergeCell ref="AE105:AG105"/>
    <mergeCell ref="S102:T102"/>
    <mergeCell ref="V102:W102"/>
    <mergeCell ref="Y102:Z102"/>
    <mergeCell ref="AB102:AC102"/>
    <mergeCell ref="AE102:AF102"/>
    <mergeCell ref="A105:B110"/>
    <mergeCell ref="D105:F105"/>
    <mergeCell ref="G105:I105"/>
    <mergeCell ref="J105:L105"/>
    <mergeCell ref="M105:O105"/>
    <mergeCell ref="S101:T101"/>
    <mergeCell ref="V101:W101"/>
    <mergeCell ref="Y101:Z101"/>
    <mergeCell ref="AB101:AC101"/>
    <mergeCell ref="AE101:AF101"/>
    <mergeCell ref="D102:E102"/>
    <mergeCell ref="G102:H102"/>
    <mergeCell ref="J102:K102"/>
    <mergeCell ref="M102:N102"/>
    <mergeCell ref="P102:Q102"/>
    <mergeCell ref="S100:T100"/>
    <mergeCell ref="V100:W100"/>
    <mergeCell ref="Y100:Z100"/>
    <mergeCell ref="AB100:AC100"/>
    <mergeCell ref="AE100:AF100"/>
    <mergeCell ref="D101:E101"/>
    <mergeCell ref="G101:H101"/>
    <mergeCell ref="J101:K101"/>
    <mergeCell ref="M101:N101"/>
    <mergeCell ref="P101:Q101"/>
    <mergeCell ref="S99:U99"/>
    <mergeCell ref="V99:X99"/>
    <mergeCell ref="Y99:AA99"/>
    <mergeCell ref="AB99:AD99"/>
    <mergeCell ref="AE99:AG99"/>
    <mergeCell ref="D100:E100"/>
    <mergeCell ref="G100:H100"/>
    <mergeCell ref="J100:K100"/>
    <mergeCell ref="M100:N100"/>
    <mergeCell ref="P100:Q100"/>
    <mergeCell ref="S98:U98"/>
    <mergeCell ref="V98:X98"/>
    <mergeCell ref="Y98:AA98"/>
    <mergeCell ref="AB98:AD98"/>
    <mergeCell ref="AE98:AG98"/>
    <mergeCell ref="D99:F99"/>
    <mergeCell ref="G99:I99"/>
    <mergeCell ref="J99:L99"/>
    <mergeCell ref="M99:O99"/>
    <mergeCell ref="P99:R99"/>
    <mergeCell ref="S97:U97"/>
    <mergeCell ref="V97:X97"/>
    <mergeCell ref="Y97:AA97"/>
    <mergeCell ref="AB97:AD97"/>
    <mergeCell ref="AE97:AG97"/>
    <mergeCell ref="D98:F98"/>
    <mergeCell ref="G98:I98"/>
    <mergeCell ref="J98:L98"/>
    <mergeCell ref="M98:O98"/>
    <mergeCell ref="P98:R98"/>
    <mergeCell ref="V94:W94"/>
    <mergeCell ref="Y94:Z94"/>
    <mergeCell ref="AB94:AC94"/>
    <mergeCell ref="AE94:AF94"/>
    <mergeCell ref="A97:B102"/>
    <mergeCell ref="D97:F97"/>
    <mergeCell ref="G97:I97"/>
    <mergeCell ref="J97:L97"/>
    <mergeCell ref="M97:O97"/>
    <mergeCell ref="P97:R97"/>
    <mergeCell ref="V93:W93"/>
    <mergeCell ref="Y93:Z93"/>
    <mergeCell ref="AB93:AC93"/>
    <mergeCell ref="AE93:AF93"/>
    <mergeCell ref="D94:E94"/>
    <mergeCell ref="G94:H94"/>
    <mergeCell ref="J94:K94"/>
    <mergeCell ref="M94:N94"/>
    <mergeCell ref="P94:Q94"/>
    <mergeCell ref="S94:T94"/>
    <mergeCell ref="V92:W92"/>
    <mergeCell ref="Y92:Z92"/>
    <mergeCell ref="AB92:AC92"/>
    <mergeCell ref="AE92:AF92"/>
    <mergeCell ref="D93:E93"/>
    <mergeCell ref="G93:H93"/>
    <mergeCell ref="J93:K93"/>
    <mergeCell ref="M93:N93"/>
    <mergeCell ref="P93:Q93"/>
    <mergeCell ref="S93:T93"/>
    <mergeCell ref="V91:X91"/>
    <mergeCell ref="Y91:AA91"/>
    <mergeCell ref="AB91:AD91"/>
    <mergeCell ref="AE91:AG91"/>
    <mergeCell ref="D92:E92"/>
    <mergeCell ref="G92:H92"/>
    <mergeCell ref="J92:K92"/>
    <mergeCell ref="M92:N92"/>
    <mergeCell ref="P92:Q92"/>
    <mergeCell ref="S92:T92"/>
    <mergeCell ref="V90:X90"/>
    <mergeCell ref="Y90:AA90"/>
    <mergeCell ref="AB90:AD90"/>
    <mergeCell ref="AE90:AG90"/>
    <mergeCell ref="D91:F91"/>
    <mergeCell ref="G91:I91"/>
    <mergeCell ref="J91:L91"/>
    <mergeCell ref="M91:O91"/>
    <mergeCell ref="P91:R91"/>
    <mergeCell ref="S91:U91"/>
    <mergeCell ref="D90:F90"/>
    <mergeCell ref="G90:I90"/>
    <mergeCell ref="J90:L90"/>
    <mergeCell ref="M90:O90"/>
    <mergeCell ref="P90:R90"/>
    <mergeCell ref="S90:U90"/>
    <mergeCell ref="P89:R89"/>
    <mergeCell ref="S89:U89"/>
    <mergeCell ref="V89:X89"/>
    <mergeCell ref="Y89:AA89"/>
    <mergeCell ref="AB89:AD89"/>
    <mergeCell ref="AE89:AG89"/>
    <mergeCell ref="S86:T86"/>
    <mergeCell ref="V86:W86"/>
    <mergeCell ref="Y86:Z86"/>
    <mergeCell ref="AB86:AC86"/>
    <mergeCell ref="AE86:AF86"/>
    <mergeCell ref="A89:B94"/>
    <mergeCell ref="D89:F89"/>
    <mergeCell ref="G89:I89"/>
    <mergeCell ref="J89:L89"/>
    <mergeCell ref="M89:O89"/>
    <mergeCell ref="S85:T85"/>
    <mergeCell ref="V85:W85"/>
    <mergeCell ref="Y85:Z85"/>
    <mergeCell ref="AB85:AC85"/>
    <mergeCell ref="AE85:AF85"/>
    <mergeCell ref="D86:E86"/>
    <mergeCell ref="G86:H86"/>
    <mergeCell ref="J86:K86"/>
    <mergeCell ref="M86:N86"/>
    <mergeCell ref="P86:Q86"/>
    <mergeCell ref="S84:T84"/>
    <mergeCell ref="V84:W84"/>
    <mergeCell ref="Y84:Z84"/>
    <mergeCell ref="AB84:AC84"/>
    <mergeCell ref="AE84:AF84"/>
    <mergeCell ref="D85:E85"/>
    <mergeCell ref="G85:H85"/>
    <mergeCell ref="J85:K85"/>
    <mergeCell ref="M85:N85"/>
    <mergeCell ref="P85:Q85"/>
    <mergeCell ref="S83:U83"/>
    <mergeCell ref="V83:X83"/>
    <mergeCell ref="Y83:AA83"/>
    <mergeCell ref="AB83:AD83"/>
    <mergeCell ref="AE83:AG83"/>
    <mergeCell ref="D84:E84"/>
    <mergeCell ref="G84:H84"/>
    <mergeCell ref="J84:K84"/>
    <mergeCell ref="M84:N84"/>
    <mergeCell ref="P84:Q84"/>
    <mergeCell ref="S82:U82"/>
    <mergeCell ref="V82:X82"/>
    <mergeCell ref="Y82:AA82"/>
    <mergeCell ref="AB82:AD82"/>
    <mergeCell ref="AE82:AG82"/>
    <mergeCell ref="D83:F83"/>
    <mergeCell ref="G83:I83"/>
    <mergeCell ref="J83:L83"/>
    <mergeCell ref="M83:O83"/>
    <mergeCell ref="P83:R83"/>
    <mergeCell ref="S81:U81"/>
    <mergeCell ref="V81:X81"/>
    <mergeCell ref="Y81:AA81"/>
    <mergeCell ref="AB81:AD81"/>
    <mergeCell ref="AE81:AG81"/>
    <mergeCell ref="D82:F82"/>
    <mergeCell ref="G82:I82"/>
    <mergeCell ref="J82:L82"/>
    <mergeCell ref="M82:O82"/>
    <mergeCell ref="P82:R82"/>
    <mergeCell ref="V78:W78"/>
    <mergeCell ref="Y78:Z78"/>
    <mergeCell ref="AB78:AC78"/>
    <mergeCell ref="AE78:AF78"/>
    <mergeCell ref="A81:B86"/>
    <mergeCell ref="D81:F81"/>
    <mergeCell ref="G81:I81"/>
    <mergeCell ref="J81:L81"/>
    <mergeCell ref="M81:O81"/>
    <mergeCell ref="P81:R81"/>
    <mergeCell ref="V77:W77"/>
    <mergeCell ref="Y77:Z77"/>
    <mergeCell ref="AB77:AC77"/>
    <mergeCell ref="AE77:AF77"/>
    <mergeCell ref="D78:E78"/>
    <mergeCell ref="G78:H78"/>
    <mergeCell ref="J78:K78"/>
    <mergeCell ref="M78:N78"/>
    <mergeCell ref="P78:Q78"/>
    <mergeCell ref="S78:T78"/>
    <mergeCell ref="V76:W76"/>
    <mergeCell ref="Y76:Z76"/>
    <mergeCell ref="AB76:AC76"/>
    <mergeCell ref="AE76:AF76"/>
    <mergeCell ref="D77:E77"/>
    <mergeCell ref="G77:H77"/>
    <mergeCell ref="J77:K77"/>
    <mergeCell ref="M77:N77"/>
    <mergeCell ref="P77:Q77"/>
    <mergeCell ref="S77:T77"/>
    <mergeCell ref="V75:X75"/>
    <mergeCell ref="Y75:AA75"/>
    <mergeCell ref="AB75:AD75"/>
    <mergeCell ref="AE75:AG75"/>
    <mergeCell ref="D76:E76"/>
    <mergeCell ref="G76:H76"/>
    <mergeCell ref="J76:K76"/>
    <mergeCell ref="M76:N76"/>
    <mergeCell ref="P76:Q76"/>
    <mergeCell ref="S76:T76"/>
    <mergeCell ref="V74:X74"/>
    <mergeCell ref="Y74:AA74"/>
    <mergeCell ref="AB74:AD74"/>
    <mergeCell ref="AE74:AG74"/>
    <mergeCell ref="D75:F75"/>
    <mergeCell ref="G75:I75"/>
    <mergeCell ref="J75:L75"/>
    <mergeCell ref="M75:O75"/>
    <mergeCell ref="P75:R75"/>
    <mergeCell ref="S75:U75"/>
    <mergeCell ref="D74:F74"/>
    <mergeCell ref="G74:I74"/>
    <mergeCell ref="J74:L74"/>
    <mergeCell ref="M74:O74"/>
    <mergeCell ref="P74:R74"/>
    <mergeCell ref="S74:U74"/>
    <mergeCell ref="P73:R73"/>
    <mergeCell ref="S73:U73"/>
    <mergeCell ref="V73:X73"/>
    <mergeCell ref="Y73:AA73"/>
    <mergeCell ref="AB73:AD73"/>
    <mergeCell ref="AE73:AG73"/>
    <mergeCell ref="S70:T70"/>
    <mergeCell ref="V70:W70"/>
    <mergeCell ref="Y70:Z70"/>
    <mergeCell ref="AB70:AC70"/>
    <mergeCell ref="AE70:AF70"/>
    <mergeCell ref="A73:B78"/>
    <mergeCell ref="D73:F73"/>
    <mergeCell ref="G73:I73"/>
    <mergeCell ref="J73:L73"/>
    <mergeCell ref="M73:O73"/>
    <mergeCell ref="S69:T69"/>
    <mergeCell ref="V69:W69"/>
    <mergeCell ref="Y69:Z69"/>
    <mergeCell ref="AB69:AC69"/>
    <mergeCell ref="AE69:AF69"/>
    <mergeCell ref="D70:E70"/>
    <mergeCell ref="G70:H70"/>
    <mergeCell ref="J70:K70"/>
    <mergeCell ref="M70:N70"/>
    <mergeCell ref="P70:Q70"/>
    <mergeCell ref="S68:T68"/>
    <mergeCell ref="V68:W68"/>
    <mergeCell ref="Y68:Z68"/>
    <mergeCell ref="AB68:AC68"/>
    <mergeCell ref="AE68:AF68"/>
    <mergeCell ref="D69:E69"/>
    <mergeCell ref="G69:H69"/>
    <mergeCell ref="J69:K69"/>
    <mergeCell ref="M69:N69"/>
    <mergeCell ref="P69:Q69"/>
    <mergeCell ref="S67:U67"/>
    <mergeCell ref="V67:X67"/>
    <mergeCell ref="Y67:AA67"/>
    <mergeCell ref="AB67:AD67"/>
    <mergeCell ref="AE67:AG67"/>
    <mergeCell ref="D68:E68"/>
    <mergeCell ref="G68:H68"/>
    <mergeCell ref="J68:K68"/>
    <mergeCell ref="M68:N68"/>
    <mergeCell ref="P68:Q68"/>
    <mergeCell ref="S66:U66"/>
    <mergeCell ref="V66:X66"/>
    <mergeCell ref="Y66:AA66"/>
    <mergeCell ref="AB66:AD66"/>
    <mergeCell ref="AE66:AG66"/>
    <mergeCell ref="D67:F67"/>
    <mergeCell ref="G67:I67"/>
    <mergeCell ref="J67:L67"/>
    <mergeCell ref="M67:O67"/>
    <mergeCell ref="P67:R67"/>
    <mergeCell ref="S65:U65"/>
    <mergeCell ref="V65:X65"/>
    <mergeCell ref="Y65:AA65"/>
    <mergeCell ref="AB65:AD65"/>
    <mergeCell ref="AE65:AG65"/>
    <mergeCell ref="D66:F66"/>
    <mergeCell ref="G66:I66"/>
    <mergeCell ref="J66:L66"/>
    <mergeCell ref="M66:O66"/>
    <mergeCell ref="P66:R66"/>
    <mergeCell ref="V62:W62"/>
    <mergeCell ref="Y62:Z62"/>
    <mergeCell ref="AB62:AC62"/>
    <mergeCell ref="AE62:AF62"/>
    <mergeCell ref="A65:B70"/>
    <mergeCell ref="D65:F65"/>
    <mergeCell ref="G65:I65"/>
    <mergeCell ref="J65:L65"/>
    <mergeCell ref="M65:O65"/>
    <mergeCell ref="P65:R65"/>
    <mergeCell ref="V61:W61"/>
    <mergeCell ref="Y61:Z61"/>
    <mergeCell ref="AB61:AC61"/>
    <mergeCell ref="AE61:AF61"/>
    <mergeCell ref="D62:E62"/>
    <mergeCell ref="G62:H62"/>
    <mergeCell ref="J62:K62"/>
    <mergeCell ref="M62:N62"/>
    <mergeCell ref="P62:Q62"/>
    <mergeCell ref="S62:T62"/>
    <mergeCell ref="V60:W60"/>
    <mergeCell ref="Y60:Z60"/>
    <mergeCell ref="AB60:AC60"/>
    <mergeCell ref="AE60:AF60"/>
    <mergeCell ref="D61:E61"/>
    <mergeCell ref="G61:H61"/>
    <mergeCell ref="J61:K61"/>
    <mergeCell ref="M61:N61"/>
    <mergeCell ref="P61:Q61"/>
    <mergeCell ref="S61:T61"/>
    <mergeCell ref="V59:X59"/>
    <mergeCell ref="Y59:AA59"/>
    <mergeCell ref="AB59:AD59"/>
    <mergeCell ref="AE59:AG59"/>
    <mergeCell ref="D60:E60"/>
    <mergeCell ref="G60:H60"/>
    <mergeCell ref="J60:K60"/>
    <mergeCell ref="M60:N60"/>
    <mergeCell ref="P60:Q60"/>
    <mergeCell ref="S60:T60"/>
    <mergeCell ref="V58:X58"/>
    <mergeCell ref="Y58:AA58"/>
    <mergeCell ref="AB58:AD58"/>
    <mergeCell ref="AE58:AG58"/>
    <mergeCell ref="D59:F59"/>
    <mergeCell ref="G59:I59"/>
    <mergeCell ref="J59:L59"/>
    <mergeCell ref="M59:O59"/>
    <mergeCell ref="P59:R59"/>
    <mergeCell ref="S59:U59"/>
    <mergeCell ref="D58:F58"/>
    <mergeCell ref="G58:I58"/>
    <mergeCell ref="J58:L58"/>
    <mergeCell ref="M58:O58"/>
    <mergeCell ref="P58:R58"/>
    <mergeCell ref="S58:U58"/>
    <mergeCell ref="P57:R57"/>
    <mergeCell ref="S57:U57"/>
    <mergeCell ref="V57:X57"/>
    <mergeCell ref="Y57:AA57"/>
    <mergeCell ref="AB57:AD57"/>
    <mergeCell ref="AE57:AG57"/>
    <mergeCell ref="S54:T54"/>
    <mergeCell ref="V54:W54"/>
    <mergeCell ref="Y54:Z54"/>
    <mergeCell ref="AB54:AC54"/>
    <mergeCell ref="AE54:AF54"/>
    <mergeCell ref="A57:B62"/>
    <mergeCell ref="D57:F57"/>
    <mergeCell ref="G57:I57"/>
    <mergeCell ref="J57:L57"/>
    <mergeCell ref="M57:O57"/>
    <mergeCell ref="S53:T53"/>
    <mergeCell ref="V53:W53"/>
    <mergeCell ref="Y53:Z53"/>
    <mergeCell ref="AB53:AC53"/>
    <mergeCell ref="AE53:AF53"/>
    <mergeCell ref="D54:E54"/>
    <mergeCell ref="G54:H54"/>
    <mergeCell ref="J54:K54"/>
    <mergeCell ref="M54:N54"/>
    <mergeCell ref="P54:Q54"/>
    <mergeCell ref="S52:T52"/>
    <mergeCell ref="V52:W52"/>
    <mergeCell ref="Y52:Z52"/>
    <mergeCell ref="AB52:AC52"/>
    <mergeCell ref="AE52:AF52"/>
    <mergeCell ref="D53:E53"/>
    <mergeCell ref="G53:H53"/>
    <mergeCell ref="J53:K53"/>
    <mergeCell ref="M53:N53"/>
    <mergeCell ref="P53:Q53"/>
    <mergeCell ref="S51:U51"/>
    <mergeCell ref="V51:X51"/>
    <mergeCell ref="Y51:AA51"/>
    <mergeCell ref="AB51:AD51"/>
    <mergeCell ref="AE51:AG51"/>
    <mergeCell ref="D52:E52"/>
    <mergeCell ref="G52:H52"/>
    <mergeCell ref="J52:K52"/>
    <mergeCell ref="M52:N52"/>
    <mergeCell ref="P52:Q52"/>
    <mergeCell ref="S50:U50"/>
    <mergeCell ref="V50:X50"/>
    <mergeCell ref="Y50:AA50"/>
    <mergeCell ref="AB50:AD50"/>
    <mergeCell ref="AE50:AG50"/>
    <mergeCell ref="D51:F51"/>
    <mergeCell ref="G51:I51"/>
    <mergeCell ref="J51:L51"/>
    <mergeCell ref="M51:O51"/>
    <mergeCell ref="P51:R51"/>
    <mergeCell ref="S49:U49"/>
    <mergeCell ref="V49:X49"/>
    <mergeCell ref="Y49:AA49"/>
    <mergeCell ref="AB49:AD49"/>
    <mergeCell ref="AE49:AG49"/>
    <mergeCell ref="D50:F50"/>
    <mergeCell ref="G50:I50"/>
    <mergeCell ref="J50:L50"/>
    <mergeCell ref="M50:O50"/>
    <mergeCell ref="P50:R50"/>
    <mergeCell ref="V46:W46"/>
    <mergeCell ref="Y46:Z46"/>
    <mergeCell ref="AB46:AC46"/>
    <mergeCell ref="AE46:AF46"/>
    <mergeCell ref="A49:B54"/>
    <mergeCell ref="D49:F49"/>
    <mergeCell ref="G49:I49"/>
    <mergeCell ref="J49:L49"/>
    <mergeCell ref="M49:O49"/>
    <mergeCell ref="P49:R49"/>
    <mergeCell ref="V45:W45"/>
    <mergeCell ref="Y45:Z45"/>
    <mergeCell ref="AB45:AC45"/>
    <mergeCell ref="AE45:AF45"/>
    <mergeCell ref="D46:E46"/>
    <mergeCell ref="G46:H46"/>
    <mergeCell ref="J46:K46"/>
    <mergeCell ref="M46:N46"/>
    <mergeCell ref="P46:Q46"/>
    <mergeCell ref="S46:T46"/>
    <mergeCell ref="V44:W44"/>
    <mergeCell ref="Y44:Z44"/>
    <mergeCell ref="AB44:AC44"/>
    <mergeCell ref="AE44:AF44"/>
    <mergeCell ref="D45:E45"/>
    <mergeCell ref="G45:H45"/>
    <mergeCell ref="J45:K45"/>
    <mergeCell ref="M45:N45"/>
    <mergeCell ref="P45:Q45"/>
    <mergeCell ref="S45:T45"/>
    <mergeCell ref="V43:X43"/>
    <mergeCell ref="Y43:AA43"/>
    <mergeCell ref="AB43:AD43"/>
    <mergeCell ref="AE43:AG43"/>
    <mergeCell ref="D44:E44"/>
    <mergeCell ref="G44:H44"/>
    <mergeCell ref="J44:K44"/>
    <mergeCell ref="M44:N44"/>
    <mergeCell ref="P44:Q44"/>
    <mergeCell ref="S44:T44"/>
    <mergeCell ref="V42:X42"/>
    <mergeCell ref="Y42:AA42"/>
    <mergeCell ref="AB42:AD42"/>
    <mergeCell ref="AE42:AG42"/>
    <mergeCell ref="D43:F43"/>
    <mergeCell ref="G43:I43"/>
    <mergeCell ref="J43:L43"/>
    <mergeCell ref="M43:O43"/>
    <mergeCell ref="P43:R43"/>
    <mergeCell ref="S43:U43"/>
    <mergeCell ref="D42:F42"/>
    <mergeCell ref="G42:I42"/>
    <mergeCell ref="J42:L42"/>
    <mergeCell ref="M42:O42"/>
    <mergeCell ref="P42:R42"/>
    <mergeCell ref="S42:U42"/>
    <mergeCell ref="P41:R41"/>
    <mergeCell ref="S41:U41"/>
    <mergeCell ref="V41:X41"/>
    <mergeCell ref="Y41:AA41"/>
    <mergeCell ref="AB41:AD41"/>
    <mergeCell ref="AE41:AG41"/>
    <mergeCell ref="S38:T38"/>
    <mergeCell ref="V38:W38"/>
    <mergeCell ref="Y38:Z38"/>
    <mergeCell ref="AB38:AC38"/>
    <mergeCell ref="AE38:AF38"/>
    <mergeCell ref="A41:B46"/>
    <mergeCell ref="D41:F41"/>
    <mergeCell ref="G41:I41"/>
    <mergeCell ref="J41:L41"/>
    <mergeCell ref="M41:O41"/>
    <mergeCell ref="S37:T37"/>
    <mergeCell ref="V37:W37"/>
    <mergeCell ref="Y37:Z37"/>
    <mergeCell ref="AB37:AC37"/>
    <mergeCell ref="AE37:AF37"/>
    <mergeCell ref="D38:E38"/>
    <mergeCell ref="G38:H38"/>
    <mergeCell ref="J38:K38"/>
    <mergeCell ref="M38:N38"/>
    <mergeCell ref="P38:Q38"/>
    <mergeCell ref="S36:T36"/>
    <mergeCell ref="V36:W36"/>
    <mergeCell ref="Y36:Z36"/>
    <mergeCell ref="AB36:AC36"/>
    <mergeCell ref="AE36:AF36"/>
    <mergeCell ref="D37:E37"/>
    <mergeCell ref="G37:H37"/>
    <mergeCell ref="J37:K37"/>
    <mergeCell ref="M37:N37"/>
    <mergeCell ref="P37:Q37"/>
    <mergeCell ref="S35:U35"/>
    <mergeCell ref="V35:X35"/>
    <mergeCell ref="Y35:AA35"/>
    <mergeCell ref="AB35:AD35"/>
    <mergeCell ref="AE35:AG35"/>
    <mergeCell ref="D36:E36"/>
    <mergeCell ref="G36:H36"/>
    <mergeCell ref="J36:K36"/>
    <mergeCell ref="M36:N36"/>
    <mergeCell ref="P36:Q36"/>
    <mergeCell ref="S34:U34"/>
    <mergeCell ref="V34:X34"/>
    <mergeCell ref="Y34:AA34"/>
    <mergeCell ref="AB34:AD34"/>
    <mergeCell ref="AE34:AG34"/>
    <mergeCell ref="D35:F35"/>
    <mergeCell ref="G35:I35"/>
    <mergeCell ref="J35:L35"/>
    <mergeCell ref="M35:O35"/>
    <mergeCell ref="P35:R35"/>
    <mergeCell ref="S33:U33"/>
    <mergeCell ref="V33:X33"/>
    <mergeCell ref="Y33:AA33"/>
    <mergeCell ref="AB33:AD33"/>
    <mergeCell ref="AE33:AG33"/>
    <mergeCell ref="D34:F34"/>
    <mergeCell ref="G34:I34"/>
    <mergeCell ref="J34:L34"/>
    <mergeCell ref="M34:O34"/>
    <mergeCell ref="P34:R34"/>
    <mergeCell ref="V30:W30"/>
    <mergeCell ref="Y30:Z30"/>
    <mergeCell ref="AB30:AC30"/>
    <mergeCell ref="AE30:AF30"/>
    <mergeCell ref="A33:B38"/>
    <mergeCell ref="D33:F33"/>
    <mergeCell ref="G33:I33"/>
    <mergeCell ref="J33:L33"/>
    <mergeCell ref="M33:O33"/>
    <mergeCell ref="P33:R33"/>
    <mergeCell ref="V29:W29"/>
    <mergeCell ref="Y29:Z29"/>
    <mergeCell ref="AB29:AC29"/>
    <mergeCell ref="AE29:AF29"/>
    <mergeCell ref="D30:E30"/>
    <mergeCell ref="G30:H30"/>
    <mergeCell ref="J30:K30"/>
    <mergeCell ref="M30:N30"/>
    <mergeCell ref="P30:Q30"/>
    <mergeCell ref="S30:T30"/>
    <mergeCell ref="V28:W28"/>
    <mergeCell ref="Y28:Z28"/>
    <mergeCell ref="AB28:AC28"/>
    <mergeCell ref="AE28:AF28"/>
    <mergeCell ref="D29:E29"/>
    <mergeCell ref="G29:H29"/>
    <mergeCell ref="J29:K29"/>
    <mergeCell ref="M29:N29"/>
    <mergeCell ref="P29:Q29"/>
    <mergeCell ref="S29:T29"/>
    <mergeCell ref="V27:X27"/>
    <mergeCell ref="Y27:AA27"/>
    <mergeCell ref="AB27:AD27"/>
    <mergeCell ref="AE27:AG27"/>
    <mergeCell ref="D28:E28"/>
    <mergeCell ref="G28:H28"/>
    <mergeCell ref="J28:K28"/>
    <mergeCell ref="M28:N28"/>
    <mergeCell ref="P28:Q28"/>
    <mergeCell ref="S28:T28"/>
    <mergeCell ref="V26:X26"/>
    <mergeCell ref="Y26:AA26"/>
    <mergeCell ref="AB26:AD26"/>
    <mergeCell ref="AE26:AG26"/>
    <mergeCell ref="D27:F27"/>
    <mergeCell ref="G27:I27"/>
    <mergeCell ref="J27:L27"/>
    <mergeCell ref="M27:O27"/>
    <mergeCell ref="P27:R27"/>
    <mergeCell ref="S27:U27"/>
    <mergeCell ref="D26:F26"/>
    <mergeCell ref="G26:I26"/>
    <mergeCell ref="J26:L26"/>
    <mergeCell ref="M26:O26"/>
    <mergeCell ref="P26:R26"/>
    <mergeCell ref="S26:U26"/>
    <mergeCell ref="P25:R25"/>
    <mergeCell ref="S25:U25"/>
    <mergeCell ref="V25:X25"/>
    <mergeCell ref="Y25:AA25"/>
    <mergeCell ref="AB25:AD25"/>
    <mergeCell ref="AE25:AG25"/>
    <mergeCell ref="S22:T22"/>
    <mergeCell ref="V22:W22"/>
    <mergeCell ref="Y22:Z22"/>
    <mergeCell ref="AB22:AC22"/>
    <mergeCell ref="AE22:AF22"/>
    <mergeCell ref="A25:B30"/>
    <mergeCell ref="D25:F25"/>
    <mergeCell ref="G25:I25"/>
    <mergeCell ref="J25:L25"/>
    <mergeCell ref="M25:O25"/>
    <mergeCell ref="S21:T21"/>
    <mergeCell ref="V21:W21"/>
    <mergeCell ref="Y21:Z21"/>
    <mergeCell ref="AB21:AC21"/>
    <mergeCell ref="AE21:AF21"/>
    <mergeCell ref="D22:E22"/>
    <mergeCell ref="G22:H22"/>
    <mergeCell ref="J22:K22"/>
    <mergeCell ref="M22:N22"/>
    <mergeCell ref="P22:Q22"/>
    <mergeCell ref="S20:T20"/>
    <mergeCell ref="V20:W20"/>
    <mergeCell ref="Y20:Z20"/>
    <mergeCell ref="AB20:AC20"/>
    <mergeCell ref="AE20:AF20"/>
    <mergeCell ref="D21:E21"/>
    <mergeCell ref="G21:H21"/>
    <mergeCell ref="J21:K21"/>
    <mergeCell ref="M21:N21"/>
    <mergeCell ref="P21:Q21"/>
    <mergeCell ref="S19:U19"/>
    <mergeCell ref="V19:X19"/>
    <mergeCell ref="Y19:AA19"/>
    <mergeCell ref="AB19:AD19"/>
    <mergeCell ref="AE19:AG19"/>
    <mergeCell ref="D20:E20"/>
    <mergeCell ref="G20:H20"/>
    <mergeCell ref="J20:K20"/>
    <mergeCell ref="M20:N20"/>
    <mergeCell ref="P20:Q20"/>
    <mergeCell ref="S18:U18"/>
    <mergeCell ref="V18:X18"/>
    <mergeCell ref="Y18:AA18"/>
    <mergeCell ref="AB18:AD18"/>
    <mergeCell ref="AE18:AG18"/>
    <mergeCell ref="D19:F19"/>
    <mergeCell ref="G19:I19"/>
    <mergeCell ref="J19:L19"/>
    <mergeCell ref="M19:O19"/>
    <mergeCell ref="P19:R19"/>
    <mergeCell ref="S17:U17"/>
    <mergeCell ref="V17:X17"/>
    <mergeCell ref="Y17:AA17"/>
    <mergeCell ref="AB17:AD17"/>
    <mergeCell ref="AE17:AG17"/>
    <mergeCell ref="D18:F18"/>
    <mergeCell ref="G18:I18"/>
    <mergeCell ref="J18:L18"/>
    <mergeCell ref="M18:O18"/>
    <mergeCell ref="P18:R18"/>
    <mergeCell ref="V14:W14"/>
    <mergeCell ref="Y14:Z14"/>
    <mergeCell ref="AB14:AC14"/>
    <mergeCell ref="AE14:AF14"/>
    <mergeCell ref="A17:B22"/>
    <mergeCell ref="D17:F17"/>
    <mergeCell ref="G17:I17"/>
    <mergeCell ref="J17:L17"/>
    <mergeCell ref="M17:O17"/>
    <mergeCell ref="P17:R17"/>
    <mergeCell ref="V13:W13"/>
    <mergeCell ref="Y13:Z13"/>
    <mergeCell ref="AB13:AC13"/>
    <mergeCell ref="AE13:AF13"/>
    <mergeCell ref="D14:E14"/>
    <mergeCell ref="G14:H14"/>
    <mergeCell ref="J14:K14"/>
    <mergeCell ref="M14:N14"/>
    <mergeCell ref="P14:Q14"/>
    <mergeCell ref="S14:T14"/>
    <mergeCell ref="V12:W12"/>
    <mergeCell ref="Y12:Z12"/>
    <mergeCell ref="AB12:AC12"/>
    <mergeCell ref="AE12:AF12"/>
    <mergeCell ref="D13:E13"/>
    <mergeCell ref="G13:H13"/>
    <mergeCell ref="J13:K13"/>
    <mergeCell ref="M13:N13"/>
    <mergeCell ref="P13:Q13"/>
    <mergeCell ref="S13:T13"/>
    <mergeCell ref="V11:X11"/>
    <mergeCell ref="Y11:AA11"/>
    <mergeCell ref="AB11:AD11"/>
    <mergeCell ref="AE11:AG11"/>
    <mergeCell ref="D12:E12"/>
    <mergeCell ref="G12:H12"/>
    <mergeCell ref="J12:K12"/>
    <mergeCell ref="M12:N12"/>
    <mergeCell ref="P12:Q12"/>
    <mergeCell ref="S12:T12"/>
    <mergeCell ref="V10:X10"/>
    <mergeCell ref="Y10:AA10"/>
    <mergeCell ref="AB10:AD10"/>
    <mergeCell ref="AE10:AG10"/>
    <mergeCell ref="D11:F11"/>
    <mergeCell ref="G11:I11"/>
    <mergeCell ref="J11:L11"/>
    <mergeCell ref="M11:O11"/>
    <mergeCell ref="P11:R11"/>
    <mergeCell ref="S11:U11"/>
    <mergeCell ref="D10:F10"/>
    <mergeCell ref="G10:I10"/>
    <mergeCell ref="J10:L10"/>
    <mergeCell ref="M10:O10"/>
    <mergeCell ref="P10:R10"/>
    <mergeCell ref="S10:U10"/>
    <mergeCell ref="P9:R9"/>
    <mergeCell ref="S9:U9"/>
    <mergeCell ref="V9:X9"/>
    <mergeCell ref="Y9:AA9"/>
    <mergeCell ref="AB9:AD9"/>
    <mergeCell ref="AE9:AG9"/>
    <mergeCell ref="S6:T6"/>
    <mergeCell ref="V6:W6"/>
    <mergeCell ref="Y6:Z6"/>
    <mergeCell ref="AB6:AC6"/>
    <mergeCell ref="AE6:AF6"/>
    <mergeCell ref="A9:B14"/>
    <mergeCell ref="D9:F9"/>
    <mergeCell ref="G9:I9"/>
    <mergeCell ref="J9:L9"/>
    <mergeCell ref="M9:O9"/>
    <mergeCell ref="S5:T5"/>
    <mergeCell ref="V5:W5"/>
    <mergeCell ref="Y5:Z5"/>
    <mergeCell ref="AB5:AC5"/>
    <mergeCell ref="AE5:AF5"/>
    <mergeCell ref="D6:E6"/>
    <mergeCell ref="G6:H6"/>
    <mergeCell ref="J6:K6"/>
    <mergeCell ref="M6:N6"/>
    <mergeCell ref="P6:Q6"/>
    <mergeCell ref="S4:T4"/>
    <mergeCell ref="V4:W4"/>
    <mergeCell ref="Y4:Z4"/>
    <mergeCell ref="AB4:AC4"/>
    <mergeCell ref="AE4:AF4"/>
    <mergeCell ref="D5:E5"/>
    <mergeCell ref="G5:H5"/>
    <mergeCell ref="J5:K5"/>
    <mergeCell ref="M5:N5"/>
    <mergeCell ref="P5:Q5"/>
    <mergeCell ref="S3:U3"/>
    <mergeCell ref="V3:X3"/>
    <mergeCell ref="Y3:AA3"/>
    <mergeCell ref="AB3:AD3"/>
    <mergeCell ref="AE3:AG3"/>
    <mergeCell ref="D4:E4"/>
    <mergeCell ref="G4:H4"/>
    <mergeCell ref="J4:K4"/>
    <mergeCell ref="M4:N4"/>
    <mergeCell ref="P4:Q4"/>
    <mergeCell ref="S2:U2"/>
    <mergeCell ref="V2:X2"/>
    <mergeCell ref="Y2:AA2"/>
    <mergeCell ref="AB2:AD2"/>
    <mergeCell ref="AE2:AG2"/>
    <mergeCell ref="D3:F3"/>
    <mergeCell ref="G3:I3"/>
    <mergeCell ref="J3:L3"/>
    <mergeCell ref="M3:O3"/>
    <mergeCell ref="P3:R3"/>
    <mergeCell ref="S1:U1"/>
    <mergeCell ref="V1:X1"/>
    <mergeCell ref="Y1:AA1"/>
    <mergeCell ref="AB1:AD1"/>
    <mergeCell ref="AE1:AG1"/>
    <mergeCell ref="D2:F2"/>
    <mergeCell ref="G2:I2"/>
    <mergeCell ref="J2:L2"/>
    <mergeCell ref="M2:O2"/>
    <mergeCell ref="P2:R2"/>
    <mergeCell ref="A1:B6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1801-93A8-4D58-92F4-C51136E07C61}">
  <dimension ref="A1:AG542"/>
  <sheetViews>
    <sheetView workbookViewId="0">
      <selection sqref="A1:AG542"/>
    </sheetView>
  </sheetViews>
  <sheetFormatPr defaultRowHeight="15" x14ac:dyDescent="0.25"/>
  <sheetData>
    <row r="1" spans="1:33" ht="15.75" thickBot="1" x14ac:dyDescent="0.3">
      <c r="A1" s="68" t="s">
        <v>245</v>
      </c>
      <c r="B1" s="68"/>
      <c r="D1" s="52" t="s">
        <v>27</v>
      </c>
      <c r="E1" s="52"/>
      <c r="F1" s="52"/>
      <c r="G1" s="73" t="s">
        <v>28</v>
      </c>
      <c r="H1" s="73"/>
      <c r="I1" s="73"/>
      <c r="J1" s="52" t="s">
        <v>29</v>
      </c>
      <c r="K1" s="52"/>
      <c r="L1" s="52"/>
      <c r="M1" s="73" t="s">
        <v>30</v>
      </c>
      <c r="N1" s="73"/>
      <c r="O1" s="73"/>
      <c r="P1" s="52" t="s">
        <v>31</v>
      </c>
      <c r="Q1" s="52"/>
      <c r="R1" s="52"/>
      <c r="S1" s="73" t="s">
        <v>32</v>
      </c>
      <c r="T1" s="73"/>
      <c r="U1" s="73"/>
      <c r="V1" s="52" t="s">
        <v>33</v>
      </c>
      <c r="W1" s="52"/>
      <c r="X1" s="52"/>
      <c r="Y1" s="73" t="s">
        <v>34</v>
      </c>
      <c r="Z1" s="73"/>
      <c r="AA1" s="73"/>
      <c r="AB1" s="52" t="s">
        <v>35</v>
      </c>
      <c r="AC1" s="52"/>
      <c r="AD1" s="52"/>
      <c r="AE1" s="73" t="s">
        <v>36</v>
      </c>
      <c r="AF1" s="73"/>
      <c r="AG1" s="73"/>
    </row>
    <row r="2" spans="1:33" ht="15.75" thickBot="1" x14ac:dyDescent="0.3">
      <c r="A2" s="68"/>
      <c r="B2" s="68"/>
      <c r="C2" s="105" t="s">
        <v>243</v>
      </c>
      <c r="D2" s="75">
        <v>0</v>
      </c>
      <c r="E2" s="75"/>
      <c r="F2" s="76"/>
      <c r="G2" s="74">
        <v>0</v>
      </c>
      <c r="H2" s="75"/>
      <c r="I2" s="76"/>
      <c r="J2" s="74">
        <v>0</v>
      </c>
      <c r="K2" s="75"/>
      <c r="L2" s="76"/>
      <c r="M2" s="74">
        <v>0</v>
      </c>
      <c r="N2" s="75"/>
      <c r="O2" s="76"/>
      <c r="P2" s="74">
        <v>0</v>
      </c>
      <c r="Q2" s="75"/>
      <c r="R2" s="76"/>
      <c r="S2" s="74">
        <v>0</v>
      </c>
      <c r="T2" s="75"/>
      <c r="U2" s="76"/>
      <c r="V2" s="74">
        <v>0</v>
      </c>
      <c r="W2" s="75"/>
      <c r="X2" s="76"/>
      <c r="Y2" s="74">
        <v>0</v>
      </c>
      <c r="Z2" s="75"/>
      <c r="AA2" s="76"/>
      <c r="AB2" s="74">
        <v>0</v>
      </c>
      <c r="AC2" s="75"/>
      <c r="AD2" s="76"/>
      <c r="AE2" s="74">
        <v>0</v>
      </c>
      <c r="AF2" s="75"/>
      <c r="AG2" s="76"/>
    </row>
    <row r="3" spans="1:33" ht="15.75" thickBot="1" x14ac:dyDescent="0.3">
      <c r="A3" s="68"/>
      <c r="B3" s="68"/>
      <c r="C3" s="106" t="s">
        <v>244</v>
      </c>
      <c r="D3" s="82">
        <v>0</v>
      </c>
      <c r="E3" s="82"/>
      <c r="F3" s="84"/>
      <c r="G3" s="85">
        <v>0</v>
      </c>
      <c r="H3" s="82"/>
      <c r="I3" s="84"/>
      <c r="J3" s="85">
        <v>0</v>
      </c>
      <c r="K3" s="82"/>
      <c r="L3" s="84"/>
      <c r="M3" s="85">
        <v>0</v>
      </c>
      <c r="N3" s="82"/>
      <c r="O3" s="82"/>
      <c r="P3" s="81">
        <v>0</v>
      </c>
      <c r="Q3" s="82"/>
      <c r="R3" s="83"/>
      <c r="S3" s="82">
        <v>0</v>
      </c>
      <c r="T3" s="82"/>
      <c r="U3" s="84"/>
      <c r="V3" s="85">
        <v>0</v>
      </c>
      <c r="W3" s="82"/>
      <c r="X3" s="84"/>
      <c r="Y3" s="85">
        <v>0</v>
      </c>
      <c r="Z3" s="82"/>
      <c r="AA3" s="84"/>
      <c r="AB3" s="85">
        <v>0</v>
      </c>
      <c r="AC3" s="82"/>
      <c r="AD3" s="84"/>
      <c r="AE3" s="85">
        <v>0</v>
      </c>
      <c r="AF3" s="82"/>
      <c r="AG3" s="84"/>
    </row>
    <row r="4" spans="1:33" ht="15.75" thickBot="1" x14ac:dyDescent="0.3">
      <c r="A4" s="68"/>
      <c r="B4" s="68"/>
      <c r="C4" s="107" t="s">
        <v>37</v>
      </c>
      <c r="D4" s="104"/>
      <c r="E4" s="86"/>
      <c r="F4" s="89"/>
      <c r="G4" s="86"/>
      <c r="H4" s="86"/>
      <c r="I4" s="89"/>
      <c r="J4" s="86"/>
      <c r="K4" s="86"/>
      <c r="L4" s="89"/>
      <c r="M4" s="86"/>
      <c r="N4" s="86"/>
      <c r="O4" s="89"/>
      <c r="P4" s="86"/>
      <c r="Q4" s="86"/>
      <c r="R4" s="89"/>
      <c r="S4" s="86"/>
      <c r="T4" s="86"/>
      <c r="U4" s="89"/>
      <c r="V4" s="86"/>
      <c r="W4" s="86"/>
      <c r="X4" s="89"/>
      <c r="Y4" s="86"/>
      <c r="Z4" s="86"/>
      <c r="AA4" s="89"/>
      <c r="AB4" s="86"/>
      <c r="AC4" s="86"/>
      <c r="AD4" s="89"/>
      <c r="AE4" s="86"/>
      <c r="AF4" s="86"/>
      <c r="AG4" s="89"/>
    </row>
    <row r="5" spans="1:33" ht="15.75" thickBot="1" x14ac:dyDescent="0.3">
      <c r="A5" s="68"/>
      <c r="B5" s="68"/>
      <c r="D5" s="87"/>
      <c r="E5" s="87"/>
      <c r="F5" s="90"/>
      <c r="G5" s="87"/>
      <c r="H5" s="87"/>
      <c r="I5" s="90"/>
      <c r="J5" s="87"/>
      <c r="K5" s="87"/>
      <c r="L5" s="90"/>
      <c r="M5" s="87"/>
      <c r="N5" s="87"/>
      <c r="O5" s="90"/>
      <c r="P5" s="87"/>
      <c r="Q5" s="87"/>
      <c r="R5" s="90"/>
      <c r="S5" s="87"/>
      <c r="T5" s="87"/>
      <c r="U5" s="90"/>
      <c r="V5" s="87"/>
      <c r="W5" s="87"/>
      <c r="X5" s="90"/>
      <c r="Y5" s="87"/>
      <c r="Z5" s="87"/>
      <c r="AA5" s="90"/>
      <c r="AB5" s="87"/>
      <c r="AC5" s="87"/>
      <c r="AD5" s="90"/>
      <c r="AE5" s="87"/>
      <c r="AF5" s="87"/>
      <c r="AG5" s="90"/>
    </row>
    <row r="6" spans="1:33" ht="15.75" thickBot="1" x14ac:dyDescent="0.3">
      <c r="A6" s="68"/>
      <c r="B6" s="68"/>
      <c r="D6" s="88"/>
      <c r="E6" s="88"/>
      <c r="F6" s="91"/>
      <c r="G6" s="88"/>
      <c r="H6" s="88"/>
      <c r="I6" s="91"/>
      <c r="J6" s="88"/>
      <c r="K6" s="88"/>
      <c r="L6" s="91"/>
      <c r="M6" s="88"/>
      <c r="N6" s="88"/>
      <c r="O6" s="91"/>
      <c r="P6" s="88"/>
      <c r="Q6" s="88"/>
      <c r="R6" s="91"/>
      <c r="S6" s="88"/>
      <c r="T6" s="88"/>
      <c r="U6" s="91"/>
      <c r="V6" s="88"/>
      <c r="W6" s="88"/>
      <c r="X6" s="91"/>
      <c r="Y6" s="88"/>
      <c r="Z6" s="88"/>
      <c r="AA6" s="91"/>
      <c r="AB6" s="88"/>
      <c r="AC6" s="88"/>
      <c r="AD6" s="91"/>
      <c r="AE6" s="88"/>
      <c r="AF6" s="88"/>
      <c r="AG6" s="91"/>
    </row>
    <row r="8" spans="1:33" ht="15.75" thickBot="1" x14ac:dyDescent="0.3"/>
    <row r="9" spans="1:33" ht="15.75" thickBot="1" x14ac:dyDescent="0.3">
      <c r="A9" s="68" t="s">
        <v>246</v>
      </c>
      <c r="B9" s="68"/>
      <c r="D9" s="52" t="s">
        <v>27</v>
      </c>
      <c r="E9" s="52"/>
      <c r="F9" s="52"/>
      <c r="G9" s="73" t="s">
        <v>28</v>
      </c>
      <c r="H9" s="73"/>
      <c r="I9" s="73"/>
      <c r="J9" s="52" t="s">
        <v>29</v>
      </c>
      <c r="K9" s="52"/>
      <c r="L9" s="52"/>
      <c r="M9" s="73" t="s">
        <v>30</v>
      </c>
      <c r="N9" s="73"/>
      <c r="O9" s="73"/>
      <c r="P9" s="52" t="s">
        <v>31</v>
      </c>
      <c r="Q9" s="52"/>
      <c r="R9" s="52"/>
      <c r="S9" s="73" t="s">
        <v>32</v>
      </c>
      <c r="T9" s="73"/>
      <c r="U9" s="73"/>
      <c r="V9" s="52" t="s">
        <v>33</v>
      </c>
      <c r="W9" s="52"/>
      <c r="X9" s="52"/>
      <c r="Y9" s="73" t="s">
        <v>34</v>
      </c>
      <c r="Z9" s="73"/>
      <c r="AA9" s="73"/>
      <c r="AB9" s="52" t="s">
        <v>35</v>
      </c>
      <c r="AC9" s="52"/>
      <c r="AD9" s="52"/>
      <c r="AE9" s="73" t="s">
        <v>36</v>
      </c>
      <c r="AF9" s="73"/>
      <c r="AG9" s="73"/>
    </row>
    <row r="10" spans="1:33" ht="15.75" thickBot="1" x14ac:dyDescent="0.3">
      <c r="A10" s="68"/>
      <c r="B10" s="68"/>
      <c r="C10" s="105" t="s">
        <v>243</v>
      </c>
      <c r="D10" s="75">
        <v>0</v>
      </c>
      <c r="E10" s="75"/>
      <c r="F10" s="76"/>
      <c r="G10" s="74">
        <v>0</v>
      </c>
      <c r="H10" s="75"/>
      <c r="I10" s="76"/>
      <c r="J10" s="74">
        <v>0</v>
      </c>
      <c r="K10" s="75"/>
      <c r="L10" s="76"/>
      <c r="M10" s="74">
        <v>0</v>
      </c>
      <c r="N10" s="75"/>
      <c r="O10" s="76"/>
      <c r="P10" s="74">
        <v>0</v>
      </c>
      <c r="Q10" s="75"/>
      <c r="R10" s="76"/>
      <c r="S10" s="74">
        <v>0</v>
      </c>
      <c r="T10" s="75"/>
      <c r="U10" s="76"/>
      <c r="V10" s="74">
        <v>0</v>
      </c>
      <c r="W10" s="75"/>
      <c r="X10" s="76"/>
      <c r="Y10" s="74">
        <v>0</v>
      </c>
      <c r="Z10" s="75"/>
      <c r="AA10" s="76"/>
      <c r="AB10" s="74">
        <v>0</v>
      </c>
      <c r="AC10" s="75"/>
      <c r="AD10" s="76"/>
      <c r="AE10" s="74">
        <v>0</v>
      </c>
      <c r="AF10" s="75"/>
      <c r="AG10" s="76"/>
    </row>
    <row r="11" spans="1:33" ht="15.75" thickBot="1" x14ac:dyDescent="0.3">
      <c r="A11" s="68"/>
      <c r="B11" s="68"/>
      <c r="C11" s="106" t="s">
        <v>244</v>
      </c>
      <c r="D11" s="82">
        <v>0</v>
      </c>
      <c r="E11" s="82"/>
      <c r="F11" s="84"/>
      <c r="G11" s="85">
        <v>0</v>
      </c>
      <c r="H11" s="82"/>
      <c r="I11" s="84"/>
      <c r="J11" s="85">
        <v>0</v>
      </c>
      <c r="K11" s="82"/>
      <c r="L11" s="84"/>
      <c r="M11" s="85">
        <v>0</v>
      </c>
      <c r="N11" s="82"/>
      <c r="O11" s="82"/>
      <c r="P11" s="81">
        <v>0</v>
      </c>
      <c r="Q11" s="82"/>
      <c r="R11" s="83"/>
      <c r="S11" s="82">
        <v>0</v>
      </c>
      <c r="T11" s="82"/>
      <c r="U11" s="84"/>
      <c r="V11" s="85">
        <v>0</v>
      </c>
      <c r="W11" s="82"/>
      <c r="X11" s="84"/>
      <c r="Y11" s="85">
        <v>0</v>
      </c>
      <c r="Z11" s="82"/>
      <c r="AA11" s="84"/>
      <c r="AB11" s="85">
        <v>0</v>
      </c>
      <c r="AC11" s="82"/>
      <c r="AD11" s="84"/>
      <c r="AE11" s="85">
        <v>0</v>
      </c>
      <c r="AF11" s="82"/>
      <c r="AG11" s="84"/>
    </row>
    <row r="12" spans="1:33" ht="15.75" thickBot="1" x14ac:dyDescent="0.3">
      <c r="A12" s="68"/>
      <c r="B12" s="68"/>
      <c r="C12" s="107" t="s">
        <v>37</v>
      </c>
      <c r="D12" s="104"/>
      <c r="E12" s="86"/>
      <c r="F12" s="89"/>
      <c r="G12" s="86"/>
      <c r="H12" s="86"/>
      <c r="I12" s="89"/>
      <c r="J12" s="86"/>
      <c r="K12" s="86"/>
      <c r="L12" s="89"/>
      <c r="M12" s="86"/>
      <c r="N12" s="86"/>
      <c r="O12" s="89"/>
      <c r="P12" s="86"/>
      <c r="Q12" s="86"/>
      <c r="R12" s="89"/>
      <c r="S12" s="86"/>
      <c r="T12" s="86"/>
      <c r="U12" s="89"/>
      <c r="V12" s="86"/>
      <c r="W12" s="86"/>
      <c r="X12" s="89"/>
      <c r="Y12" s="86"/>
      <c r="Z12" s="86"/>
      <c r="AA12" s="89"/>
      <c r="AB12" s="86"/>
      <c r="AC12" s="86"/>
      <c r="AD12" s="89"/>
      <c r="AE12" s="86"/>
      <c r="AF12" s="86"/>
      <c r="AG12" s="89"/>
    </row>
    <row r="13" spans="1:33" ht="15.75" thickBot="1" x14ac:dyDescent="0.3">
      <c r="A13" s="68"/>
      <c r="B13" s="68"/>
      <c r="D13" s="87"/>
      <c r="E13" s="87"/>
      <c r="F13" s="90"/>
      <c r="G13" s="87"/>
      <c r="H13" s="87"/>
      <c r="I13" s="90"/>
      <c r="J13" s="87"/>
      <c r="K13" s="87"/>
      <c r="L13" s="90"/>
      <c r="M13" s="87"/>
      <c r="N13" s="87"/>
      <c r="O13" s="90"/>
      <c r="P13" s="87"/>
      <c r="Q13" s="87"/>
      <c r="R13" s="90"/>
      <c r="S13" s="87"/>
      <c r="T13" s="87"/>
      <c r="U13" s="90"/>
      <c r="V13" s="87"/>
      <c r="W13" s="87"/>
      <c r="X13" s="90"/>
      <c r="Y13" s="87"/>
      <c r="Z13" s="87"/>
      <c r="AA13" s="90"/>
      <c r="AB13" s="87"/>
      <c r="AC13" s="87"/>
      <c r="AD13" s="90"/>
      <c r="AE13" s="87"/>
      <c r="AF13" s="87"/>
      <c r="AG13" s="90"/>
    </row>
    <row r="14" spans="1:33" ht="15.75" thickBot="1" x14ac:dyDescent="0.3">
      <c r="A14" s="68"/>
      <c r="B14" s="68"/>
      <c r="D14" s="88"/>
      <c r="E14" s="88"/>
      <c r="F14" s="91"/>
      <c r="G14" s="88"/>
      <c r="H14" s="88"/>
      <c r="I14" s="91"/>
      <c r="J14" s="88"/>
      <c r="K14" s="88"/>
      <c r="L14" s="91"/>
      <c r="M14" s="88"/>
      <c r="N14" s="88"/>
      <c r="O14" s="91"/>
      <c r="P14" s="88"/>
      <c r="Q14" s="88"/>
      <c r="R14" s="91"/>
      <c r="S14" s="88"/>
      <c r="T14" s="88"/>
      <c r="U14" s="91"/>
      <c r="V14" s="88"/>
      <c r="W14" s="88"/>
      <c r="X14" s="91"/>
      <c r="Y14" s="88"/>
      <c r="Z14" s="88"/>
      <c r="AA14" s="91"/>
      <c r="AB14" s="88"/>
      <c r="AC14" s="88"/>
      <c r="AD14" s="91"/>
      <c r="AE14" s="88"/>
      <c r="AF14" s="88"/>
      <c r="AG14" s="91"/>
    </row>
    <row r="16" spans="1:33" ht="15.75" thickBot="1" x14ac:dyDescent="0.3"/>
    <row r="17" spans="1:33" ht="15.75" thickBot="1" x14ac:dyDescent="0.3">
      <c r="A17" s="68" t="s">
        <v>56</v>
      </c>
      <c r="B17" s="68"/>
      <c r="D17" s="52" t="s">
        <v>27</v>
      </c>
      <c r="E17" s="52"/>
      <c r="F17" s="52"/>
      <c r="G17" s="73" t="s">
        <v>28</v>
      </c>
      <c r="H17" s="73"/>
      <c r="I17" s="73"/>
      <c r="J17" s="52" t="s">
        <v>29</v>
      </c>
      <c r="K17" s="52"/>
      <c r="L17" s="52"/>
      <c r="M17" s="73" t="s">
        <v>30</v>
      </c>
      <c r="N17" s="73"/>
      <c r="O17" s="73"/>
      <c r="P17" s="52" t="s">
        <v>31</v>
      </c>
      <c r="Q17" s="52"/>
      <c r="R17" s="52"/>
      <c r="S17" s="73" t="s">
        <v>32</v>
      </c>
      <c r="T17" s="73"/>
      <c r="U17" s="73"/>
      <c r="V17" s="52" t="s">
        <v>33</v>
      </c>
      <c r="W17" s="52"/>
      <c r="X17" s="52"/>
      <c r="Y17" s="73" t="s">
        <v>34</v>
      </c>
      <c r="Z17" s="73"/>
      <c r="AA17" s="73"/>
      <c r="AB17" s="52" t="s">
        <v>35</v>
      </c>
      <c r="AC17" s="52"/>
      <c r="AD17" s="52"/>
      <c r="AE17" s="73" t="s">
        <v>36</v>
      </c>
      <c r="AF17" s="73"/>
      <c r="AG17" s="73"/>
    </row>
    <row r="18" spans="1:33" ht="15.75" thickBot="1" x14ac:dyDescent="0.3">
      <c r="A18" s="68"/>
      <c r="B18" s="68"/>
      <c r="C18" s="105" t="s">
        <v>243</v>
      </c>
      <c r="D18" s="75">
        <v>0</v>
      </c>
      <c r="E18" s="75"/>
      <c r="F18" s="76"/>
      <c r="G18" s="74">
        <v>0</v>
      </c>
      <c r="H18" s="75"/>
      <c r="I18" s="76"/>
      <c r="J18" s="74">
        <v>0</v>
      </c>
      <c r="K18" s="75"/>
      <c r="L18" s="76"/>
      <c r="M18" s="74">
        <v>0</v>
      </c>
      <c r="N18" s="75"/>
      <c r="O18" s="76"/>
      <c r="P18" s="74">
        <v>0</v>
      </c>
      <c r="Q18" s="75"/>
      <c r="R18" s="76"/>
      <c r="S18" s="74">
        <v>0</v>
      </c>
      <c r="T18" s="75"/>
      <c r="U18" s="76"/>
      <c r="V18" s="74">
        <v>0</v>
      </c>
      <c r="W18" s="75"/>
      <c r="X18" s="76"/>
      <c r="Y18" s="74">
        <v>0</v>
      </c>
      <c r="Z18" s="75"/>
      <c r="AA18" s="76"/>
      <c r="AB18" s="74">
        <v>0</v>
      </c>
      <c r="AC18" s="75"/>
      <c r="AD18" s="76"/>
      <c r="AE18" s="74">
        <v>0</v>
      </c>
      <c r="AF18" s="75"/>
      <c r="AG18" s="76"/>
    </row>
    <row r="19" spans="1:33" ht="15.75" thickBot="1" x14ac:dyDescent="0.3">
      <c r="A19" s="68"/>
      <c r="B19" s="68"/>
      <c r="C19" s="106" t="s">
        <v>244</v>
      </c>
      <c r="D19" s="82">
        <v>0</v>
      </c>
      <c r="E19" s="82"/>
      <c r="F19" s="84"/>
      <c r="G19" s="85">
        <v>0</v>
      </c>
      <c r="H19" s="82"/>
      <c r="I19" s="84"/>
      <c r="J19" s="85">
        <v>0</v>
      </c>
      <c r="K19" s="82"/>
      <c r="L19" s="84"/>
      <c r="M19" s="85">
        <v>0</v>
      </c>
      <c r="N19" s="82"/>
      <c r="O19" s="82"/>
      <c r="P19" s="81">
        <v>0</v>
      </c>
      <c r="Q19" s="82"/>
      <c r="R19" s="83"/>
      <c r="S19" s="82">
        <v>0</v>
      </c>
      <c r="T19" s="82"/>
      <c r="U19" s="84"/>
      <c r="V19" s="85">
        <v>0</v>
      </c>
      <c r="W19" s="82"/>
      <c r="X19" s="84"/>
      <c r="Y19" s="85">
        <v>0</v>
      </c>
      <c r="Z19" s="82"/>
      <c r="AA19" s="84"/>
      <c r="AB19" s="85">
        <v>0</v>
      </c>
      <c r="AC19" s="82"/>
      <c r="AD19" s="84"/>
      <c r="AE19" s="85">
        <v>0</v>
      </c>
      <c r="AF19" s="82"/>
      <c r="AG19" s="84"/>
    </row>
    <row r="20" spans="1:33" ht="15.75" thickBot="1" x14ac:dyDescent="0.3">
      <c r="A20" s="68"/>
      <c r="B20" s="68"/>
      <c r="C20" s="107" t="s">
        <v>37</v>
      </c>
      <c r="D20" s="104"/>
      <c r="E20" s="86"/>
      <c r="F20" s="89"/>
      <c r="G20" s="86"/>
      <c r="H20" s="86"/>
      <c r="I20" s="89"/>
      <c r="J20" s="86"/>
      <c r="K20" s="86"/>
      <c r="L20" s="89"/>
      <c r="M20" s="86"/>
      <c r="N20" s="86"/>
      <c r="O20" s="89"/>
      <c r="P20" s="86"/>
      <c r="Q20" s="86"/>
      <c r="R20" s="89"/>
      <c r="S20" s="86"/>
      <c r="T20" s="86"/>
      <c r="U20" s="89"/>
      <c r="V20" s="86"/>
      <c r="W20" s="86"/>
      <c r="X20" s="89"/>
      <c r="Y20" s="86"/>
      <c r="Z20" s="86"/>
      <c r="AA20" s="89"/>
      <c r="AB20" s="86"/>
      <c r="AC20" s="86"/>
      <c r="AD20" s="89"/>
      <c r="AE20" s="86"/>
      <c r="AF20" s="86"/>
      <c r="AG20" s="89"/>
    </row>
    <row r="21" spans="1:33" ht="15.75" thickBot="1" x14ac:dyDescent="0.3">
      <c r="A21" s="68"/>
      <c r="B21" s="68"/>
      <c r="D21" s="87"/>
      <c r="E21" s="87"/>
      <c r="F21" s="90"/>
      <c r="G21" s="87"/>
      <c r="H21" s="87"/>
      <c r="I21" s="90"/>
      <c r="J21" s="87"/>
      <c r="K21" s="87"/>
      <c r="L21" s="90"/>
      <c r="M21" s="87"/>
      <c r="N21" s="87"/>
      <c r="O21" s="90"/>
      <c r="P21" s="87"/>
      <c r="Q21" s="87"/>
      <c r="R21" s="90"/>
      <c r="S21" s="87"/>
      <c r="T21" s="87"/>
      <c r="U21" s="90"/>
      <c r="V21" s="87"/>
      <c r="W21" s="87"/>
      <c r="X21" s="90"/>
      <c r="Y21" s="87"/>
      <c r="Z21" s="87"/>
      <c r="AA21" s="90"/>
      <c r="AB21" s="87"/>
      <c r="AC21" s="87"/>
      <c r="AD21" s="90"/>
      <c r="AE21" s="87"/>
      <c r="AF21" s="87"/>
      <c r="AG21" s="90"/>
    </row>
    <row r="22" spans="1:33" ht="15.75" thickBot="1" x14ac:dyDescent="0.3">
      <c r="A22" s="68"/>
      <c r="B22" s="68"/>
      <c r="D22" s="88"/>
      <c r="E22" s="88"/>
      <c r="F22" s="91"/>
      <c r="G22" s="88"/>
      <c r="H22" s="88"/>
      <c r="I22" s="91"/>
      <c r="J22" s="88"/>
      <c r="K22" s="88"/>
      <c r="L22" s="91"/>
      <c r="M22" s="88"/>
      <c r="N22" s="88"/>
      <c r="O22" s="91"/>
      <c r="P22" s="88"/>
      <c r="Q22" s="88"/>
      <c r="R22" s="91"/>
      <c r="S22" s="88"/>
      <c r="T22" s="88"/>
      <c r="U22" s="91"/>
      <c r="V22" s="88"/>
      <c r="W22" s="88"/>
      <c r="X22" s="91"/>
      <c r="Y22" s="88"/>
      <c r="Z22" s="88"/>
      <c r="AA22" s="91"/>
      <c r="AB22" s="88"/>
      <c r="AC22" s="88"/>
      <c r="AD22" s="91"/>
      <c r="AE22" s="88"/>
      <c r="AF22" s="88"/>
      <c r="AG22" s="91"/>
    </row>
    <row r="24" spans="1:33" ht="15.75" thickBot="1" x14ac:dyDescent="0.3"/>
    <row r="25" spans="1:33" ht="15.75" thickBot="1" x14ac:dyDescent="0.3">
      <c r="A25" s="68" t="s">
        <v>247</v>
      </c>
      <c r="B25" s="68"/>
      <c r="D25" s="52" t="s">
        <v>27</v>
      </c>
      <c r="E25" s="52"/>
      <c r="F25" s="52"/>
      <c r="G25" s="73" t="s">
        <v>28</v>
      </c>
      <c r="H25" s="73"/>
      <c r="I25" s="73"/>
      <c r="J25" s="52" t="s">
        <v>29</v>
      </c>
      <c r="K25" s="52"/>
      <c r="L25" s="52"/>
      <c r="M25" s="73" t="s">
        <v>30</v>
      </c>
      <c r="N25" s="73"/>
      <c r="O25" s="73"/>
      <c r="P25" s="52" t="s">
        <v>31</v>
      </c>
      <c r="Q25" s="52"/>
      <c r="R25" s="52"/>
      <c r="S25" s="73" t="s">
        <v>32</v>
      </c>
      <c r="T25" s="73"/>
      <c r="U25" s="73"/>
      <c r="V25" s="52" t="s">
        <v>33</v>
      </c>
      <c r="W25" s="52"/>
      <c r="X25" s="52"/>
      <c r="Y25" s="73" t="s">
        <v>34</v>
      </c>
      <c r="Z25" s="73"/>
      <c r="AA25" s="73"/>
      <c r="AB25" s="52" t="s">
        <v>35</v>
      </c>
      <c r="AC25" s="52"/>
      <c r="AD25" s="52"/>
      <c r="AE25" s="73" t="s">
        <v>36</v>
      </c>
      <c r="AF25" s="73"/>
      <c r="AG25" s="73"/>
    </row>
    <row r="26" spans="1:33" ht="15.75" thickBot="1" x14ac:dyDescent="0.3">
      <c r="A26" s="68"/>
      <c r="B26" s="68"/>
      <c r="C26" s="105" t="s">
        <v>243</v>
      </c>
      <c r="D26" s="75">
        <v>0</v>
      </c>
      <c r="E26" s="75"/>
      <c r="F26" s="76"/>
      <c r="G26" s="74">
        <v>0</v>
      </c>
      <c r="H26" s="75"/>
      <c r="I26" s="76"/>
      <c r="J26" s="74">
        <v>0</v>
      </c>
      <c r="K26" s="75"/>
      <c r="L26" s="76"/>
      <c r="M26" s="74">
        <v>0</v>
      </c>
      <c r="N26" s="75"/>
      <c r="O26" s="76"/>
      <c r="P26" s="74">
        <v>0</v>
      </c>
      <c r="Q26" s="75"/>
      <c r="R26" s="76"/>
      <c r="S26" s="74">
        <v>0</v>
      </c>
      <c r="T26" s="75"/>
      <c r="U26" s="76"/>
      <c r="V26" s="74">
        <v>0</v>
      </c>
      <c r="W26" s="75"/>
      <c r="X26" s="76"/>
      <c r="Y26" s="74">
        <v>0</v>
      </c>
      <c r="Z26" s="75"/>
      <c r="AA26" s="76"/>
      <c r="AB26" s="74">
        <v>0</v>
      </c>
      <c r="AC26" s="75"/>
      <c r="AD26" s="76"/>
      <c r="AE26" s="74">
        <v>0</v>
      </c>
      <c r="AF26" s="75"/>
      <c r="AG26" s="76"/>
    </row>
    <row r="27" spans="1:33" ht="15.75" thickBot="1" x14ac:dyDescent="0.3">
      <c r="A27" s="68"/>
      <c r="B27" s="68"/>
      <c r="C27" s="106" t="s">
        <v>244</v>
      </c>
      <c r="D27" s="82">
        <v>0</v>
      </c>
      <c r="E27" s="82"/>
      <c r="F27" s="84"/>
      <c r="G27" s="85">
        <v>0</v>
      </c>
      <c r="H27" s="82"/>
      <c r="I27" s="84"/>
      <c r="J27" s="85">
        <v>0</v>
      </c>
      <c r="K27" s="82"/>
      <c r="L27" s="84"/>
      <c r="M27" s="85">
        <v>0</v>
      </c>
      <c r="N27" s="82"/>
      <c r="O27" s="82"/>
      <c r="P27" s="81">
        <v>0</v>
      </c>
      <c r="Q27" s="82"/>
      <c r="R27" s="83"/>
      <c r="S27" s="82">
        <v>0</v>
      </c>
      <c r="T27" s="82"/>
      <c r="U27" s="84"/>
      <c r="V27" s="85">
        <v>0</v>
      </c>
      <c r="W27" s="82"/>
      <c r="X27" s="84"/>
      <c r="Y27" s="85">
        <v>0</v>
      </c>
      <c r="Z27" s="82"/>
      <c r="AA27" s="84"/>
      <c r="AB27" s="85">
        <v>0</v>
      </c>
      <c r="AC27" s="82"/>
      <c r="AD27" s="84"/>
      <c r="AE27" s="85">
        <v>0</v>
      </c>
      <c r="AF27" s="82"/>
      <c r="AG27" s="84"/>
    </row>
    <row r="28" spans="1:33" ht="15.75" thickBot="1" x14ac:dyDescent="0.3">
      <c r="A28" s="68"/>
      <c r="B28" s="68"/>
      <c r="C28" s="107" t="s">
        <v>37</v>
      </c>
      <c r="D28" s="104"/>
      <c r="E28" s="86"/>
      <c r="F28" s="89"/>
      <c r="G28" s="86"/>
      <c r="H28" s="86"/>
      <c r="I28" s="89"/>
      <c r="J28" s="86"/>
      <c r="K28" s="86"/>
      <c r="L28" s="89"/>
      <c r="M28" s="86"/>
      <c r="N28" s="86"/>
      <c r="O28" s="89"/>
      <c r="P28" s="86"/>
      <c r="Q28" s="86"/>
      <c r="R28" s="89"/>
      <c r="S28" s="86"/>
      <c r="T28" s="86"/>
      <c r="U28" s="89"/>
      <c r="V28" s="86"/>
      <c r="W28" s="86"/>
      <c r="X28" s="89"/>
      <c r="Y28" s="86"/>
      <c r="Z28" s="86"/>
      <c r="AA28" s="89"/>
      <c r="AB28" s="86"/>
      <c r="AC28" s="86"/>
      <c r="AD28" s="89"/>
      <c r="AE28" s="86"/>
      <c r="AF28" s="86"/>
      <c r="AG28" s="89"/>
    </row>
    <row r="29" spans="1:33" ht="15.75" thickBot="1" x14ac:dyDescent="0.3">
      <c r="A29" s="68"/>
      <c r="B29" s="68"/>
      <c r="D29" s="87"/>
      <c r="E29" s="87"/>
      <c r="F29" s="90"/>
      <c r="G29" s="87"/>
      <c r="H29" s="87"/>
      <c r="I29" s="90"/>
      <c r="J29" s="87"/>
      <c r="K29" s="87"/>
      <c r="L29" s="90"/>
      <c r="M29" s="87"/>
      <c r="N29" s="87"/>
      <c r="O29" s="90"/>
      <c r="P29" s="87"/>
      <c r="Q29" s="87"/>
      <c r="R29" s="90"/>
      <c r="S29" s="87"/>
      <c r="T29" s="87"/>
      <c r="U29" s="90"/>
      <c r="V29" s="87"/>
      <c r="W29" s="87"/>
      <c r="X29" s="90"/>
      <c r="Y29" s="87"/>
      <c r="Z29" s="87"/>
      <c r="AA29" s="90"/>
      <c r="AB29" s="87"/>
      <c r="AC29" s="87"/>
      <c r="AD29" s="90"/>
      <c r="AE29" s="87"/>
      <c r="AF29" s="87"/>
      <c r="AG29" s="90"/>
    </row>
    <row r="30" spans="1:33" ht="15.75" thickBot="1" x14ac:dyDescent="0.3">
      <c r="A30" s="68"/>
      <c r="B30" s="68"/>
      <c r="D30" s="88"/>
      <c r="E30" s="88"/>
      <c r="F30" s="91"/>
      <c r="G30" s="88"/>
      <c r="H30" s="88"/>
      <c r="I30" s="91"/>
      <c r="J30" s="88"/>
      <c r="K30" s="88"/>
      <c r="L30" s="91"/>
      <c r="M30" s="88"/>
      <c r="N30" s="88"/>
      <c r="O30" s="91"/>
      <c r="P30" s="88"/>
      <c r="Q30" s="88"/>
      <c r="R30" s="91"/>
      <c r="S30" s="88"/>
      <c r="T30" s="88"/>
      <c r="U30" s="91"/>
      <c r="V30" s="88"/>
      <c r="W30" s="88"/>
      <c r="X30" s="91"/>
      <c r="Y30" s="88"/>
      <c r="Z30" s="88"/>
      <c r="AA30" s="91"/>
      <c r="AB30" s="88"/>
      <c r="AC30" s="88"/>
      <c r="AD30" s="91"/>
      <c r="AE30" s="88"/>
      <c r="AF30" s="88"/>
      <c r="AG30" s="91"/>
    </row>
    <row r="32" spans="1:33" ht="15.75" thickBot="1" x14ac:dyDescent="0.3"/>
    <row r="33" spans="1:33" ht="15.75" thickBot="1" x14ac:dyDescent="0.3">
      <c r="A33" s="68" t="s">
        <v>248</v>
      </c>
      <c r="B33" s="68"/>
      <c r="D33" s="52" t="s">
        <v>27</v>
      </c>
      <c r="E33" s="52"/>
      <c r="F33" s="52"/>
      <c r="G33" s="73" t="s">
        <v>28</v>
      </c>
      <c r="H33" s="73"/>
      <c r="I33" s="73"/>
      <c r="J33" s="52" t="s">
        <v>29</v>
      </c>
      <c r="K33" s="52"/>
      <c r="L33" s="52"/>
      <c r="M33" s="73" t="s">
        <v>30</v>
      </c>
      <c r="N33" s="73"/>
      <c r="O33" s="73"/>
      <c r="P33" s="52" t="s">
        <v>31</v>
      </c>
      <c r="Q33" s="52"/>
      <c r="R33" s="52"/>
      <c r="S33" s="73" t="s">
        <v>32</v>
      </c>
      <c r="T33" s="73"/>
      <c r="U33" s="73"/>
      <c r="V33" s="52" t="s">
        <v>33</v>
      </c>
      <c r="W33" s="52"/>
      <c r="X33" s="52"/>
      <c r="Y33" s="73" t="s">
        <v>34</v>
      </c>
      <c r="Z33" s="73"/>
      <c r="AA33" s="73"/>
      <c r="AB33" s="52" t="s">
        <v>35</v>
      </c>
      <c r="AC33" s="52"/>
      <c r="AD33" s="52"/>
      <c r="AE33" s="73" t="s">
        <v>36</v>
      </c>
      <c r="AF33" s="73"/>
      <c r="AG33" s="73"/>
    </row>
    <row r="34" spans="1:33" ht="15.75" thickBot="1" x14ac:dyDescent="0.3">
      <c r="A34" s="68"/>
      <c r="B34" s="68"/>
      <c r="C34" s="105" t="s">
        <v>243</v>
      </c>
      <c r="D34" s="75">
        <v>0</v>
      </c>
      <c r="E34" s="75"/>
      <c r="F34" s="76"/>
      <c r="G34" s="74">
        <v>0</v>
      </c>
      <c r="H34" s="75"/>
      <c r="I34" s="76"/>
      <c r="J34" s="74">
        <v>0</v>
      </c>
      <c r="K34" s="75"/>
      <c r="L34" s="76"/>
      <c r="M34" s="74">
        <v>0</v>
      </c>
      <c r="N34" s="75"/>
      <c r="O34" s="76"/>
      <c r="P34" s="74">
        <v>0</v>
      </c>
      <c r="Q34" s="75"/>
      <c r="R34" s="76"/>
      <c r="S34" s="74">
        <v>0</v>
      </c>
      <c r="T34" s="75"/>
      <c r="U34" s="76"/>
      <c r="V34" s="74">
        <v>0</v>
      </c>
      <c r="W34" s="75"/>
      <c r="X34" s="76"/>
      <c r="Y34" s="74">
        <v>0</v>
      </c>
      <c r="Z34" s="75"/>
      <c r="AA34" s="76"/>
      <c r="AB34" s="74">
        <v>0</v>
      </c>
      <c r="AC34" s="75"/>
      <c r="AD34" s="76"/>
      <c r="AE34" s="74">
        <v>0</v>
      </c>
      <c r="AF34" s="75"/>
      <c r="AG34" s="76"/>
    </row>
    <row r="35" spans="1:33" ht="15.75" thickBot="1" x14ac:dyDescent="0.3">
      <c r="A35" s="68"/>
      <c r="B35" s="68"/>
      <c r="C35" s="106" t="s">
        <v>244</v>
      </c>
      <c r="D35" s="82">
        <v>0</v>
      </c>
      <c r="E35" s="82"/>
      <c r="F35" s="84"/>
      <c r="G35" s="85">
        <v>0</v>
      </c>
      <c r="H35" s="82"/>
      <c r="I35" s="84"/>
      <c r="J35" s="85">
        <v>0</v>
      </c>
      <c r="K35" s="82"/>
      <c r="L35" s="84"/>
      <c r="M35" s="85">
        <v>0</v>
      </c>
      <c r="N35" s="82"/>
      <c r="O35" s="82"/>
      <c r="P35" s="81">
        <v>0</v>
      </c>
      <c r="Q35" s="82"/>
      <c r="R35" s="83"/>
      <c r="S35" s="82">
        <v>0</v>
      </c>
      <c r="T35" s="82"/>
      <c r="U35" s="84"/>
      <c r="V35" s="85">
        <v>0</v>
      </c>
      <c r="W35" s="82"/>
      <c r="X35" s="84"/>
      <c r="Y35" s="85">
        <v>0</v>
      </c>
      <c r="Z35" s="82"/>
      <c r="AA35" s="84"/>
      <c r="AB35" s="85">
        <v>0</v>
      </c>
      <c r="AC35" s="82"/>
      <c r="AD35" s="84"/>
      <c r="AE35" s="85">
        <v>0</v>
      </c>
      <c r="AF35" s="82"/>
      <c r="AG35" s="84"/>
    </row>
    <row r="36" spans="1:33" ht="15.75" thickBot="1" x14ac:dyDescent="0.3">
      <c r="A36" s="68"/>
      <c r="B36" s="68"/>
      <c r="C36" s="107" t="s">
        <v>37</v>
      </c>
      <c r="D36" s="104"/>
      <c r="E36" s="86"/>
      <c r="F36" s="89"/>
      <c r="G36" s="86"/>
      <c r="H36" s="86"/>
      <c r="I36" s="89"/>
      <c r="J36" s="86"/>
      <c r="K36" s="86"/>
      <c r="L36" s="89"/>
      <c r="M36" s="86"/>
      <c r="N36" s="86"/>
      <c r="O36" s="89"/>
      <c r="P36" s="86"/>
      <c r="Q36" s="86"/>
      <c r="R36" s="89"/>
      <c r="S36" s="86"/>
      <c r="T36" s="86"/>
      <c r="U36" s="89"/>
      <c r="V36" s="86"/>
      <c r="W36" s="86"/>
      <c r="X36" s="89"/>
      <c r="Y36" s="86"/>
      <c r="Z36" s="86"/>
      <c r="AA36" s="89"/>
      <c r="AB36" s="86"/>
      <c r="AC36" s="86"/>
      <c r="AD36" s="89"/>
      <c r="AE36" s="86"/>
      <c r="AF36" s="86"/>
      <c r="AG36" s="89"/>
    </row>
    <row r="37" spans="1:33" ht="15.75" thickBot="1" x14ac:dyDescent="0.3">
      <c r="A37" s="68"/>
      <c r="B37" s="68"/>
      <c r="D37" s="87"/>
      <c r="E37" s="87"/>
      <c r="F37" s="90"/>
      <c r="G37" s="87"/>
      <c r="H37" s="87"/>
      <c r="I37" s="90"/>
      <c r="J37" s="87"/>
      <c r="K37" s="87"/>
      <c r="L37" s="90"/>
      <c r="M37" s="87"/>
      <c r="N37" s="87"/>
      <c r="O37" s="90"/>
      <c r="P37" s="87"/>
      <c r="Q37" s="87"/>
      <c r="R37" s="90"/>
      <c r="S37" s="87"/>
      <c r="T37" s="87"/>
      <c r="U37" s="90"/>
      <c r="V37" s="87"/>
      <c r="W37" s="87"/>
      <c r="X37" s="90"/>
      <c r="Y37" s="87"/>
      <c r="Z37" s="87"/>
      <c r="AA37" s="90"/>
      <c r="AB37" s="87"/>
      <c r="AC37" s="87"/>
      <c r="AD37" s="90"/>
      <c r="AE37" s="87"/>
      <c r="AF37" s="87"/>
      <c r="AG37" s="90"/>
    </row>
    <row r="38" spans="1:33" ht="15.75" thickBot="1" x14ac:dyDescent="0.3">
      <c r="A38" s="68"/>
      <c r="B38" s="68"/>
      <c r="D38" s="88"/>
      <c r="E38" s="88"/>
      <c r="F38" s="91"/>
      <c r="G38" s="88"/>
      <c r="H38" s="88"/>
      <c r="I38" s="91"/>
      <c r="J38" s="88"/>
      <c r="K38" s="88"/>
      <c r="L38" s="91"/>
      <c r="M38" s="88"/>
      <c r="N38" s="88"/>
      <c r="O38" s="91"/>
      <c r="P38" s="88"/>
      <c r="Q38" s="88"/>
      <c r="R38" s="91"/>
      <c r="S38" s="88"/>
      <c r="T38" s="88"/>
      <c r="U38" s="91"/>
      <c r="V38" s="88"/>
      <c r="W38" s="88"/>
      <c r="X38" s="91"/>
      <c r="Y38" s="88"/>
      <c r="Z38" s="88"/>
      <c r="AA38" s="91"/>
      <c r="AB38" s="88"/>
      <c r="AC38" s="88"/>
      <c r="AD38" s="91"/>
      <c r="AE38" s="88"/>
      <c r="AF38" s="88"/>
      <c r="AG38" s="91"/>
    </row>
    <row r="40" spans="1:33" ht="15.75" thickBot="1" x14ac:dyDescent="0.3"/>
    <row r="41" spans="1:33" ht="15.75" thickBot="1" x14ac:dyDescent="0.3">
      <c r="A41" s="68" t="s">
        <v>249</v>
      </c>
      <c r="B41" s="68"/>
      <c r="D41" s="52" t="s">
        <v>27</v>
      </c>
      <c r="E41" s="52"/>
      <c r="F41" s="52"/>
      <c r="G41" s="73" t="s">
        <v>28</v>
      </c>
      <c r="H41" s="73"/>
      <c r="I41" s="73"/>
      <c r="J41" s="52" t="s">
        <v>29</v>
      </c>
      <c r="K41" s="52"/>
      <c r="L41" s="52"/>
      <c r="M41" s="73" t="s">
        <v>30</v>
      </c>
      <c r="N41" s="73"/>
      <c r="O41" s="73"/>
      <c r="P41" s="52" t="s">
        <v>31</v>
      </c>
      <c r="Q41" s="52"/>
      <c r="R41" s="52"/>
      <c r="S41" s="73" t="s">
        <v>32</v>
      </c>
      <c r="T41" s="73"/>
      <c r="U41" s="73"/>
      <c r="V41" s="52" t="s">
        <v>33</v>
      </c>
      <c r="W41" s="52"/>
      <c r="X41" s="52"/>
      <c r="Y41" s="73" t="s">
        <v>34</v>
      </c>
      <c r="Z41" s="73"/>
      <c r="AA41" s="73"/>
      <c r="AB41" s="52" t="s">
        <v>35</v>
      </c>
      <c r="AC41" s="52"/>
      <c r="AD41" s="52"/>
      <c r="AE41" s="73" t="s">
        <v>36</v>
      </c>
      <c r="AF41" s="73"/>
      <c r="AG41" s="73"/>
    </row>
    <row r="42" spans="1:33" ht="15.75" thickBot="1" x14ac:dyDescent="0.3">
      <c r="A42" s="68"/>
      <c r="B42" s="68"/>
      <c r="C42" s="105" t="s">
        <v>243</v>
      </c>
      <c r="D42" s="75">
        <v>0</v>
      </c>
      <c r="E42" s="75"/>
      <c r="F42" s="76"/>
      <c r="G42" s="74">
        <v>0</v>
      </c>
      <c r="H42" s="75"/>
      <c r="I42" s="76"/>
      <c r="J42" s="74">
        <v>0</v>
      </c>
      <c r="K42" s="75"/>
      <c r="L42" s="76"/>
      <c r="M42" s="74">
        <v>0</v>
      </c>
      <c r="N42" s="75"/>
      <c r="O42" s="76"/>
      <c r="P42" s="74">
        <v>0</v>
      </c>
      <c r="Q42" s="75"/>
      <c r="R42" s="76"/>
      <c r="S42" s="74">
        <v>0</v>
      </c>
      <c r="T42" s="75"/>
      <c r="U42" s="76"/>
      <c r="V42" s="74">
        <v>0</v>
      </c>
      <c r="W42" s="75"/>
      <c r="X42" s="76"/>
      <c r="Y42" s="74">
        <v>0</v>
      </c>
      <c r="Z42" s="75"/>
      <c r="AA42" s="76"/>
      <c r="AB42" s="74">
        <v>0</v>
      </c>
      <c r="AC42" s="75"/>
      <c r="AD42" s="76"/>
      <c r="AE42" s="74">
        <v>0</v>
      </c>
      <c r="AF42" s="75"/>
      <c r="AG42" s="76"/>
    </row>
    <row r="43" spans="1:33" ht="15.75" thickBot="1" x14ac:dyDescent="0.3">
      <c r="A43" s="68"/>
      <c r="B43" s="68"/>
      <c r="C43" s="106" t="s">
        <v>244</v>
      </c>
      <c r="D43" s="82">
        <v>0</v>
      </c>
      <c r="E43" s="82"/>
      <c r="F43" s="84"/>
      <c r="G43" s="85">
        <v>0</v>
      </c>
      <c r="H43" s="82"/>
      <c r="I43" s="84"/>
      <c r="J43" s="85">
        <v>0</v>
      </c>
      <c r="K43" s="82"/>
      <c r="L43" s="84"/>
      <c r="M43" s="85">
        <v>0</v>
      </c>
      <c r="N43" s="82"/>
      <c r="O43" s="82"/>
      <c r="P43" s="81">
        <v>0</v>
      </c>
      <c r="Q43" s="82"/>
      <c r="R43" s="83"/>
      <c r="S43" s="82">
        <v>0</v>
      </c>
      <c r="T43" s="82"/>
      <c r="U43" s="84"/>
      <c r="V43" s="85">
        <v>0</v>
      </c>
      <c r="W43" s="82"/>
      <c r="X43" s="84"/>
      <c r="Y43" s="85">
        <v>0</v>
      </c>
      <c r="Z43" s="82"/>
      <c r="AA43" s="84"/>
      <c r="AB43" s="85">
        <v>0</v>
      </c>
      <c r="AC43" s="82"/>
      <c r="AD43" s="84"/>
      <c r="AE43" s="85">
        <v>0</v>
      </c>
      <c r="AF43" s="82"/>
      <c r="AG43" s="84"/>
    </row>
    <row r="44" spans="1:33" ht="15.75" thickBot="1" x14ac:dyDescent="0.3">
      <c r="A44" s="68"/>
      <c r="B44" s="68"/>
      <c r="C44" s="107" t="s">
        <v>37</v>
      </c>
      <c r="D44" s="104"/>
      <c r="E44" s="86"/>
      <c r="F44" s="89"/>
      <c r="G44" s="86"/>
      <c r="H44" s="86"/>
      <c r="I44" s="89"/>
      <c r="J44" s="86"/>
      <c r="K44" s="86"/>
      <c r="L44" s="89"/>
      <c r="M44" s="86"/>
      <c r="N44" s="86"/>
      <c r="O44" s="89"/>
      <c r="P44" s="86"/>
      <c r="Q44" s="86"/>
      <c r="R44" s="89"/>
      <c r="S44" s="86"/>
      <c r="T44" s="86"/>
      <c r="U44" s="89"/>
      <c r="V44" s="86"/>
      <c r="W44" s="86"/>
      <c r="X44" s="89"/>
      <c r="Y44" s="86"/>
      <c r="Z44" s="86"/>
      <c r="AA44" s="89"/>
      <c r="AB44" s="86"/>
      <c r="AC44" s="86"/>
      <c r="AD44" s="89"/>
      <c r="AE44" s="86"/>
      <c r="AF44" s="86"/>
      <c r="AG44" s="89"/>
    </row>
    <row r="45" spans="1:33" ht="15.75" thickBot="1" x14ac:dyDescent="0.3">
      <c r="A45" s="68"/>
      <c r="B45" s="68"/>
      <c r="D45" s="87"/>
      <c r="E45" s="87"/>
      <c r="F45" s="90"/>
      <c r="G45" s="87"/>
      <c r="H45" s="87"/>
      <c r="I45" s="90"/>
      <c r="J45" s="87"/>
      <c r="K45" s="87"/>
      <c r="L45" s="90"/>
      <c r="M45" s="87"/>
      <c r="N45" s="87"/>
      <c r="O45" s="90"/>
      <c r="P45" s="87"/>
      <c r="Q45" s="87"/>
      <c r="R45" s="90"/>
      <c r="S45" s="87"/>
      <c r="T45" s="87"/>
      <c r="U45" s="90"/>
      <c r="V45" s="87"/>
      <c r="W45" s="87"/>
      <c r="X45" s="90"/>
      <c r="Y45" s="87"/>
      <c r="Z45" s="87"/>
      <c r="AA45" s="90"/>
      <c r="AB45" s="87"/>
      <c r="AC45" s="87"/>
      <c r="AD45" s="90"/>
      <c r="AE45" s="87"/>
      <c r="AF45" s="87"/>
      <c r="AG45" s="90"/>
    </row>
    <row r="46" spans="1:33" ht="15.75" thickBot="1" x14ac:dyDescent="0.3">
      <c r="A46" s="68"/>
      <c r="B46" s="68"/>
      <c r="D46" s="88"/>
      <c r="E46" s="88"/>
      <c r="F46" s="91"/>
      <c r="G46" s="88"/>
      <c r="H46" s="88"/>
      <c r="I46" s="91"/>
      <c r="J46" s="88"/>
      <c r="K46" s="88"/>
      <c r="L46" s="91"/>
      <c r="M46" s="88"/>
      <c r="N46" s="88"/>
      <c r="O46" s="91"/>
      <c r="P46" s="88"/>
      <c r="Q46" s="88"/>
      <c r="R46" s="91"/>
      <c r="S46" s="88"/>
      <c r="T46" s="88"/>
      <c r="U46" s="91"/>
      <c r="V46" s="88"/>
      <c r="W46" s="88"/>
      <c r="X46" s="91"/>
      <c r="Y46" s="88"/>
      <c r="Z46" s="88"/>
      <c r="AA46" s="91"/>
      <c r="AB46" s="88"/>
      <c r="AC46" s="88"/>
      <c r="AD46" s="91"/>
      <c r="AE46" s="88"/>
      <c r="AF46" s="88"/>
      <c r="AG46" s="91"/>
    </row>
    <row r="48" spans="1:33" ht="15.75" thickBot="1" x14ac:dyDescent="0.3"/>
    <row r="49" spans="1:33" ht="15.75" thickBot="1" x14ac:dyDescent="0.3">
      <c r="A49" s="68" t="s">
        <v>26</v>
      </c>
      <c r="B49" s="68"/>
      <c r="D49" s="52" t="s">
        <v>27</v>
      </c>
      <c r="E49" s="52"/>
      <c r="F49" s="52"/>
      <c r="G49" s="73" t="s">
        <v>28</v>
      </c>
      <c r="H49" s="73"/>
      <c r="I49" s="73"/>
      <c r="J49" s="52" t="s">
        <v>29</v>
      </c>
      <c r="K49" s="52"/>
      <c r="L49" s="52"/>
      <c r="M49" s="73" t="s">
        <v>30</v>
      </c>
      <c r="N49" s="73"/>
      <c r="O49" s="73"/>
      <c r="P49" s="52" t="s">
        <v>31</v>
      </c>
      <c r="Q49" s="52"/>
      <c r="R49" s="52"/>
      <c r="S49" s="73" t="s">
        <v>32</v>
      </c>
      <c r="T49" s="73"/>
      <c r="U49" s="73"/>
      <c r="V49" s="52" t="s">
        <v>33</v>
      </c>
      <c r="W49" s="52"/>
      <c r="X49" s="52"/>
      <c r="Y49" s="73" t="s">
        <v>34</v>
      </c>
      <c r="Z49" s="73"/>
      <c r="AA49" s="73"/>
      <c r="AB49" s="52" t="s">
        <v>35</v>
      </c>
      <c r="AC49" s="52"/>
      <c r="AD49" s="52"/>
      <c r="AE49" s="73" t="s">
        <v>36</v>
      </c>
      <c r="AF49" s="73"/>
      <c r="AG49" s="73"/>
    </row>
    <row r="50" spans="1:33" ht="15.75" thickBot="1" x14ac:dyDescent="0.3">
      <c r="A50" s="68"/>
      <c r="B50" s="68"/>
      <c r="C50" s="105" t="s">
        <v>243</v>
      </c>
      <c r="D50" s="75">
        <v>0</v>
      </c>
      <c r="E50" s="75"/>
      <c r="F50" s="76"/>
      <c r="G50" s="74">
        <v>0</v>
      </c>
      <c r="H50" s="75"/>
      <c r="I50" s="76"/>
      <c r="J50" s="74">
        <v>0</v>
      </c>
      <c r="K50" s="75"/>
      <c r="L50" s="76"/>
      <c r="M50" s="74">
        <v>0</v>
      </c>
      <c r="N50" s="75"/>
      <c r="O50" s="76"/>
      <c r="P50" s="74">
        <v>0</v>
      </c>
      <c r="Q50" s="75"/>
      <c r="R50" s="76"/>
      <c r="S50" s="74">
        <v>0</v>
      </c>
      <c r="T50" s="75"/>
      <c r="U50" s="76"/>
      <c r="V50" s="74">
        <v>0</v>
      </c>
      <c r="W50" s="75"/>
      <c r="X50" s="76"/>
      <c r="Y50" s="74">
        <v>0</v>
      </c>
      <c r="Z50" s="75"/>
      <c r="AA50" s="76"/>
      <c r="AB50" s="74">
        <v>0</v>
      </c>
      <c r="AC50" s="75"/>
      <c r="AD50" s="76"/>
      <c r="AE50" s="74">
        <v>0</v>
      </c>
      <c r="AF50" s="75"/>
      <c r="AG50" s="76"/>
    </row>
    <row r="51" spans="1:33" ht="15.75" thickBot="1" x14ac:dyDescent="0.3">
      <c r="A51" s="68"/>
      <c r="B51" s="68"/>
      <c r="C51" s="106" t="s">
        <v>244</v>
      </c>
      <c r="D51" s="82">
        <v>0</v>
      </c>
      <c r="E51" s="82"/>
      <c r="F51" s="84"/>
      <c r="G51" s="85">
        <v>0</v>
      </c>
      <c r="H51" s="82"/>
      <c r="I51" s="84"/>
      <c r="J51" s="85">
        <v>0</v>
      </c>
      <c r="K51" s="82"/>
      <c r="L51" s="84"/>
      <c r="M51" s="85">
        <v>0</v>
      </c>
      <c r="N51" s="82"/>
      <c r="O51" s="82"/>
      <c r="P51" s="81">
        <v>0</v>
      </c>
      <c r="Q51" s="82"/>
      <c r="R51" s="83"/>
      <c r="S51" s="82">
        <v>0</v>
      </c>
      <c r="T51" s="82"/>
      <c r="U51" s="84"/>
      <c r="V51" s="85">
        <v>0</v>
      </c>
      <c r="W51" s="82"/>
      <c r="X51" s="84"/>
      <c r="Y51" s="85">
        <v>0</v>
      </c>
      <c r="Z51" s="82"/>
      <c r="AA51" s="84"/>
      <c r="AB51" s="85">
        <v>0</v>
      </c>
      <c r="AC51" s="82"/>
      <c r="AD51" s="84"/>
      <c r="AE51" s="85">
        <v>0</v>
      </c>
      <c r="AF51" s="82"/>
      <c r="AG51" s="84"/>
    </row>
    <row r="52" spans="1:33" ht="15.75" thickBot="1" x14ac:dyDescent="0.3">
      <c r="A52" s="68"/>
      <c r="B52" s="68"/>
      <c r="C52" s="107" t="s">
        <v>37</v>
      </c>
      <c r="D52" s="104"/>
      <c r="E52" s="86"/>
      <c r="F52" s="89"/>
      <c r="G52" s="86"/>
      <c r="H52" s="86"/>
      <c r="I52" s="89"/>
      <c r="J52" s="86"/>
      <c r="K52" s="86"/>
      <c r="L52" s="89"/>
      <c r="M52" s="86"/>
      <c r="N52" s="86"/>
      <c r="O52" s="89"/>
      <c r="P52" s="86"/>
      <c r="Q52" s="86"/>
      <c r="R52" s="89"/>
      <c r="S52" s="86"/>
      <c r="T52" s="86"/>
      <c r="U52" s="89"/>
      <c r="V52" s="86"/>
      <c r="W52" s="86"/>
      <c r="X52" s="89"/>
      <c r="Y52" s="86"/>
      <c r="Z52" s="86"/>
      <c r="AA52" s="89"/>
      <c r="AB52" s="86"/>
      <c r="AC52" s="86"/>
      <c r="AD52" s="89"/>
      <c r="AE52" s="86"/>
      <c r="AF52" s="86"/>
      <c r="AG52" s="89"/>
    </row>
    <row r="53" spans="1:33" ht="15.75" thickBot="1" x14ac:dyDescent="0.3">
      <c r="A53" s="68"/>
      <c r="B53" s="68"/>
      <c r="D53" s="87"/>
      <c r="E53" s="87"/>
      <c r="F53" s="90"/>
      <c r="G53" s="87"/>
      <c r="H53" s="87"/>
      <c r="I53" s="90"/>
      <c r="J53" s="87"/>
      <c r="K53" s="87"/>
      <c r="L53" s="90"/>
      <c r="M53" s="87"/>
      <c r="N53" s="87"/>
      <c r="O53" s="90"/>
      <c r="P53" s="87"/>
      <c r="Q53" s="87"/>
      <c r="R53" s="90"/>
      <c r="S53" s="87"/>
      <c r="T53" s="87"/>
      <c r="U53" s="90"/>
      <c r="V53" s="87"/>
      <c r="W53" s="87"/>
      <c r="X53" s="90"/>
      <c r="Y53" s="87"/>
      <c r="Z53" s="87"/>
      <c r="AA53" s="90"/>
      <c r="AB53" s="87"/>
      <c r="AC53" s="87"/>
      <c r="AD53" s="90"/>
      <c r="AE53" s="87"/>
      <c r="AF53" s="87"/>
      <c r="AG53" s="90"/>
    </row>
    <row r="54" spans="1:33" ht="15.75" thickBot="1" x14ac:dyDescent="0.3">
      <c r="A54" s="68"/>
      <c r="B54" s="68"/>
      <c r="D54" s="88"/>
      <c r="E54" s="88"/>
      <c r="F54" s="91"/>
      <c r="G54" s="88"/>
      <c r="H54" s="88"/>
      <c r="I54" s="91"/>
      <c r="J54" s="88"/>
      <c r="K54" s="88"/>
      <c r="L54" s="91"/>
      <c r="M54" s="88"/>
      <c r="N54" s="88"/>
      <c r="O54" s="91"/>
      <c r="P54" s="88"/>
      <c r="Q54" s="88"/>
      <c r="R54" s="91"/>
      <c r="S54" s="88"/>
      <c r="T54" s="88"/>
      <c r="U54" s="91"/>
      <c r="V54" s="88"/>
      <c r="W54" s="88"/>
      <c r="X54" s="91"/>
      <c r="Y54" s="88"/>
      <c r="Z54" s="88"/>
      <c r="AA54" s="91"/>
      <c r="AB54" s="88"/>
      <c r="AC54" s="88"/>
      <c r="AD54" s="91"/>
      <c r="AE54" s="88"/>
      <c r="AF54" s="88"/>
      <c r="AG54" s="91"/>
    </row>
    <row r="56" spans="1:33" ht="15.75" thickBot="1" x14ac:dyDescent="0.3"/>
    <row r="57" spans="1:33" ht="15.75" thickBot="1" x14ac:dyDescent="0.3">
      <c r="A57" s="68" t="s">
        <v>77</v>
      </c>
      <c r="B57" s="68"/>
      <c r="D57" s="52" t="s">
        <v>27</v>
      </c>
      <c r="E57" s="52"/>
      <c r="F57" s="52"/>
      <c r="G57" s="73" t="s">
        <v>28</v>
      </c>
      <c r="H57" s="73"/>
      <c r="I57" s="73"/>
      <c r="J57" s="52" t="s">
        <v>29</v>
      </c>
      <c r="K57" s="52"/>
      <c r="L57" s="52"/>
      <c r="M57" s="73" t="s">
        <v>30</v>
      </c>
      <c r="N57" s="73"/>
      <c r="O57" s="73"/>
      <c r="P57" s="52" t="s">
        <v>31</v>
      </c>
      <c r="Q57" s="52"/>
      <c r="R57" s="52"/>
      <c r="S57" s="73" t="s">
        <v>32</v>
      </c>
      <c r="T57" s="73"/>
      <c r="U57" s="73"/>
      <c r="V57" s="52" t="s">
        <v>33</v>
      </c>
      <c r="W57" s="52"/>
      <c r="X57" s="52"/>
      <c r="Y57" s="73" t="s">
        <v>34</v>
      </c>
      <c r="Z57" s="73"/>
      <c r="AA57" s="73"/>
      <c r="AB57" s="52" t="s">
        <v>35</v>
      </c>
      <c r="AC57" s="52"/>
      <c r="AD57" s="52"/>
      <c r="AE57" s="73" t="s">
        <v>36</v>
      </c>
      <c r="AF57" s="73"/>
      <c r="AG57" s="73"/>
    </row>
    <row r="58" spans="1:33" ht="15.75" thickBot="1" x14ac:dyDescent="0.3">
      <c r="A58" s="68"/>
      <c r="B58" s="68"/>
      <c r="C58" s="105" t="s">
        <v>243</v>
      </c>
      <c r="D58" s="75">
        <v>0</v>
      </c>
      <c r="E58" s="75"/>
      <c r="F58" s="76"/>
      <c r="G58" s="74">
        <v>0</v>
      </c>
      <c r="H58" s="75"/>
      <c r="I58" s="76"/>
      <c r="J58" s="74">
        <v>0</v>
      </c>
      <c r="K58" s="75"/>
      <c r="L58" s="76"/>
      <c r="M58" s="74">
        <v>0</v>
      </c>
      <c r="N58" s="75"/>
      <c r="O58" s="76"/>
      <c r="P58" s="74">
        <v>0</v>
      </c>
      <c r="Q58" s="75"/>
      <c r="R58" s="76"/>
      <c r="S58" s="74">
        <v>0</v>
      </c>
      <c r="T58" s="75"/>
      <c r="U58" s="76"/>
      <c r="V58" s="74">
        <v>0</v>
      </c>
      <c r="W58" s="75"/>
      <c r="X58" s="76"/>
      <c r="Y58" s="74">
        <v>0</v>
      </c>
      <c r="Z58" s="75"/>
      <c r="AA58" s="76"/>
      <c r="AB58" s="74">
        <v>0</v>
      </c>
      <c r="AC58" s="75"/>
      <c r="AD58" s="76"/>
      <c r="AE58" s="74">
        <v>0</v>
      </c>
      <c r="AF58" s="75"/>
      <c r="AG58" s="76"/>
    </row>
    <row r="59" spans="1:33" ht="15.75" thickBot="1" x14ac:dyDescent="0.3">
      <c r="A59" s="68"/>
      <c r="B59" s="68"/>
      <c r="C59" s="106" t="s">
        <v>244</v>
      </c>
      <c r="D59" s="82">
        <v>0</v>
      </c>
      <c r="E59" s="82"/>
      <c r="F59" s="84"/>
      <c r="G59" s="85">
        <v>0</v>
      </c>
      <c r="H59" s="82"/>
      <c r="I59" s="84"/>
      <c r="J59" s="85">
        <v>0</v>
      </c>
      <c r="K59" s="82"/>
      <c r="L59" s="84"/>
      <c r="M59" s="85">
        <v>0</v>
      </c>
      <c r="N59" s="82"/>
      <c r="O59" s="82"/>
      <c r="P59" s="81">
        <v>0</v>
      </c>
      <c r="Q59" s="82"/>
      <c r="R59" s="83"/>
      <c r="S59" s="82">
        <v>0</v>
      </c>
      <c r="T59" s="82"/>
      <c r="U59" s="84"/>
      <c r="V59" s="85">
        <v>0</v>
      </c>
      <c r="W59" s="82"/>
      <c r="X59" s="84"/>
      <c r="Y59" s="85">
        <v>0</v>
      </c>
      <c r="Z59" s="82"/>
      <c r="AA59" s="84"/>
      <c r="AB59" s="85">
        <v>0</v>
      </c>
      <c r="AC59" s="82"/>
      <c r="AD59" s="84"/>
      <c r="AE59" s="85">
        <v>0</v>
      </c>
      <c r="AF59" s="82"/>
      <c r="AG59" s="84"/>
    </row>
    <row r="60" spans="1:33" ht="15.75" thickBot="1" x14ac:dyDescent="0.3">
      <c r="A60" s="68"/>
      <c r="B60" s="68"/>
      <c r="C60" s="107" t="s">
        <v>37</v>
      </c>
      <c r="D60" s="104"/>
      <c r="E60" s="86"/>
      <c r="F60" s="89"/>
      <c r="G60" s="86"/>
      <c r="H60" s="86"/>
      <c r="I60" s="89"/>
      <c r="J60" s="86"/>
      <c r="K60" s="86"/>
      <c r="L60" s="89"/>
      <c r="M60" s="86"/>
      <c r="N60" s="86"/>
      <c r="O60" s="89"/>
      <c r="P60" s="86"/>
      <c r="Q60" s="86"/>
      <c r="R60" s="89"/>
      <c r="S60" s="86"/>
      <c r="T60" s="86"/>
      <c r="U60" s="89"/>
      <c r="V60" s="86"/>
      <c r="W60" s="86"/>
      <c r="X60" s="89"/>
      <c r="Y60" s="86"/>
      <c r="Z60" s="86"/>
      <c r="AA60" s="89"/>
      <c r="AB60" s="86"/>
      <c r="AC60" s="86"/>
      <c r="AD60" s="89"/>
      <c r="AE60" s="86"/>
      <c r="AF60" s="86"/>
      <c r="AG60" s="89"/>
    </row>
    <row r="61" spans="1:33" ht="15.75" thickBot="1" x14ac:dyDescent="0.3">
      <c r="A61" s="68"/>
      <c r="B61" s="68"/>
      <c r="D61" s="87"/>
      <c r="E61" s="87"/>
      <c r="F61" s="90"/>
      <c r="G61" s="87"/>
      <c r="H61" s="87"/>
      <c r="I61" s="90"/>
      <c r="J61" s="87"/>
      <c r="K61" s="87"/>
      <c r="L61" s="90"/>
      <c r="M61" s="87"/>
      <c r="N61" s="87"/>
      <c r="O61" s="90"/>
      <c r="P61" s="87"/>
      <c r="Q61" s="87"/>
      <c r="R61" s="90"/>
      <c r="S61" s="87"/>
      <c r="T61" s="87"/>
      <c r="U61" s="90"/>
      <c r="V61" s="87"/>
      <c r="W61" s="87"/>
      <c r="X61" s="90"/>
      <c r="Y61" s="87"/>
      <c r="Z61" s="87"/>
      <c r="AA61" s="90"/>
      <c r="AB61" s="87"/>
      <c r="AC61" s="87"/>
      <c r="AD61" s="90"/>
      <c r="AE61" s="87"/>
      <c r="AF61" s="87"/>
      <c r="AG61" s="90"/>
    </row>
    <row r="62" spans="1:33" ht="15.75" thickBot="1" x14ac:dyDescent="0.3">
      <c r="A62" s="68"/>
      <c r="B62" s="68"/>
      <c r="D62" s="88"/>
      <c r="E62" s="88"/>
      <c r="F62" s="91"/>
      <c r="G62" s="88"/>
      <c r="H62" s="88"/>
      <c r="I62" s="91"/>
      <c r="J62" s="88"/>
      <c r="K62" s="88"/>
      <c r="L62" s="91"/>
      <c r="M62" s="88"/>
      <c r="N62" s="88"/>
      <c r="O62" s="91"/>
      <c r="P62" s="88"/>
      <c r="Q62" s="88"/>
      <c r="R62" s="91"/>
      <c r="S62" s="88"/>
      <c r="T62" s="88"/>
      <c r="U62" s="91"/>
      <c r="V62" s="88"/>
      <c r="W62" s="88"/>
      <c r="X62" s="91"/>
      <c r="Y62" s="88"/>
      <c r="Z62" s="88"/>
      <c r="AA62" s="91"/>
      <c r="AB62" s="88"/>
      <c r="AC62" s="88"/>
      <c r="AD62" s="91"/>
      <c r="AE62" s="88"/>
      <c r="AF62" s="88"/>
      <c r="AG62" s="91"/>
    </row>
    <row r="64" spans="1:33" ht="15.75" thickBot="1" x14ac:dyDescent="0.3"/>
    <row r="65" spans="1:33" ht="15.75" thickBot="1" x14ac:dyDescent="0.3">
      <c r="A65" s="68" t="s">
        <v>78</v>
      </c>
      <c r="B65" s="68"/>
      <c r="D65" s="52" t="s">
        <v>27</v>
      </c>
      <c r="E65" s="52"/>
      <c r="F65" s="52"/>
      <c r="G65" s="73" t="s">
        <v>28</v>
      </c>
      <c r="H65" s="73"/>
      <c r="I65" s="73"/>
      <c r="J65" s="52" t="s">
        <v>29</v>
      </c>
      <c r="K65" s="52"/>
      <c r="L65" s="52"/>
      <c r="M65" s="73" t="s">
        <v>30</v>
      </c>
      <c r="N65" s="73"/>
      <c r="O65" s="73"/>
      <c r="P65" s="52" t="s">
        <v>31</v>
      </c>
      <c r="Q65" s="52"/>
      <c r="R65" s="52"/>
      <c r="S65" s="73" t="s">
        <v>32</v>
      </c>
      <c r="T65" s="73"/>
      <c r="U65" s="73"/>
      <c r="V65" s="52" t="s">
        <v>33</v>
      </c>
      <c r="W65" s="52"/>
      <c r="X65" s="52"/>
      <c r="Y65" s="73" t="s">
        <v>34</v>
      </c>
      <c r="Z65" s="73"/>
      <c r="AA65" s="73"/>
      <c r="AB65" s="52" t="s">
        <v>35</v>
      </c>
      <c r="AC65" s="52"/>
      <c r="AD65" s="52"/>
      <c r="AE65" s="73" t="s">
        <v>36</v>
      </c>
      <c r="AF65" s="73"/>
      <c r="AG65" s="73"/>
    </row>
    <row r="66" spans="1:33" ht="15.75" thickBot="1" x14ac:dyDescent="0.3">
      <c r="A66" s="68"/>
      <c r="B66" s="68"/>
      <c r="C66" s="105" t="s">
        <v>243</v>
      </c>
      <c r="D66" s="75">
        <v>0</v>
      </c>
      <c r="E66" s="75"/>
      <c r="F66" s="76"/>
      <c r="G66" s="74">
        <v>0</v>
      </c>
      <c r="H66" s="75"/>
      <c r="I66" s="76"/>
      <c r="J66" s="74">
        <v>0</v>
      </c>
      <c r="K66" s="75"/>
      <c r="L66" s="76"/>
      <c r="M66" s="74">
        <v>0</v>
      </c>
      <c r="N66" s="75"/>
      <c r="O66" s="76"/>
      <c r="P66" s="74">
        <v>0</v>
      </c>
      <c r="Q66" s="75"/>
      <c r="R66" s="76"/>
      <c r="S66" s="74">
        <v>0</v>
      </c>
      <c r="T66" s="75"/>
      <c r="U66" s="76"/>
      <c r="V66" s="74">
        <v>0</v>
      </c>
      <c r="W66" s="75"/>
      <c r="X66" s="76"/>
      <c r="Y66" s="74">
        <v>0</v>
      </c>
      <c r="Z66" s="75"/>
      <c r="AA66" s="76"/>
      <c r="AB66" s="74">
        <v>0</v>
      </c>
      <c r="AC66" s="75"/>
      <c r="AD66" s="76"/>
      <c r="AE66" s="74">
        <v>0</v>
      </c>
      <c r="AF66" s="75"/>
      <c r="AG66" s="76"/>
    </row>
    <row r="67" spans="1:33" ht="15.75" thickBot="1" x14ac:dyDescent="0.3">
      <c r="A67" s="68"/>
      <c r="B67" s="68"/>
      <c r="C67" s="106" t="s">
        <v>244</v>
      </c>
      <c r="D67" s="82">
        <v>0</v>
      </c>
      <c r="E67" s="82"/>
      <c r="F67" s="84"/>
      <c r="G67" s="85">
        <v>0</v>
      </c>
      <c r="H67" s="82"/>
      <c r="I67" s="84"/>
      <c r="J67" s="85">
        <v>0</v>
      </c>
      <c r="K67" s="82"/>
      <c r="L67" s="84"/>
      <c r="M67" s="85">
        <v>0</v>
      </c>
      <c r="N67" s="82"/>
      <c r="O67" s="82"/>
      <c r="P67" s="81">
        <v>0</v>
      </c>
      <c r="Q67" s="82"/>
      <c r="R67" s="83"/>
      <c r="S67" s="82">
        <v>0</v>
      </c>
      <c r="T67" s="82"/>
      <c r="U67" s="84"/>
      <c r="V67" s="85">
        <v>0</v>
      </c>
      <c r="W67" s="82"/>
      <c r="X67" s="84"/>
      <c r="Y67" s="85">
        <v>0</v>
      </c>
      <c r="Z67" s="82"/>
      <c r="AA67" s="84"/>
      <c r="AB67" s="85">
        <v>0</v>
      </c>
      <c r="AC67" s="82"/>
      <c r="AD67" s="84"/>
      <c r="AE67" s="85">
        <v>0</v>
      </c>
      <c r="AF67" s="82"/>
      <c r="AG67" s="84"/>
    </row>
    <row r="68" spans="1:33" ht="15.75" thickBot="1" x14ac:dyDescent="0.3">
      <c r="A68" s="68"/>
      <c r="B68" s="68"/>
      <c r="C68" s="107" t="s">
        <v>37</v>
      </c>
      <c r="D68" s="104"/>
      <c r="E68" s="86"/>
      <c r="F68" s="89"/>
      <c r="G68" s="86"/>
      <c r="H68" s="86"/>
      <c r="I68" s="89"/>
      <c r="J68" s="86"/>
      <c r="K68" s="86"/>
      <c r="L68" s="89"/>
      <c r="M68" s="86"/>
      <c r="N68" s="86"/>
      <c r="O68" s="89"/>
      <c r="P68" s="86"/>
      <c r="Q68" s="86"/>
      <c r="R68" s="89"/>
      <c r="S68" s="86"/>
      <c r="T68" s="86"/>
      <c r="U68" s="89"/>
      <c r="V68" s="86"/>
      <c r="W68" s="86"/>
      <c r="X68" s="89"/>
      <c r="Y68" s="86"/>
      <c r="Z68" s="86"/>
      <c r="AA68" s="89"/>
      <c r="AB68" s="86"/>
      <c r="AC68" s="86"/>
      <c r="AD68" s="89"/>
      <c r="AE68" s="86"/>
      <c r="AF68" s="86"/>
      <c r="AG68" s="89"/>
    </row>
    <row r="69" spans="1:33" ht="15.75" thickBot="1" x14ac:dyDescent="0.3">
      <c r="A69" s="68"/>
      <c r="B69" s="68"/>
      <c r="D69" s="87"/>
      <c r="E69" s="87"/>
      <c r="F69" s="90"/>
      <c r="G69" s="87"/>
      <c r="H69" s="87"/>
      <c r="I69" s="90"/>
      <c r="J69" s="87"/>
      <c r="K69" s="87"/>
      <c r="L69" s="90"/>
      <c r="M69" s="87"/>
      <c r="N69" s="87"/>
      <c r="O69" s="90"/>
      <c r="P69" s="87"/>
      <c r="Q69" s="87"/>
      <c r="R69" s="90"/>
      <c r="S69" s="87"/>
      <c r="T69" s="87"/>
      <c r="U69" s="90"/>
      <c r="V69" s="87"/>
      <c r="W69" s="87"/>
      <c r="X69" s="90"/>
      <c r="Y69" s="87"/>
      <c r="Z69" s="87"/>
      <c r="AA69" s="90"/>
      <c r="AB69" s="87"/>
      <c r="AC69" s="87"/>
      <c r="AD69" s="90"/>
      <c r="AE69" s="87"/>
      <c r="AF69" s="87"/>
      <c r="AG69" s="90"/>
    </row>
    <row r="70" spans="1:33" ht="15.75" thickBot="1" x14ac:dyDescent="0.3">
      <c r="A70" s="68"/>
      <c r="B70" s="68"/>
      <c r="D70" s="88"/>
      <c r="E70" s="88"/>
      <c r="F70" s="91"/>
      <c r="G70" s="88"/>
      <c r="H70" s="88"/>
      <c r="I70" s="91"/>
      <c r="J70" s="88"/>
      <c r="K70" s="88"/>
      <c r="L70" s="91"/>
      <c r="M70" s="88"/>
      <c r="N70" s="88"/>
      <c r="O70" s="91"/>
      <c r="P70" s="88"/>
      <c r="Q70" s="88"/>
      <c r="R70" s="91"/>
      <c r="S70" s="88"/>
      <c r="T70" s="88"/>
      <c r="U70" s="91"/>
      <c r="V70" s="88"/>
      <c r="W70" s="88"/>
      <c r="X70" s="91"/>
      <c r="Y70" s="88"/>
      <c r="Z70" s="88"/>
      <c r="AA70" s="91"/>
      <c r="AB70" s="88"/>
      <c r="AC70" s="88"/>
      <c r="AD70" s="91"/>
      <c r="AE70" s="88"/>
      <c r="AF70" s="88"/>
      <c r="AG70" s="91"/>
    </row>
    <row r="72" spans="1:33" ht="15.75" thickBot="1" x14ac:dyDescent="0.3"/>
    <row r="73" spans="1:33" ht="15.75" thickBot="1" x14ac:dyDescent="0.3">
      <c r="A73" s="68" t="s">
        <v>250</v>
      </c>
      <c r="B73" s="68"/>
      <c r="D73" s="52" t="s">
        <v>27</v>
      </c>
      <c r="E73" s="52"/>
      <c r="F73" s="52"/>
      <c r="G73" s="73" t="s">
        <v>28</v>
      </c>
      <c r="H73" s="73"/>
      <c r="I73" s="73"/>
      <c r="J73" s="52" t="s">
        <v>29</v>
      </c>
      <c r="K73" s="52"/>
      <c r="L73" s="52"/>
      <c r="M73" s="73" t="s">
        <v>30</v>
      </c>
      <c r="N73" s="73"/>
      <c r="O73" s="73"/>
      <c r="P73" s="52" t="s">
        <v>31</v>
      </c>
      <c r="Q73" s="52"/>
      <c r="R73" s="52"/>
      <c r="S73" s="73" t="s">
        <v>32</v>
      </c>
      <c r="T73" s="73"/>
      <c r="U73" s="73"/>
      <c r="V73" s="52" t="s">
        <v>33</v>
      </c>
      <c r="W73" s="52"/>
      <c r="X73" s="52"/>
      <c r="Y73" s="73" t="s">
        <v>34</v>
      </c>
      <c r="Z73" s="73"/>
      <c r="AA73" s="73"/>
      <c r="AB73" s="52" t="s">
        <v>35</v>
      </c>
      <c r="AC73" s="52"/>
      <c r="AD73" s="52"/>
      <c r="AE73" s="73" t="s">
        <v>36</v>
      </c>
      <c r="AF73" s="73"/>
      <c r="AG73" s="73"/>
    </row>
    <row r="74" spans="1:33" ht="15.75" thickBot="1" x14ac:dyDescent="0.3">
      <c r="A74" s="68"/>
      <c r="B74" s="68"/>
      <c r="C74" s="105" t="s">
        <v>243</v>
      </c>
      <c r="D74" s="75">
        <v>0</v>
      </c>
      <c r="E74" s="75"/>
      <c r="F74" s="76"/>
      <c r="G74" s="74">
        <v>0</v>
      </c>
      <c r="H74" s="75"/>
      <c r="I74" s="76"/>
      <c r="J74" s="74">
        <v>0</v>
      </c>
      <c r="K74" s="75"/>
      <c r="L74" s="76"/>
      <c r="M74" s="74">
        <v>0</v>
      </c>
      <c r="N74" s="75"/>
      <c r="O74" s="76"/>
      <c r="P74" s="74">
        <v>0</v>
      </c>
      <c r="Q74" s="75"/>
      <c r="R74" s="76"/>
      <c r="S74" s="74">
        <v>0</v>
      </c>
      <c r="T74" s="75"/>
      <c r="U74" s="76"/>
      <c r="V74" s="74">
        <v>0</v>
      </c>
      <c r="W74" s="75"/>
      <c r="X74" s="76"/>
      <c r="Y74" s="74">
        <v>0</v>
      </c>
      <c r="Z74" s="75"/>
      <c r="AA74" s="76"/>
      <c r="AB74" s="74">
        <v>0</v>
      </c>
      <c r="AC74" s="75"/>
      <c r="AD74" s="76"/>
      <c r="AE74" s="74">
        <v>0</v>
      </c>
      <c r="AF74" s="75"/>
      <c r="AG74" s="76"/>
    </row>
    <row r="75" spans="1:33" ht="15.75" thickBot="1" x14ac:dyDescent="0.3">
      <c r="A75" s="68"/>
      <c r="B75" s="68"/>
      <c r="C75" s="106" t="s">
        <v>244</v>
      </c>
      <c r="D75" s="82">
        <v>0</v>
      </c>
      <c r="E75" s="82"/>
      <c r="F75" s="84"/>
      <c r="G75" s="85">
        <v>0</v>
      </c>
      <c r="H75" s="82"/>
      <c r="I75" s="84"/>
      <c r="J75" s="85">
        <v>0</v>
      </c>
      <c r="K75" s="82"/>
      <c r="L75" s="84"/>
      <c r="M75" s="85">
        <v>0</v>
      </c>
      <c r="N75" s="82"/>
      <c r="O75" s="82"/>
      <c r="P75" s="81">
        <v>0</v>
      </c>
      <c r="Q75" s="82"/>
      <c r="R75" s="83"/>
      <c r="S75" s="82">
        <v>0</v>
      </c>
      <c r="T75" s="82"/>
      <c r="U75" s="84"/>
      <c r="V75" s="85">
        <v>0</v>
      </c>
      <c r="W75" s="82"/>
      <c r="X75" s="84"/>
      <c r="Y75" s="85">
        <v>0</v>
      </c>
      <c r="Z75" s="82"/>
      <c r="AA75" s="84"/>
      <c r="AB75" s="85">
        <v>0</v>
      </c>
      <c r="AC75" s="82"/>
      <c r="AD75" s="84"/>
      <c r="AE75" s="85">
        <v>0</v>
      </c>
      <c r="AF75" s="82"/>
      <c r="AG75" s="84"/>
    </row>
    <row r="76" spans="1:33" ht="15.75" thickBot="1" x14ac:dyDescent="0.3">
      <c r="A76" s="68"/>
      <c r="B76" s="68"/>
      <c r="C76" s="107" t="s">
        <v>37</v>
      </c>
      <c r="D76" s="104"/>
      <c r="E76" s="86"/>
      <c r="F76" s="89"/>
      <c r="G76" s="86"/>
      <c r="H76" s="86"/>
      <c r="I76" s="89"/>
      <c r="J76" s="86"/>
      <c r="K76" s="86"/>
      <c r="L76" s="89"/>
      <c r="M76" s="86"/>
      <c r="N76" s="86"/>
      <c r="O76" s="89"/>
      <c r="P76" s="86"/>
      <c r="Q76" s="86"/>
      <c r="R76" s="89"/>
      <c r="S76" s="86"/>
      <c r="T76" s="86"/>
      <c r="U76" s="89"/>
      <c r="V76" s="86"/>
      <c r="W76" s="86"/>
      <c r="X76" s="89"/>
      <c r="Y76" s="86"/>
      <c r="Z76" s="86"/>
      <c r="AA76" s="89"/>
      <c r="AB76" s="86"/>
      <c r="AC76" s="86"/>
      <c r="AD76" s="89"/>
      <c r="AE76" s="86"/>
      <c r="AF76" s="86"/>
      <c r="AG76" s="89"/>
    </row>
    <row r="77" spans="1:33" ht="15.75" thickBot="1" x14ac:dyDescent="0.3">
      <c r="A77" s="68"/>
      <c r="B77" s="68"/>
      <c r="D77" s="87"/>
      <c r="E77" s="87"/>
      <c r="F77" s="90"/>
      <c r="G77" s="87"/>
      <c r="H77" s="87"/>
      <c r="I77" s="90"/>
      <c r="J77" s="87"/>
      <c r="K77" s="87"/>
      <c r="L77" s="90"/>
      <c r="M77" s="87"/>
      <c r="N77" s="87"/>
      <c r="O77" s="90"/>
      <c r="P77" s="87"/>
      <c r="Q77" s="87"/>
      <c r="R77" s="90"/>
      <c r="S77" s="87"/>
      <c r="T77" s="87"/>
      <c r="U77" s="90"/>
      <c r="V77" s="87"/>
      <c r="W77" s="87"/>
      <c r="X77" s="90"/>
      <c r="Y77" s="87"/>
      <c r="Z77" s="87"/>
      <c r="AA77" s="90"/>
      <c r="AB77" s="87"/>
      <c r="AC77" s="87"/>
      <c r="AD77" s="90"/>
      <c r="AE77" s="87"/>
      <c r="AF77" s="87"/>
      <c r="AG77" s="90"/>
    </row>
    <row r="78" spans="1:33" ht="15.75" thickBot="1" x14ac:dyDescent="0.3">
      <c r="A78" s="68"/>
      <c r="B78" s="68"/>
      <c r="D78" s="88"/>
      <c r="E78" s="88"/>
      <c r="F78" s="91"/>
      <c r="G78" s="88"/>
      <c r="H78" s="88"/>
      <c r="I78" s="91"/>
      <c r="J78" s="88"/>
      <c r="K78" s="88"/>
      <c r="L78" s="91"/>
      <c r="M78" s="88"/>
      <c r="N78" s="88"/>
      <c r="O78" s="91"/>
      <c r="P78" s="88"/>
      <c r="Q78" s="88"/>
      <c r="R78" s="91"/>
      <c r="S78" s="88"/>
      <c r="T78" s="88"/>
      <c r="U78" s="91"/>
      <c r="V78" s="88"/>
      <c r="W78" s="88"/>
      <c r="X78" s="91"/>
      <c r="Y78" s="88"/>
      <c r="Z78" s="88"/>
      <c r="AA78" s="91"/>
      <c r="AB78" s="88"/>
      <c r="AC78" s="88"/>
      <c r="AD78" s="91"/>
      <c r="AE78" s="88"/>
      <c r="AF78" s="88"/>
      <c r="AG78" s="91"/>
    </row>
    <row r="80" spans="1:33" ht="15.75" thickBot="1" x14ac:dyDescent="0.3"/>
    <row r="81" spans="1:33" ht="15.75" thickBot="1" x14ac:dyDescent="0.3">
      <c r="A81" s="68" t="s">
        <v>251</v>
      </c>
      <c r="B81" s="68"/>
      <c r="D81" s="52" t="s">
        <v>27</v>
      </c>
      <c r="E81" s="52"/>
      <c r="F81" s="52"/>
      <c r="G81" s="73" t="s">
        <v>28</v>
      </c>
      <c r="H81" s="73"/>
      <c r="I81" s="73"/>
      <c r="J81" s="52" t="s">
        <v>29</v>
      </c>
      <c r="K81" s="52"/>
      <c r="L81" s="52"/>
      <c r="M81" s="73" t="s">
        <v>30</v>
      </c>
      <c r="N81" s="73"/>
      <c r="O81" s="73"/>
      <c r="P81" s="52" t="s">
        <v>31</v>
      </c>
      <c r="Q81" s="52"/>
      <c r="R81" s="52"/>
      <c r="S81" s="73" t="s">
        <v>32</v>
      </c>
      <c r="T81" s="73"/>
      <c r="U81" s="73"/>
      <c r="V81" s="52" t="s">
        <v>33</v>
      </c>
      <c r="W81" s="52"/>
      <c r="X81" s="52"/>
      <c r="Y81" s="73" t="s">
        <v>34</v>
      </c>
      <c r="Z81" s="73"/>
      <c r="AA81" s="73"/>
      <c r="AB81" s="52" t="s">
        <v>35</v>
      </c>
      <c r="AC81" s="52"/>
      <c r="AD81" s="52"/>
      <c r="AE81" s="73" t="s">
        <v>36</v>
      </c>
      <c r="AF81" s="73"/>
      <c r="AG81" s="73"/>
    </row>
    <row r="82" spans="1:33" ht="15.75" thickBot="1" x14ac:dyDescent="0.3">
      <c r="A82" s="68"/>
      <c r="B82" s="68"/>
      <c r="C82" s="105" t="s">
        <v>243</v>
      </c>
      <c r="D82" s="75">
        <v>0</v>
      </c>
      <c r="E82" s="75"/>
      <c r="F82" s="76"/>
      <c r="G82" s="74">
        <v>0</v>
      </c>
      <c r="H82" s="75"/>
      <c r="I82" s="76"/>
      <c r="J82" s="74">
        <v>0</v>
      </c>
      <c r="K82" s="75"/>
      <c r="L82" s="76"/>
      <c r="M82" s="74">
        <v>0</v>
      </c>
      <c r="N82" s="75"/>
      <c r="O82" s="76"/>
      <c r="P82" s="74">
        <v>0</v>
      </c>
      <c r="Q82" s="75"/>
      <c r="R82" s="76"/>
      <c r="S82" s="74">
        <v>0</v>
      </c>
      <c r="T82" s="75"/>
      <c r="U82" s="76"/>
      <c r="V82" s="74">
        <v>0</v>
      </c>
      <c r="W82" s="75"/>
      <c r="X82" s="76"/>
      <c r="Y82" s="74">
        <v>0</v>
      </c>
      <c r="Z82" s="75"/>
      <c r="AA82" s="76"/>
      <c r="AB82" s="74">
        <v>0</v>
      </c>
      <c r="AC82" s="75"/>
      <c r="AD82" s="76"/>
      <c r="AE82" s="74">
        <v>0</v>
      </c>
      <c r="AF82" s="75"/>
      <c r="AG82" s="76"/>
    </row>
    <row r="83" spans="1:33" ht="15.75" thickBot="1" x14ac:dyDescent="0.3">
      <c r="A83" s="68"/>
      <c r="B83" s="68"/>
      <c r="C83" s="106" t="s">
        <v>244</v>
      </c>
      <c r="D83" s="82">
        <v>0</v>
      </c>
      <c r="E83" s="82"/>
      <c r="F83" s="84"/>
      <c r="G83" s="85">
        <v>0</v>
      </c>
      <c r="H83" s="82"/>
      <c r="I83" s="84"/>
      <c r="J83" s="85">
        <v>0</v>
      </c>
      <c r="K83" s="82"/>
      <c r="L83" s="84"/>
      <c r="M83" s="85">
        <v>0</v>
      </c>
      <c r="N83" s="82"/>
      <c r="O83" s="82"/>
      <c r="P83" s="81">
        <v>0</v>
      </c>
      <c r="Q83" s="82"/>
      <c r="R83" s="83"/>
      <c r="S83" s="82">
        <v>0</v>
      </c>
      <c r="T83" s="82"/>
      <c r="U83" s="84"/>
      <c r="V83" s="85">
        <v>0</v>
      </c>
      <c r="W83" s="82"/>
      <c r="X83" s="84"/>
      <c r="Y83" s="85">
        <v>0</v>
      </c>
      <c r="Z83" s="82"/>
      <c r="AA83" s="84"/>
      <c r="AB83" s="85">
        <v>0</v>
      </c>
      <c r="AC83" s="82"/>
      <c r="AD83" s="84"/>
      <c r="AE83" s="85">
        <v>0</v>
      </c>
      <c r="AF83" s="82"/>
      <c r="AG83" s="84"/>
    </row>
    <row r="84" spans="1:33" ht="15.75" thickBot="1" x14ac:dyDescent="0.3">
      <c r="A84" s="68"/>
      <c r="B84" s="68"/>
      <c r="C84" s="107" t="s">
        <v>37</v>
      </c>
      <c r="D84" s="104"/>
      <c r="E84" s="86"/>
      <c r="F84" s="89"/>
      <c r="G84" s="86"/>
      <c r="H84" s="86"/>
      <c r="I84" s="89"/>
      <c r="J84" s="86"/>
      <c r="K84" s="86"/>
      <c r="L84" s="89"/>
      <c r="M84" s="86"/>
      <c r="N84" s="86"/>
      <c r="O84" s="89"/>
      <c r="P84" s="86"/>
      <c r="Q84" s="86"/>
      <c r="R84" s="89"/>
      <c r="S84" s="86"/>
      <c r="T84" s="86"/>
      <c r="U84" s="89"/>
      <c r="V84" s="86"/>
      <c r="W84" s="86"/>
      <c r="X84" s="89"/>
      <c r="Y84" s="86"/>
      <c r="Z84" s="86"/>
      <c r="AA84" s="89"/>
      <c r="AB84" s="86"/>
      <c r="AC84" s="86"/>
      <c r="AD84" s="89"/>
      <c r="AE84" s="86"/>
      <c r="AF84" s="86"/>
      <c r="AG84" s="89"/>
    </row>
    <row r="85" spans="1:33" ht="15.75" thickBot="1" x14ac:dyDescent="0.3">
      <c r="A85" s="68"/>
      <c r="B85" s="68"/>
      <c r="D85" s="87"/>
      <c r="E85" s="87"/>
      <c r="F85" s="90"/>
      <c r="G85" s="87"/>
      <c r="H85" s="87"/>
      <c r="I85" s="90"/>
      <c r="J85" s="87"/>
      <c r="K85" s="87"/>
      <c r="L85" s="90"/>
      <c r="M85" s="87"/>
      <c r="N85" s="87"/>
      <c r="O85" s="90"/>
      <c r="P85" s="87"/>
      <c r="Q85" s="87"/>
      <c r="R85" s="90"/>
      <c r="S85" s="87"/>
      <c r="T85" s="87"/>
      <c r="U85" s="90"/>
      <c r="V85" s="87"/>
      <c r="W85" s="87"/>
      <c r="X85" s="90"/>
      <c r="Y85" s="87"/>
      <c r="Z85" s="87"/>
      <c r="AA85" s="90"/>
      <c r="AB85" s="87"/>
      <c r="AC85" s="87"/>
      <c r="AD85" s="90"/>
      <c r="AE85" s="87"/>
      <c r="AF85" s="87"/>
      <c r="AG85" s="90"/>
    </row>
    <row r="86" spans="1:33" ht="15.75" thickBot="1" x14ac:dyDescent="0.3">
      <c r="A86" s="68"/>
      <c r="B86" s="68"/>
      <c r="D86" s="88"/>
      <c r="E86" s="88"/>
      <c r="F86" s="91"/>
      <c r="G86" s="88"/>
      <c r="H86" s="88"/>
      <c r="I86" s="91"/>
      <c r="J86" s="88"/>
      <c r="K86" s="88"/>
      <c r="L86" s="91"/>
      <c r="M86" s="88"/>
      <c r="N86" s="88"/>
      <c r="O86" s="91"/>
      <c r="P86" s="88"/>
      <c r="Q86" s="88"/>
      <c r="R86" s="91"/>
      <c r="S86" s="88"/>
      <c r="T86" s="88"/>
      <c r="U86" s="91"/>
      <c r="V86" s="88"/>
      <c r="W86" s="88"/>
      <c r="X86" s="91"/>
      <c r="Y86" s="88"/>
      <c r="Z86" s="88"/>
      <c r="AA86" s="91"/>
      <c r="AB86" s="88"/>
      <c r="AC86" s="88"/>
      <c r="AD86" s="91"/>
      <c r="AE86" s="88"/>
      <c r="AF86" s="88"/>
      <c r="AG86" s="91"/>
    </row>
    <row r="88" spans="1:33" ht="15.75" thickBot="1" x14ac:dyDescent="0.3"/>
    <row r="89" spans="1:33" ht="15.75" thickBot="1" x14ac:dyDescent="0.3">
      <c r="A89" s="68" t="s">
        <v>252</v>
      </c>
      <c r="B89" s="68"/>
      <c r="D89" s="52" t="s">
        <v>27</v>
      </c>
      <c r="E89" s="52"/>
      <c r="F89" s="52"/>
      <c r="G89" s="73" t="s">
        <v>28</v>
      </c>
      <c r="H89" s="73"/>
      <c r="I89" s="73"/>
      <c r="J89" s="52" t="s">
        <v>29</v>
      </c>
      <c r="K89" s="52"/>
      <c r="L89" s="52"/>
      <c r="M89" s="73" t="s">
        <v>30</v>
      </c>
      <c r="N89" s="73"/>
      <c r="O89" s="73"/>
      <c r="P89" s="52" t="s">
        <v>31</v>
      </c>
      <c r="Q89" s="52"/>
      <c r="R89" s="52"/>
      <c r="S89" s="73" t="s">
        <v>32</v>
      </c>
      <c r="T89" s="73"/>
      <c r="U89" s="73"/>
      <c r="V89" s="52" t="s">
        <v>33</v>
      </c>
      <c r="W89" s="52"/>
      <c r="X89" s="52"/>
      <c r="Y89" s="73" t="s">
        <v>34</v>
      </c>
      <c r="Z89" s="73"/>
      <c r="AA89" s="73"/>
      <c r="AB89" s="52" t="s">
        <v>35</v>
      </c>
      <c r="AC89" s="52"/>
      <c r="AD89" s="52"/>
      <c r="AE89" s="73" t="s">
        <v>36</v>
      </c>
      <c r="AF89" s="73"/>
      <c r="AG89" s="73"/>
    </row>
    <row r="90" spans="1:33" ht="15.75" thickBot="1" x14ac:dyDescent="0.3">
      <c r="A90" s="68"/>
      <c r="B90" s="68"/>
      <c r="C90" s="105" t="s">
        <v>243</v>
      </c>
      <c r="D90" s="75">
        <v>0</v>
      </c>
      <c r="E90" s="75"/>
      <c r="F90" s="76"/>
      <c r="G90" s="74">
        <v>0</v>
      </c>
      <c r="H90" s="75"/>
      <c r="I90" s="76"/>
      <c r="J90" s="74">
        <v>0</v>
      </c>
      <c r="K90" s="75"/>
      <c r="L90" s="76"/>
      <c r="M90" s="74">
        <v>0</v>
      </c>
      <c r="N90" s="75"/>
      <c r="O90" s="76"/>
      <c r="P90" s="74">
        <v>0</v>
      </c>
      <c r="Q90" s="75"/>
      <c r="R90" s="76"/>
      <c r="S90" s="74">
        <v>0</v>
      </c>
      <c r="T90" s="75"/>
      <c r="U90" s="76"/>
      <c r="V90" s="74">
        <v>0</v>
      </c>
      <c r="W90" s="75"/>
      <c r="X90" s="76"/>
      <c r="Y90" s="74">
        <v>0</v>
      </c>
      <c r="Z90" s="75"/>
      <c r="AA90" s="76"/>
      <c r="AB90" s="74">
        <v>0</v>
      </c>
      <c r="AC90" s="75"/>
      <c r="AD90" s="76"/>
      <c r="AE90" s="74">
        <v>0</v>
      </c>
      <c r="AF90" s="75"/>
      <c r="AG90" s="76"/>
    </row>
    <row r="91" spans="1:33" ht="15.75" thickBot="1" x14ac:dyDescent="0.3">
      <c r="A91" s="68"/>
      <c r="B91" s="68"/>
      <c r="C91" s="106" t="s">
        <v>244</v>
      </c>
      <c r="D91" s="82">
        <v>0</v>
      </c>
      <c r="E91" s="82"/>
      <c r="F91" s="84"/>
      <c r="G91" s="85">
        <v>0</v>
      </c>
      <c r="H91" s="82"/>
      <c r="I91" s="84"/>
      <c r="J91" s="85">
        <v>0</v>
      </c>
      <c r="K91" s="82"/>
      <c r="L91" s="84"/>
      <c r="M91" s="85">
        <v>0</v>
      </c>
      <c r="N91" s="82"/>
      <c r="O91" s="82"/>
      <c r="P91" s="81">
        <v>0</v>
      </c>
      <c r="Q91" s="82"/>
      <c r="R91" s="83"/>
      <c r="S91" s="82">
        <v>0</v>
      </c>
      <c r="T91" s="82"/>
      <c r="U91" s="84"/>
      <c r="V91" s="85">
        <v>0</v>
      </c>
      <c r="W91" s="82"/>
      <c r="X91" s="84"/>
      <c r="Y91" s="85">
        <v>0</v>
      </c>
      <c r="Z91" s="82"/>
      <c r="AA91" s="84"/>
      <c r="AB91" s="85">
        <v>0</v>
      </c>
      <c r="AC91" s="82"/>
      <c r="AD91" s="84"/>
      <c r="AE91" s="85">
        <v>0</v>
      </c>
      <c r="AF91" s="82"/>
      <c r="AG91" s="84"/>
    </row>
    <row r="92" spans="1:33" ht="15.75" thickBot="1" x14ac:dyDescent="0.3">
      <c r="A92" s="68"/>
      <c r="B92" s="68"/>
      <c r="C92" s="107" t="s">
        <v>37</v>
      </c>
      <c r="D92" s="104"/>
      <c r="E92" s="86"/>
      <c r="F92" s="89"/>
      <c r="G92" s="86"/>
      <c r="H92" s="86"/>
      <c r="I92" s="89"/>
      <c r="J92" s="86"/>
      <c r="K92" s="86"/>
      <c r="L92" s="89"/>
      <c r="M92" s="86"/>
      <c r="N92" s="86"/>
      <c r="O92" s="89"/>
      <c r="P92" s="86"/>
      <c r="Q92" s="86"/>
      <c r="R92" s="89"/>
      <c r="S92" s="86"/>
      <c r="T92" s="86"/>
      <c r="U92" s="89"/>
      <c r="V92" s="86"/>
      <c r="W92" s="86"/>
      <c r="X92" s="89"/>
      <c r="Y92" s="86"/>
      <c r="Z92" s="86"/>
      <c r="AA92" s="89"/>
      <c r="AB92" s="86"/>
      <c r="AC92" s="86"/>
      <c r="AD92" s="89"/>
      <c r="AE92" s="86"/>
      <c r="AF92" s="86"/>
      <c r="AG92" s="89"/>
    </row>
    <row r="93" spans="1:33" ht="15.75" thickBot="1" x14ac:dyDescent="0.3">
      <c r="A93" s="68"/>
      <c r="B93" s="68"/>
      <c r="D93" s="87"/>
      <c r="E93" s="87"/>
      <c r="F93" s="90"/>
      <c r="G93" s="87"/>
      <c r="H93" s="87"/>
      <c r="I93" s="90"/>
      <c r="J93" s="87"/>
      <c r="K93" s="87"/>
      <c r="L93" s="90"/>
      <c r="M93" s="87"/>
      <c r="N93" s="87"/>
      <c r="O93" s="90"/>
      <c r="P93" s="87"/>
      <c r="Q93" s="87"/>
      <c r="R93" s="90"/>
      <c r="S93" s="87"/>
      <c r="T93" s="87"/>
      <c r="U93" s="90"/>
      <c r="V93" s="87"/>
      <c r="W93" s="87"/>
      <c r="X93" s="90"/>
      <c r="Y93" s="87"/>
      <c r="Z93" s="87"/>
      <c r="AA93" s="90"/>
      <c r="AB93" s="87"/>
      <c r="AC93" s="87"/>
      <c r="AD93" s="90"/>
      <c r="AE93" s="87"/>
      <c r="AF93" s="87"/>
      <c r="AG93" s="90"/>
    </row>
    <row r="94" spans="1:33" ht="15.75" thickBot="1" x14ac:dyDescent="0.3">
      <c r="A94" s="68"/>
      <c r="B94" s="68"/>
      <c r="D94" s="88"/>
      <c r="E94" s="88"/>
      <c r="F94" s="91"/>
      <c r="G94" s="88"/>
      <c r="H94" s="88"/>
      <c r="I94" s="91"/>
      <c r="J94" s="88"/>
      <c r="K94" s="88"/>
      <c r="L94" s="91"/>
      <c r="M94" s="88"/>
      <c r="N94" s="88"/>
      <c r="O94" s="91"/>
      <c r="P94" s="88"/>
      <c r="Q94" s="88"/>
      <c r="R94" s="91"/>
      <c r="S94" s="88"/>
      <c r="T94" s="88"/>
      <c r="U94" s="91"/>
      <c r="V94" s="88"/>
      <c r="W94" s="88"/>
      <c r="X94" s="91"/>
      <c r="Y94" s="88"/>
      <c r="Z94" s="88"/>
      <c r="AA94" s="91"/>
      <c r="AB94" s="88"/>
      <c r="AC94" s="88"/>
      <c r="AD94" s="91"/>
      <c r="AE94" s="88"/>
      <c r="AF94" s="88"/>
      <c r="AG94" s="91"/>
    </row>
    <row r="96" spans="1:33" ht="15.75" thickBot="1" x14ac:dyDescent="0.3"/>
    <row r="97" spans="1:33" ht="15.75" thickBot="1" x14ac:dyDescent="0.3">
      <c r="A97" s="68" t="s">
        <v>80</v>
      </c>
      <c r="B97" s="68"/>
      <c r="D97" s="52" t="s">
        <v>27</v>
      </c>
      <c r="E97" s="52"/>
      <c r="F97" s="52"/>
      <c r="G97" s="73" t="s">
        <v>28</v>
      </c>
      <c r="H97" s="73"/>
      <c r="I97" s="73"/>
      <c r="J97" s="52" t="s">
        <v>29</v>
      </c>
      <c r="K97" s="52"/>
      <c r="L97" s="52"/>
      <c r="M97" s="73" t="s">
        <v>30</v>
      </c>
      <c r="N97" s="73"/>
      <c r="O97" s="73"/>
      <c r="P97" s="52" t="s">
        <v>31</v>
      </c>
      <c r="Q97" s="52"/>
      <c r="R97" s="52"/>
      <c r="S97" s="73" t="s">
        <v>32</v>
      </c>
      <c r="T97" s="73"/>
      <c r="U97" s="73"/>
      <c r="V97" s="52" t="s">
        <v>33</v>
      </c>
      <c r="W97" s="52"/>
      <c r="X97" s="52"/>
      <c r="Y97" s="73" t="s">
        <v>34</v>
      </c>
      <c r="Z97" s="73"/>
      <c r="AA97" s="73"/>
      <c r="AB97" s="52" t="s">
        <v>35</v>
      </c>
      <c r="AC97" s="52"/>
      <c r="AD97" s="52"/>
      <c r="AE97" s="73" t="s">
        <v>36</v>
      </c>
      <c r="AF97" s="73"/>
      <c r="AG97" s="73"/>
    </row>
    <row r="98" spans="1:33" ht="15.75" thickBot="1" x14ac:dyDescent="0.3">
      <c r="A98" s="68"/>
      <c r="B98" s="68"/>
      <c r="C98" s="105" t="s">
        <v>243</v>
      </c>
      <c r="D98" s="75">
        <v>0</v>
      </c>
      <c r="E98" s="75"/>
      <c r="F98" s="76"/>
      <c r="G98" s="74">
        <v>0</v>
      </c>
      <c r="H98" s="75"/>
      <c r="I98" s="76"/>
      <c r="J98" s="74">
        <v>0</v>
      </c>
      <c r="K98" s="75"/>
      <c r="L98" s="76"/>
      <c r="M98" s="74">
        <v>0</v>
      </c>
      <c r="N98" s="75"/>
      <c r="O98" s="76"/>
      <c r="P98" s="74">
        <v>0</v>
      </c>
      <c r="Q98" s="75"/>
      <c r="R98" s="76"/>
      <c r="S98" s="74">
        <v>0</v>
      </c>
      <c r="T98" s="75"/>
      <c r="U98" s="76"/>
      <c r="V98" s="74">
        <v>0</v>
      </c>
      <c r="W98" s="75"/>
      <c r="X98" s="76"/>
      <c r="Y98" s="74">
        <v>0</v>
      </c>
      <c r="Z98" s="75"/>
      <c r="AA98" s="76"/>
      <c r="AB98" s="74">
        <v>0</v>
      </c>
      <c r="AC98" s="75"/>
      <c r="AD98" s="76"/>
      <c r="AE98" s="74">
        <v>0</v>
      </c>
      <c r="AF98" s="75"/>
      <c r="AG98" s="76"/>
    </row>
    <row r="99" spans="1:33" ht="15.75" thickBot="1" x14ac:dyDescent="0.3">
      <c r="A99" s="68"/>
      <c r="B99" s="68"/>
      <c r="C99" s="106" t="s">
        <v>244</v>
      </c>
      <c r="D99" s="82">
        <v>0</v>
      </c>
      <c r="E99" s="82"/>
      <c r="F99" s="84"/>
      <c r="G99" s="85">
        <v>0</v>
      </c>
      <c r="H99" s="82"/>
      <c r="I99" s="84"/>
      <c r="J99" s="85">
        <v>0</v>
      </c>
      <c r="K99" s="82"/>
      <c r="L99" s="84"/>
      <c r="M99" s="85">
        <v>0</v>
      </c>
      <c r="N99" s="82"/>
      <c r="O99" s="82"/>
      <c r="P99" s="81">
        <v>0</v>
      </c>
      <c r="Q99" s="82"/>
      <c r="R99" s="83"/>
      <c r="S99" s="82">
        <v>0</v>
      </c>
      <c r="T99" s="82"/>
      <c r="U99" s="84"/>
      <c r="V99" s="85">
        <v>0</v>
      </c>
      <c r="W99" s="82"/>
      <c r="X99" s="84"/>
      <c r="Y99" s="85">
        <v>0</v>
      </c>
      <c r="Z99" s="82"/>
      <c r="AA99" s="84"/>
      <c r="AB99" s="85">
        <v>0</v>
      </c>
      <c r="AC99" s="82"/>
      <c r="AD99" s="84"/>
      <c r="AE99" s="85">
        <v>0</v>
      </c>
      <c r="AF99" s="82"/>
      <c r="AG99" s="84"/>
    </row>
    <row r="100" spans="1:33" ht="15.75" thickBot="1" x14ac:dyDescent="0.3">
      <c r="A100" s="68"/>
      <c r="B100" s="68"/>
      <c r="C100" s="107" t="s">
        <v>37</v>
      </c>
      <c r="D100" s="104"/>
      <c r="E100" s="86"/>
      <c r="F100" s="89"/>
      <c r="G100" s="86"/>
      <c r="H100" s="86"/>
      <c r="I100" s="89"/>
      <c r="J100" s="86"/>
      <c r="K100" s="86"/>
      <c r="L100" s="89"/>
      <c r="M100" s="86"/>
      <c r="N100" s="86"/>
      <c r="O100" s="89"/>
      <c r="P100" s="86"/>
      <c r="Q100" s="86"/>
      <c r="R100" s="89"/>
      <c r="S100" s="86"/>
      <c r="T100" s="86"/>
      <c r="U100" s="89"/>
      <c r="V100" s="86"/>
      <c r="W100" s="86"/>
      <c r="X100" s="89"/>
      <c r="Y100" s="86"/>
      <c r="Z100" s="86"/>
      <c r="AA100" s="89"/>
      <c r="AB100" s="86"/>
      <c r="AC100" s="86"/>
      <c r="AD100" s="89"/>
      <c r="AE100" s="86"/>
      <c r="AF100" s="86"/>
      <c r="AG100" s="89"/>
    </row>
    <row r="101" spans="1:33" ht="15.75" thickBot="1" x14ac:dyDescent="0.3">
      <c r="A101" s="68"/>
      <c r="B101" s="68"/>
      <c r="D101" s="87"/>
      <c r="E101" s="87"/>
      <c r="F101" s="90"/>
      <c r="G101" s="87"/>
      <c r="H101" s="87"/>
      <c r="I101" s="90"/>
      <c r="J101" s="87"/>
      <c r="K101" s="87"/>
      <c r="L101" s="90"/>
      <c r="M101" s="87"/>
      <c r="N101" s="87"/>
      <c r="O101" s="90"/>
      <c r="P101" s="87"/>
      <c r="Q101" s="87"/>
      <c r="R101" s="90"/>
      <c r="S101" s="87"/>
      <c r="T101" s="87"/>
      <c r="U101" s="90"/>
      <c r="V101" s="87"/>
      <c r="W101" s="87"/>
      <c r="X101" s="90"/>
      <c r="Y101" s="87"/>
      <c r="Z101" s="87"/>
      <c r="AA101" s="90"/>
      <c r="AB101" s="87"/>
      <c r="AC101" s="87"/>
      <c r="AD101" s="90"/>
      <c r="AE101" s="87"/>
      <c r="AF101" s="87"/>
      <c r="AG101" s="90"/>
    </row>
    <row r="102" spans="1:33" ht="15.75" thickBot="1" x14ac:dyDescent="0.3">
      <c r="A102" s="68"/>
      <c r="B102" s="68"/>
      <c r="D102" s="88"/>
      <c r="E102" s="88"/>
      <c r="F102" s="91"/>
      <c r="G102" s="88"/>
      <c r="H102" s="88"/>
      <c r="I102" s="91"/>
      <c r="J102" s="88"/>
      <c r="K102" s="88"/>
      <c r="L102" s="91"/>
      <c r="M102" s="88"/>
      <c r="N102" s="88"/>
      <c r="O102" s="91"/>
      <c r="P102" s="88"/>
      <c r="Q102" s="88"/>
      <c r="R102" s="91"/>
      <c r="S102" s="88"/>
      <c r="T102" s="88"/>
      <c r="U102" s="91"/>
      <c r="V102" s="88"/>
      <c r="W102" s="88"/>
      <c r="X102" s="91"/>
      <c r="Y102" s="88"/>
      <c r="Z102" s="88"/>
      <c r="AA102" s="91"/>
      <c r="AB102" s="88"/>
      <c r="AC102" s="88"/>
      <c r="AD102" s="91"/>
      <c r="AE102" s="88"/>
      <c r="AF102" s="88"/>
      <c r="AG102" s="91"/>
    </row>
    <row r="104" spans="1:33" ht="15.75" thickBot="1" x14ac:dyDescent="0.3"/>
    <row r="105" spans="1:33" ht="15.75" thickBot="1" x14ac:dyDescent="0.3">
      <c r="A105" s="68" t="s">
        <v>81</v>
      </c>
      <c r="B105" s="68"/>
      <c r="D105" s="52" t="s">
        <v>27</v>
      </c>
      <c r="E105" s="52"/>
      <c r="F105" s="52"/>
      <c r="G105" s="73" t="s">
        <v>28</v>
      </c>
      <c r="H105" s="73"/>
      <c r="I105" s="73"/>
      <c r="J105" s="52" t="s">
        <v>29</v>
      </c>
      <c r="K105" s="52"/>
      <c r="L105" s="52"/>
      <c r="M105" s="73" t="s">
        <v>30</v>
      </c>
      <c r="N105" s="73"/>
      <c r="O105" s="73"/>
      <c r="P105" s="52" t="s">
        <v>31</v>
      </c>
      <c r="Q105" s="52"/>
      <c r="R105" s="52"/>
      <c r="S105" s="73" t="s">
        <v>32</v>
      </c>
      <c r="T105" s="73"/>
      <c r="U105" s="73"/>
      <c r="V105" s="52" t="s">
        <v>33</v>
      </c>
      <c r="W105" s="52"/>
      <c r="X105" s="52"/>
      <c r="Y105" s="73" t="s">
        <v>34</v>
      </c>
      <c r="Z105" s="73"/>
      <c r="AA105" s="73"/>
      <c r="AB105" s="52" t="s">
        <v>35</v>
      </c>
      <c r="AC105" s="52"/>
      <c r="AD105" s="52"/>
      <c r="AE105" s="73" t="s">
        <v>36</v>
      </c>
      <c r="AF105" s="73"/>
      <c r="AG105" s="73"/>
    </row>
    <row r="106" spans="1:33" ht="15.75" thickBot="1" x14ac:dyDescent="0.3">
      <c r="A106" s="68"/>
      <c r="B106" s="68"/>
      <c r="C106" s="105" t="s">
        <v>243</v>
      </c>
      <c r="D106" s="75">
        <v>0</v>
      </c>
      <c r="E106" s="75"/>
      <c r="F106" s="76"/>
      <c r="G106" s="74">
        <v>0</v>
      </c>
      <c r="H106" s="75"/>
      <c r="I106" s="76"/>
      <c r="J106" s="74">
        <v>0</v>
      </c>
      <c r="K106" s="75"/>
      <c r="L106" s="76"/>
      <c r="M106" s="74">
        <v>0</v>
      </c>
      <c r="N106" s="75"/>
      <c r="O106" s="76"/>
      <c r="P106" s="74">
        <v>0</v>
      </c>
      <c r="Q106" s="75"/>
      <c r="R106" s="76"/>
      <c r="S106" s="74">
        <v>0</v>
      </c>
      <c r="T106" s="75"/>
      <c r="U106" s="76"/>
      <c r="V106" s="74">
        <v>0</v>
      </c>
      <c r="W106" s="75"/>
      <c r="X106" s="76"/>
      <c r="Y106" s="74">
        <v>0</v>
      </c>
      <c r="Z106" s="75"/>
      <c r="AA106" s="76"/>
      <c r="AB106" s="74">
        <v>0</v>
      </c>
      <c r="AC106" s="75"/>
      <c r="AD106" s="76"/>
      <c r="AE106" s="74">
        <v>0</v>
      </c>
      <c r="AF106" s="75"/>
      <c r="AG106" s="76"/>
    </row>
    <row r="107" spans="1:33" ht="15.75" thickBot="1" x14ac:dyDescent="0.3">
      <c r="A107" s="68"/>
      <c r="B107" s="68"/>
      <c r="C107" s="106" t="s">
        <v>244</v>
      </c>
      <c r="D107" s="82">
        <v>0</v>
      </c>
      <c r="E107" s="82"/>
      <c r="F107" s="84"/>
      <c r="G107" s="85">
        <v>0</v>
      </c>
      <c r="H107" s="82"/>
      <c r="I107" s="84"/>
      <c r="J107" s="85">
        <v>0</v>
      </c>
      <c r="K107" s="82"/>
      <c r="L107" s="84"/>
      <c r="M107" s="85">
        <v>0</v>
      </c>
      <c r="N107" s="82"/>
      <c r="O107" s="82"/>
      <c r="P107" s="81">
        <v>0</v>
      </c>
      <c r="Q107" s="82"/>
      <c r="R107" s="83"/>
      <c r="S107" s="82">
        <v>0</v>
      </c>
      <c r="T107" s="82"/>
      <c r="U107" s="84"/>
      <c r="V107" s="85">
        <v>0</v>
      </c>
      <c r="W107" s="82"/>
      <c r="X107" s="84"/>
      <c r="Y107" s="85">
        <v>0</v>
      </c>
      <c r="Z107" s="82"/>
      <c r="AA107" s="84"/>
      <c r="AB107" s="85">
        <v>0</v>
      </c>
      <c r="AC107" s="82"/>
      <c r="AD107" s="84"/>
      <c r="AE107" s="85">
        <v>0</v>
      </c>
      <c r="AF107" s="82"/>
      <c r="AG107" s="84"/>
    </row>
    <row r="108" spans="1:33" ht="15.75" thickBot="1" x14ac:dyDescent="0.3">
      <c r="A108" s="68"/>
      <c r="B108" s="68"/>
      <c r="C108" s="107" t="s">
        <v>37</v>
      </c>
      <c r="D108" s="104"/>
      <c r="E108" s="86"/>
      <c r="F108" s="89"/>
      <c r="G108" s="86"/>
      <c r="H108" s="86"/>
      <c r="I108" s="89"/>
      <c r="J108" s="86"/>
      <c r="K108" s="86"/>
      <c r="L108" s="89"/>
      <c r="M108" s="86"/>
      <c r="N108" s="86"/>
      <c r="O108" s="89"/>
      <c r="P108" s="86"/>
      <c r="Q108" s="86"/>
      <c r="R108" s="89"/>
      <c r="S108" s="86"/>
      <c r="T108" s="86"/>
      <c r="U108" s="89"/>
      <c r="V108" s="86"/>
      <c r="W108" s="86"/>
      <c r="X108" s="89"/>
      <c r="Y108" s="86"/>
      <c r="Z108" s="86"/>
      <c r="AA108" s="89"/>
      <c r="AB108" s="86"/>
      <c r="AC108" s="86"/>
      <c r="AD108" s="89"/>
      <c r="AE108" s="86"/>
      <c r="AF108" s="86"/>
      <c r="AG108" s="89"/>
    </row>
    <row r="109" spans="1:33" ht="15.75" thickBot="1" x14ac:dyDescent="0.3">
      <c r="A109" s="68"/>
      <c r="B109" s="68"/>
      <c r="D109" s="87"/>
      <c r="E109" s="87"/>
      <c r="F109" s="90"/>
      <c r="G109" s="87"/>
      <c r="H109" s="87"/>
      <c r="I109" s="90"/>
      <c r="J109" s="87"/>
      <c r="K109" s="87"/>
      <c r="L109" s="90"/>
      <c r="M109" s="87"/>
      <c r="N109" s="87"/>
      <c r="O109" s="90"/>
      <c r="P109" s="87"/>
      <c r="Q109" s="87"/>
      <c r="R109" s="90"/>
      <c r="S109" s="87"/>
      <c r="T109" s="87"/>
      <c r="U109" s="90"/>
      <c r="V109" s="87"/>
      <c r="W109" s="87"/>
      <c r="X109" s="90"/>
      <c r="Y109" s="87"/>
      <c r="Z109" s="87"/>
      <c r="AA109" s="90"/>
      <c r="AB109" s="87"/>
      <c r="AC109" s="87"/>
      <c r="AD109" s="90"/>
      <c r="AE109" s="87"/>
      <c r="AF109" s="87"/>
      <c r="AG109" s="90"/>
    </row>
    <row r="110" spans="1:33" ht="15.75" thickBot="1" x14ac:dyDescent="0.3">
      <c r="A110" s="68"/>
      <c r="B110" s="68"/>
      <c r="D110" s="88"/>
      <c r="E110" s="88"/>
      <c r="F110" s="91"/>
      <c r="G110" s="88"/>
      <c r="H110" s="88"/>
      <c r="I110" s="91"/>
      <c r="J110" s="88"/>
      <c r="K110" s="88"/>
      <c r="L110" s="91"/>
      <c r="M110" s="88"/>
      <c r="N110" s="88"/>
      <c r="O110" s="91"/>
      <c r="P110" s="88"/>
      <c r="Q110" s="88"/>
      <c r="R110" s="91"/>
      <c r="S110" s="88"/>
      <c r="T110" s="88"/>
      <c r="U110" s="91"/>
      <c r="V110" s="88"/>
      <c r="W110" s="88"/>
      <c r="X110" s="91"/>
      <c r="Y110" s="88"/>
      <c r="Z110" s="88"/>
      <c r="AA110" s="91"/>
      <c r="AB110" s="88"/>
      <c r="AC110" s="88"/>
      <c r="AD110" s="91"/>
      <c r="AE110" s="88"/>
      <c r="AF110" s="88"/>
      <c r="AG110" s="91"/>
    </row>
    <row r="112" spans="1:33" ht="15.75" thickBot="1" x14ac:dyDescent="0.3"/>
    <row r="113" spans="1:33" ht="15.75" thickBot="1" x14ac:dyDescent="0.3">
      <c r="A113" s="68" t="s">
        <v>82</v>
      </c>
      <c r="B113" s="68"/>
      <c r="D113" s="52" t="s">
        <v>27</v>
      </c>
      <c r="E113" s="52"/>
      <c r="F113" s="52"/>
      <c r="G113" s="73" t="s">
        <v>28</v>
      </c>
      <c r="H113" s="73"/>
      <c r="I113" s="73"/>
      <c r="J113" s="52" t="s">
        <v>29</v>
      </c>
      <c r="K113" s="52"/>
      <c r="L113" s="52"/>
      <c r="M113" s="73" t="s">
        <v>30</v>
      </c>
      <c r="N113" s="73"/>
      <c r="O113" s="73"/>
      <c r="P113" s="52" t="s">
        <v>31</v>
      </c>
      <c r="Q113" s="52"/>
      <c r="R113" s="52"/>
      <c r="S113" s="73" t="s">
        <v>32</v>
      </c>
      <c r="T113" s="73"/>
      <c r="U113" s="73"/>
      <c r="V113" s="52" t="s">
        <v>33</v>
      </c>
      <c r="W113" s="52"/>
      <c r="X113" s="52"/>
      <c r="Y113" s="73" t="s">
        <v>34</v>
      </c>
      <c r="Z113" s="73"/>
      <c r="AA113" s="73"/>
      <c r="AB113" s="52" t="s">
        <v>35</v>
      </c>
      <c r="AC113" s="52"/>
      <c r="AD113" s="52"/>
      <c r="AE113" s="73" t="s">
        <v>36</v>
      </c>
      <c r="AF113" s="73"/>
      <c r="AG113" s="73"/>
    </row>
    <row r="114" spans="1:33" ht="15.75" thickBot="1" x14ac:dyDescent="0.3">
      <c r="A114" s="68"/>
      <c r="B114" s="68"/>
      <c r="C114" s="105" t="s">
        <v>243</v>
      </c>
      <c r="D114" s="75">
        <v>0</v>
      </c>
      <c r="E114" s="75"/>
      <c r="F114" s="76"/>
      <c r="G114" s="74">
        <v>0</v>
      </c>
      <c r="H114" s="75"/>
      <c r="I114" s="76"/>
      <c r="J114" s="74">
        <v>0</v>
      </c>
      <c r="K114" s="75"/>
      <c r="L114" s="76"/>
      <c r="M114" s="74">
        <v>0</v>
      </c>
      <c r="N114" s="75"/>
      <c r="O114" s="76"/>
      <c r="P114" s="74">
        <v>0</v>
      </c>
      <c r="Q114" s="75"/>
      <c r="R114" s="76"/>
      <c r="S114" s="74">
        <v>0</v>
      </c>
      <c r="T114" s="75"/>
      <c r="U114" s="76"/>
      <c r="V114" s="74">
        <v>0</v>
      </c>
      <c r="W114" s="75"/>
      <c r="X114" s="76"/>
      <c r="Y114" s="74">
        <v>0</v>
      </c>
      <c r="Z114" s="75"/>
      <c r="AA114" s="76"/>
      <c r="AB114" s="74">
        <v>0</v>
      </c>
      <c r="AC114" s="75"/>
      <c r="AD114" s="76"/>
      <c r="AE114" s="74">
        <v>0</v>
      </c>
      <c r="AF114" s="75"/>
      <c r="AG114" s="76"/>
    </row>
    <row r="115" spans="1:33" ht="15.75" thickBot="1" x14ac:dyDescent="0.3">
      <c r="A115" s="68"/>
      <c r="B115" s="68"/>
      <c r="C115" s="106" t="s">
        <v>244</v>
      </c>
      <c r="D115" s="82">
        <v>0</v>
      </c>
      <c r="E115" s="82"/>
      <c r="F115" s="84"/>
      <c r="G115" s="85">
        <v>0</v>
      </c>
      <c r="H115" s="82"/>
      <c r="I115" s="84"/>
      <c r="J115" s="85">
        <v>0</v>
      </c>
      <c r="K115" s="82"/>
      <c r="L115" s="84"/>
      <c r="M115" s="85">
        <v>0</v>
      </c>
      <c r="N115" s="82"/>
      <c r="O115" s="82"/>
      <c r="P115" s="81">
        <v>0</v>
      </c>
      <c r="Q115" s="82"/>
      <c r="R115" s="83"/>
      <c r="S115" s="82">
        <v>0</v>
      </c>
      <c r="T115" s="82"/>
      <c r="U115" s="84"/>
      <c r="V115" s="85">
        <v>0</v>
      </c>
      <c r="W115" s="82"/>
      <c r="X115" s="84"/>
      <c r="Y115" s="85">
        <v>0</v>
      </c>
      <c r="Z115" s="82"/>
      <c r="AA115" s="84"/>
      <c r="AB115" s="85">
        <v>0</v>
      </c>
      <c r="AC115" s="82"/>
      <c r="AD115" s="84"/>
      <c r="AE115" s="85">
        <v>0</v>
      </c>
      <c r="AF115" s="82"/>
      <c r="AG115" s="84"/>
    </row>
    <row r="116" spans="1:33" ht="15.75" thickBot="1" x14ac:dyDescent="0.3">
      <c r="A116" s="68"/>
      <c r="B116" s="68"/>
      <c r="C116" s="107" t="s">
        <v>37</v>
      </c>
      <c r="D116" s="104"/>
      <c r="E116" s="86"/>
      <c r="F116" s="89"/>
      <c r="G116" s="86"/>
      <c r="H116" s="86"/>
      <c r="I116" s="89"/>
      <c r="J116" s="86"/>
      <c r="K116" s="86"/>
      <c r="L116" s="89"/>
      <c r="M116" s="86"/>
      <c r="N116" s="86"/>
      <c r="O116" s="89"/>
      <c r="P116" s="86"/>
      <c r="Q116" s="86"/>
      <c r="R116" s="89"/>
      <c r="S116" s="86"/>
      <c r="T116" s="86"/>
      <c r="U116" s="89"/>
      <c r="V116" s="86"/>
      <c r="W116" s="86"/>
      <c r="X116" s="89"/>
      <c r="Y116" s="86"/>
      <c r="Z116" s="86"/>
      <c r="AA116" s="89"/>
      <c r="AB116" s="86"/>
      <c r="AC116" s="86"/>
      <c r="AD116" s="89"/>
      <c r="AE116" s="86"/>
      <c r="AF116" s="86"/>
      <c r="AG116" s="89"/>
    </row>
    <row r="117" spans="1:33" ht="15.75" thickBot="1" x14ac:dyDescent="0.3">
      <c r="A117" s="68"/>
      <c r="B117" s="68"/>
      <c r="D117" s="87"/>
      <c r="E117" s="87"/>
      <c r="F117" s="90"/>
      <c r="G117" s="87"/>
      <c r="H117" s="87"/>
      <c r="I117" s="90"/>
      <c r="J117" s="87"/>
      <c r="K117" s="87"/>
      <c r="L117" s="90"/>
      <c r="M117" s="87"/>
      <c r="N117" s="87"/>
      <c r="O117" s="90"/>
      <c r="P117" s="87"/>
      <c r="Q117" s="87"/>
      <c r="R117" s="90"/>
      <c r="S117" s="87"/>
      <c r="T117" s="87"/>
      <c r="U117" s="90"/>
      <c r="V117" s="87"/>
      <c r="W117" s="87"/>
      <c r="X117" s="90"/>
      <c r="Y117" s="87"/>
      <c r="Z117" s="87"/>
      <c r="AA117" s="90"/>
      <c r="AB117" s="87"/>
      <c r="AC117" s="87"/>
      <c r="AD117" s="90"/>
      <c r="AE117" s="87"/>
      <c r="AF117" s="87"/>
      <c r="AG117" s="90"/>
    </row>
    <row r="118" spans="1:33" ht="15.75" thickBot="1" x14ac:dyDescent="0.3">
      <c r="A118" s="68"/>
      <c r="B118" s="68"/>
      <c r="D118" s="88"/>
      <c r="E118" s="88"/>
      <c r="F118" s="91"/>
      <c r="G118" s="88"/>
      <c r="H118" s="88"/>
      <c r="I118" s="91"/>
      <c r="J118" s="88"/>
      <c r="K118" s="88"/>
      <c r="L118" s="91"/>
      <c r="M118" s="88"/>
      <c r="N118" s="88"/>
      <c r="O118" s="91"/>
      <c r="P118" s="88"/>
      <c r="Q118" s="88"/>
      <c r="R118" s="91"/>
      <c r="S118" s="88"/>
      <c r="T118" s="88"/>
      <c r="U118" s="91"/>
      <c r="V118" s="88"/>
      <c r="W118" s="88"/>
      <c r="X118" s="91"/>
      <c r="Y118" s="88"/>
      <c r="Z118" s="88"/>
      <c r="AA118" s="91"/>
      <c r="AB118" s="88"/>
      <c r="AC118" s="88"/>
      <c r="AD118" s="91"/>
      <c r="AE118" s="88"/>
      <c r="AF118" s="88"/>
      <c r="AG118" s="91"/>
    </row>
    <row r="120" spans="1:33" ht="15.75" thickBot="1" x14ac:dyDescent="0.3"/>
    <row r="121" spans="1:33" ht="15.75" thickBot="1" x14ac:dyDescent="0.3">
      <c r="A121" s="68" t="s">
        <v>86</v>
      </c>
      <c r="B121" s="68"/>
      <c r="D121" s="52" t="s">
        <v>27</v>
      </c>
      <c r="E121" s="52"/>
      <c r="F121" s="52"/>
      <c r="G121" s="73" t="s">
        <v>28</v>
      </c>
      <c r="H121" s="73"/>
      <c r="I121" s="73"/>
      <c r="J121" s="52" t="s">
        <v>29</v>
      </c>
      <c r="K121" s="52"/>
      <c r="L121" s="52"/>
      <c r="M121" s="73" t="s">
        <v>30</v>
      </c>
      <c r="N121" s="73"/>
      <c r="O121" s="73"/>
      <c r="P121" s="52" t="s">
        <v>31</v>
      </c>
      <c r="Q121" s="52"/>
      <c r="R121" s="52"/>
      <c r="S121" s="73" t="s">
        <v>32</v>
      </c>
      <c r="T121" s="73"/>
      <c r="U121" s="73"/>
      <c r="V121" s="52" t="s">
        <v>33</v>
      </c>
      <c r="W121" s="52"/>
      <c r="X121" s="52"/>
      <c r="Y121" s="73" t="s">
        <v>34</v>
      </c>
      <c r="Z121" s="73"/>
      <c r="AA121" s="73"/>
      <c r="AB121" s="52" t="s">
        <v>35</v>
      </c>
      <c r="AC121" s="52"/>
      <c r="AD121" s="52"/>
      <c r="AE121" s="73" t="s">
        <v>36</v>
      </c>
      <c r="AF121" s="73"/>
      <c r="AG121" s="73"/>
    </row>
    <row r="122" spans="1:33" ht="15.75" thickBot="1" x14ac:dyDescent="0.3">
      <c r="A122" s="68"/>
      <c r="B122" s="68"/>
      <c r="C122" s="105" t="s">
        <v>243</v>
      </c>
      <c r="D122" s="75">
        <v>0</v>
      </c>
      <c r="E122" s="75"/>
      <c r="F122" s="76"/>
      <c r="G122" s="74">
        <v>0</v>
      </c>
      <c r="H122" s="75"/>
      <c r="I122" s="76"/>
      <c r="J122" s="74">
        <v>0</v>
      </c>
      <c r="K122" s="75"/>
      <c r="L122" s="76"/>
      <c r="M122" s="74">
        <v>0</v>
      </c>
      <c r="N122" s="75"/>
      <c r="O122" s="76"/>
      <c r="P122" s="74">
        <v>0</v>
      </c>
      <c r="Q122" s="75"/>
      <c r="R122" s="76"/>
      <c r="S122" s="74">
        <v>0</v>
      </c>
      <c r="T122" s="75"/>
      <c r="U122" s="76"/>
      <c r="V122" s="74">
        <v>0</v>
      </c>
      <c r="W122" s="75"/>
      <c r="X122" s="76"/>
      <c r="Y122" s="74">
        <v>0</v>
      </c>
      <c r="Z122" s="75"/>
      <c r="AA122" s="76"/>
      <c r="AB122" s="74">
        <v>0</v>
      </c>
      <c r="AC122" s="75"/>
      <c r="AD122" s="76"/>
      <c r="AE122" s="74">
        <v>0</v>
      </c>
      <c r="AF122" s="75"/>
      <c r="AG122" s="76"/>
    </row>
    <row r="123" spans="1:33" ht="15.75" thickBot="1" x14ac:dyDescent="0.3">
      <c r="A123" s="68"/>
      <c r="B123" s="68"/>
      <c r="C123" s="106" t="s">
        <v>244</v>
      </c>
      <c r="D123" s="82">
        <v>0</v>
      </c>
      <c r="E123" s="82"/>
      <c r="F123" s="84"/>
      <c r="G123" s="85">
        <v>0</v>
      </c>
      <c r="H123" s="82"/>
      <c r="I123" s="84"/>
      <c r="J123" s="85">
        <v>0</v>
      </c>
      <c r="K123" s="82"/>
      <c r="L123" s="84"/>
      <c r="M123" s="85">
        <v>0</v>
      </c>
      <c r="N123" s="82"/>
      <c r="O123" s="82"/>
      <c r="P123" s="81">
        <v>0</v>
      </c>
      <c r="Q123" s="82"/>
      <c r="R123" s="83"/>
      <c r="S123" s="82">
        <v>0</v>
      </c>
      <c r="T123" s="82"/>
      <c r="U123" s="84"/>
      <c r="V123" s="85">
        <v>0</v>
      </c>
      <c r="W123" s="82"/>
      <c r="X123" s="84"/>
      <c r="Y123" s="85">
        <v>0</v>
      </c>
      <c r="Z123" s="82"/>
      <c r="AA123" s="84"/>
      <c r="AB123" s="85">
        <v>0</v>
      </c>
      <c r="AC123" s="82"/>
      <c r="AD123" s="84"/>
      <c r="AE123" s="85">
        <v>0</v>
      </c>
      <c r="AF123" s="82"/>
      <c r="AG123" s="84"/>
    </row>
    <row r="124" spans="1:33" ht="15.75" thickBot="1" x14ac:dyDescent="0.3">
      <c r="A124" s="68"/>
      <c r="B124" s="68"/>
      <c r="C124" s="107" t="s">
        <v>37</v>
      </c>
      <c r="D124" s="104"/>
      <c r="E124" s="86"/>
      <c r="F124" s="89"/>
      <c r="G124" s="86"/>
      <c r="H124" s="86"/>
      <c r="I124" s="89"/>
      <c r="J124" s="86"/>
      <c r="K124" s="86"/>
      <c r="L124" s="89"/>
      <c r="M124" s="86"/>
      <c r="N124" s="86"/>
      <c r="O124" s="89"/>
      <c r="P124" s="86"/>
      <c r="Q124" s="86"/>
      <c r="R124" s="89"/>
      <c r="S124" s="86"/>
      <c r="T124" s="86"/>
      <c r="U124" s="89"/>
      <c r="V124" s="86"/>
      <c r="W124" s="86"/>
      <c r="X124" s="89"/>
      <c r="Y124" s="86"/>
      <c r="Z124" s="86"/>
      <c r="AA124" s="89"/>
      <c r="AB124" s="86"/>
      <c r="AC124" s="86"/>
      <c r="AD124" s="89"/>
      <c r="AE124" s="86"/>
      <c r="AF124" s="86"/>
      <c r="AG124" s="89"/>
    </row>
    <row r="125" spans="1:33" ht="15.75" thickBot="1" x14ac:dyDescent="0.3">
      <c r="A125" s="68"/>
      <c r="B125" s="68"/>
      <c r="D125" s="87"/>
      <c r="E125" s="87"/>
      <c r="F125" s="90"/>
      <c r="G125" s="87"/>
      <c r="H125" s="87"/>
      <c r="I125" s="90"/>
      <c r="J125" s="87"/>
      <c r="K125" s="87"/>
      <c r="L125" s="90"/>
      <c r="M125" s="87"/>
      <c r="N125" s="87"/>
      <c r="O125" s="90"/>
      <c r="P125" s="87"/>
      <c r="Q125" s="87"/>
      <c r="R125" s="90"/>
      <c r="S125" s="87"/>
      <c r="T125" s="87"/>
      <c r="U125" s="90"/>
      <c r="V125" s="87"/>
      <c r="W125" s="87"/>
      <c r="X125" s="90"/>
      <c r="Y125" s="87"/>
      <c r="Z125" s="87"/>
      <c r="AA125" s="90"/>
      <c r="AB125" s="87"/>
      <c r="AC125" s="87"/>
      <c r="AD125" s="90"/>
      <c r="AE125" s="87"/>
      <c r="AF125" s="87"/>
      <c r="AG125" s="90"/>
    </row>
    <row r="126" spans="1:33" ht="15.75" thickBot="1" x14ac:dyDescent="0.3">
      <c r="A126" s="68"/>
      <c r="B126" s="68"/>
      <c r="D126" s="88"/>
      <c r="E126" s="88"/>
      <c r="F126" s="91"/>
      <c r="G126" s="88"/>
      <c r="H126" s="88"/>
      <c r="I126" s="91"/>
      <c r="J126" s="88"/>
      <c r="K126" s="88"/>
      <c r="L126" s="91"/>
      <c r="M126" s="88"/>
      <c r="N126" s="88"/>
      <c r="O126" s="91"/>
      <c r="P126" s="88"/>
      <c r="Q126" s="88"/>
      <c r="R126" s="91"/>
      <c r="S126" s="88"/>
      <c r="T126" s="88"/>
      <c r="U126" s="91"/>
      <c r="V126" s="88"/>
      <c r="W126" s="88"/>
      <c r="X126" s="91"/>
      <c r="Y126" s="88"/>
      <c r="Z126" s="88"/>
      <c r="AA126" s="91"/>
      <c r="AB126" s="88"/>
      <c r="AC126" s="88"/>
      <c r="AD126" s="91"/>
      <c r="AE126" s="88"/>
      <c r="AF126" s="88"/>
      <c r="AG126" s="91"/>
    </row>
    <row r="128" spans="1:33" ht="15.75" thickBot="1" x14ac:dyDescent="0.3"/>
    <row r="129" spans="1:33" ht="15.75" thickBot="1" x14ac:dyDescent="0.3">
      <c r="A129" s="68" t="s">
        <v>84</v>
      </c>
      <c r="B129" s="68"/>
      <c r="D129" s="52" t="s">
        <v>27</v>
      </c>
      <c r="E129" s="52"/>
      <c r="F129" s="52"/>
      <c r="G129" s="73" t="s">
        <v>28</v>
      </c>
      <c r="H129" s="73"/>
      <c r="I129" s="73"/>
      <c r="J129" s="52" t="s">
        <v>29</v>
      </c>
      <c r="K129" s="52"/>
      <c r="L129" s="52"/>
      <c r="M129" s="73" t="s">
        <v>30</v>
      </c>
      <c r="N129" s="73"/>
      <c r="O129" s="73"/>
      <c r="P129" s="52" t="s">
        <v>31</v>
      </c>
      <c r="Q129" s="52"/>
      <c r="R129" s="52"/>
      <c r="S129" s="73" t="s">
        <v>32</v>
      </c>
      <c r="T129" s="73"/>
      <c r="U129" s="73"/>
      <c r="V129" s="52" t="s">
        <v>33</v>
      </c>
      <c r="W129" s="52"/>
      <c r="X129" s="52"/>
      <c r="Y129" s="73" t="s">
        <v>34</v>
      </c>
      <c r="Z129" s="73"/>
      <c r="AA129" s="73"/>
      <c r="AB129" s="52" t="s">
        <v>35</v>
      </c>
      <c r="AC129" s="52"/>
      <c r="AD129" s="52"/>
      <c r="AE129" s="73" t="s">
        <v>36</v>
      </c>
      <c r="AF129" s="73"/>
      <c r="AG129" s="73"/>
    </row>
    <row r="130" spans="1:33" ht="15.75" thickBot="1" x14ac:dyDescent="0.3">
      <c r="A130" s="68"/>
      <c r="B130" s="68"/>
      <c r="C130" s="105" t="s">
        <v>243</v>
      </c>
      <c r="D130" s="75">
        <v>0</v>
      </c>
      <c r="E130" s="75"/>
      <c r="F130" s="76"/>
      <c r="G130" s="74">
        <v>0</v>
      </c>
      <c r="H130" s="75"/>
      <c r="I130" s="76"/>
      <c r="J130" s="74">
        <v>0</v>
      </c>
      <c r="K130" s="75"/>
      <c r="L130" s="76"/>
      <c r="M130" s="74">
        <v>0</v>
      </c>
      <c r="N130" s="75"/>
      <c r="O130" s="76"/>
      <c r="P130" s="74">
        <v>0</v>
      </c>
      <c r="Q130" s="75"/>
      <c r="R130" s="76"/>
      <c r="S130" s="74">
        <v>0</v>
      </c>
      <c r="T130" s="75"/>
      <c r="U130" s="76"/>
      <c r="V130" s="74">
        <v>0</v>
      </c>
      <c r="W130" s="75"/>
      <c r="X130" s="76"/>
      <c r="Y130" s="74">
        <v>0</v>
      </c>
      <c r="Z130" s="75"/>
      <c r="AA130" s="76"/>
      <c r="AB130" s="74">
        <v>0</v>
      </c>
      <c r="AC130" s="75"/>
      <c r="AD130" s="76"/>
      <c r="AE130" s="74">
        <v>0</v>
      </c>
      <c r="AF130" s="75"/>
      <c r="AG130" s="76"/>
    </row>
    <row r="131" spans="1:33" ht="15.75" thickBot="1" x14ac:dyDescent="0.3">
      <c r="A131" s="68"/>
      <c r="B131" s="68"/>
      <c r="C131" s="106" t="s">
        <v>244</v>
      </c>
      <c r="D131" s="82">
        <v>0</v>
      </c>
      <c r="E131" s="82"/>
      <c r="F131" s="84"/>
      <c r="G131" s="85">
        <v>0</v>
      </c>
      <c r="H131" s="82"/>
      <c r="I131" s="84"/>
      <c r="J131" s="85">
        <v>0</v>
      </c>
      <c r="K131" s="82"/>
      <c r="L131" s="84"/>
      <c r="M131" s="85">
        <v>0</v>
      </c>
      <c r="N131" s="82"/>
      <c r="O131" s="82"/>
      <c r="P131" s="81">
        <v>0</v>
      </c>
      <c r="Q131" s="82"/>
      <c r="R131" s="83"/>
      <c r="S131" s="82">
        <v>0</v>
      </c>
      <c r="T131" s="82"/>
      <c r="U131" s="84"/>
      <c r="V131" s="85">
        <v>0</v>
      </c>
      <c r="W131" s="82"/>
      <c r="X131" s="84"/>
      <c r="Y131" s="85">
        <v>0</v>
      </c>
      <c r="Z131" s="82"/>
      <c r="AA131" s="84"/>
      <c r="AB131" s="85">
        <v>0</v>
      </c>
      <c r="AC131" s="82"/>
      <c r="AD131" s="84"/>
      <c r="AE131" s="85">
        <v>0</v>
      </c>
      <c r="AF131" s="82"/>
      <c r="AG131" s="84"/>
    </row>
    <row r="132" spans="1:33" ht="15.75" thickBot="1" x14ac:dyDescent="0.3">
      <c r="A132" s="68"/>
      <c r="B132" s="68"/>
      <c r="C132" s="107" t="s">
        <v>37</v>
      </c>
      <c r="D132" s="104"/>
      <c r="E132" s="86"/>
      <c r="F132" s="89"/>
      <c r="G132" s="86"/>
      <c r="H132" s="86"/>
      <c r="I132" s="89"/>
      <c r="J132" s="86"/>
      <c r="K132" s="86"/>
      <c r="L132" s="89"/>
      <c r="M132" s="86"/>
      <c r="N132" s="86"/>
      <c r="O132" s="89"/>
      <c r="P132" s="86"/>
      <c r="Q132" s="86"/>
      <c r="R132" s="89"/>
      <c r="S132" s="86"/>
      <c r="T132" s="86"/>
      <c r="U132" s="89"/>
      <c r="V132" s="86"/>
      <c r="W132" s="86"/>
      <c r="X132" s="89"/>
      <c r="Y132" s="86"/>
      <c r="Z132" s="86"/>
      <c r="AA132" s="89"/>
      <c r="AB132" s="86"/>
      <c r="AC132" s="86"/>
      <c r="AD132" s="89"/>
      <c r="AE132" s="86"/>
      <c r="AF132" s="86"/>
      <c r="AG132" s="89"/>
    </row>
    <row r="133" spans="1:33" ht="15.75" thickBot="1" x14ac:dyDescent="0.3">
      <c r="A133" s="68"/>
      <c r="B133" s="68"/>
      <c r="D133" s="87"/>
      <c r="E133" s="87"/>
      <c r="F133" s="90"/>
      <c r="G133" s="87"/>
      <c r="H133" s="87"/>
      <c r="I133" s="90"/>
      <c r="J133" s="87"/>
      <c r="K133" s="87"/>
      <c r="L133" s="90"/>
      <c r="M133" s="87"/>
      <c r="N133" s="87"/>
      <c r="O133" s="90"/>
      <c r="P133" s="87"/>
      <c r="Q133" s="87"/>
      <c r="R133" s="90"/>
      <c r="S133" s="87"/>
      <c r="T133" s="87"/>
      <c r="U133" s="90"/>
      <c r="V133" s="87"/>
      <c r="W133" s="87"/>
      <c r="X133" s="90"/>
      <c r="Y133" s="87"/>
      <c r="Z133" s="87"/>
      <c r="AA133" s="90"/>
      <c r="AB133" s="87"/>
      <c r="AC133" s="87"/>
      <c r="AD133" s="90"/>
      <c r="AE133" s="87"/>
      <c r="AF133" s="87"/>
      <c r="AG133" s="90"/>
    </row>
    <row r="134" spans="1:33" ht="15.75" thickBot="1" x14ac:dyDescent="0.3">
      <c r="A134" s="68"/>
      <c r="B134" s="68"/>
      <c r="D134" s="88"/>
      <c r="E134" s="88"/>
      <c r="F134" s="91"/>
      <c r="G134" s="88"/>
      <c r="H134" s="88"/>
      <c r="I134" s="91"/>
      <c r="J134" s="88"/>
      <c r="K134" s="88"/>
      <c r="L134" s="91"/>
      <c r="M134" s="88"/>
      <c r="N134" s="88"/>
      <c r="O134" s="91"/>
      <c r="P134" s="88"/>
      <c r="Q134" s="88"/>
      <c r="R134" s="91"/>
      <c r="S134" s="88"/>
      <c r="T134" s="88"/>
      <c r="U134" s="91"/>
      <c r="V134" s="88"/>
      <c r="W134" s="88"/>
      <c r="X134" s="91"/>
      <c r="Y134" s="88"/>
      <c r="Z134" s="88"/>
      <c r="AA134" s="91"/>
      <c r="AB134" s="88"/>
      <c r="AC134" s="88"/>
      <c r="AD134" s="91"/>
      <c r="AE134" s="88"/>
      <c r="AF134" s="88"/>
      <c r="AG134" s="91"/>
    </row>
    <row r="136" spans="1:33" ht="15.75" thickBot="1" x14ac:dyDescent="0.3"/>
    <row r="137" spans="1:33" ht="15.75" thickBot="1" x14ac:dyDescent="0.3">
      <c r="A137" s="68" t="s">
        <v>85</v>
      </c>
      <c r="B137" s="68"/>
      <c r="D137" s="52" t="s">
        <v>27</v>
      </c>
      <c r="E137" s="52"/>
      <c r="F137" s="52"/>
      <c r="G137" s="73" t="s">
        <v>28</v>
      </c>
      <c r="H137" s="73"/>
      <c r="I137" s="73"/>
      <c r="J137" s="52" t="s">
        <v>29</v>
      </c>
      <c r="K137" s="52"/>
      <c r="L137" s="52"/>
      <c r="M137" s="73" t="s">
        <v>30</v>
      </c>
      <c r="N137" s="73"/>
      <c r="O137" s="73"/>
      <c r="P137" s="52" t="s">
        <v>31</v>
      </c>
      <c r="Q137" s="52"/>
      <c r="R137" s="52"/>
      <c r="S137" s="73" t="s">
        <v>32</v>
      </c>
      <c r="T137" s="73"/>
      <c r="U137" s="73"/>
      <c r="V137" s="52" t="s">
        <v>33</v>
      </c>
      <c r="W137" s="52"/>
      <c r="X137" s="52"/>
      <c r="Y137" s="73" t="s">
        <v>34</v>
      </c>
      <c r="Z137" s="73"/>
      <c r="AA137" s="73"/>
      <c r="AB137" s="52" t="s">
        <v>35</v>
      </c>
      <c r="AC137" s="52"/>
      <c r="AD137" s="52"/>
      <c r="AE137" s="73" t="s">
        <v>36</v>
      </c>
      <c r="AF137" s="73"/>
      <c r="AG137" s="73"/>
    </row>
    <row r="138" spans="1:33" ht="15.75" thickBot="1" x14ac:dyDescent="0.3">
      <c r="A138" s="68"/>
      <c r="B138" s="68"/>
      <c r="C138" s="105" t="s">
        <v>243</v>
      </c>
      <c r="D138" s="75">
        <v>0</v>
      </c>
      <c r="E138" s="75"/>
      <c r="F138" s="76"/>
      <c r="G138" s="74">
        <v>0</v>
      </c>
      <c r="H138" s="75"/>
      <c r="I138" s="76"/>
      <c r="J138" s="74">
        <v>0</v>
      </c>
      <c r="K138" s="75"/>
      <c r="L138" s="76"/>
      <c r="M138" s="74">
        <v>0</v>
      </c>
      <c r="N138" s="75"/>
      <c r="O138" s="76"/>
      <c r="P138" s="74">
        <v>0</v>
      </c>
      <c r="Q138" s="75"/>
      <c r="R138" s="76"/>
      <c r="S138" s="74">
        <v>0</v>
      </c>
      <c r="T138" s="75"/>
      <c r="U138" s="76"/>
      <c r="V138" s="74">
        <v>0</v>
      </c>
      <c r="W138" s="75"/>
      <c r="X138" s="76"/>
      <c r="Y138" s="74">
        <v>0</v>
      </c>
      <c r="Z138" s="75"/>
      <c r="AA138" s="76"/>
      <c r="AB138" s="74">
        <v>0</v>
      </c>
      <c r="AC138" s="75"/>
      <c r="AD138" s="76"/>
      <c r="AE138" s="74">
        <v>0</v>
      </c>
      <c r="AF138" s="75"/>
      <c r="AG138" s="76"/>
    </row>
    <row r="139" spans="1:33" ht="15.75" thickBot="1" x14ac:dyDescent="0.3">
      <c r="A139" s="68"/>
      <c r="B139" s="68"/>
      <c r="C139" s="106" t="s">
        <v>244</v>
      </c>
      <c r="D139" s="82">
        <v>0</v>
      </c>
      <c r="E139" s="82"/>
      <c r="F139" s="84"/>
      <c r="G139" s="85">
        <v>0</v>
      </c>
      <c r="H139" s="82"/>
      <c r="I139" s="84"/>
      <c r="J139" s="85">
        <v>0</v>
      </c>
      <c r="K139" s="82"/>
      <c r="L139" s="84"/>
      <c r="M139" s="85">
        <v>0</v>
      </c>
      <c r="N139" s="82"/>
      <c r="O139" s="82"/>
      <c r="P139" s="81">
        <v>0</v>
      </c>
      <c r="Q139" s="82"/>
      <c r="R139" s="83"/>
      <c r="S139" s="82">
        <v>0</v>
      </c>
      <c r="T139" s="82"/>
      <c r="U139" s="84"/>
      <c r="V139" s="85">
        <v>0</v>
      </c>
      <c r="W139" s="82"/>
      <c r="X139" s="84"/>
      <c r="Y139" s="85">
        <v>0</v>
      </c>
      <c r="Z139" s="82"/>
      <c r="AA139" s="84"/>
      <c r="AB139" s="85">
        <v>0</v>
      </c>
      <c r="AC139" s="82"/>
      <c r="AD139" s="84"/>
      <c r="AE139" s="85">
        <v>0</v>
      </c>
      <c r="AF139" s="82"/>
      <c r="AG139" s="84"/>
    </row>
    <row r="140" spans="1:33" ht="15.75" thickBot="1" x14ac:dyDescent="0.3">
      <c r="A140" s="68"/>
      <c r="B140" s="68"/>
      <c r="C140" s="107" t="s">
        <v>37</v>
      </c>
      <c r="D140" s="104"/>
      <c r="E140" s="86"/>
      <c r="F140" s="89"/>
      <c r="G140" s="86"/>
      <c r="H140" s="86"/>
      <c r="I140" s="89"/>
      <c r="J140" s="86"/>
      <c r="K140" s="86"/>
      <c r="L140" s="89"/>
      <c r="M140" s="86"/>
      <c r="N140" s="86"/>
      <c r="O140" s="89"/>
      <c r="P140" s="86"/>
      <c r="Q140" s="86"/>
      <c r="R140" s="89"/>
      <c r="S140" s="86"/>
      <c r="T140" s="86"/>
      <c r="U140" s="89"/>
      <c r="V140" s="86"/>
      <c r="W140" s="86"/>
      <c r="X140" s="89"/>
      <c r="Y140" s="86"/>
      <c r="Z140" s="86"/>
      <c r="AA140" s="89"/>
      <c r="AB140" s="86"/>
      <c r="AC140" s="86"/>
      <c r="AD140" s="89"/>
      <c r="AE140" s="86"/>
      <c r="AF140" s="86"/>
      <c r="AG140" s="89"/>
    </row>
    <row r="141" spans="1:33" ht="15.75" thickBot="1" x14ac:dyDescent="0.3">
      <c r="A141" s="68"/>
      <c r="B141" s="68"/>
      <c r="D141" s="87"/>
      <c r="E141" s="87"/>
      <c r="F141" s="90"/>
      <c r="G141" s="87"/>
      <c r="H141" s="87"/>
      <c r="I141" s="90"/>
      <c r="J141" s="87"/>
      <c r="K141" s="87"/>
      <c r="L141" s="90"/>
      <c r="M141" s="87"/>
      <c r="N141" s="87"/>
      <c r="O141" s="90"/>
      <c r="P141" s="87"/>
      <c r="Q141" s="87"/>
      <c r="R141" s="90"/>
      <c r="S141" s="87"/>
      <c r="T141" s="87"/>
      <c r="U141" s="90"/>
      <c r="V141" s="87"/>
      <c r="W141" s="87"/>
      <c r="X141" s="90"/>
      <c r="Y141" s="87"/>
      <c r="Z141" s="87"/>
      <c r="AA141" s="90"/>
      <c r="AB141" s="87"/>
      <c r="AC141" s="87"/>
      <c r="AD141" s="90"/>
      <c r="AE141" s="87"/>
      <c r="AF141" s="87"/>
      <c r="AG141" s="90"/>
    </row>
    <row r="142" spans="1:33" ht="15.75" thickBot="1" x14ac:dyDescent="0.3">
      <c r="A142" s="68"/>
      <c r="B142" s="68"/>
      <c r="D142" s="88"/>
      <c r="E142" s="88"/>
      <c r="F142" s="91"/>
      <c r="G142" s="88"/>
      <c r="H142" s="88"/>
      <c r="I142" s="91"/>
      <c r="J142" s="88"/>
      <c r="K142" s="88"/>
      <c r="L142" s="91"/>
      <c r="M142" s="88"/>
      <c r="N142" s="88"/>
      <c r="O142" s="91"/>
      <c r="P142" s="88"/>
      <c r="Q142" s="88"/>
      <c r="R142" s="91"/>
      <c r="S142" s="88"/>
      <c r="T142" s="88"/>
      <c r="U142" s="91"/>
      <c r="V142" s="88"/>
      <c r="W142" s="88"/>
      <c r="X142" s="91"/>
      <c r="Y142" s="88"/>
      <c r="Z142" s="88"/>
      <c r="AA142" s="91"/>
      <c r="AB142" s="88"/>
      <c r="AC142" s="88"/>
      <c r="AD142" s="91"/>
      <c r="AE142" s="88"/>
      <c r="AF142" s="88"/>
      <c r="AG142" s="91"/>
    </row>
    <row r="144" spans="1:33" ht="15.75" thickBot="1" x14ac:dyDescent="0.3"/>
    <row r="145" spans="1:33" ht="15.75" thickBot="1" x14ac:dyDescent="0.3">
      <c r="A145" s="68" t="s">
        <v>253</v>
      </c>
      <c r="B145" s="68"/>
      <c r="D145" s="52" t="s">
        <v>27</v>
      </c>
      <c r="E145" s="52"/>
      <c r="F145" s="52"/>
      <c r="G145" s="73" t="s">
        <v>28</v>
      </c>
      <c r="H145" s="73"/>
      <c r="I145" s="73"/>
      <c r="J145" s="52" t="s">
        <v>29</v>
      </c>
      <c r="K145" s="52"/>
      <c r="L145" s="52"/>
      <c r="M145" s="73" t="s">
        <v>30</v>
      </c>
      <c r="N145" s="73"/>
      <c r="O145" s="73"/>
      <c r="P145" s="52" t="s">
        <v>31</v>
      </c>
      <c r="Q145" s="52"/>
      <c r="R145" s="52"/>
      <c r="S145" s="73" t="s">
        <v>32</v>
      </c>
      <c r="T145" s="73"/>
      <c r="U145" s="73"/>
      <c r="V145" s="52" t="s">
        <v>33</v>
      </c>
      <c r="W145" s="52"/>
      <c r="X145" s="52"/>
      <c r="Y145" s="73" t="s">
        <v>34</v>
      </c>
      <c r="Z145" s="73"/>
      <c r="AA145" s="73"/>
      <c r="AB145" s="52" t="s">
        <v>35</v>
      </c>
      <c r="AC145" s="52"/>
      <c r="AD145" s="52"/>
      <c r="AE145" s="73" t="s">
        <v>36</v>
      </c>
      <c r="AF145" s="73"/>
      <c r="AG145" s="73"/>
    </row>
    <row r="146" spans="1:33" ht="15.75" thickBot="1" x14ac:dyDescent="0.3">
      <c r="A146" s="68"/>
      <c r="B146" s="68"/>
      <c r="C146" s="105" t="s">
        <v>243</v>
      </c>
      <c r="D146" s="75">
        <v>0</v>
      </c>
      <c r="E146" s="75"/>
      <c r="F146" s="76"/>
      <c r="G146" s="74">
        <v>0</v>
      </c>
      <c r="H146" s="75"/>
      <c r="I146" s="76"/>
      <c r="J146" s="74">
        <v>0</v>
      </c>
      <c r="K146" s="75"/>
      <c r="L146" s="76"/>
      <c r="M146" s="74">
        <v>0</v>
      </c>
      <c r="N146" s="75"/>
      <c r="O146" s="76"/>
      <c r="P146" s="74">
        <v>0</v>
      </c>
      <c r="Q146" s="75"/>
      <c r="R146" s="76"/>
      <c r="S146" s="74">
        <v>0</v>
      </c>
      <c r="T146" s="75"/>
      <c r="U146" s="76"/>
      <c r="V146" s="74">
        <v>0</v>
      </c>
      <c r="W146" s="75"/>
      <c r="X146" s="76"/>
      <c r="Y146" s="74">
        <v>0</v>
      </c>
      <c r="Z146" s="75"/>
      <c r="AA146" s="76"/>
      <c r="AB146" s="74">
        <v>0</v>
      </c>
      <c r="AC146" s="75"/>
      <c r="AD146" s="76"/>
      <c r="AE146" s="74">
        <v>0</v>
      </c>
      <c r="AF146" s="75"/>
      <c r="AG146" s="76"/>
    </row>
    <row r="147" spans="1:33" ht="15.75" thickBot="1" x14ac:dyDescent="0.3">
      <c r="A147" s="68"/>
      <c r="B147" s="68"/>
      <c r="C147" s="106" t="s">
        <v>244</v>
      </c>
      <c r="D147" s="82">
        <v>0</v>
      </c>
      <c r="E147" s="82"/>
      <c r="F147" s="84"/>
      <c r="G147" s="85">
        <v>0</v>
      </c>
      <c r="H147" s="82"/>
      <c r="I147" s="84"/>
      <c r="J147" s="85">
        <v>0</v>
      </c>
      <c r="K147" s="82"/>
      <c r="L147" s="84"/>
      <c r="M147" s="85">
        <v>0</v>
      </c>
      <c r="N147" s="82"/>
      <c r="O147" s="82"/>
      <c r="P147" s="81">
        <v>0</v>
      </c>
      <c r="Q147" s="82"/>
      <c r="R147" s="83"/>
      <c r="S147" s="82">
        <v>0</v>
      </c>
      <c r="T147" s="82"/>
      <c r="U147" s="84"/>
      <c r="V147" s="85">
        <v>0</v>
      </c>
      <c r="W147" s="82"/>
      <c r="X147" s="84"/>
      <c r="Y147" s="85">
        <v>0</v>
      </c>
      <c r="Z147" s="82"/>
      <c r="AA147" s="84"/>
      <c r="AB147" s="85">
        <v>0</v>
      </c>
      <c r="AC147" s="82"/>
      <c r="AD147" s="84"/>
      <c r="AE147" s="85">
        <v>0</v>
      </c>
      <c r="AF147" s="82"/>
      <c r="AG147" s="84"/>
    </row>
    <row r="148" spans="1:33" ht="15.75" thickBot="1" x14ac:dyDescent="0.3">
      <c r="A148" s="68"/>
      <c r="B148" s="68"/>
      <c r="C148" s="107" t="s">
        <v>37</v>
      </c>
      <c r="D148" s="104"/>
      <c r="E148" s="86"/>
      <c r="F148" s="89"/>
      <c r="G148" s="86"/>
      <c r="H148" s="86"/>
      <c r="I148" s="89"/>
      <c r="J148" s="86"/>
      <c r="K148" s="86"/>
      <c r="L148" s="89"/>
      <c r="M148" s="86"/>
      <c r="N148" s="86"/>
      <c r="O148" s="89"/>
      <c r="P148" s="86"/>
      <c r="Q148" s="86"/>
      <c r="R148" s="89"/>
      <c r="S148" s="86"/>
      <c r="T148" s="86"/>
      <c r="U148" s="89"/>
      <c r="V148" s="86"/>
      <c r="W148" s="86"/>
      <c r="X148" s="89"/>
      <c r="Y148" s="86"/>
      <c r="Z148" s="86"/>
      <c r="AA148" s="89"/>
      <c r="AB148" s="86"/>
      <c r="AC148" s="86"/>
      <c r="AD148" s="89"/>
      <c r="AE148" s="86"/>
      <c r="AF148" s="86"/>
      <c r="AG148" s="89"/>
    </row>
    <row r="149" spans="1:33" ht="15.75" thickBot="1" x14ac:dyDescent="0.3">
      <c r="A149" s="68"/>
      <c r="B149" s="68"/>
      <c r="D149" s="87"/>
      <c r="E149" s="87"/>
      <c r="F149" s="90"/>
      <c r="G149" s="87"/>
      <c r="H149" s="87"/>
      <c r="I149" s="90"/>
      <c r="J149" s="87"/>
      <c r="K149" s="87"/>
      <c r="L149" s="90"/>
      <c r="M149" s="87"/>
      <c r="N149" s="87"/>
      <c r="O149" s="90"/>
      <c r="P149" s="87"/>
      <c r="Q149" s="87"/>
      <c r="R149" s="90"/>
      <c r="S149" s="87"/>
      <c r="T149" s="87"/>
      <c r="U149" s="90"/>
      <c r="V149" s="87"/>
      <c r="W149" s="87"/>
      <c r="X149" s="90"/>
      <c r="Y149" s="87"/>
      <c r="Z149" s="87"/>
      <c r="AA149" s="90"/>
      <c r="AB149" s="87"/>
      <c r="AC149" s="87"/>
      <c r="AD149" s="90"/>
      <c r="AE149" s="87"/>
      <c r="AF149" s="87"/>
      <c r="AG149" s="90"/>
    </row>
    <row r="150" spans="1:33" ht="15.75" thickBot="1" x14ac:dyDescent="0.3">
      <c r="A150" s="68"/>
      <c r="B150" s="68"/>
      <c r="D150" s="88"/>
      <c r="E150" s="88"/>
      <c r="F150" s="91"/>
      <c r="G150" s="88"/>
      <c r="H150" s="88"/>
      <c r="I150" s="91"/>
      <c r="J150" s="88"/>
      <c r="K150" s="88"/>
      <c r="L150" s="91"/>
      <c r="M150" s="88"/>
      <c r="N150" s="88"/>
      <c r="O150" s="91"/>
      <c r="P150" s="88"/>
      <c r="Q150" s="88"/>
      <c r="R150" s="91"/>
      <c r="S150" s="88"/>
      <c r="T150" s="88"/>
      <c r="U150" s="91"/>
      <c r="V150" s="88"/>
      <c r="W150" s="88"/>
      <c r="X150" s="91"/>
      <c r="Y150" s="88"/>
      <c r="Z150" s="88"/>
      <c r="AA150" s="91"/>
      <c r="AB150" s="88"/>
      <c r="AC150" s="88"/>
      <c r="AD150" s="91"/>
      <c r="AE150" s="88"/>
      <c r="AF150" s="88"/>
      <c r="AG150" s="91"/>
    </row>
    <row r="152" spans="1:33" ht="15.75" thickBot="1" x14ac:dyDescent="0.3"/>
    <row r="153" spans="1:33" ht="15.75" thickBot="1" x14ac:dyDescent="0.3">
      <c r="A153" s="68" t="s">
        <v>254</v>
      </c>
      <c r="B153" s="68"/>
      <c r="D153" s="52" t="s">
        <v>27</v>
      </c>
      <c r="E153" s="52"/>
      <c r="F153" s="52"/>
      <c r="G153" s="73" t="s">
        <v>28</v>
      </c>
      <c r="H153" s="73"/>
      <c r="I153" s="73"/>
      <c r="J153" s="52" t="s">
        <v>29</v>
      </c>
      <c r="K153" s="52"/>
      <c r="L153" s="52"/>
      <c r="M153" s="73" t="s">
        <v>30</v>
      </c>
      <c r="N153" s="73"/>
      <c r="O153" s="73"/>
      <c r="P153" s="52" t="s">
        <v>31</v>
      </c>
      <c r="Q153" s="52"/>
      <c r="R153" s="52"/>
      <c r="S153" s="73" t="s">
        <v>32</v>
      </c>
      <c r="T153" s="73"/>
      <c r="U153" s="73"/>
      <c r="V153" s="52" t="s">
        <v>33</v>
      </c>
      <c r="W153" s="52"/>
      <c r="X153" s="52"/>
      <c r="Y153" s="73" t="s">
        <v>34</v>
      </c>
      <c r="Z153" s="73"/>
      <c r="AA153" s="73"/>
      <c r="AB153" s="52" t="s">
        <v>35</v>
      </c>
      <c r="AC153" s="52"/>
      <c r="AD153" s="52"/>
      <c r="AE153" s="73" t="s">
        <v>36</v>
      </c>
      <c r="AF153" s="73"/>
      <c r="AG153" s="73"/>
    </row>
    <row r="154" spans="1:33" ht="15.75" thickBot="1" x14ac:dyDescent="0.3">
      <c r="A154" s="68"/>
      <c r="B154" s="68"/>
      <c r="C154" s="105" t="s">
        <v>243</v>
      </c>
      <c r="D154" s="75">
        <v>0</v>
      </c>
      <c r="E154" s="75"/>
      <c r="F154" s="76"/>
      <c r="G154" s="74">
        <v>0</v>
      </c>
      <c r="H154" s="75"/>
      <c r="I154" s="76"/>
      <c r="J154" s="74">
        <v>0</v>
      </c>
      <c r="K154" s="75"/>
      <c r="L154" s="76"/>
      <c r="M154" s="74">
        <v>0</v>
      </c>
      <c r="N154" s="75"/>
      <c r="O154" s="76"/>
      <c r="P154" s="74">
        <v>0</v>
      </c>
      <c r="Q154" s="75"/>
      <c r="R154" s="76"/>
      <c r="S154" s="74">
        <v>0</v>
      </c>
      <c r="T154" s="75"/>
      <c r="U154" s="76"/>
      <c r="V154" s="74">
        <v>0</v>
      </c>
      <c r="W154" s="75"/>
      <c r="X154" s="76"/>
      <c r="Y154" s="74">
        <v>0</v>
      </c>
      <c r="Z154" s="75"/>
      <c r="AA154" s="76"/>
      <c r="AB154" s="74">
        <v>0</v>
      </c>
      <c r="AC154" s="75"/>
      <c r="AD154" s="76"/>
      <c r="AE154" s="74">
        <v>0</v>
      </c>
      <c r="AF154" s="75"/>
      <c r="AG154" s="76"/>
    </row>
    <row r="155" spans="1:33" ht="15.75" thickBot="1" x14ac:dyDescent="0.3">
      <c r="A155" s="68"/>
      <c r="B155" s="68"/>
      <c r="C155" s="106" t="s">
        <v>244</v>
      </c>
      <c r="D155" s="82">
        <v>0</v>
      </c>
      <c r="E155" s="82"/>
      <c r="F155" s="84"/>
      <c r="G155" s="85">
        <v>0</v>
      </c>
      <c r="H155" s="82"/>
      <c r="I155" s="84"/>
      <c r="J155" s="85">
        <v>0</v>
      </c>
      <c r="K155" s="82"/>
      <c r="L155" s="84"/>
      <c r="M155" s="85">
        <v>0</v>
      </c>
      <c r="N155" s="82"/>
      <c r="O155" s="82"/>
      <c r="P155" s="81">
        <v>0</v>
      </c>
      <c r="Q155" s="82"/>
      <c r="R155" s="83"/>
      <c r="S155" s="82">
        <v>0</v>
      </c>
      <c r="T155" s="82"/>
      <c r="U155" s="84"/>
      <c r="V155" s="85">
        <v>0</v>
      </c>
      <c r="W155" s="82"/>
      <c r="X155" s="84"/>
      <c r="Y155" s="85">
        <v>0</v>
      </c>
      <c r="Z155" s="82"/>
      <c r="AA155" s="84"/>
      <c r="AB155" s="85">
        <v>0</v>
      </c>
      <c r="AC155" s="82"/>
      <c r="AD155" s="84"/>
      <c r="AE155" s="85">
        <v>0</v>
      </c>
      <c r="AF155" s="82"/>
      <c r="AG155" s="84"/>
    </row>
    <row r="156" spans="1:33" ht="15.75" thickBot="1" x14ac:dyDescent="0.3">
      <c r="A156" s="68"/>
      <c r="B156" s="68"/>
      <c r="C156" s="107" t="s">
        <v>37</v>
      </c>
      <c r="D156" s="104"/>
      <c r="E156" s="86"/>
      <c r="F156" s="89"/>
      <c r="G156" s="86"/>
      <c r="H156" s="86"/>
      <c r="I156" s="89"/>
      <c r="J156" s="86"/>
      <c r="K156" s="86"/>
      <c r="L156" s="89"/>
      <c r="M156" s="86"/>
      <c r="N156" s="86"/>
      <c r="O156" s="89"/>
      <c r="P156" s="86"/>
      <c r="Q156" s="86"/>
      <c r="R156" s="89"/>
      <c r="S156" s="86"/>
      <c r="T156" s="86"/>
      <c r="U156" s="89"/>
      <c r="V156" s="86"/>
      <c r="W156" s="86"/>
      <c r="X156" s="89"/>
      <c r="Y156" s="86"/>
      <c r="Z156" s="86"/>
      <c r="AA156" s="89"/>
      <c r="AB156" s="86"/>
      <c r="AC156" s="86"/>
      <c r="AD156" s="89"/>
      <c r="AE156" s="86"/>
      <c r="AF156" s="86"/>
      <c r="AG156" s="89"/>
    </row>
    <row r="157" spans="1:33" ht="15.75" thickBot="1" x14ac:dyDescent="0.3">
      <c r="A157" s="68"/>
      <c r="B157" s="68"/>
      <c r="D157" s="87"/>
      <c r="E157" s="87"/>
      <c r="F157" s="90"/>
      <c r="G157" s="87"/>
      <c r="H157" s="87"/>
      <c r="I157" s="90"/>
      <c r="J157" s="87"/>
      <c r="K157" s="87"/>
      <c r="L157" s="90"/>
      <c r="M157" s="87"/>
      <c r="N157" s="87"/>
      <c r="O157" s="90"/>
      <c r="P157" s="87"/>
      <c r="Q157" s="87"/>
      <c r="R157" s="90"/>
      <c r="S157" s="87"/>
      <c r="T157" s="87"/>
      <c r="U157" s="90"/>
      <c r="V157" s="87"/>
      <c r="W157" s="87"/>
      <c r="X157" s="90"/>
      <c r="Y157" s="87"/>
      <c r="Z157" s="87"/>
      <c r="AA157" s="90"/>
      <c r="AB157" s="87"/>
      <c r="AC157" s="87"/>
      <c r="AD157" s="90"/>
      <c r="AE157" s="87"/>
      <c r="AF157" s="87"/>
      <c r="AG157" s="90"/>
    </row>
    <row r="158" spans="1:33" ht="15.75" thickBot="1" x14ac:dyDescent="0.3">
      <c r="A158" s="68"/>
      <c r="B158" s="68"/>
      <c r="D158" s="88"/>
      <c r="E158" s="88"/>
      <c r="F158" s="91"/>
      <c r="G158" s="88"/>
      <c r="H158" s="88"/>
      <c r="I158" s="91"/>
      <c r="J158" s="88"/>
      <c r="K158" s="88"/>
      <c r="L158" s="91"/>
      <c r="M158" s="88"/>
      <c r="N158" s="88"/>
      <c r="O158" s="91"/>
      <c r="P158" s="88"/>
      <c r="Q158" s="88"/>
      <c r="R158" s="91"/>
      <c r="S158" s="88"/>
      <c r="T158" s="88"/>
      <c r="U158" s="91"/>
      <c r="V158" s="88"/>
      <c r="W158" s="88"/>
      <c r="X158" s="91"/>
      <c r="Y158" s="88"/>
      <c r="Z158" s="88"/>
      <c r="AA158" s="91"/>
      <c r="AB158" s="88"/>
      <c r="AC158" s="88"/>
      <c r="AD158" s="91"/>
      <c r="AE158" s="88"/>
      <c r="AF158" s="88"/>
      <c r="AG158" s="91"/>
    </row>
    <row r="160" spans="1:33" ht="15.75" thickBot="1" x14ac:dyDescent="0.3"/>
    <row r="161" spans="1:33" ht="15.75" thickBot="1" x14ac:dyDescent="0.3">
      <c r="A161" s="68" t="s">
        <v>255</v>
      </c>
      <c r="B161" s="68"/>
      <c r="D161" s="52" t="s">
        <v>27</v>
      </c>
      <c r="E161" s="52"/>
      <c r="F161" s="52"/>
      <c r="G161" s="73" t="s">
        <v>28</v>
      </c>
      <c r="H161" s="73"/>
      <c r="I161" s="73"/>
      <c r="J161" s="52" t="s">
        <v>29</v>
      </c>
      <c r="K161" s="52"/>
      <c r="L161" s="52"/>
      <c r="M161" s="73" t="s">
        <v>30</v>
      </c>
      <c r="N161" s="73"/>
      <c r="O161" s="73"/>
      <c r="P161" s="52" t="s">
        <v>31</v>
      </c>
      <c r="Q161" s="52"/>
      <c r="R161" s="52"/>
      <c r="S161" s="73" t="s">
        <v>32</v>
      </c>
      <c r="T161" s="73"/>
      <c r="U161" s="73"/>
      <c r="V161" s="52" t="s">
        <v>33</v>
      </c>
      <c r="W161" s="52"/>
      <c r="X161" s="52"/>
      <c r="Y161" s="73" t="s">
        <v>34</v>
      </c>
      <c r="Z161" s="73"/>
      <c r="AA161" s="73"/>
      <c r="AB161" s="52" t="s">
        <v>35</v>
      </c>
      <c r="AC161" s="52"/>
      <c r="AD161" s="52"/>
      <c r="AE161" s="73" t="s">
        <v>36</v>
      </c>
      <c r="AF161" s="73"/>
      <c r="AG161" s="73"/>
    </row>
    <row r="162" spans="1:33" ht="15.75" thickBot="1" x14ac:dyDescent="0.3">
      <c r="A162" s="68"/>
      <c r="B162" s="68"/>
      <c r="C162" s="105" t="s">
        <v>243</v>
      </c>
      <c r="D162" s="75">
        <v>0</v>
      </c>
      <c r="E162" s="75"/>
      <c r="F162" s="76"/>
      <c r="G162" s="74">
        <v>0</v>
      </c>
      <c r="H162" s="75"/>
      <c r="I162" s="76"/>
      <c r="J162" s="74">
        <v>0</v>
      </c>
      <c r="K162" s="75"/>
      <c r="L162" s="76"/>
      <c r="M162" s="74">
        <v>0</v>
      </c>
      <c r="N162" s="75"/>
      <c r="O162" s="76"/>
      <c r="P162" s="74">
        <v>0</v>
      </c>
      <c r="Q162" s="75"/>
      <c r="R162" s="76"/>
      <c r="S162" s="74">
        <v>0</v>
      </c>
      <c r="T162" s="75"/>
      <c r="U162" s="76"/>
      <c r="V162" s="74">
        <v>0</v>
      </c>
      <c r="W162" s="75"/>
      <c r="X162" s="76"/>
      <c r="Y162" s="74">
        <v>0</v>
      </c>
      <c r="Z162" s="75"/>
      <c r="AA162" s="76"/>
      <c r="AB162" s="74">
        <v>0</v>
      </c>
      <c r="AC162" s="75"/>
      <c r="AD162" s="76"/>
      <c r="AE162" s="74">
        <v>0</v>
      </c>
      <c r="AF162" s="75"/>
      <c r="AG162" s="76"/>
    </row>
    <row r="163" spans="1:33" ht="15.75" thickBot="1" x14ac:dyDescent="0.3">
      <c r="A163" s="68"/>
      <c r="B163" s="68"/>
      <c r="C163" s="106" t="s">
        <v>244</v>
      </c>
      <c r="D163" s="82">
        <v>0</v>
      </c>
      <c r="E163" s="82"/>
      <c r="F163" s="84"/>
      <c r="G163" s="85">
        <v>0</v>
      </c>
      <c r="H163" s="82"/>
      <c r="I163" s="84"/>
      <c r="J163" s="85">
        <v>0</v>
      </c>
      <c r="K163" s="82"/>
      <c r="L163" s="84"/>
      <c r="M163" s="85">
        <v>0</v>
      </c>
      <c r="N163" s="82"/>
      <c r="O163" s="82"/>
      <c r="P163" s="81">
        <v>0</v>
      </c>
      <c r="Q163" s="82"/>
      <c r="R163" s="83"/>
      <c r="S163" s="82">
        <v>0</v>
      </c>
      <c r="T163" s="82"/>
      <c r="U163" s="84"/>
      <c r="V163" s="85">
        <v>0</v>
      </c>
      <c r="W163" s="82"/>
      <c r="X163" s="84"/>
      <c r="Y163" s="85">
        <v>0</v>
      </c>
      <c r="Z163" s="82"/>
      <c r="AA163" s="84"/>
      <c r="AB163" s="85">
        <v>0</v>
      </c>
      <c r="AC163" s="82"/>
      <c r="AD163" s="84"/>
      <c r="AE163" s="85">
        <v>0</v>
      </c>
      <c r="AF163" s="82"/>
      <c r="AG163" s="84"/>
    </row>
    <row r="164" spans="1:33" ht="15.75" thickBot="1" x14ac:dyDescent="0.3">
      <c r="A164" s="68"/>
      <c r="B164" s="68"/>
      <c r="C164" s="107" t="s">
        <v>37</v>
      </c>
      <c r="D164" s="104"/>
      <c r="E164" s="86"/>
      <c r="F164" s="89"/>
      <c r="G164" s="86"/>
      <c r="H164" s="86"/>
      <c r="I164" s="89"/>
      <c r="J164" s="86"/>
      <c r="K164" s="86"/>
      <c r="L164" s="89"/>
      <c r="M164" s="86"/>
      <c r="N164" s="86"/>
      <c r="O164" s="89"/>
      <c r="P164" s="86"/>
      <c r="Q164" s="86"/>
      <c r="R164" s="89"/>
      <c r="S164" s="86"/>
      <c r="T164" s="86"/>
      <c r="U164" s="89"/>
      <c r="V164" s="86"/>
      <c r="W164" s="86"/>
      <c r="X164" s="89"/>
      <c r="Y164" s="86"/>
      <c r="Z164" s="86"/>
      <c r="AA164" s="89"/>
      <c r="AB164" s="86"/>
      <c r="AC164" s="86"/>
      <c r="AD164" s="89"/>
      <c r="AE164" s="86"/>
      <c r="AF164" s="86"/>
      <c r="AG164" s="89"/>
    </row>
    <row r="165" spans="1:33" ht="15.75" thickBot="1" x14ac:dyDescent="0.3">
      <c r="A165" s="68"/>
      <c r="B165" s="68"/>
      <c r="D165" s="87"/>
      <c r="E165" s="87"/>
      <c r="F165" s="90"/>
      <c r="G165" s="87"/>
      <c r="H165" s="87"/>
      <c r="I165" s="90"/>
      <c r="J165" s="87"/>
      <c r="K165" s="87"/>
      <c r="L165" s="90"/>
      <c r="M165" s="87"/>
      <c r="N165" s="87"/>
      <c r="O165" s="90"/>
      <c r="P165" s="87"/>
      <c r="Q165" s="87"/>
      <c r="R165" s="90"/>
      <c r="S165" s="87"/>
      <c r="T165" s="87"/>
      <c r="U165" s="90"/>
      <c r="V165" s="87"/>
      <c r="W165" s="87"/>
      <c r="X165" s="90"/>
      <c r="Y165" s="87"/>
      <c r="Z165" s="87"/>
      <c r="AA165" s="90"/>
      <c r="AB165" s="87"/>
      <c r="AC165" s="87"/>
      <c r="AD165" s="90"/>
      <c r="AE165" s="87"/>
      <c r="AF165" s="87"/>
      <c r="AG165" s="90"/>
    </row>
    <row r="166" spans="1:33" ht="15.75" thickBot="1" x14ac:dyDescent="0.3">
      <c r="A166" s="68"/>
      <c r="B166" s="68"/>
      <c r="D166" s="88"/>
      <c r="E166" s="88"/>
      <c r="F166" s="91"/>
      <c r="G166" s="88"/>
      <c r="H166" s="88"/>
      <c r="I166" s="91"/>
      <c r="J166" s="88"/>
      <c r="K166" s="88"/>
      <c r="L166" s="91"/>
      <c r="M166" s="88"/>
      <c r="N166" s="88"/>
      <c r="O166" s="91"/>
      <c r="P166" s="88"/>
      <c r="Q166" s="88"/>
      <c r="R166" s="91"/>
      <c r="S166" s="88"/>
      <c r="T166" s="88"/>
      <c r="U166" s="91"/>
      <c r="V166" s="88"/>
      <c r="W166" s="88"/>
      <c r="X166" s="91"/>
      <c r="Y166" s="88"/>
      <c r="Z166" s="88"/>
      <c r="AA166" s="91"/>
      <c r="AB166" s="88"/>
      <c r="AC166" s="88"/>
      <c r="AD166" s="91"/>
      <c r="AE166" s="88"/>
      <c r="AF166" s="88"/>
      <c r="AG166" s="91"/>
    </row>
    <row r="168" spans="1:33" ht="15.75" thickBot="1" x14ac:dyDescent="0.3"/>
    <row r="169" spans="1:33" ht="15.75" thickBot="1" x14ac:dyDescent="0.3">
      <c r="A169" s="68" t="s">
        <v>87</v>
      </c>
      <c r="B169" s="68"/>
      <c r="D169" s="52" t="s">
        <v>27</v>
      </c>
      <c r="E169" s="52"/>
      <c r="F169" s="52"/>
      <c r="G169" s="73" t="s">
        <v>28</v>
      </c>
      <c r="H169" s="73"/>
      <c r="I169" s="73"/>
      <c r="J169" s="52" t="s">
        <v>29</v>
      </c>
      <c r="K169" s="52"/>
      <c r="L169" s="52"/>
      <c r="M169" s="73" t="s">
        <v>30</v>
      </c>
      <c r="N169" s="73"/>
      <c r="O169" s="73"/>
      <c r="P169" s="52" t="s">
        <v>31</v>
      </c>
      <c r="Q169" s="52"/>
      <c r="R169" s="52"/>
      <c r="S169" s="73" t="s">
        <v>32</v>
      </c>
      <c r="T169" s="73"/>
      <c r="U169" s="73"/>
      <c r="V169" s="52" t="s">
        <v>33</v>
      </c>
      <c r="W169" s="52"/>
      <c r="X169" s="52"/>
      <c r="Y169" s="73" t="s">
        <v>34</v>
      </c>
      <c r="Z169" s="73"/>
      <c r="AA169" s="73"/>
      <c r="AB169" s="52" t="s">
        <v>35</v>
      </c>
      <c r="AC169" s="52"/>
      <c r="AD169" s="52"/>
      <c r="AE169" s="73" t="s">
        <v>36</v>
      </c>
      <c r="AF169" s="73"/>
      <c r="AG169" s="73"/>
    </row>
    <row r="170" spans="1:33" ht="15.75" thickBot="1" x14ac:dyDescent="0.3">
      <c r="A170" s="68"/>
      <c r="B170" s="68"/>
      <c r="C170" s="105" t="s">
        <v>243</v>
      </c>
      <c r="D170" s="75">
        <v>0</v>
      </c>
      <c r="E170" s="75"/>
      <c r="F170" s="76"/>
      <c r="G170" s="74">
        <v>0</v>
      </c>
      <c r="H170" s="75"/>
      <c r="I170" s="76"/>
      <c r="J170" s="74">
        <v>0</v>
      </c>
      <c r="K170" s="75"/>
      <c r="L170" s="76"/>
      <c r="M170" s="74">
        <v>0</v>
      </c>
      <c r="N170" s="75"/>
      <c r="O170" s="76"/>
      <c r="P170" s="74">
        <v>0</v>
      </c>
      <c r="Q170" s="75"/>
      <c r="R170" s="76"/>
      <c r="S170" s="74">
        <v>0</v>
      </c>
      <c r="T170" s="75"/>
      <c r="U170" s="76"/>
      <c r="V170" s="74">
        <v>0</v>
      </c>
      <c r="W170" s="75"/>
      <c r="X170" s="76"/>
      <c r="Y170" s="74">
        <v>0</v>
      </c>
      <c r="Z170" s="75"/>
      <c r="AA170" s="76"/>
      <c r="AB170" s="74">
        <v>0</v>
      </c>
      <c r="AC170" s="75"/>
      <c r="AD170" s="76"/>
      <c r="AE170" s="74">
        <v>0</v>
      </c>
      <c r="AF170" s="75"/>
      <c r="AG170" s="76"/>
    </row>
    <row r="171" spans="1:33" ht="15.75" thickBot="1" x14ac:dyDescent="0.3">
      <c r="A171" s="68"/>
      <c r="B171" s="68"/>
      <c r="C171" s="106" t="s">
        <v>244</v>
      </c>
      <c r="D171" s="82">
        <v>0</v>
      </c>
      <c r="E171" s="82"/>
      <c r="F171" s="84"/>
      <c r="G171" s="85">
        <v>0</v>
      </c>
      <c r="H171" s="82"/>
      <c r="I171" s="84"/>
      <c r="J171" s="85">
        <v>0</v>
      </c>
      <c r="K171" s="82"/>
      <c r="L171" s="84"/>
      <c r="M171" s="85">
        <v>0</v>
      </c>
      <c r="N171" s="82"/>
      <c r="O171" s="82"/>
      <c r="P171" s="81">
        <v>0</v>
      </c>
      <c r="Q171" s="82"/>
      <c r="R171" s="83"/>
      <c r="S171" s="82">
        <v>0</v>
      </c>
      <c r="T171" s="82"/>
      <c r="U171" s="84"/>
      <c r="V171" s="85">
        <v>0</v>
      </c>
      <c r="W171" s="82"/>
      <c r="X171" s="84"/>
      <c r="Y171" s="85">
        <v>0</v>
      </c>
      <c r="Z171" s="82"/>
      <c r="AA171" s="84"/>
      <c r="AB171" s="85">
        <v>0</v>
      </c>
      <c r="AC171" s="82"/>
      <c r="AD171" s="84"/>
      <c r="AE171" s="85">
        <v>0</v>
      </c>
      <c r="AF171" s="82"/>
      <c r="AG171" s="84"/>
    </row>
    <row r="172" spans="1:33" ht="15.75" thickBot="1" x14ac:dyDescent="0.3">
      <c r="A172" s="68"/>
      <c r="B172" s="68"/>
      <c r="C172" s="107" t="s">
        <v>37</v>
      </c>
      <c r="D172" s="104"/>
      <c r="E172" s="86"/>
      <c r="F172" s="89"/>
      <c r="G172" s="86"/>
      <c r="H172" s="86"/>
      <c r="I172" s="89"/>
      <c r="J172" s="86"/>
      <c r="K172" s="86"/>
      <c r="L172" s="89"/>
      <c r="M172" s="86"/>
      <c r="N172" s="86"/>
      <c r="O172" s="89"/>
      <c r="P172" s="86"/>
      <c r="Q172" s="86"/>
      <c r="R172" s="89"/>
      <c r="S172" s="86"/>
      <c r="T172" s="86"/>
      <c r="U172" s="89"/>
      <c r="V172" s="86"/>
      <c r="W172" s="86"/>
      <c r="X172" s="89"/>
      <c r="Y172" s="86"/>
      <c r="Z172" s="86"/>
      <c r="AA172" s="89"/>
      <c r="AB172" s="86"/>
      <c r="AC172" s="86"/>
      <c r="AD172" s="89"/>
      <c r="AE172" s="86"/>
      <c r="AF172" s="86"/>
      <c r="AG172" s="89"/>
    </row>
    <row r="173" spans="1:33" ht="15.75" thickBot="1" x14ac:dyDescent="0.3">
      <c r="A173" s="68"/>
      <c r="B173" s="68"/>
      <c r="D173" s="87"/>
      <c r="E173" s="87"/>
      <c r="F173" s="90"/>
      <c r="G173" s="87"/>
      <c r="H173" s="87"/>
      <c r="I173" s="90"/>
      <c r="J173" s="87"/>
      <c r="K173" s="87"/>
      <c r="L173" s="90"/>
      <c r="M173" s="87"/>
      <c r="N173" s="87"/>
      <c r="O173" s="90"/>
      <c r="P173" s="87"/>
      <c r="Q173" s="87"/>
      <c r="R173" s="90"/>
      <c r="S173" s="87"/>
      <c r="T173" s="87"/>
      <c r="U173" s="90"/>
      <c r="V173" s="87"/>
      <c r="W173" s="87"/>
      <c r="X173" s="90"/>
      <c r="Y173" s="87"/>
      <c r="Z173" s="87"/>
      <c r="AA173" s="90"/>
      <c r="AB173" s="87"/>
      <c r="AC173" s="87"/>
      <c r="AD173" s="90"/>
      <c r="AE173" s="87"/>
      <c r="AF173" s="87"/>
      <c r="AG173" s="90"/>
    </row>
    <row r="174" spans="1:33" ht="15.75" thickBot="1" x14ac:dyDescent="0.3">
      <c r="A174" s="68"/>
      <c r="B174" s="68"/>
      <c r="D174" s="88"/>
      <c r="E174" s="88"/>
      <c r="F174" s="91"/>
      <c r="G174" s="88"/>
      <c r="H174" s="88"/>
      <c r="I174" s="91"/>
      <c r="J174" s="88"/>
      <c r="K174" s="88"/>
      <c r="L174" s="91"/>
      <c r="M174" s="88"/>
      <c r="N174" s="88"/>
      <c r="O174" s="91"/>
      <c r="P174" s="88"/>
      <c r="Q174" s="88"/>
      <c r="R174" s="91"/>
      <c r="S174" s="88"/>
      <c r="T174" s="88"/>
      <c r="U174" s="91"/>
      <c r="V174" s="88"/>
      <c r="W174" s="88"/>
      <c r="X174" s="91"/>
      <c r="Y174" s="88"/>
      <c r="Z174" s="88"/>
      <c r="AA174" s="91"/>
      <c r="AB174" s="88"/>
      <c r="AC174" s="88"/>
      <c r="AD174" s="91"/>
      <c r="AE174" s="88"/>
      <c r="AF174" s="88"/>
      <c r="AG174" s="91"/>
    </row>
    <row r="176" spans="1:33" ht="15.75" thickBot="1" x14ac:dyDescent="0.3"/>
    <row r="177" spans="1:33" ht="15.75" thickBot="1" x14ac:dyDescent="0.3">
      <c r="A177" s="68" t="s">
        <v>88</v>
      </c>
      <c r="B177" s="68"/>
      <c r="D177" s="52" t="s">
        <v>27</v>
      </c>
      <c r="E177" s="52"/>
      <c r="F177" s="52"/>
      <c r="G177" s="73" t="s">
        <v>28</v>
      </c>
      <c r="H177" s="73"/>
      <c r="I177" s="73"/>
      <c r="J177" s="52" t="s">
        <v>29</v>
      </c>
      <c r="K177" s="52"/>
      <c r="L177" s="52"/>
      <c r="M177" s="73" t="s">
        <v>30</v>
      </c>
      <c r="N177" s="73"/>
      <c r="O177" s="73"/>
      <c r="P177" s="52" t="s">
        <v>31</v>
      </c>
      <c r="Q177" s="52"/>
      <c r="R177" s="52"/>
      <c r="S177" s="73" t="s">
        <v>32</v>
      </c>
      <c r="T177" s="73"/>
      <c r="U177" s="73"/>
      <c r="V177" s="52" t="s">
        <v>33</v>
      </c>
      <c r="W177" s="52"/>
      <c r="X177" s="52"/>
      <c r="Y177" s="73" t="s">
        <v>34</v>
      </c>
      <c r="Z177" s="73"/>
      <c r="AA177" s="73"/>
      <c r="AB177" s="52" t="s">
        <v>35</v>
      </c>
      <c r="AC177" s="52"/>
      <c r="AD177" s="52"/>
      <c r="AE177" s="73" t="s">
        <v>36</v>
      </c>
      <c r="AF177" s="73"/>
      <c r="AG177" s="73"/>
    </row>
    <row r="178" spans="1:33" ht="15.75" thickBot="1" x14ac:dyDescent="0.3">
      <c r="A178" s="68"/>
      <c r="B178" s="68"/>
      <c r="C178" s="105" t="s">
        <v>243</v>
      </c>
      <c r="D178" s="75">
        <v>0</v>
      </c>
      <c r="E178" s="75"/>
      <c r="F178" s="76"/>
      <c r="G178" s="74">
        <v>0</v>
      </c>
      <c r="H178" s="75"/>
      <c r="I178" s="76"/>
      <c r="J178" s="74">
        <v>0</v>
      </c>
      <c r="K178" s="75"/>
      <c r="L178" s="76"/>
      <c r="M178" s="74">
        <v>0</v>
      </c>
      <c r="N178" s="75"/>
      <c r="O178" s="76"/>
      <c r="P178" s="74">
        <v>0</v>
      </c>
      <c r="Q178" s="75"/>
      <c r="R178" s="76"/>
      <c r="S178" s="74">
        <v>0</v>
      </c>
      <c r="T178" s="75"/>
      <c r="U178" s="76"/>
      <c r="V178" s="74">
        <v>0</v>
      </c>
      <c r="W178" s="75"/>
      <c r="X178" s="76"/>
      <c r="Y178" s="74">
        <v>0</v>
      </c>
      <c r="Z178" s="75"/>
      <c r="AA178" s="76"/>
      <c r="AB178" s="74">
        <v>0</v>
      </c>
      <c r="AC178" s="75"/>
      <c r="AD178" s="76"/>
      <c r="AE178" s="74">
        <v>0</v>
      </c>
      <c r="AF178" s="75"/>
      <c r="AG178" s="76"/>
    </row>
    <row r="179" spans="1:33" ht="15.75" thickBot="1" x14ac:dyDescent="0.3">
      <c r="A179" s="68"/>
      <c r="B179" s="68"/>
      <c r="C179" s="106" t="s">
        <v>244</v>
      </c>
      <c r="D179" s="82">
        <v>0</v>
      </c>
      <c r="E179" s="82"/>
      <c r="F179" s="84"/>
      <c r="G179" s="85">
        <v>0</v>
      </c>
      <c r="H179" s="82"/>
      <c r="I179" s="84"/>
      <c r="J179" s="85">
        <v>0</v>
      </c>
      <c r="K179" s="82"/>
      <c r="L179" s="84"/>
      <c r="M179" s="85">
        <v>0</v>
      </c>
      <c r="N179" s="82"/>
      <c r="O179" s="82"/>
      <c r="P179" s="81">
        <v>0</v>
      </c>
      <c r="Q179" s="82"/>
      <c r="R179" s="83"/>
      <c r="S179" s="82">
        <v>0</v>
      </c>
      <c r="T179" s="82"/>
      <c r="U179" s="84"/>
      <c r="V179" s="85">
        <v>0</v>
      </c>
      <c r="W179" s="82"/>
      <c r="X179" s="84"/>
      <c r="Y179" s="85">
        <v>0</v>
      </c>
      <c r="Z179" s="82"/>
      <c r="AA179" s="84"/>
      <c r="AB179" s="85">
        <v>0</v>
      </c>
      <c r="AC179" s="82"/>
      <c r="AD179" s="84"/>
      <c r="AE179" s="85">
        <v>0</v>
      </c>
      <c r="AF179" s="82"/>
      <c r="AG179" s="84"/>
    </row>
    <row r="180" spans="1:33" ht="15.75" thickBot="1" x14ac:dyDescent="0.3">
      <c r="A180" s="68"/>
      <c r="B180" s="68"/>
      <c r="C180" s="107" t="s">
        <v>37</v>
      </c>
      <c r="D180" s="104"/>
      <c r="E180" s="86"/>
      <c r="F180" s="89"/>
      <c r="G180" s="86"/>
      <c r="H180" s="86"/>
      <c r="I180" s="89"/>
      <c r="J180" s="86"/>
      <c r="K180" s="86"/>
      <c r="L180" s="89"/>
      <c r="M180" s="86"/>
      <c r="N180" s="86"/>
      <c r="O180" s="89"/>
      <c r="P180" s="86"/>
      <c r="Q180" s="86"/>
      <c r="R180" s="89"/>
      <c r="S180" s="86"/>
      <c r="T180" s="86"/>
      <c r="U180" s="89"/>
      <c r="V180" s="86"/>
      <c r="W180" s="86"/>
      <c r="X180" s="89"/>
      <c r="Y180" s="86"/>
      <c r="Z180" s="86"/>
      <c r="AA180" s="89"/>
      <c r="AB180" s="86"/>
      <c r="AC180" s="86"/>
      <c r="AD180" s="89"/>
      <c r="AE180" s="86"/>
      <c r="AF180" s="86"/>
      <c r="AG180" s="89"/>
    </row>
    <row r="181" spans="1:33" ht="15.75" thickBot="1" x14ac:dyDescent="0.3">
      <c r="A181" s="68"/>
      <c r="B181" s="68"/>
      <c r="D181" s="87"/>
      <c r="E181" s="87"/>
      <c r="F181" s="90"/>
      <c r="G181" s="87"/>
      <c r="H181" s="87"/>
      <c r="I181" s="90"/>
      <c r="J181" s="87"/>
      <c r="K181" s="87"/>
      <c r="L181" s="90"/>
      <c r="M181" s="87"/>
      <c r="N181" s="87"/>
      <c r="O181" s="90"/>
      <c r="P181" s="87"/>
      <c r="Q181" s="87"/>
      <c r="R181" s="90"/>
      <c r="S181" s="87"/>
      <c r="T181" s="87"/>
      <c r="U181" s="90"/>
      <c r="V181" s="87"/>
      <c r="W181" s="87"/>
      <c r="X181" s="90"/>
      <c r="Y181" s="87"/>
      <c r="Z181" s="87"/>
      <c r="AA181" s="90"/>
      <c r="AB181" s="87"/>
      <c r="AC181" s="87"/>
      <c r="AD181" s="90"/>
      <c r="AE181" s="87"/>
      <c r="AF181" s="87"/>
      <c r="AG181" s="90"/>
    </row>
    <row r="182" spans="1:33" ht="15.75" thickBot="1" x14ac:dyDescent="0.3">
      <c r="A182" s="68"/>
      <c r="B182" s="68"/>
      <c r="D182" s="88"/>
      <c r="E182" s="88"/>
      <c r="F182" s="91"/>
      <c r="G182" s="88"/>
      <c r="H182" s="88"/>
      <c r="I182" s="91"/>
      <c r="J182" s="88"/>
      <c r="K182" s="88"/>
      <c r="L182" s="91"/>
      <c r="M182" s="88"/>
      <c r="N182" s="88"/>
      <c r="O182" s="91"/>
      <c r="P182" s="88"/>
      <c r="Q182" s="88"/>
      <c r="R182" s="91"/>
      <c r="S182" s="88"/>
      <c r="T182" s="88"/>
      <c r="U182" s="91"/>
      <c r="V182" s="88"/>
      <c r="W182" s="88"/>
      <c r="X182" s="91"/>
      <c r="Y182" s="88"/>
      <c r="Z182" s="88"/>
      <c r="AA182" s="91"/>
      <c r="AB182" s="88"/>
      <c r="AC182" s="88"/>
      <c r="AD182" s="91"/>
      <c r="AE182" s="88"/>
      <c r="AF182" s="88"/>
      <c r="AG182" s="91"/>
    </row>
    <row r="184" spans="1:33" ht="15.75" thickBot="1" x14ac:dyDescent="0.3"/>
    <row r="185" spans="1:33" ht="15.75" thickBot="1" x14ac:dyDescent="0.3">
      <c r="A185" s="68" t="s">
        <v>256</v>
      </c>
      <c r="B185" s="68"/>
      <c r="D185" s="52" t="s">
        <v>27</v>
      </c>
      <c r="E185" s="52"/>
      <c r="F185" s="52"/>
      <c r="G185" s="73" t="s">
        <v>28</v>
      </c>
      <c r="H185" s="73"/>
      <c r="I185" s="73"/>
      <c r="J185" s="52" t="s">
        <v>29</v>
      </c>
      <c r="K185" s="52"/>
      <c r="L185" s="52"/>
      <c r="M185" s="73" t="s">
        <v>30</v>
      </c>
      <c r="N185" s="73"/>
      <c r="O185" s="73"/>
      <c r="P185" s="52" t="s">
        <v>31</v>
      </c>
      <c r="Q185" s="52"/>
      <c r="R185" s="52"/>
      <c r="S185" s="73" t="s">
        <v>32</v>
      </c>
      <c r="T185" s="73"/>
      <c r="U185" s="73"/>
      <c r="V185" s="52" t="s">
        <v>33</v>
      </c>
      <c r="W185" s="52"/>
      <c r="X185" s="52"/>
      <c r="Y185" s="73" t="s">
        <v>34</v>
      </c>
      <c r="Z185" s="73"/>
      <c r="AA185" s="73"/>
      <c r="AB185" s="52" t="s">
        <v>35</v>
      </c>
      <c r="AC185" s="52"/>
      <c r="AD185" s="52"/>
      <c r="AE185" s="73" t="s">
        <v>36</v>
      </c>
      <c r="AF185" s="73"/>
      <c r="AG185" s="73"/>
    </row>
    <row r="186" spans="1:33" ht="15.75" thickBot="1" x14ac:dyDescent="0.3">
      <c r="A186" s="68"/>
      <c r="B186" s="68"/>
      <c r="C186" s="105" t="s">
        <v>243</v>
      </c>
      <c r="D186" s="75">
        <v>0</v>
      </c>
      <c r="E186" s="75"/>
      <c r="F186" s="76"/>
      <c r="G186" s="74">
        <v>0</v>
      </c>
      <c r="H186" s="75"/>
      <c r="I186" s="76"/>
      <c r="J186" s="74">
        <v>0</v>
      </c>
      <c r="K186" s="75"/>
      <c r="L186" s="76"/>
      <c r="M186" s="74">
        <v>0</v>
      </c>
      <c r="N186" s="75"/>
      <c r="O186" s="76"/>
      <c r="P186" s="74">
        <v>0</v>
      </c>
      <c r="Q186" s="75"/>
      <c r="R186" s="76"/>
      <c r="S186" s="74">
        <v>0</v>
      </c>
      <c r="T186" s="75"/>
      <c r="U186" s="76"/>
      <c r="V186" s="74">
        <v>0</v>
      </c>
      <c r="W186" s="75"/>
      <c r="X186" s="76"/>
      <c r="Y186" s="74">
        <v>0</v>
      </c>
      <c r="Z186" s="75"/>
      <c r="AA186" s="76"/>
      <c r="AB186" s="74">
        <v>0</v>
      </c>
      <c r="AC186" s="75"/>
      <c r="AD186" s="76"/>
      <c r="AE186" s="74">
        <v>0</v>
      </c>
      <c r="AF186" s="75"/>
      <c r="AG186" s="76"/>
    </row>
    <row r="187" spans="1:33" ht="15.75" thickBot="1" x14ac:dyDescent="0.3">
      <c r="A187" s="68"/>
      <c r="B187" s="68"/>
      <c r="C187" s="106" t="s">
        <v>244</v>
      </c>
      <c r="D187" s="82">
        <v>0</v>
      </c>
      <c r="E187" s="82"/>
      <c r="F187" s="84"/>
      <c r="G187" s="85">
        <v>0</v>
      </c>
      <c r="H187" s="82"/>
      <c r="I187" s="84"/>
      <c r="J187" s="85">
        <v>0</v>
      </c>
      <c r="K187" s="82"/>
      <c r="L187" s="84"/>
      <c r="M187" s="85">
        <v>0</v>
      </c>
      <c r="N187" s="82"/>
      <c r="O187" s="82"/>
      <c r="P187" s="81">
        <v>0</v>
      </c>
      <c r="Q187" s="82"/>
      <c r="R187" s="83"/>
      <c r="S187" s="82">
        <v>0</v>
      </c>
      <c r="T187" s="82"/>
      <c r="U187" s="84"/>
      <c r="V187" s="85">
        <v>0</v>
      </c>
      <c r="W187" s="82"/>
      <c r="X187" s="84"/>
      <c r="Y187" s="85">
        <v>0</v>
      </c>
      <c r="Z187" s="82"/>
      <c r="AA187" s="84"/>
      <c r="AB187" s="85">
        <v>0</v>
      </c>
      <c r="AC187" s="82"/>
      <c r="AD187" s="84"/>
      <c r="AE187" s="85">
        <v>0</v>
      </c>
      <c r="AF187" s="82"/>
      <c r="AG187" s="84"/>
    </row>
    <row r="188" spans="1:33" ht="15.75" thickBot="1" x14ac:dyDescent="0.3">
      <c r="A188" s="68"/>
      <c r="B188" s="68"/>
      <c r="C188" s="107" t="s">
        <v>37</v>
      </c>
      <c r="D188" s="104"/>
      <c r="E188" s="86"/>
      <c r="F188" s="89"/>
      <c r="G188" s="86"/>
      <c r="H188" s="86"/>
      <c r="I188" s="89"/>
      <c r="J188" s="86"/>
      <c r="K188" s="86"/>
      <c r="L188" s="89"/>
      <c r="M188" s="86"/>
      <c r="N188" s="86"/>
      <c r="O188" s="89"/>
      <c r="P188" s="86"/>
      <c r="Q188" s="86"/>
      <c r="R188" s="89"/>
      <c r="S188" s="86"/>
      <c r="T188" s="86"/>
      <c r="U188" s="89"/>
      <c r="V188" s="86"/>
      <c r="W188" s="86"/>
      <c r="X188" s="89"/>
      <c r="Y188" s="86"/>
      <c r="Z188" s="86"/>
      <c r="AA188" s="89"/>
      <c r="AB188" s="86"/>
      <c r="AC188" s="86"/>
      <c r="AD188" s="89"/>
      <c r="AE188" s="86"/>
      <c r="AF188" s="86"/>
      <c r="AG188" s="89"/>
    </row>
    <row r="189" spans="1:33" ht="15.75" thickBot="1" x14ac:dyDescent="0.3">
      <c r="A189" s="68"/>
      <c r="B189" s="68"/>
      <c r="D189" s="87"/>
      <c r="E189" s="87"/>
      <c r="F189" s="90"/>
      <c r="G189" s="87"/>
      <c r="H189" s="87"/>
      <c r="I189" s="90"/>
      <c r="J189" s="87"/>
      <c r="K189" s="87"/>
      <c r="L189" s="90"/>
      <c r="M189" s="87"/>
      <c r="N189" s="87"/>
      <c r="O189" s="90"/>
      <c r="P189" s="87"/>
      <c r="Q189" s="87"/>
      <c r="R189" s="90"/>
      <c r="S189" s="87"/>
      <c r="T189" s="87"/>
      <c r="U189" s="90"/>
      <c r="V189" s="87"/>
      <c r="W189" s="87"/>
      <c r="X189" s="90"/>
      <c r="Y189" s="87"/>
      <c r="Z189" s="87"/>
      <c r="AA189" s="90"/>
      <c r="AB189" s="87"/>
      <c r="AC189" s="87"/>
      <c r="AD189" s="90"/>
      <c r="AE189" s="87"/>
      <c r="AF189" s="87"/>
      <c r="AG189" s="90"/>
    </row>
    <row r="190" spans="1:33" ht="15.75" thickBot="1" x14ac:dyDescent="0.3">
      <c r="A190" s="68"/>
      <c r="B190" s="68"/>
      <c r="D190" s="88"/>
      <c r="E190" s="88"/>
      <c r="F190" s="91"/>
      <c r="G190" s="88"/>
      <c r="H190" s="88"/>
      <c r="I190" s="91"/>
      <c r="J190" s="88"/>
      <c r="K190" s="88"/>
      <c r="L190" s="91"/>
      <c r="M190" s="88"/>
      <c r="N190" s="88"/>
      <c r="O190" s="91"/>
      <c r="P190" s="88"/>
      <c r="Q190" s="88"/>
      <c r="R190" s="91"/>
      <c r="S190" s="88"/>
      <c r="T190" s="88"/>
      <c r="U190" s="91"/>
      <c r="V190" s="88"/>
      <c r="W190" s="88"/>
      <c r="X190" s="91"/>
      <c r="Y190" s="88"/>
      <c r="Z190" s="88"/>
      <c r="AA190" s="91"/>
      <c r="AB190" s="88"/>
      <c r="AC190" s="88"/>
      <c r="AD190" s="91"/>
      <c r="AE190" s="88"/>
      <c r="AF190" s="88"/>
      <c r="AG190" s="91"/>
    </row>
    <row r="192" spans="1:33" ht="15.75" thickBot="1" x14ac:dyDescent="0.3"/>
    <row r="193" spans="1:33" ht="15.75" thickBot="1" x14ac:dyDescent="0.3">
      <c r="A193" s="68" t="s">
        <v>89</v>
      </c>
      <c r="B193" s="68"/>
      <c r="D193" s="52" t="s">
        <v>27</v>
      </c>
      <c r="E193" s="52"/>
      <c r="F193" s="52"/>
      <c r="G193" s="73" t="s">
        <v>28</v>
      </c>
      <c r="H193" s="73"/>
      <c r="I193" s="73"/>
      <c r="J193" s="52" t="s">
        <v>29</v>
      </c>
      <c r="K193" s="52"/>
      <c r="L193" s="52"/>
      <c r="M193" s="73" t="s">
        <v>30</v>
      </c>
      <c r="N193" s="73"/>
      <c r="O193" s="73"/>
      <c r="P193" s="52" t="s">
        <v>31</v>
      </c>
      <c r="Q193" s="52"/>
      <c r="R193" s="52"/>
      <c r="S193" s="73" t="s">
        <v>32</v>
      </c>
      <c r="T193" s="73"/>
      <c r="U193" s="73"/>
      <c r="V193" s="52" t="s">
        <v>33</v>
      </c>
      <c r="W193" s="52"/>
      <c r="X193" s="52"/>
      <c r="Y193" s="73" t="s">
        <v>34</v>
      </c>
      <c r="Z193" s="73"/>
      <c r="AA193" s="73"/>
      <c r="AB193" s="52" t="s">
        <v>35</v>
      </c>
      <c r="AC193" s="52"/>
      <c r="AD193" s="52"/>
      <c r="AE193" s="73" t="s">
        <v>36</v>
      </c>
      <c r="AF193" s="73"/>
      <c r="AG193" s="73"/>
    </row>
    <row r="194" spans="1:33" ht="15.75" thickBot="1" x14ac:dyDescent="0.3">
      <c r="A194" s="68"/>
      <c r="B194" s="68"/>
      <c r="C194" s="105" t="s">
        <v>243</v>
      </c>
      <c r="D194" s="75">
        <v>0</v>
      </c>
      <c r="E194" s="75"/>
      <c r="F194" s="76"/>
      <c r="G194" s="74">
        <v>0</v>
      </c>
      <c r="H194" s="75"/>
      <c r="I194" s="76"/>
      <c r="J194" s="74">
        <v>0</v>
      </c>
      <c r="K194" s="75"/>
      <c r="L194" s="76"/>
      <c r="M194" s="74">
        <v>0</v>
      </c>
      <c r="N194" s="75"/>
      <c r="O194" s="76"/>
      <c r="P194" s="74">
        <v>0</v>
      </c>
      <c r="Q194" s="75"/>
      <c r="R194" s="76"/>
      <c r="S194" s="74">
        <v>0</v>
      </c>
      <c r="T194" s="75"/>
      <c r="U194" s="76"/>
      <c r="V194" s="74">
        <v>0</v>
      </c>
      <c r="W194" s="75"/>
      <c r="X194" s="76"/>
      <c r="Y194" s="74">
        <v>0</v>
      </c>
      <c r="Z194" s="75"/>
      <c r="AA194" s="76"/>
      <c r="AB194" s="74">
        <v>0</v>
      </c>
      <c r="AC194" s="75"/>
      <c r="AD194" s="76"/>
      <c r="AE194" s="74">
        <v>0</v>
      </c>
      <c r="AF194" s="75"/>
      <c r="AG194" s="76"/>
    </row>
    <row r="195" spans="1:33" ht="15.75" thickBot="1" x14ac:dyDescent="0.3">
      <c r="A195" s="68"/>
      <c r="B195" s="68"/>
      <c r="C195" s="106" t="s">
        <v>244</v>
      </c>
      <c r="D195" s="82">
        <v>0</v>
      </c>
      <c r="E195" s="82"/>
      <c r="F195" s="84"/>
      <c r="G195" s="85">
        <v>0</v>
      </c>
      <c r="H195" s="82"/>
      <c r="I195" s="84"/>
      <c r="J195" s="85">
        <v>0</v>
      </c>
      <c r="K195" s="82"/>
      <c r="L195" s="84"/>
      <c r="M195" s="85">
        <v>0</v>
      </c>
      <c r="N195" s="82"/>
      <c r="O195" s="82"/>
      <c r="P195" s="81">
        <v>0</v>
      </c>
      <c r="Q195" s="82"/>
      <c r="R195" s="83"/>
      <c r="S195" s="82">
        <v>0</v>
      </c>
      <c r="T195" s="82"/>
      <c r="U195" s="84"/>
      <c r="V195" s="85">
        <v>0</v>
      </c>
      <c r="W195" s="82"/>
      <c r="X195" s="84"/>
      <c r="Y195" s="85">
        <v>0</v>
      </c>
      <c r="Z195" s="82"/>
      <c r="AA195" s="84"/>
      <c r="AB195" s="85">
        <v>0</v>
      </c>
      <c r="AC195" s="82"/>
      <c r="AD195" s="84"/>
      <c r="AE195" s="85">
        <v>0</v>
      </c>
      <c r="AF195" s="82"/>
      <c r="AG195" s="84"/>
    </row>
    <row r="196" spans="1:33" ht="15.75" thickBot="1" x14ac:dyDescent="0.3">
      <c r="A196" s="68"/>
      <c r="B196" s="68"/>
      <c r="C196" s="107" t="s">
        <v>37</v>
      </c>
      <c r="D196" s="104"/>
      <c r="E196" s="86"/>
      <c r="F196" s="89"/>
      <c r="G196" s="86"/>
      <c r="H196" s="86"/>
      <c r="I196" s="89"/>
      <c r="J196" s="86"/>
      <c r="K196" s="86"/>
      <c r="L196" s="89"/>
      <c r="M196" s="86"/>
      <c r="N196" s="86"/>
      <c r="O196" s="89"/>
      <c r="P196" s="86"/>
      <c r="Q196" s="86"/>
      <c r="R196" s="89"/>
      <c r="S196" s="86"/>
      <c r="T196" s="86"/>
      <c r="U196" s="89"/>
      <c r="V196" s="86"/>
      <c r="W196" s="86"/>
      <c r="X196" s="89"/>
      <c r="Y196" s="86"/>
      <c r="Z196" s="86"/>
      <c r="AA196" s="89"/>
      <c r="AB196" s="86"/>
      <c r="AC196" s="86"/>
      <c r="AD196" s="89"/>
      <c r="AE196" s="86"/>
      <c r="AF196" s="86"/>
      <c r="AG196" s="89"/>
    </row>
    <row r="197" spans="1:33" ht="15.75" thickBot="1" x14ac:dyDescent="0.3">
      <c r="A197" s="68"/>
      <c r="B197" s="68"/>
      <c r="D197" s="87"/>
      <c r="E197" s="87"/>
      <c r="F197" s="90"/>
      <c r="G197" s="87"/>
      <c r="H197" s="87"/>
      <c r="I197" s="90"/>
      <c r="J197" s="87"/>
      <c r="K197" s="87"/>
      <c r="L197" s="90"/>
      <c r="M197" s="87"/>
      <c r="N197" s="87"/>
      <c r="O197" s="90"/>
      <c r="P197" s="87"/>
      <c r="Q197" s="87"/>
      <c r="R197" s="90"/>
      <c r="S197" s="87"/>
      <c r="T197" s="87"/>
      <c r="U197" s="90"/>
      <c r="V197" s="87"/>
      <c r="W197" s="87"/>
      <c r="X197" s="90"/>
      <c r="Y197" s="87"/>
      <c r="Z197" s="87"/>
      <c r="AA197" s="90"/>
      <c r="AB197" s="87"/>
      <c r="AC197" s="87"/>
      <c r="AD197" s="90"/>
      <c r="AE197" s="87"/>
      <c r="AF197" s="87"/>
      <c r="AG197" s="90"/>
    </row>
    <row r="198" spans="1:33" ht="15.75" thickBot="1" x14ac:dyDescent="0.3">
      <c r="A198" s="68"/>
      <c r="B198" s="68"/>
      <c r="D198" s="88"/>
      <c r="E198" s="88"/>
      <c r="F198" s="91"/>
      <c r="G198" s="88"/>
      <c r="H198" s="88"/>
      <c r="I198" s="91"/>
      <c r="J198" s="88"/>
      <c r="K198" s="88"/>
      <c r="L198" s="91"/>
      <c r="M198" s="88"/>
      <c r="N198" s="88"/>
      <c r="O198" s="91"/>
      <c r="P198" s="88"/>
      <c r="Q198" s="88"/>
      <c r="R198" s="91"/>
      <c r="S198" s="88"/>
      <c r="T198" s="88"/>
      <c r="U198" s="91"/>
      <c r="V198" s="88"/>
      <c r="W198" s="88"/>
      <c r="X198" s="91"/>
      <c r="Y198" s="88"/>
      <c r="Z198" s="88"/>
      <c r="AA198" s="91"/>
      <c r="AB198" s="88"/>
      <c r="AC198" s="88"/>
      <c r="AD198" s="91"/>
      <c r="AE198" s="88"/>
      <c r="AF198" s="88"/>
      <c r="AG198" s="91"/>
    </row>
    <row r="200" spans="1:33" ht="15.75" thickBot="1" x14ac:dyDescent="0.3"/>
    <row r="201" spans="1:33" ht="15.75" thickBot="1" x14ac:dyDescent="0.3">
      <c r="A201" s="68" t="s">
        <v>90</v>
      </c>
      <c r="B201" s="68"/>
      <c r="D201" s="52" t="s">
        <v>27</v>
      </c>
      <c r="E201" s="52"/>
      <c r="F201" s="52"/>
      <c r="G201" s="73" t="s">
        <v>28</v>
      </c>
      <c r="H201" s="73"/>
      <c r="I201" s="73"/>
      <c r="J201" s="52" t="s">
        <v>29</v>
      </c>
      <c r="K201" s="52"/>
      <c r="L201" s="52"/>
      <c r="M201" s="73" t="s">
        <v>30</v>
      </c>
      <c r="N201" s="73"/>
      <c r="O201" s="73"/>
      <c r="P201" s="52" t="s">
        <v>31</v>
      </c>
      <c r="Q201" s="52"/>
      <c r="R201" s="52"/>
      <c r="S201" s="73" t="s">
        <v>32</v>
      </c>
      <c r="T201" s="73"/>
      <c r="U201" s="73"/>
      <c r="V201" s="52" t="s">
        <v>33</v>
      </c>
      <c r="W201" s="52"/>
      <c r="X201" s="52"/>
      <c r="Y201" s="73" t="s">
        <v>34</v>
      </c>
      <c r="Z201" s="73"/>
      <c r="AA201" s="73"/>
      <c r="AB201" s="52" t="s">
        <v>35</v>
      </c>
      <c r="AC201" s="52"/>
      <c r="AD201" s="52"/>
      <c r="AE201" s="73" t="s">
        <v>36</v>
      </c>
      <c r="AF201" s="73"/>
      <c r="AG201" s="73"/>
    </row>
    <row r="202" spans="1:33" ht="15.75" thickBot="1" x14ac:dyDescent="0.3">
      <c r="A202" s="68"/>
      <c r="B202" s="68"/>
      <c r="C202" s="105" t="s">
        <v>243</v>
      </c>
      <c r="D202" s="75">
        <v>0</v>
      </c>
      <c r="E202" s="75"/>
      <c r="F202" s="76"/>
      <c r="G202" s="74">
        <v>0</v>
      </c>
      <c r="H202" s="75"/>
      <c r="I202" s="76"/>
      <c r="J202" s="74">
        <v>0</v>
      </c>
      <c r="K202" s="75"/>
      <c r="L202" s="76"/>
      <c r="M202" s="74">
        <v>0</v>
      </c>
      <c r="N202" s="75"/>
      <c r="O202" s="76"/>
      <c r="P202" s="74">
        <v>0</v>
      </c>
      <c r="Q202" s="75"/>
      <c r="R202" s="76"/>
      <c r="S202" s="74">
        <v>0</v>
      </c>
      <c r="T202" s="75"/>
      <c r="U202" s="76"/>
      <c r="V202" s="74">
        <v>0</v>
      </c>
      <c r="W202" s="75"/>
      <c r="X202" s="76"/>
      <c r="Y202" s="74">
        <v>0</v>
      </c>
      <c r="Z202" s="75"/>
      <c r="AA202" s="76"/>
      <c r="AB202" s="74">
        <v>0</v>
      </c>
      <c r="AC202" s="75"/>
      <c r="AD202" s="76"/>
      <c r="AE202" s="74">
        <v>0</v>
      </c>
      <c r="AF202" s="75"/>
      <c r="AG202" s="76"/>
    </row>
    <row r="203" spans="1:33" ht="15.75" thickBot="1" x14ac:dyDescent="0.3">
      <c r="A203" s="68"/>
      <c r="B203" s="68"/>
      <c r="C203" s="106" t="s">
        <v>244</v>
      </c>
      <c r="D203" s="82">
        <v>0</v>
      </c>
      <c r="E203" s="82"/>
      <c r="F203" s="84"/>
      <c r="G203" s="85">
        <v>0</v>
      </c>
      <c r="H203" s="82"/>
      <c r="I203" s="84"/>
      <c r="J203" s="85">
        <v>0</v>
      </c>
      <c r="K203" s="82"/>
      <c r="L203" s="84"/>
      <c r="M203" s="85">
        <v>0</v>
      </c>
      <c r="N203" s="82"/>
      <c r="O203" s="82"/>
      <c r="P203" s="81">
        <v>0</v>
      </c>
      <c r="Q203" s="82"/>
      <c r="R203" s="83"/>
      <c r="S203" s="82">
        <v>0</v>
      </c>
      <c r="T203" s="82"/>
      <c r="U203" s="84"/>
      <c r="V203" s="85">
        <v>0</v>
      </c>
      <c r="W203" s="82"/>
      <c r="X203" s="84"/>
      <c r="Y203" s="85">
        <v>0</v>
      </c>
      <c r="Z203" s="82"/>
      <c r="AA203" s="84"/>
      <c r="AB203" s="85">
        <v>0</v>
      </c>
      <c r="AC203" s="82"/>
      <c r="AD203" s="84"/>
      <c r="AE203" s="85">
        <v>0</v>
      </c>
      <c r="AF203" s="82"/>
      <c r="AG203" s="84"/>
    </row>
    <row r="204" spans="1:33" ht="15.75" thickBot="1" x14ac:dyDescent="0.3">
      <c r="A204" s="68"/>
      <c r="B204" s="68"/>
      <c r="C204" s="107" t="s">
        <v>37</v>
      </c>
      <c r="D204" s="104"/>
      <c r="E204" s="86"/>
      <c r="F204" s="89"/>
      <c r="G204" s="86"/>
      <c r="H204" s="86"/>
      <c r="I204" s="89"/>
      <c r="J204" s="86"/>
      <c r="K204" s="86"/>
      <c r="L204" s="89"/>
      <c r="M204" s="86"/>
      <c r="N204" s="86"/>
      <c r="O204" s="89"/>
      <c r="P204" s="86"/>
      <c r="Q204" s="86"/>
      <c r="R204" s="89"/>
      <c r="S204" s="86"/>
      <c r="T204" s="86"/>
      <c r="U204" s="89"/>
      <c r="V204" s="86"/>
      <c r="W204" s="86"/>
      <c r="X204" s="89"/>
      <c r="Y204" s="86"/>
      <c r="Z204" s="86"/>
      <c r="AA204" s="89"/>
      <c r="AB204" s="86"/>
      <c r="AC204" s="86"/>
      <c r="AD204" s="89"/>
      <c r="AE204" s="86"/>
      <c r="AF204" s="86"/>
      <c r="AG204" s="89"/>
    </row>
    <row r="205" spans="1:33" ht="15.75" thickBot="1" x14ac:dyDescent="0.3">
      <c r="A205" s="68"/>
      <c r="B205" s="68"/>
      <c r="D205" s="87"/>
      <c r="E205" s="87"/>
      <c r="F205" s="90"/>
      <c r="G205" s="87"/>
      <c r="H205" s="87"/>
      <c r="I205" s="90"/>
      <c r="J205" s="87"/>
      <c r="K205" s="87"/>
      <c r="L205" s="90"/>
      <c r="M205" s="87"/>
      <c r="N205" s="87"/>
      <c r="O205" s="90"/>
      <c r="P205" s="87"/>
      <c r="Q205" s="87"/>
      <c r="R205" s="90"/>
      <c r="S205" s="87"/>
      <c r="T205" s="87"/>
      <c r="U205" s="90"/>
      <c r="V205" s="87"/>
      <c r="W205" s="87"/>
      <c r="X205" s="90"/>
      <c r="Y205" s="87"/>
      <c r="Z205" s="87"/>
      <c r="AA205" s="90"/>
      <c r="AB205" s="87"/>
      <c r="AC205" s="87"/>
      <c r="AD205" s="90"/>
      <c r="AE205" s="87"/>
      <c r="AF205" s="87"/>
      <c r="AG205" s="90"/>
    </row>
    <row r="206" spans="1:33" ht="15.75" thickBot="1" x14ac:dyDescent="0.3">
      <c r="A206" s="68"/>
      <c r="B206" s="68"/>
      <c r="D206" s="88"/>
      <c r="E206" s="88"/>
      <c r="F206" s="91"/>
      <c r="G206" s="88"/>
      <c r="H206" s="88"/>
      <c r="I206" s="91"/>
      <c r="J206" s="88"/>
      <c r="K206" s="88"/>
      <c r="L206" s="91"/>
      <c r="M206" s="88"/>
      <c r="N206" s="88"/>
      <c r="O206" s="91"/>
      <c r="P206" s="88"/>
      <c r="Q206" s="88"/>
      <c r="R206" s="91"/>
      <c r="S206" s="88"/>
      <c r="T206" s="88"/>
      <c r="U206" s="91"/>
      <c r="V206" s="88"/>
      <c r="W206" s="88"/>
      <c r="X206" s="91"/>
      <c r="Y206" s="88"/>
      <c r="Z206" s="88"/>
      <c r="AA206" s="91"/>
      <c r="AB206" s="88"/>
      <c r="AC206" s="88"/>
      <c r="AD206" s="91"/>
      <c r="AE206" s="88"/>
      <c r="AF206" s="88"/>
      <c r="AG206" s="91"/>
    </row>
    <row r="208" spans="1:33" ht="15.75" thickBot="1" x14ac:dyDescent="0.3"/>
    <row r="209" spans="1:33" ht="15.75" thickBot="1" x14ac:dyDescent="0.3">
      <c r="A209" s="68" t="s">
        <v>91</v>
      </c>
      <c r="B209" s="68"/>
      <c r="D209" s="52" t="s">
        <v>27</v>
      </c>
      <c r="E209" s="52"/>
      <c r="F209" s="52"/>
      <c r="G209" s="73" t="s">
        <v>28</v>
      </c>
      <c r="H209" s="73"/>
      <c r="I209" s="73"/>
      <c r="J209" s="52" t="s">
        <v>29</v>
      </c>
      <c r="K209" s="52"/>
      <c r="L209" s="52"/>
      <c r="M209" s="73" t="s">
        <v>30</v>
      </c>
      <c r="N209" s="73"/>
      <c r="O209" s="73"/>
      <c r="P209" s="52" t="s">
        <v>31</v>
      </c>
      <c r="Q209" s="52"/>
      <c r="R209" s="52"/>
      <c r="S209" s="73" t="s">
        <v>32</v>
      </c>
      <c r="T209" s="73"/>
      <c r="U209" s="73"/>
      <c r="V209" s="52" t="s">
        <v>33</v>
      </c>
      <c r="W209" s="52"/>
      <c r="X209" s="52"/>
      <c r="Y209" s="73" t="s">
        <v>34</v>
      </c>
      <c r="Z209" s="73"/>
      <c r="AA209" s="73"/>
      <c r="AB209" s="52" t="s">
        <v>35</v>
      </c>
      <c r="AC209" s="52"/>
      <c r="AD209" s="52"/>
      <c r="AE209" s="73" t="s">
        <v>36</v>
      </c>
      <c r="AF209" s="73"/>
      <c r="AG209" s="73"/>
    </row>
    <row r="210" spans="1:33" ht="15.75" thickBot="1" x14ac:dyDescent="0.3">
      <c r="A210" s="68"/>
      <c r="B210" s="68"/>
      <c r="C210" s="105" t="s">
        <v>243</v>
      </c>
      <c r="D210" s="75">
        <v>0</v>
      </c>
      <c r="E210" s="75"/>
      <c r="F210" s="76"/>
      <c r="G210" s="74">
        <v>0</v>
      </c>
      <c r="H210" s="75"/>
      <c r="I210" s="76"/>
      <c r="J210" s="74">
        <v>0</v>
      </c>
      <c r="K210" s="75"/>
      <c r="L210" s="76"/>
      <c r="M210" s="74">
        <v>0</v>
      </c>
      <c r="N210" s="75"/>
      <c r="O210" s="76"/>
      <c r="P210" s="74">
        <v>0</v>
      </c>
      <c r="Q210" s="75"/>
      <c r="R210" s="76"/>
      <c r="S210" s="74">
        <v>0</v>
      </c>
      <c r="T210" s="75"/>
      <c r="U210" s="76"/>
      <c r="V210" s="74">
        <v>0</v>
      </c>
      <c r="W210" s="75"/>
      <c r="X210" s="76"/>
      <c r="Y210" s="74">
        <v>0</v>
      </c>
      <c r="Z210" s="75"/>
      <c r="AA210" s="76"/>
      <c r="AB210" s="74">
        <v>0</v>
      </c>
      <c r="AC210" s="75"/>
      <c r="AD210" s="76"/>
      <c r="AE210" s="74">
        <v>0</v>
      </c>
      <c r="AF210" s="75"/>
      <c r="AG210" s="76"/>
    </row>
    <row r="211" spans="1:33" ht="15.75" thickBot="1" x14ac:dyDescent="0.3">
      <c r="A211" s="68"/>
      <c r="B211" s="68"/>
      <c r="C211" s="106" t="s">
        <v>244</v>
      </c>
      <c r="D211" s="82">
        <v>0</v>
      </c>
      <c r="E211" s="82"/>
      <c r="F211" s="84"/>
      <c r="G211" s="85">
        <v>0</v>
      </c>
      <c r="H211" s="82"/>
      <c r="I211" s="84"/>
      <c r="J211" s="85">
        <v>0</v>
      </c>
      <c r="K211" s="82"/>
      <c r="L211" s="84"/>
      <c r="M211" s="85">
        <v>0</v>
      </c>
      <c r="N211" s="82"/>
      <c r="O211" s="82"/>
      <c r="P211" s="81">
        <v>0</v>
      </c>
      <c r="Q211" s="82"/>
      <c r="R211" s="83"/>
      <c r="S211" s="82">
        <v>0</v>
      </c>
      <c r="T211" s="82"/>
      <c r="U211" s="84"/>
      <c r="V211" s="85">
        <v>0</v>
      </c>
      <c r="W211" s="82"/>
      <c r="X211" s="84"/>
      <c r="Y211" s="85">
        <v>0</v>
      </c>
      <c r="Z211" s="82"/>
      <c r="AA211" s="84"/>
      <c r="AB211" s="85">
        <v>0</v>
      </c>
      <c r="AC211" s="82"/>
      <c r="AD211" s="84"/>
      <c r="AE211" s="85">
        <v>0</v>
      </c>
      <c r="AF211" s="82"/>
      <c r="AG211" s="84"/>
    </row>
    <row r="212" spans="1:33" ht="15.75" thickBot="1" x14ac:dyDescent="0.3">
      <c r="A212" s="68"/>
      <c r="B212" s="68"/>
      <c r="C212" s="107" t="s">
        <v>37</v>
      </c>
      <c r="D212" s="104"/>
      <c r="E212" s="86"/>
      <c r="F212" s="89"/>
      <c r="G212" s="86"/>
      <c r="H212" s="86"/>
      <c r="I212" s="89"/>
      <c r="J212" s="86"/>
      <c r="K212" s="86"/>
      <c r="L212" s="89"/>
      <c r="M212" s="86"/>
      <c r="N212" s="86"/>
      <c r="O212" s="89"/>
      <c r="P212" s="86"/>
      <c r="Q212" s="86"/>
      <c r="R212" s="89"/>
      <c r="S212" s="86"/>
      <c r="T212" s="86"/>
      <c r="U212" s="89"/>
      <c r="V212" s="86"/>
      <c r="W212" s="86"/>
      <c r="X212" s="89"/>
      <c r="Y212" s="86"/>
      <c r="Z212" s="86"/>
      <c r="AA212" s="89"/>
      <c r="AB212" s="86"/>
      <c r="AC212" s="86"/>
      <c r="AD212" s="89"/>
      <c r="AE212" s="86"/>
      <c r="AF212" s="86"/>
      <c r="AG212" s="89"/>
    </row>
    <row r="213" spans="1:33" ht="15.75" thickBot="1" x14ac:dyDescent="0.3">
      <c r="A213" s="68"/>
      <c r="B213" s="68"/>
      <c r="D213" s="87"/>
      <c r="E213" s="87"/>
      <c r="F213" s="90"/>
      <c r="G213" s="87"/>
      <c r="H213" s="87"/>
      <c r="I213" s="90"/>
      <c r="J213" s="87"/>
      <c r="K213" s="87"/>
      <c r="L213" s="90"/>
      <c r="M213" s="87"/>
      <c r="N213" s="87"/>
      <c r="O213" s="90"/>
      <c r="P213" s="87"/>
      <c r="Q213" s="87"/>
      <c r="R213" s="90"/>
      <c r="S213" s="87"/>
      <c r="T213" s="87"/>
      <c r="U213" s="90"/>
      <c r="V213" s="87"/>
      <c r="W213" s="87"/>
      <c r="X213" s="90"/>
      <c r="Y213" s="87"/>
      <c r="Z213" s="87"/>
      <c r="AA213" s="90"/>
      <c r="AB213" s="87"/>
      <c r="AC213" s="87"/>
      <c r="AD213" s="90"/>
      <c r="AE213" s="87"/>
      <c r="AF213" s="87"/>
      <c r="AG213" s="90"/>
    </row>
    <row r="214" spans="1:33" ht="15.75" thickBot="1" x14ac:dyDescent="0.3">
      <c r="A214" s="68"/>
      <c r="B214" s="68"/>
      <c r="D214" s="88"/>
      <c r="E214" s="88"/>
      <c r="F214" s="91"/>
      <c r="G214" s="88"/>
      <c r="H214" s="88"/>
      <c r="I214" s="91"/>
      <c r="J214" s="88"/>
      <c r="K214" s="88"/>
      <c r="L214" s="91"/>
      <c r="M214" s="88"/>
      <c r="N214" s="88"/>
      <c r="O214" s="91"/>
      <c r="P214" s="88"/>
      <c r="Q214" s="88"/>
      <c r="R214" s="91"/>
      <c r="S214" s="88"/>
      <c r="T214" s="88"/>
      <c r="U214" s="91"/>
      <c r="V214" s="88"/>
      <c r="W214" s="88"/>
      <c r="X214" s="91"/>
      <c r="Y214" s="88"/>
      <c r="Z214" s="88"/>
      <c r="AA214" s="91"/>
      <c r="AB214" s="88"/>
      <c r="AC214" s="88"/>
      <c r="AD214" s="91"/>
      <c r="AE214" s="88"/>
      <c r="AF214" s="88"/>
      <c r="AG214" s="91"/>
    </row>
    <row r="216" spans="1:33" ht="15.75" thickBot="1" x14ac:dyDescent="0.3"/>
    <row r="217" spans="1:33" ht="15.75" thickBot="1" x14ac:dyDescent="0.3">
      <c r="A217" s="68" t="s">
        <v>257</v>
      </c>
      <c r="B217" s="68"/>
      <c r="D217" s="52" t="s">
        <v>27</v>
      </c>
      <c r="E217" s="52"/>
      <c r="F217" s="52"/>
      <c r="G217" s="73" t="s">
        <v>28</v>
      </c>
      <c r="H217" s="73"/>
      <c r="I217" s="73"/>
      <c r="J217" s="52" t="s">
        <v>29</v>
      </c>
      <c r="K217" s="52"/>
      <c r="L217" s="52"/>
      <c r="M217" s="73" t="s">
        <v>30</v>
      </c>
      <c r="N217" s="73"/>
      <c r="O217" s="73"/>
      <c r="P217" s="52" t="s">
        <v>31</v>
      </c>
      <c r="Q217" s="52"/>
      <c r="R217" s="52"/>
      <c r="S217" s="73" t="s">
        <v>32</v>
      </c>
      <c r="T217" s="73"/>
      <c r="U217" s="73"/>
      <c r="V217" s="52" t="s">
        <v>33</v>
      </c>
      <c r="W217" s="52"/>
      <c r="X217" s="52"/>
      <c r="Y217" s="73" t="s">
        <v>34</v>
      </c>
      <c r="Z217" s="73"/>
      <c r="AA217" s="73"/>
      <c r="AB217" s="52" t="s">
        <v>35</v>
      </c>
      <c r="AC217" s="52"/>
      <c r="AD217" s="52"/>
      <c r="AE217" s="73" t="s">
        <v>36</v>
      </c>
      <c r="AF217" s="73"/>
      <c r="AG217" s="73"/>
    </row>
    <row r="218" spans="1:33" ht="15.75" thickBot="1" x14ac:dyDescent="0.3">
      <c r="A218" s="68"/>
      <c r="B218" s="68"/>
      <c r="C218" s="105" t="s">
        <v>243</v>
      </c>
      <c r="D218" s="75">
        <v>0</v>
      </c>
      <c r="E218" s="75"/>
      <c r="F218" s="76"/>
      <c r="G218" s="74">
        <v>0</v>
      </c>
      <c r="H218" s="75"/>
      <c r="I218" s="76"/>
      <c r="J218" s="74">
        <v>0</v>
      </c>
      <c r="K218" s="75"/>
      <c r="L218" s="76"/>
      <c r="M218" s="74">
        <v>0</v>
      </c>
      <c r="N218" s="75"/>
      <c r="O218" s="76"/>
      <c r="P218" s="74">
        <v>0</v>
      </c>
      <c r="Q218" s="75"/>
      <c r="R218" s="76"/>
      <c r="S218" s="74">
        <v>0</v>
      </c>
      <c r="T218" s="75"/>
      <c r="U218" s="76"/>
      <c r="V218" s="74">
        <v>0</v>
      </c>
      <c r="W218" s="75"/>
      <c r="X218" s="76"/>
      <c r="Y218" s="74">
        <v>0</v>
      </c>
      <c r="Z218" s="75"/>
      <c r="AA218" s="76"/>
      <c r="AB218" s="74">
        <v>0</v>
      </c>
      <c r="AC218" s="75"/>
      <c r="AD218" s="76"/>
      <c r="AE218" s="74">
        <v>0</v>
      </c>
      <c r="AF218" s="75"/>
      <c r="AG218" s="76"/>
    </row>
    <row r="219" spans="1:33" ht="15.75" thickBot="1" x14ac:dyDescent="0.3">
      <c r="A219" s="68"/>
      <c r="B219" s="68"/>
      <c r="C219" s="106" t="s">
        <v>244</v>
      </c>
      <c r="D219" s="82">
        <v>0</v>
      </c>
      <c r="E219" s="82"/>
      <c r="F219" s="84"/>
      <c r="G219" s="85">
        <v>0</v>
      </c>
      <c r="H219" s="82"/>
      <c r="I219" s="84"/>
      <c r="J219" s="85">
        <v>0</v>
      </c>
      <c r="K219" s="82"/>
      <c r="L219" s="84"/>
      <c r="M219" s="85">
        <v>0</v>
      </c>
      <c r="N219" s="82"/>
      <c r="O219" s="82"/>
      <c r="P219" s="81">
        <v>0</v>
      </c>
      <c r="Q219" s="82"/>
      <c r="R219" s="83"/>
      <c r="S219" s="82">
        <v>0</v>
      </c>
      <c r="T219" s="82"/>
      <c r="U219" s="84"/>
      <c r="V219" s="85">
        <v>0</v>
      </c>
      <c r="W219" s="82"/>
      <c r="X219" s="84"/>
      <c r="Y219" s="85">
        <v>0</v>
      </c>
      <c r="Z219" s="82"/>
      <c r="AA219" s="84"/>
      <c r="AB219" s="85">
        <v>0</v>
      </c>
      <c r="AC219" s="82"/>
      <c r="AD219" s="84"/>
      <c r="AE219" s="85">
        <v>0</v>
      </c>
      <c r="AF219" s="82"/>
      <c r="AG219" s="84"/>
    </row>
    <row r="220" spans="1:33" ht="15.75" thickBot="1" x14ac:dyDescent="0.3">
      <c r="A220" s="68"/>
      <c r="B220" s="68"/>
      <c r="C220" s="107" t="s">
        <v>37</v>
      </c>
      <c r="D220" s="104"/>
      <c r="E220" s="86"/>
      <c r="F220" s="89"/>
      <c r="G220" s="86"/>
      <c r="H220" s="86"/>
      <c r="I220" s="89"/>
      <c r="J220" s="86"/>
      <c r="K220" s="86"/>
      <c r="L220" s="89"/>
      <c r="M220" s="86"/>
      <c r="N220" s="86"/>
      <c r="O220" s="89"/>
      <c r="P220" s="86"/>
      <c r="Q220" s="86"/>
      <c r="R220" s="89"/>
      <c r="S220" s="86"/>
      <c r="T220" s="86"/>
      <c r="U220" s="89"/>
      <c r="V220" s="86"/>
      <c r="W220" s="86"/>
      <c r="X220" s="89"/>
      <c r="Y220" s="86"/>
      <c r="Z220" s="86"/>
      <c r="AA220" s="89"/>
      <c r="AB220" s="86"/>
      <c r="AC220" s="86"/>
      <c r="AD220" s="89"/>
      <c r="AE220" s="86"/>
      <c r="AF220" s="86"/>
      <c r="AG220" s="89"/>
    </row>
    <row r="221" spans="1:33" ht="15.75" thickBot="1" x14ac:dyDescent="0.3">
      <c r="A221" s="68"/>
      <c r="B221" s="68"/>
      <c r="D221" s="87"/>
      <c r="E221" s="87"/>
      <c r="F221" s="90"/>
      <c r="G221" s="87"/>
      <c r="H221" s="87"/>
      <c r="I221" s="90"/>
      <c r="J221" s="87"/>
      <c r="K221" s="87"/>
      <c r="L221" s="90"/>
      <c r="M221" s="87"/>
      <c r="N221" s="87"/>
      <c r="O221" s="90"/>
      <c r="P221" s="87"/>
      <c r="Q221" s="87"/>
      <c r="R221" s="90"/>
      <c r="S221" s="87"/>
      <c r="T221" s="87"/>
      <c r="U221" s="90"/>
      <c r="V221" s="87"/>
      <c r="W221" s="87"/>
      <c r="X221" s="90"/>
      <c r="Y221" s="87"/>
      <c r="Z221" s="87"/>
      <c r="AA221" s="90"/>
      <c r="AB221" s="87"/>
      <c r="AC221" s="87"/>
      <c r="AD221" s="90"/>
      <c r="AE221" s="87"/>
      <c r="AF221" s="87"/>
      <c r="AG221" s="90"/>
    </row>
    <row r="222" spans="1:33" ht="15.75" thickBot="1" x14ac:dyDescent="0.3">
      <c r="A222" s="68"/>
      <c r="B222" s="68"/>
      <c r="D222" s="88"/>
      <c r="E222" s="88"/>
      <c r="F222" s="91"/>
      <c r="G222" s="88"/>
      <c r="H222" s="88"/>
      <c r="I222" s="91"/>
      <c r="J222" s="88"/>
      <c r="K222" s="88"/>
      <c r="L222" s="91"/>
      <c r="M222" s="88"/>
      <c r="N222" s="88"/>
      <c r="O222" s="91"/>
      <c r="P222" s="88"/>
      <c r="Q222" s="88"/>
      <c r="R222" s="91"/>
      <c r="S222" s="88"/>
      <c r="T222" s="88"/>
      <c r="U222" s="91"/>
      <c r="V222" s="88"/>
      <c r="W222" s="88"/>
      <c r="X222" s="91"/>
      <c r="Y222" s="88"/>
      <c r="Z222" s="88"/>
      <c r="AA222" s="91"/>
      <c r="AB222" s="88"/>
      <c r="AC222" s="88"/>
      <c r="AD222" s="91"/>
      <c r="AE222" s="88"/>
      <c r="AF222" s="88"/>
      <c r="AG222" s="91"/>
    </row>
    <row r="224" spans="1:33" ht="15.75" thickBot="1" x14ac:dyDescent="0.3"/>
    <row r="225" spans="1:33" ht="15.75" thickBot="1" x14ac:dyDescent="0.3">
      <c r="A225" s="68" t="s">
        <v>258</v>
      </c>
      <c r="B225" s="68"/>
      <c r="D225" s="52" t="s">
        <v>27</v>
      </c>
      <c r="E225" s="52"/>
      <c r="F225" s="52"/>
      <c r="G225" s="73" t="s">
        <v>28</v>
      </c>
      <c r="H225" s="73"/>
      <c r="I225" s="73"/>
      <c r="J225" s="52" t="s">
        <v>29</v>
      </c>
      <c r="K225" s="52"/>
      <c r="L225" s="52"/>
      <c r="M225" s="73" t="s">
        <v>30</v>
      </c>
      <c r="N225" s="73"/>
      <c r="O225" s="73"/>
      <c r="P225" s="52" t="s">
        <v>31</v>
      </c>
      <c r="Q225" s="52"/>
      <c r="R225" s="52"/>
      <c r="S225" s="73" t="s">
        <v>32</v>
      </c>
      <c r="T225" s="73"/>
      <c r="U225" s="73"/>
      <c r="V225" s="52" t="s">
        <v>33</v>
      </c>
      <c r="W225" s="52"/>
      <c r="X225" s="52"/>
      <c r="Y225" s="73" t="s">
        <v>34</v>
      </c>
      <c r="Z225" s="73"/>
      <c r="AA225" s="73"/>
      <c r="AB225" s="52" t="s">
        <v>35</v>
      </c>
      <c r="AC225" s="52"/>
      <c r="AD225" s="52"/>
      <c r="AE225" s="73" t="s">
        <v>36</v>
      </c>
      <c r="AF225" s="73"/>
      <c r="AG225" s="73"/>
    </row>
    <row r="226" spans="1:33" ht="15.75" thickBot="1" x14ac:dyDescent="0.3">
      <c r="A226" s="68"/>
      <c r="B226" s="68"/>
      <c r="C226" s="105" t="s">
        <v>243</v>
      </c>
      <c r="D226" s="75">
        <v>0</v>
      </c>
      <c r="E226" s="75"/>
      <c r="F226" s="76"/>
      <c r="G226" s="74">
        <v>0</v>
      </c>
      <c r="H226" s="75"/>
      <c r="I226" s="76"/>
      <c r="J226" s="74">
        <v>0</v>
      </c>
      <c r="K226" s="75"/>
      <c r="L226" s="76"/>
      <c r="M226" s="74">
        <v>0</v>
      </c>
      <c r="N226" s="75"/>
      <c r="O226" s="76"/>
      <c r="P226" s="74">
        <v>0</v>
      </c>
      <c r="Q226" s="75"/>
      <c r="R226" s="76"/>
      <c r="S226" s="74">
        <v>0</v>
      </c>
      <c r="T226" s="75"/>
      <c r="U226" s="76"/>
      <c r="V226" s="74">
        <v>0</v>
      </c>
      <c r="W226" s="75"/>
      <c r="X226" s="76"/>
      <c r="Y226" s="74">
        <v>0</v>
      </c>
      <c r="Z226" s="75"/>
      <c r="AA226" s="76"/>
      <c r="AB226" s="74">
        <v>0</v>
      </c>
      <c r="AC226" s="75"/>
      <c r="AD226" s="76"/>
      <c r="AE226" s="74">
        <v>0</v>
      </c>
      <c r="AF226" s="75"/>
      <c r="AG226" s="76"/>
    </row>
    <row r="227" spans="1:33" ht="15.75" thickBot="1" x14ac:dyDescent="0.3">
      <c r="A227" s="68"/>
      <c r="B227" s="68"/>
      <c r="C227" s="106" t="s">
        <v>244</v>
      </c>
      <c r="D227" s="82">
        <v>0</v>
      </c>
      <c r="E227" s="82"/>
      <c r="F227" s="84"/>
      <c r="G227" s="85">
        <v>0</v>
      </c>
      <c r="H227" s="82"/>
      <c r="I227" s="84"/>
      <c r="J227" s="85">
        <v>0</v>
      </c>
      <c r="K227" s="82"/>
      <c r="L227" s="84"/>
      <c r="M227" s="85">
        <v>0</v>
      </c>
      <c r="N227" s="82"/>
      <c r="O227" s="82"/>
      <c r="P227" s="81">
        <v>0</v>
      </c>
      <c r="Q227" s="82"/>
      <c r="R227" s="83"/>
      <c r="S227" s="82">
        <v>0</v>
      </c>
      <c r="T227" s="82"/>
      <c r="U227" s="84"/>
      <c r="V227" s="85">
        <v>0</v>
      </c>
      <c r="W227" s="82"/>
      <c r="X227" s="84"/>
      <c r="Y227" s="85">
        <v>0</v>
      </c>
      <c r="Z227" s="82"/>
      <c r="AA227" s="84"/>
      <c r="AB227" s="85">
        <v>0</v>
      </c>
      <c r="AC227" s="82"/>
      <c r="AD227" s="84"/>
      <c r="AE227" s="85">
        <v>0</v>
      </c>
      <c r="AF227" s="82"/>
      <c r="AG227" s="84"/>
    </row>
    <row r="228" spans="1:33" ht="15.75" thickBot="1" x14ac:dyDescent="0.3">
      <c r="A228" s="68"/>
      <c r="B228" s="68"/>
      <c r="C228" s="107" t="s">
        <v>37</v>
      </c>
      <c r="D228" s="104"/>
      <c r="E228" s="86"/>
      <c r="F228" s="89"/>
      <c r="G228" s="86"/>
      <c r="H228" s="86"/>
      <c r="I228" s="89"/>
      <c r="J228" s="86"/>
      <c r="K228" s="86"/>
      <c r="L228" s="89"/>
      <c r="M228" s="86"/>
      <c r="N228" s="86"/>
      <c r="O228" s="89"/>
      <c r="P228" s="86"/>
      <c r="Q228" s="86"/>
      <c r="R228" s="89"/>
      <c r="S228" s="86"/>
      <c r="T228" s="86"/>
      <c r="U228" s="89"/>
      <c r="V228" s="86"/>
      <c r="W228" s="86"/>
      <c r="X228" s="89"/>
      <c r="Y228" s="86"/>
      <c r="Z228" s="86"/>
      <c r="AA228" s="89"/>
      <c r="AB228" s="86"/>
      <c r="AC228" s="86"/>
      <c r="AD228" s="89"/>
      <c r="AE228" s="86"/>
      <c r="AF228" s="86"/>
      <c r="AG228" s="89"/>
    </row>
    <row r="229" spans="1:33" ht="15.75" thickBot="1" x14ac:dyDescent="0.3">
      <c r="A229" s="68"/>
      <c r="B229" s="68"/>
      <c r="D229" s="87"/>
      <c r="E229" s="87"/>
      <c r="F229" s="90"/>
      <c r="G229" s="87"/>
      <c r="H229" s="87"/>
      <c r="I229" s="90"/>
      <c r="J229" s="87"/>
      <c r="K229" s="87"/>
      <c r="L229" s="90"/>
      <c r="M229" s="87"/>
      <c r="N229" s="87"/>
      <c r="O229" s="90"/>
      <c r="P229" s="87"/>
      <c r="Q229" s="87"/>
      <c r="R229" s="90"/>
      <c r="S229" s="87"/>
      <c r="T229" s="87"/>
      <c r="U229" s="90"/>
      <c r="V229" s="87"/>
      <c r="W229" s="87"/>
      <c r="X229" s="90"/>
      <c r="Y229" s="87"/>
      <c r="Z229" s="87"/>
      <c r="AA229" s="90"/>
      <c r="AB229" s="87"/>
      <c r="AC229" s="87"/>
      <c r="AD229" s="90"/>
      <c r="AE229" s="87"/>
      <c r="AF229" s="87"/>
      <c r="AG229" s="90"/>
    </row>
    <row r="230" spans="1:33" ht="15.75" thickBot="1" x14ac:dyDescent="0.3">
      <c r="A230" s="68"/>
      <c r="B230" s="68"/>
      <c r="D230" s="88"/>
      <c r="E230" s="88"/>
      <c r="F230" s="91"/>
      <c r="G230" s="88"/>
      <c r="H230" s="88"/>
      <c r="I230" s="91"/>
      <c r="J230" s="88"/>
      <c r="K230" s="88"/>
      <c r="L230" s="91"/>
      <c r="M230" s="88"/>
      <c r="N230" s="88"/>
      <c r="O230" s="91"/>
      <c r="P230" s="88"/>
      <c r="Q230" s="88"/>
      <c r="R230" s="91"/>
      <c r="S230" s="88"/>
      <c r="T230" s="88"/>
      <c r="U230" s="91"/>
      <c r="V230" s="88"/>
      <c r="W230" s="88"/>
      <c r="X230" s="91"/>
      <c r="Y230" s="88"/>
      <c r="Z230" s="88"/>
      <c r="AA230" s="91"/>
      <c r="AB230" s="88"/>
      <c r="AC230" s="88"/>
      <c r="AD230" s="91"/>
      <c r="AE230" s="88"/>
      <c r="AF230" s="88"/>
      <c r="AG230" s="91"/>
    </row>
    <row r="232" spans="1:33" ht="15.75" thickBot="1" x14ac:dyDescent="0.3"/>
    <row r="233" spans="1:33" ht="15.75" thickBot="1" x14ac:dyDescent="0.3">
      <c r="A233" s="68" t="s">
        <v>259</v>
      </c>
      <c r="B233" s="68"/>
      <c r="D233" s="52" t="s">
        <v>27</v>
      </c>
      <c r="E233" s="52"/>
      <c r="F233" s="52"/>
      <c r="G233" s="73" t="s">
        <v>28</v>
      </c>
      <c r="H233" s="73"/>
      <c r="I233" s="73"/>
      <c r="J233" s="52" t="s">
        <v>29</v>
      </c>
      <c r="K233" s="52"/>
      <c r="L233" s="52"/>
      <c r="M233" s="73" t="s">
        <v>30</v>
      </c>
      <c r="N233" s="73"/>
      <c r="O233" s="73"/>
      <c r="P233" s="52" t="s">
        <v>31</v>
      </c>
      <c r="Q233" s="52"/>
      <c r="R233" s="52"/>
      <c r="S233" s="73" t="s">
        <v>32</v>
      </c>
      <c r="T233" s="73"/>
      <c r="U233" s="73"/>
      <c r="V233" s="52" t="s">
        <v>33</v>
      </c>
      <c r="W233" s="52"/>
      <c r="X233" s="52"/>
      <c r="Y233" s="73" t="s">
        <v>34</v>
      </c>
      <c r="Z233" s="73"/>
      <c r="AA233" s="73"/>
      <c r="AB233" s="52" t="s">
        <v>35</v>
      </c>
      <c r="AC233" s="52"/>
      <c r="AD233" s="52"/>
      <c r="AE233" s="73" t="s">
        <v>36</v>
      </c>
      <c r="AF233" s="73"/>
      <c r="AG233" s="73"/>
    </row>
    <row r="234" spans="1:33" ht="15.75" thickBot="1" x14ac:dyDescent="0.3">
      <c r="A234" s="68"/>
      <c r="B234" s="68"/>
      <c r="C234" s="105" t="s">
        <v>243</v>
      </c>
      <c r="D234" s="75">
        <v>0</v>
      </c>
      <c r="E234" s="75"/>
      <c r="F234" s="76"/>
      <c r="G234" s="74">
        <v>0</v>
      </c>
      <c r="H234" s="75"/>
      <c r="I234" s="76"/>
      <c r="J234" s="74">
        <v>0</v>
      </c>
      <c r="K234" s="75"/>
      <c r="L234" s="76"/>
      <c r="M234" s="74">
        <v>0</v>
      </c>
      <c r="N234" s="75"/>
      <c r="O234" s="76"/>
      <c r="P234" s="74">
        <v>0</v>
      </c>
      <c r="Q234" s="75"/>
      <c r="R234" s="76"/>
      <c r="S234" s="74">
        <v>0</v>
      </c>
      <c r="T234" s="75"/>
      <c r="U234" s="76"/>
      <c r="V234" s="74">
        <v>0</v>
      </c>
      <c r="W234" s="75"/>
      <c r="X234" s="76"/>
      <c r="Y234" s="74">
        <v>0</v>
      </c>
      <c r="Z234" s="75"/>
      <c r="AA234" s="76"/>
      <c r="AB234" s="74">
        <v>0</v>
      </c>
      <c r="AC234" s="75"/>
      <c r="AD234" s="76"/>
      <c r="AE234" s="74">
        <v>0</v>
      </c>
      <c r="AF234" s="75"/>
      <c r="AG234" s="76"/>
    </row>
    <row r="235" spans="1:33" ht="15.75" thickBot="1" x14ac:dyDescent="0.3">
      <c r="A235" s="68"/>
      <c r="B235" s="68"/>
      <c r="C235" s="106" t="s">
        <v>244</v>
      </c>
      <c r="D235" s="82">
        <v>0</v>
      </c>
      <c r="E235" s="82"/>
      <c r="F235" s="84"/>
      <c r="G235" s="85">
        <v>0</v>
      </c>
      <c r="H235" s="82"/>
      <c r="I235" s="84"/>
      <c r="J235" s="85">
        <v>0</v>
      </c>
      <c r="K235" s="82"/>
      <c r="L235" s="84"/>
      <c r="M235" s="85">
        <v>0</v>
      </c>
      <c r="N235" s="82"/>
      <c r="O235" s="82"/>
      <c r="P235" s="81">
        <v>0</v>
      </c>
      <c r="Q235" s="82"/>
      <c r="R235" s="83"/>
      <c r="S235" s="82">
        <v>0</v>
      </c>
      <c r="T235" s="82"/>
      <c r="U235" s="84"/>
      <c r="V235" s="85">
        <v>0</v>
      </c>
      <c r="W235" s="82"/>
      <c r="X235" s="84"/>
      <c r="Y235" s="85">
        <v>0</v>
      </c>
      <c r="Z235" s="82"/>
      <c r="AA235" s="84"/>
      <c r="AB235" s="85">
        <v>0</v>
      </c>
      <c r="AC235" s="82"/>
      <c r="AD235" s="84"/>
      <c r="AE235" s="85">
        <v>0</v>
      </c>
      <c r="AF235" s="82"/>
      <c r="AG235" s="84"/>
    </row>
    <row r="236" spans="1:33" ht="15.75" thickBot="1" x14ac:dyDescent="0.3">
      <c r="A236" s="68"/>
      <c r="B236" s="68"/>
      <c r="C236" s="107" t="s">
        <v>37</v>
      </c>
      <c r="D236" s="104"/>
      <c r="E236" s="86"/>
      <c r="F236" s="89"/>
      <c r="G236" s="86"/>
      <c r="H236" s="86"/>
      <c r="I236" s="89"/>
      <c r="J236" s="86"/>
      <c r="K236" s="86"/>
      <c r="L236" s="89"/>
      <c r="M236" s="86"/>
      <c r="N236" s="86"/>
      <c r="O236" s="89"/>
      <c r="P236" s="86"/>
      <c r="Q236" s="86"/>
      <c r="R236" s="89"/>
      <c r="S236" s="86"/>
      <c r="T236" s="86"/>
      <c r="U236" s="89"/>
      <c r="V236" s="86"/>
      <c r="W236" s="86"/>
      <c r="X236" s="89"/>
      <c r="Y236" s="86"/>
      <c r="Z236" s="86"/>
      <c r="AA236" s="89"/>
      <c r="AB236" s="86"/>
      <c r="AC236" s="86"/>
      <c r="AD236" s="89"/>
      <c r="AE236" s="86"/>
      <c r="AF236" s="86"/>
      <c r="AG236" s="89"/>
    </row>
    <row r="237" spans="1:33" ht="15.75" thickBot="1" x14ac:dyDescent="0.3">
      <c r="A237" s="68"/>
      <c r="B237" s="68"/>
      <c r="D237" s="87"/>
      <c r="E237" s="87"/>
      <c r="F237" s="90"/>
      <c r="G237" s="87"/>
      <c r="H237" s="87"/>
      <c r="I237" s="90"/>
      <c r="J237" s="87"/>
      <c r="K237" s="87"/>
      <c r="L237" s="90"/>
      <c r="M237" s="87"/>
      <c r="N237" s="87"/>
      <c r="O237" s="90"/>
      <c r="P237" s="87"/>
      <c r="Q237" s="87"/>
      <c r="R237" s="90"/>
      <c r="S237" s="87"/>
      <c r="T237" s="87"/>
      <c r="U237" s="90"/>
      <c r="V237" s="87"/>
      <c r="W237" s="87"/>
      <c r="X237" s="90"/>
      <c r="Y237" s="87"/>
      <c r="Z237" s="87"/>
      <c r="AA237" s="90"/>
      <c r="AB237" s="87"/>
      <c r="AC237" s="87"/>
      <c r="AD237" s="90"/>
      <c r="AE237" s="87"/>
      <c r="AF237" s="87"/>
      <c r="AG237" s="90"/>
    </row>
    <row r="238" spans="1:33" ht="15.75" thickBot="1" x14ac:dyDescent="0.3">
      <c r="A238" s="68"/>
      <c r="B238" s="68"/>
      <c r="D238" s="88"/>
      <c r="E238" s="88"/>
      <c r="F238" s="91"/>
      <c r="G238" s="88"/>
      <c r="H238" s="88"/>
      <c r="I238" s="91"/>
      <c r="J238" s="88"/>
      <c r="K238" s="88"/>
      <c r="L238" s="91"/>
      <c r="M238" s="88"/>
      <c r="N238" s="88"/>
      <c r="O238" s="91"/>
      <c r="P238" s="88"/>
      <c r="Q238" s="88"/>
      <c r="R238" s="91"/>
      <c r="S238" s="88"/>
      <c r="T238" s="88"/>
      <c r="U238" s="91"/>
      <c r="V238" s="88"/>
      <c r="W238" s="88"/>
      <c r="X238" s="91"/>
      <c r="Y238" s="88"/>
      <c r="Z238" s="88"/>
      <c r="AA238" s="91"/>
      <c r="AB238" s="88"/>
      <c r="AC238" s="88"/>
      <c r="AD238" s="91"/>
      <c r="AE238" s="88"/>
      <c r="AF238" s="88"/>
      <c r="AG238" s="91"/>
    </row>
    <row r="240" spans="1:33" ht="15.75" thickBot="1" x14ac:dyDescent="0.3"/>
    <row r="241" spans="1:33" ht="15.75" thickBot="1" x14ac:dyDescent="0.3">
      <c r="A241" s="68" t="s">
        <v>92</v>
      </c>
      <c r="B241" s="68"/>
      <c r="D241" s="52" t="s">
        <v>27</v>
      </c>
      <c r="E241" s="52"/>
      <c r="F241" s="52"/>
      <c r="G241" s="73" t="s">
        <v>28</v>
      </c>
      <c r="H241" s="73"/>
      <c r="I241" s="73"/>
      <c r="J241" s="52" t="s">
        <v>29</v>
      </c>
      <c r="K241" s="52"/>
      <c r="L241" s="52"/>
      <c r="M241" s="73" t="s">
        <v>30</v>
      </c>
      <c r="N241" s="73"/>
      <c r="O241" s="73"/>
      <c r="P241" s="52" t="s">
        <v>31</v>
      </c>
      <c r="Q241" s="52"/>
      <c r="R241" s="52"/>
      <c r="S241" s="73" t="s">
        <v>32</v>
      </c>
      <c r="T241" s="73"/>
      <c r="U241" s="73"/>
      <c r="V241" s="52" t="s">
        <v>33</v>
      </c>
      <c r="W241" s="52"/>
      <c r="X241" s="52"/>
      <c r="Y241" s="73" t="s">
        <v>34</v>
      </c>
      <c r="Z241" s="73"/>
      <c r="AA241" s="73"/>
      <c r="AB241" s="52" t="s">
        <v>35</v>
      </c>
      <c r="AC241" s="52"/>
      <c r="AD241" s="52"/>
      <c r="AE241" s="73" t="s">
        <v>36</v>
      </c>
      <c r="AF241" s="73"/>
      <c r="AG241" s="73"/>
    </row>
    <row r="242" spans="1:33" ht="15.75" thickBot="1" x14ac:dyDescent="0.3">
      <c r="A242" s="68"/>
      <c r="B242" s="68"/>
      <c r="C242" s="105" t="s">
        <v>243</v>
      </c>
      <c r="D242" s="75">
        <v>0</v>
      </c>
      <c r="E242" s="75"/>
      <c r="F242" s="76"/>
      <c r="G242" s="74">
        <v>0</v>
      </c>
      <c r="H242" s="75"/>
      <c r="I242" s="76"/>
      <c r="J242" s="74">
        <v>0</v>
      </c>
      <c r="K242" s="75"/>
      <c r="L242" s="76"/>
      <c r="M242" s="74">
        <v>0</v>
      </c>
      <c r="N242" s="75"/>
      <c r="O242" s="76"/>
      <c r="P242" s="74">
        <v>0</v>
      </c>
      <c r="Q242" s="75"/>
      <c r="R242" s="76"/>
      <c r="S242" s="74">
        <v>0</v>
      </c>
      <c r="T242" s="75"/>
      <c r="U242" s="76"/>
      <c r="V242" s="74">
        <v>0</v>
      </c>
      <c r="W242" s="75"/>
      <c r="X242" s="76"/>
      <c r="Y242" s="74">
        <v>0</v>
      </c>
      <c r="Z242" s="75"/>
      <c r="AA242" s="76"/>
      <c r="AB242" s="74">
        <v>0</v>
      </c>
      <c r="AC242" s="75"/>
      <c r="AD242" s="76"/>
      <c r="AE242" s="74">
        <v>0</v>
      </c>
      <c r="AF242" s="75"/>
      <c r="AG242" s="76"/>
    </row>
    <row r="243" spans="1:33" ht="15.75" thickBot="1" x14ac:dyDescent="0.3">
      <c r="A243" s="68"/>
      <c r="B243" s="68"/>
      <c r="C243" s="106" t="s">
        <v>244</v>
      </c>
      <c r="D243" s="82">
        <v>0</v>
      </c>
      <c r="E243" s="82"/>
      <c r="F243" s="84"/>
      <c r="G243" s="85">
        <v>0</v>
      </c>
      <c r="H243" s="82"/>
      <c r="I243" s="84"/>
      <c r="J243" s="85">
        <v>0</v>
      </c>
      <c r="K243" s="82"/>
      <c r="L243" s="84"/>
      <c r="M243" s="85">
        <v>0</v>
      </c>
      <c r="N243" s="82"/>
      <c r="O243" s="82"/>
      <c r="P243" s="81">
        <v>0</v>
      </c>
      <c r="Q243" s="82"/>
      <c r="R243" s="83"/>
      <c r="S243" s="82">
        <v>0</v>
      </c>
      <c r="T243" s="82"/>
      <c r="U243" s="84"/>
      <c r="V243" s="85">
        <v>0</v>
      </c>
      <c r="W243" s="82"/>
      <c r="X243" s="84"/>
      <c r="Y243" s="85">
        <v>0</v>
      </c>
      <c r="Z243" s="82"/>
      <c r="AA243" s="84"/>
      <c r="AB243" s="85">
        <v>0</v>
      </c>
      <c r="AC243" s="82"/>
      <c r="AD243" s="84"/>
      <c r="AE243" s="85">
        <v>0</v>
      </c>
      <c r="AF243" s="82"/>
      <c r="AG243" s="84"/>
    </row>
    <row r="244" spans="1:33" ht="15.75" thickBot="1" x14ac:dyDescent="0.3">
      <c r="A244" s="68"/>
      <c r="B244" s="68"/>
      <c r="C244" s="107" t="s">
        <v>37</v>
      </c>
      <c r="D244" s="104"/>
      <c r="E244" s="86"/>
      <c r="F244" s="89"/>
      <c r="G244" s="86"/>
      <c r="H244" s="86"/>
      <c r="I244" s="89"/>
      <c r="J244" s="86"/>
      <c r="K244" s="86"/>
      <c r="L244" s="89"/>
      <c r="M244" s="86"/>
      <c r="N244" s="86"/>
      <c r="O244" s="89"/>
      <c r="P244" s="86"/>
      <c r="Q244" s="86"/>
      <c r="R244" s="89"/>
      <c r="S244" s="86"/>
      <c r="T244" s="86"/>
      <c r="U244" s="89"/>
      <c r="V244" s="86"/>
      <c r="W244" s="86"/>
      <c r="X244" s="89"/>
      <c r="Y244" s="86"/>
      <c r="Z244" s="86"/>
      <c r="AA244" s="89"/>
      <c r="AB244" s="86"/>
      <c r="AC244" s="86"/>
      <c r="AD244" s="89"/>
      <c r="AE244" s="86"/>
      <c r="AF244" s="86"/>
      <c r="AG244" s="89"/>
    </row>
    <row r="245" spans="1:33" ht="15.75" thickBot="1" x14ac:dyDescent="0.3">
      <c r="A245" s="68"/>
      <c r="B245" s="68"/>
      <c r="D245" s="87"/>
      <c r="E245" s="87"/>
      <c r="F245" s="90"/>
      <c r="G245" s="87"/>
      <c r="H245" s="87"/>
      <c r="I245" s="90"/>
      <c r="J245" s="87"/>
      <c r="K245" s="87"/>
      <c r="L245" s="90"/>
      <c r="M245" s="87"/>
      <c r="N245" s="87"/>
      <c r="O245" s="90"/>
      <c r="P245" s="87"/>
      <c r="Q245" s="87"/>
      <c r="R245" s="90"/>
      <c r="S245" s="87"/>
      <c r="T245" s="87"/>
      <c r="U245" s="90"/>
      <c r="V245" s="87"/>
      <c r="W245" s="87"/>
      <c r="X245" s="90"/>
      <c r="Y245" s="87"/>
      <c r="Z245" s="87"/>
      <c r="AA245" s="90"/>
      <c r="AB245" s="87"/>
      <c r="AC245" s="87"/>
      <c r="AD245" s="90"/>
      <c r="AE245" s="87"/>
      <c r="AF245" s="87"/>
      <c r="AG245" s="90"/>
    </row>
    <row r="246" spans="1:33" ht="15.75" thickBot="1" x14ac:dyDescent="0.3">
      <c r="A246" s="68"/>
      <c r="B246" s="68"/>
      <c r="D246" s="88"/>
      <c r="E246" s="88"/>
      <c r="F246" s="91"/>
      <c r="G246" s="88"/>
      <c r="H246" s="88"/>
      <c r="I246" s="91"/>
      <c r="J246" s="88"/>
      <c r="K246" s="88"/>
      <c r="L246" s="91"/>
      <c r="M246" s="88"/>
      <c r="N246" s="88"/>
      <c r="O246" s="91"/>
      <c r="P246" s="88"/>
      <c r="Q246" s="88"/>
      <c r="R246" s="91"/>
      <c r="S246" s="88"/>
      <c r="T246" s="88"/>
      <c r="U246" s="91"/>
      <c r="V246" s="88"/>
      <c r="W246" s="88"/>
      <c r="X246" s="91"/>
      <c r="Y246" s="88"/>
      <c r="Z246" s="88"/>
      <c r="AA246" s="91"/>
      <c r="AB246" s="88"/>
      <c r="AC246" s="88"/>
      <c r="AD246" s="91"/>
      <c r="AE246" s="88"/>
      <c r="AF246" s="88"/>
      <c r="AG246" s="91"/>
    </row>
    <row r="248" spans="1:33" ht="15.75" thickBot="1" x14ac:dyDescent="0.3"/>
    <row r="249" spans="1:33" ht="15.75" thickBot="1" x14ac:dyDescent="0.3">
      <c r="A249" s="68" t="s">
        <v>260</v>
      </c>
      <c r="B249" s="68"/>
      <c r="D249" s="52" t="s">
        <v>27</v>
      </c>
      <c r="E249" s="52"/>
      <c r="F249" s="52"/>
      <c r="G249" s="73" t="s">
        <v>28</v>
      </c>
      <c r="H249" s="73"/>
      <c r="I249" s="73"/>
      <c r="J249" s="52" t="s">
        <v>29</v>
      </c>
      <c r="K249" s="52"/>
      <c r="L249" s="52"/>
      <c r="M249" s="73" t="s">
        <v>30</v>
      </c>
      <c r="N249" s="73"/>
      <c r="O249" s="73"/>
      <c r="P249" s="52" t="s">
        <v>31</v>
      </c>
      <c r="Q249" s="52"/>
      <c r="R249" s="52"/>
      <c r="S249" s="73" t="s">
        <v>32</v>
      </c>
      <c r="T249" s="73"/>
      <c r="U249" s="73"/>
      <c r="V249" s="52" t="s">
        <v>33</v>
      </c>
      <c r="W249" s="52"/>
      <c r="X249" s="52"/>
      <c r="Y249" s="73" t="s">
        <v>34</v>
      </c>
      <c r="Z249" s="73"/>
      <c r="AA249" s="73"/>
      <c r="AB249" s="52" t="s">
        <v>35</v>
      </c>
      <c r="AC249" s="52"/>
      <c r="AD249" s="52"/>
      <c r="AE249" s="73" t="s">
        <v>36</v>
      </c>
      <c r="AF249" s="73"/>
      <c r="AG249" s="73"/>
    </row>
    <row r="250" spans="1:33" ht="15.75" thickBot="1" x14ac:dyDescent="0.3">
      <c r="A250" s="68"/>
      <c r="B250" s="68"/>
      <c r="C250" s="105" t="s">
        <v>243</v>
      </c>
      <c r="D250" s="75">
        <v>0</v>
      </c>
      <c r="E250" s="75"/>
      <c r="F250" s="76"/>
      <c r="G250" s="74">
        <v>0</v>
      </c>
      <c r="H250" s="75"/>
      <c r="I250" s="76"/>
      <c r="J250" s="74">
        <v>0</v>
      </c>
      <c r="K250" s="75"/>
      <c r="L250" s="76"/>
      <c r="M250" s="74">
        <v>0</v>
      </c>
      <c r="N250" s="75"/>
      <c r="O250" s="76"/>
      <c r="P250" s="74">
        <v>0</v>
      </c>
      <c r="Q250" s="75"/>
      <c r="R250" s="76"/>
      <c r="S250" s="74">
        <v>0</v>
      </c>
      <c r="T250" s="75"/>
      <c r="U250" s="76"/>
      <c r="V250" s="74">
        <v>0</v>
      </c>
      <c r="W250" s="75"/>
      <c r="X250" s="76"/>
      <c r="Y250" s="74">
        <v>0</v>
      </c>
      <c r="Z250" s="75"/>
      <c r="AA250" s="76"/>
      <c r="AB250" s="74">
        <v>0</v>
      </c>
      <c r="AC250" s="75"/>
      <c r="AD250" s="76"/>
      <c r="AE250" s="74">
        <v>0</v>
      </c>
      <c r="AF250" s="75"/>
      <c r="AG250" s="76"/>
    </row>
    <row r="251" spans="1:33" ht="15.75" thickBot="1" x14ac:dyDescent="0.3">
      <c r="A251" s="68"/>
      <c r="B251" s="68"/>
      <c r="C251" s="106" t="s">
        <v>244</v>
      </c>
      <c r="D251" s="82">
        <v>0</v>
      </c>
      <c r="E251" s="82"/>
      <c r="F251" s="84"/>
      <c r="G251" s="85">
        <v>0</v>
      </c>
      <c r="H251" s="82"/>
      <c r="I251" s="84"/>
      <c r="J251" s="85">
        <v>0</v>
      </c>
      <c r="K251" s="82"/>
      <c r="L251" s="84"/>
      <c r="M251" s="85">
        <v>0</v>
      </c>
      <c r="N251" s="82"/>
      <c r="O251" s="82"/>
      <c r="P251" s="81">
        <v>0</v>
      </c>
      <c r="Q251" s="82"/>
      <c r="R251" s="83"/>
      <c r="S251" s="82">
        <v>0</v>
      </c>
      <c r="T251" s="82"/>
      <c r="U251" s="84"/>
      <c r="V251" s="85">
        <v>0</v>
      </c>
      <c r="W251" s="82"/>
      <c r="X251" s="84"/>
      <c r="Y251" s="85">
        <v>0</v>
      </c>
      <c r="Z251" s="82"/>
      <c r="AA251" s="84"/>
      <c r="AB251" s="85">
        <v>0</v>
      </c>
      <c r="AC251" s="82"/>
      <c r="AD251" s="84"/>
      <c r="AE251" s="85">
        <v>0</v>
      </c>
      <c r="AF251" s="82"/>
      <c r="AG251" s="84"/>
    </row>
    <row r="252" spans="1:33" ht="15.75" thickBot="1" x14ac:dyDescent="0.3">
      <c r="A252" s="68"/>
      <c r="B252" s="68"/>
      <c r="C252" s="107" t="s">
        <v>37</v>
      </c>
      <c r="D252" s="104"/>
      <c r="E252" s="86"/>
      <c r="F252" s="89"/>
      <c r="G252" s="86"/>
      <c r="H252" s="86"/>
      <c r="I252" s="89"/>
      <c r="J252" s="86"/>
      <c r="K252" s="86"/>
      <c r="L252" s="89"/>
      <c r="M252" s="86"/>
      <c r="N252" s="86"/>
      <c r="O252" s="89"/>
      <c r="P252" s="86"/>
      <c r="Q252" s="86"/>
      <c r="R252" s="89"/>
      <c r="S252" s="86"/>
      <c r="T252" s="86"/>
      <c r="U252" s="89"/>
      <c r="V252" s="86"/>
      <c r="W252" s="86"/>
      <c r="X252" s="89"/>
      <c r="Y252" s="86"/>
      <c r="Z252" s="86"/>
      <c r="AA252" s="89"/>
      <c r="AB252" s="86"/>
      <c r="AC252" s="86"/>
      <c r="AD252" s="89"/>
      <c r="AE252" s="86"/>
      <c r="AF252" s="86"/>
      <c r="AG252" s="89"/>
    </row>
    <row r="253" spans="1:33" ht="15.75" thickBot="1" x14ac:dyDescent="0.3">
      <c r="A253" s="68"/>
      <c r="B253" s="68"/>
      <c r="D253" s="87"/>
      <c r="E253" s="87"/>
      <c r="F253" s="90"/>
      <c r="G253" s="87"/>
      <c r="H253" s="87"/>
      <c r="I253" s="90"/>
      <c r="J253" s="87"/>
      <c r="K253" s="87"/>
      <c r="L253" s="90"/>
      <c r="M253" s="87"/>
      <c r="N253" s="87"/>
      <c r="O253" s="90"/>
      <c r="P253" s="87"/>
      <c r="Q253" s="87"/>
      <c r="R253" s="90"/>
      <c r="S253" s="87"/>
      <c r="T253" s="87"/>
      <c r="U253" s="90"/>
      <c r="V253" s="87"/>
      <c r="W253" s="87"/>
      <c r="X253" s="90"/>
      <c r="Y253" s="87"/>
      <c r="Z253" s="87"/>
      <c r="AA253" s="90"/>
      <c r="AB253" s="87"/>
      <c r="AC253" s="87"/>
      <c r="AD253" s="90"/>
      <c r="AE253" s="87"/>
      <c r="AF253" s="87"/>
      <c r="AG253" s="90"/>
    </row>
    <row r="254" spans="1:33" ht="15.75" thickBot="1" x14ac:dyDescent="0.3">
      <c r="A254" s="68"/>
      <c r="B254" s="68"/>
      <c r="D254" s="88"/>
      <c r="E254" s="88"/>
      <c r="F254" s="91"/>
      <c r="G254" s="88"/>
      <c r="H254" s="88"/>
      <c r="I254" s="91"/>
      <c r="J254" s="88"/>
      <c r="K254" s="88"/>
      <c r="L254" s="91"/>
      <c r="M254" s="88"/>
      <c r="N254" s="88"/>
      <c r="O254" s="91"/>
      <c r="P254" s="88"/>
      <c r="Q254" s="88"/>
      <c r="R254" s="91"/>
      <c r="S254" s="88"/>
      <c r="T254" s="88"/>
      <c r="U254" s="91"/>
      <c r="V254" s="88"/>
      <c r="W254" s="88"/>
      <c r="X254" s="91"/>
      <c r="Y254" s="88"/>
      <c r="Z254" s="88"/>
      <c r="AA254" s="91"/>
      <c r="AB254" s="88"/>
      <c r="AC254" s="88"/>
      <c r="AD254" s="91"/>
      <c r="AE254" s="88"/>
      <c r="AF254" s="88"/>
      <c r="AG254" s="91"/>
    </row>
    <row r="256" spans="1:33" ht="15.75" thickBot="1" x14ac:dyDescent="0.3"/>
    <row r="257" spans="1:33" ht="15.75" thickBot="1" x14ac:dyDescent="0.3">
      <c r="A257" s="68" t="s">
        <v>93</v>
      </c>
      <c r="B257" s="68"/>
      <c r="D257" s="52" t="s">
        <v>27</v>
      </c>
      <c r="E257" s="52"/>
      <c r="F257" s="52"/>
      <c r="G257" s="73" t="s">
        <v>28</v>
      </c>
      <c r="H257" s="73"/>
      <c r="I257" s="73"/>
      <c r="J257" s="52" t="s">
        <v>29</v>
      </c>
      <c r="K257" s="52"/>
      <c r="L257" s="52"/>
      <c r="M257" s="73" t="s">
        <v>30</v>
      </c>
      <c r="N257" s="73"/>
      <c r="O257" s="73"/>
      <c r="P257" s="52" t="s">
        <v>31</v>
      </c>
      <c r="Q257" s="52"/>
      <c r="R257" s="52"/>
      <c r="S257" s="73" t="s">
        <v>32</v>
      </c>
      <c r="T257" s="73"/>
      <c r="U257" s="73"/>
      <c r="V257" s="52" t="s">
        <v>33</v>
      </c>
      <c r="W257" s="52"/>
      <c r="X257" s="52"/>
      <c r="Y257" s="73" t="s">
        <v>34</v>
      </c>
      <c r="Z257" s="73"/>
      <c r="AA257" s="73"/>
      <c r="AB257" s="52" t="s">
        <v>35</v>
      </c>
      <c r="AC257" s="52"/>
      <c r="AD257" s="52"/>
      <c r="AE257" s="73" t="s">
        <v>36</v>
      </c>
      <c r="AF257" s="73"/>
      <c r="AG257" s="73"/>
    </row>
    <row r="258" spans="1:33" ht="15.75" thickBot="1" x14ac:dyDescent="0.3">
      <c r="A258" s="68"/>
      <c r="B258" s="68"/>
      <c r="C258" s="105" t="s">
        <v>243</v>
      </c>
      <c r="D258" s="75">
        <v>0</v>
      </c>
      <c r="E258" s="75"/>
      <c r="F258" s="76"/>
      <c r="G258" s="74">
        <v>0</v>
      </c>
      <c r="H258" s="75"/>
      <c r="I258" s="76"/>
      <c r="J258" s="74">
        <v>0</v>
      </c>
      <c r="K258" s="75"/>
      <c r="L258" s="76"/>
      <c r="M258" s="74">
        <v>0</v>
      </c>
      <c r="N258" s="75"/>
      <c r="O258" s="76"/>
      <c r="P258" s="74">
        <v>0</v>
      </c>
      <c r="Q258" s="75"/>
      <c r="R258" s="76"/>
      <c r="S258" s="74">
        <v>0</v>
      </c>
      <c r="T258" s="75"/>
      <c r="U258" s="76"/>
      <c r="V258" s="74">
        <v>0</v>
      </c>
      <c r="W258" s="75"/>
      <c r="X258" s="76"/>
      <c r="Y258" s="74">
        <v>0</v>
      </c>
      <c r="Z258" s="75"/>
      <c r="AA258" s="76"/>
      <c r="AB258" s="74">
        <v>0</v>
      </c>
      <c r="AC258" s="75"/>
      <c r="AD258" s="76"/>
      <c r="AE258" s="74">
        <v>0</v>
      </c>
      <c r="AF258" s="75"/>
      <c r="AG258" s="76"/>
    </row>
    <row r="259" spans="1:33" ht="15.75" thickBot="1" x14ac:dyDescent="0.3">
      <c r="A259" s="68"/>
      <c r="B259" s="68"/>
      <c r="C259" s="106" t="s">
        <v>244</v>
      </c>
      <c r="D259" s="82">
        <v>0</v>
      </c>
      <c r="E259" s="82"/>
      <c r="F259" s="84"/>
      <c r="G259" s="85">
        <v>0</v>
      </c>
      <c r="H259" s="82"/>
      <c r="I259" s="84"/>
      <c r="J259" s="85">
        <v>0</v>
      </c>
      <c r="K259" s="82"/>
      <c r="L259" s="84"/>
      <c r="M259" s="85">
        <v>0</v>
      </c>
      <c r="N259" s="82"/>
      <c r="O259" s="82"/>
      <c r="P259" s="81">
        <v>0</v>
      </c>
      <c r="Q259" s="82"/>
      <c r="R259" s="83"/>
      <c r="S259" s="82">
        <v>0</v>
      </c>
      <c r="T259" s="82"/>
      <c r="U259" s="84"/>
      <c r="V259" s="85">
        <v>0</v>
      </c>
      <c r="W259" s="82"/>
      <c r="X259" s="84"/>
      <c r="Y259" s="85">
        <v>0</v>
      </c>
      <c r="Z259" s="82"/>
      <c r="AA259" s="84"/>
      <c r="AB259" s="85">
        <v>0</v>
      </c>
      <c r="AC259" s="82"/>
      <c r="AD259" s="84"/>
      <c r="AE259" s="85">
        <v>0</v>
      </c>
      <c r="AF259" s="82"/>
      <c r="AG259" s="84"/>
    </row>
    <row r="260" spans="1:33" ht="15.75" thickBot="1" x14ac:dyDescent="0.3">
      <c r="A260" s="68"/>
      <c r="B260" s="68"/>
      <c r="C260" s="107" t="s">
        <v>37</v>
      </c>
      <c r="D260" s="104"/>
      <c r="E260" s="86"/>
      <c r="F260" s="89"/>
      <c r="G260" s="86"/>
      <c r="H260" s="86"/>
      <c r="I260" s="89"/>
      <c r="J260" s="86"/>
      <c r="K260" s="86"/>
      <c r="L260" s="89"/>
      <c r="M260" s="86"/>
      <c r="N260" s="86"/>
      <c r="O260" s="89"/>
      <c r="P260" s="86"/>
      <c r="Q260" s="86"/>
      <c r="R260" s="89"/>
      <c r="S260" s="86"/>
      <c r="T260" s="86"/>
      <c r="U260" s="89"/>
      <c r="V260" s="86"/>
      <c r="W260" s="86"/>
      <c r="X260" s="89"/>
      <c r="Y260" s="86"/>
      <c r="Z260" s="86"/>
      <c r="AA260" s="89"/>
      <c r="AB260" s="86"/>
      <c r="AC260" s="86"/>
      <c r="AD260" s="89"/>
      <c r="AE260" s="86"/>
      <c r="AF260" s="86"/>
      <c r="AG260" s="89"/>
    </row>
    <row r="261" spans="1:33" ht="15.75" thickBot="1" x14ac:dyDescent="0.3">
      <c r="A261" s="68"/>
      <c r="B261" s="68"/>
      <c r="D261" s="87"/>
      <c r="E261" s="87"/>
      <c r="F261" s="90"/>
      <c r="G261" s="87"/>
      <c r="H261" s="87"/>
      <c r="I261" s="90"/>
      <c r="J261" s="87"/>
      <c r="K261" s="87"/>
      <c r="L261" s="90"/>
      <c r="M261" s="87"/>
      <c r="N261" s="87"/>
      <c r="O261" s="90"/>
      <c r="P261" s="87"/>
      <c r="Q261" s="87"/>
      <c r="R261" s="90"/>
      <c r="S261" s="87"/>
      <c r="T261" s="87"/>
      <c r="U261" s="90"/>
      <c r="V261" s="87"/>
      <c r="W261" s="87"/>
      <c r="X261" s="90"/>
      <c r="Y261" s="87"/>
      <c r="Z261" s="87"/>
      <c r="AA261" s="90"/>
      <c r="AB261" s="87"/>
      <c r="AC261" s="87"/>
      <c r="AD261" s="90"/>
      <c r="AE261" s="87"/>
      <c r="AF261" s="87"/>
      <c r="AG261" s="90"/>
    </row>
    <row r="262" spans="1:33" ht="15.75" thickBot="1" x14ac:dyDescent="0.3">
      <c r="A262" s="68"/>
      <c r="B262" s="68"/>
      <c r="D262" s="88"/>
      <c r="E262" s="88"/>
      <c r="F262" s="91"/>
      <c r="G262" s="88"/>
      <c r="H262" s="88"/>
      <c r="I262" s="91"/>
      <c r="J262" s="88"/>
      <c r="K262" s="88"/>
      <c r="L262" s="91"/>
      <c r="M262" s="88"/>
      <c r="N262" s="88"/>
      <c r="O262" s="91"/>
      <c r="P262" s="88"/>
      <c r="Q262" s="88"/>
      <c r="R262" s="91"/>
      <c r="S262" s="88"/>
      <c r="T262" s="88"/>
      <c r="U262" s="91"/>
      <c r="V262" s="88"/>
      <c r="W262" s="88"/>
      <c r="X262" s="91"/>
      <c r="Y262" s="88"/>
      <c r="Z262" s="88"/>
      <c r="AA262" s="91"/>
      <c r="AB262" s="88"/>
      <c r="AC262" s="88"/>
      <c r="AD262" s="91"/>
      <c r="AE262" s="88"/>
      <c r="AF262" s="88"/>
      <c r="AG262" s="91"/>
    </row>
    <row r="264" spans="1:33" ht="15.75" thickBot="1" x14ac:dyDescent="0.3"/>
    <row r="265" spans="1:33" ht="15.75" thickBot="1" x14ac:dyDescent="0.3">
      <c r="A265" s="68" t="s">
        <v>94</v>
      </c>
      <c r="B265" s="68"/>
      <c r="D265" s="52" t="s">
        <v>27</v>
      </c>
      <c r="E265" s="52"/>
      <c r="F265" s="52"/>
      <c r="G265" s="73" t="s">
        <v>28</v>
      </c>
      <c r="H265" s="73"/>
      <c r="I265" s="73"/>
      <c r="J265" s="52" t="s">
        <v>29</v>
      </c>
      <c r="K265" s="52"/>
      <c r="L265" s="52"/>
      <c r="M265" s="73" t="s">
        <v>30</v>
      </c>
      <c r="N265" s="73"/>
      <c r="O265" s="73"/>
      <c r="P265" s="52" t="s">
        <v>31</v>
      </c>
      <c r="Q265" s="52"/>
      <c r="R265" s="52"/>
      <c r="S265" s="73" t="s">
        <v>32</v>
      </c>
      <c r="T265" s="73"/>
      <c r="U265" s="73"/>
      <c r="V265" s="52" t="s">
        <v>33</v>
      </c>
      <c r="W265" s="52"/>
      <c r="X265" s="52"/>
      <c r="Y265" s="73" t="s">
        <v>34</v>
      </c>
      <c r="Z265" s="73"/>
      <c r="AA265" s="73"/>
      <c r="AB265" s="52" t="s">
        <v>35</v>
      </c>
      <c r="AC265" s="52"/>
      <c r="AD265" s="52"/>
      <c r="AE265" s="73" t="s">
        <v>36</v>
      </c>
      <c r="AF265" s="73"/>
      <c r="AG265" s="73"/>
    </row>
    <row r="266" spans="1:33" ht="15.75" thickBot="1" x14ac:dyDescent="0.3">
      <c r="A266" s="68"/>
      <c r="B266" s="68"/>
      <c r="C266" s="105" t="s">
        <v>243</v>
      </c>
      <c r="D266" s="75">
        <v>0</v>
      </c>
      <c r="E266" s="75"/>
      <c r="F266" s="76"/>
      <c r="G266" s="74">
        <v>0</v>
      </c>
      <c r="H266" s="75"/>
      <c r="I266" s="76"/>
      <c r="J266" s="74">
        <v>0</v>
      </c>
      <c r="K266" s="75"/>
      <c r="L266" s="76"/>
      <c r="M266" s="74">
        <v>0</v>
      </c>
      <c r="N266" s="75"/>
      <c r="O266" s="76"/>
      <c r="P266" s="74">
        <v>0</v>
      </c>
      <c r="Q266" s="75"/>
      <c r="R266" s="76"/>
      <c r="S266" s="74">
        <v>0</v>
      </c>
      <c r="T266" s="75"/>
      <c r="U266" s="76"/>
      <c r="V266" s="74">
        <v>0</v>
      </c>
      <c r="W266" s="75"/>
      <c r="X266" s="76"/>
      <c r="Y266" s="74">
        <v>0</v>
      </c>
      <c r="Z266" s="75"/>
      <c r="AA266" s="76"/>
      <c r="AB266" s="74">
        <v>0</v>
      </c>
      <c r="AC266" s="75"/>
      <c r="AD266" s="76"/>
      <c r="AE266" s="74">
        <v>0</v>
      </c>
      <c r="AF266" s="75"/>
      <c r="AG266" s="76"/>
    </row>
    <row r="267" spans="1:33" ht="15.75" thickBot="1" x14ac:dyDescent="0.3">
      <c r="A267" s="68"/>
      <c r="B267" s="68"/>
      <c r="C267" s="106" t="s">
        <v>244</v>
      </c>
      <c r="D267" s="82">
        <v>0</v>
      </c>
      <c r="E267" s="82"/>
      <c r="F267" s="84"/>
      <c r="G267" s="85">
        <v>0</v>
      </c>
      <c r="H267" s="82"/>
      <c r="I267" s="84"/>
      <c r="J267" s="85">
        <v>0</v>
      </c>
      <c r="K267" s="82"/>
      <c r="L267" s="84"/>
      <c r="M267" s="85">
        <v>0</v>
      </c>
      <c r="N267" s="82"/>
      <c r="O267" s="82"/>
      <c r="P267" s="81">
        <v>0</v>
      </c>
      <c r="Q267" s="82"/>
      <c r="R267" s="83"/>
      <c r="S267" s="82">
        <v>0</v>
      </c>
      <c r="T267" s="82"/>
      <c r="U267" s="84"/>
      <c r="V267" s="85">
        <v>0</v>
      </c>
      <c r="W267" s="82"/>
      <c r="X267" s="84"/>
      <c r="Y267" s="85">
        <v>0</v>
      </c>
      <c r="Z267" s="82"/>
      <c r="AA267" s="84"/>
      <c r="AB267" s="85">
        <v>0</v>
      </c>
      <c r="AC267" s="82"/>
      <c r="AD267" s="84"/>
      <c r="AE267" s="85">
        <v>0</v>
      </c>
      <c r="AF267" s="82"/>
      <c r="AG267" s="84"/>
    </row>
    <row r="268" spans="1:33" ht="15.75" thickBot="1" x14ac:dyDescent="0.3">
      <c r="A268" s="68"/>
      <c r="B268" s="68"/>
      <c r="C268" s="107" t="s">
        <v>37</v>
      </c>
      <c r="D268" s="104"/>
      <c r="E268" s="86"/>
      <c r="F268" s="89"/>
      <c r="G268" s="86"/>
      <c r="H268" s="86"/>
      <c r="I268" s="89"/>
      <c r="J268" s="86"/>
      <c r="K268" s="86"/>
      <c r="L268" s="89"/>
      <c r="M268" s="86"/>
      <c r="N268" s="86"/>
      <c r="O268" s="89"/>
      <c r="P268" s="86"/>
      <c r="Q268" s="86"/>
      <c r="R268" s="89"/>
      <c r="S268" s="86"/>
      <c r="T268" s="86"/>
      <c r="U268" s="89"/>
      <c r="V268" s="86"/>
      <c r="W268" s="86"/>
      <c r="X268" s="89"/>
      <c r="Y268" s="86"/>
      <c r="Z268" s="86"/>
      <c r="AA268" s="89"/>
      <c r="AB268" s="86"/>
      <c r="AC268" s="86"/>
      <c r="AD268" s="89"/>
      <c r="AE268" s="86"/>
      <c r="AF268" s="86"/>
      <c r="AG268" s="89"/>
    </row>
    <row r="269" spans="1:33" ht="15.75" thickBot="1" x14ac:dyDescent="0.3">
      <c r="A269" s="68"/>
      <c r="B269" s="68"/>
      <c r="D269" s="87"/>
      <c r="E269" s="87"/>
      <c r="F269" s="90"/>
      <c r="G269" s="87"/>
      <c r="H269" s="87"/>
      <c r="I269" s="90"/>
      <c r="J269" s="87"/>
      <c r="K269" s="87"/>
      <c r="L269" s="90"/>
      <c r="M269" s="87"/>
      <c r="N269" s="87"/>
      <c r="O269" s="90"/>
      <c r="P269" s="87"/>
      <c r="Q269" s="87"/>
      <c r="R269" s="90"/>
      <c r="S269" s="87"/>
      <c r="T269" s="87"/>
      <c r="U269" s="90"/>
      <c r="V269" s="87"/>
      <c r="W269" s="87"/>
      <c r="X269" s="90"/>
      <c r="Y269" s="87"/>
      <c r="Z269" s="87"/>
      <c r="AA269" s="90"/>
      <c r="AB269" s="87"/>
      <c r="AC269" s="87"/>
      <c r="AD269" s="90"/>
      <c r="AE269" s="87"/>
      <c r="AF269" s="87"/>
      <c r="AG269" s="90"/>
    </row>
    <row r="270" spans="1:33" ht="15.75" thickBot="1" x14ac:dyDescent="0.3">
      <c r="A270" s="68"/>
      <c r="B270" s="68"/>
      <c r="D270" s="88"/>
      <c r="E270" s="88"/>
      <c r="F270" s="91"/>
      <c r="G270" s="88"/>
      <c r="H270" s="88"/>
      <c r="I270" s="91"/>
      <c r="J270" s="88"/>
      <c r="K270" s="88"/>
      <c r="L270" s="91"/>
      <c r="M270" s="88"/>
      <c r="N270" s="88"/>
      <c r="O270" s="91"/>
      <c r="P270" s="88"/>
      <c r="Q270" s="88"/>
      <c r="R270" s="91"/>
      <c r="S270" s="88"/>
      <c r="T270" s="88"/>
      <c r="U270" s="91"/>
      <c r="V270" s="88"/>
      <c r="W270" s="88"/>
      <c r="X270" s="91"/>
      <c r="Y270" s="88"/>
      <c r="Z270" s="88"/>
      <c r="AA270" s="91"/>
      <c r="AB270" s="88"/>
      <c r="AC270" s="88"/>
      <c r="AD270" s="91"/>
      <c r="AE270" s="88"/>
      <c r="AF270" s="88"/>
      <c r="AG270" s="91"/>
    </row>
    <row r="272" spans="1:33" ht="15.75" thickBot="1" x14ac:dyDescent="0.3"/>
    <row r="273" spans="1:33" ht="15.75" thickBot="1" x14ac:dyDescent="0.3">
      <c r="A273" s="68" t="s">
        <v>95</v>
      </c>
      <c r="B273" s="68"/>
      <c r="D273" s="52" t="s">
        <v>27</v>
      </c>
      <c r="E273" s="52"/>
      <c r="F273" s="52"/>
      <c r="G273" s="73" t="s">
        <v>28</v>
      </c>
      <c r="H273" s="73"/>
      <c r="I273" s="73"/>
      <c r="J273" s="52" t="s">
        <v>29</v>
      </c>
      <c r="K273" s="52"/>
      <c r="L273" s="52"/>
      <c r="M273" s="73" t="s">
        <v>30</v>
      </c>
      <c r="N273" s="73"/>
      <c r="O273" s="73"/>
      <c r="P273" s="52" t="s">
        <v>31</v>
      </c>
      <c r="Q273" s="52"/>
      <c r="R273" s="52"/>
      <c r="S273" s="73" t="s">
        <v>32</v>
      </c>
      <c r="T273" s="73"/>
      <c r="U273" s="73"/>
      <c r="V273" s="52" t="s">
        <v>33</v>
      </c>
      <c r="W273" s="52"/>
      <c r="X273" s="52"/>
      <c r="Y273" s="73" t="s">
        <v>34</v>
      </c>
      <c r="Z273" s="73"/>
      <c r="AA273" s="73"/>
      <c r="AB273" s="52" t="s">
        <v>35</v>
      </c>
      <c r="AC273" s="52"/>
      <c r="AD273" s="52"/>
      <c r="AE273" s="73" t="s">
        <v>36</v>
      </c>
      <c r="AF273" s="73"/>
      <c r="AG273" s="73"/>
    </row>
    <row r="274" spans="1:33" ht="15.75" thickBot="1" x14ac:dyDescent="0.3">
      <c r="A274" s="68"/>
      <c r="B274" s="68"/>
      <c r="C274" s="105" t="s">
        <v>243</v>
      </c>
      <c r="D274" s="75">
        <v>0</v>
      </c>
      <c r="E274" s="75"/>
      <c r="F274" s="76"/>
      <c r="G274" s="74">
        <v>0</v>
      </c>
      <c r="H274" s="75"/>
      <c r="I274" s="76"/>
      <c r="J274" s="74">
        <v>0</v>
      </c>
      <c r="K274" s="75"/>
      <c r="L274" s="76"/>
      <c r="M274" s="74">
        <v>0</v>
      </c>
      <c r="N274" s="75"/>
      <c r="O274" s="76"/>
      <c r="P274" s="74">
        <v>0</v>
      </c>
      <c r="Q274" s="75"/>
      <c r="R274" s="76"/>
      <c r="S274" s="74">
        <v>0</v>
      </c>
      <c r="T274" s="75"/>
      <c r="U274" s="76"/>
      <c r="V274" s="74">
        <v>0</v>
      </c>
      <c r="W274" s="75"/>
      <c r="X274" s="76"/>
      <c r="Y274" s="74">
        <v>0</v>
      </c>
      <c r="Z274" s="75"/>
      <c r="AA274" s="76"/>
      <c r="AB274" s="74">
        <v>0</v>
      </c>
      <c r="AC274" s="75"/>
      <c r="AD274" s="76"/>
      <c r="AE274" s="74">
        <v>0</v>
      </c>
      <c r="AF274" s="75"/>
      <c r="AG274" s="76"/>
    </row>
    <row r="275" spans="1:33" ht="15.75" thickBot="1" x14ac:dyDescent="0.3">
      <c r="A275" s="68"/>
      <c r="B275" s="68"/>
      <c r="C275" s="106" t="s">
        <v>244</v>
      </c>
      <c r="D275" s="82">
        <v>0</v>
      </c>
      <c r="E275" s="82"/>
      <c r="F275" s="84"/>
      <c r="G275" s="85">
        <v>0</v>
      </c>
      <c r="H275" s="82"/>
      <c r="I275" s="84"/>
      <c r="J275" s="85">
        <v>0</v>
      </c>
      <c r="K275" s="82"/>
      <c r="L275" s="84"/>
      <c r="M275" s="85">
        <v>0</v>
      </c>
      <c r="N275" s="82"/>
      <c r="O275" s="82"/>
      <c r="P275" s="81">
        <v>0</v>
      </c>
      <c r="Q275" s="82"/>
      <c r="R275" s="83"/>
      <c r="S275" s="82">
        <v>0</v>
      </c>
      <c r="T275" s="82"/>
      <c r="U275" s="84"/>
      <c r="V275" s="85">
        <v>0</v>
      </c>
      <c r="W275" s="82"/>
      <c r="X275" s="84"/>
      <c r="Y275" s="85">
        <v>0</v>
      </c>
      <c r="Z275" s="82"/>
      <c r="AA275" s="84"/>
      <c r="AB275" s="85">
        <v>0</v>
      </c>
      <c r="AC275" s="82"/>
      <c r="AD275" s="84"/>
      <c r="AE275" s="85">
        <v>0</v>
      </c>
      <c r="AF275" s="82"/>
      <c r="AG275" s="84"/>
    </row>
    <row r="276" spans="1:33" ht="15.75" thickBot="1" x14ac:dyDescent="0.3">
      <c r="A276" s="68"/>
      <c r="B276" s="68"/>
      <c r="C276" s="107" t="s">
        <v>37</v>
      </c>
      <c r="D276" s="104"/>
      <c r="E276" s="86"/>
      <c r="F276" s="89"/>
      <c r="G276" s="86"/>
      <c r="H276" s="86"/>
      <c r="I276" s="89"/>
      <c r="J276" s="86"/>
      <c r="K276" s="86"/>
      <c r="L276" s="89"/>
      <c r="M276" s="86"/>
      <c r="N276" s="86"/>
      <c r="O276" s="89"/>
      <c r="P276" s="86"/>
      <c r="Q276" s="86"/>
      <c r="R276" s="89"/>
      <c r="S276" s="86"/>
      <c r="T276" s="86"/>
      <c r="U276" s="89"/>
      <c r="V276" s="86"/>
      <c r="W276" s="86"/>
      <c r="X276" s="89"/>
      <c r="Y276" s="86"/>
      <c r="Z276" s="86"/>
      <c r="AA276" s="89"/>
      <c r="AB276" s="86"/>
      <c r="AC276" s="86"/>
      <c r="AD276" s="89"/>
      <c r="AE276" s="86"/>
      <c r="AF276" s="86"/>
      <c r="AG276" s="89"/>
    </row>
    <row r="277" spans="1:33" ht="15.75" thickBot="1" x14ac:dyDescent="0.3">
      <c r="A277" s="68"/>
      <c r="B277" s="68"/>
      <c r="D277" s="87"/>
      <c r="E277" s="87"/>
      <c r="F277" s="90"/>
      <c r="G277" s="87"/>
      <c r="H277" s="87"/>
      <c r="I277" s="90"/>
      <c r="J277" s="87"/>
      <c r="K277" s="87"/>
      <c r="L277" s="90"/>
      <c r="M277" s="87"/>
      <c r="N277" s="87"/>
      <c r="O277" s="90"/>
      <c r="P277" s="87"/>
      <c r="Q277" s="87"/>
      <c r="R277" s="90"/>
      <c r="S277" s="87"/>
      <c r="T277" s="87"/>
      <c r="U277" s="90"/>
      <c r="V277" s="87"/>
      <c r="W277" s="87"/>
      <c r="X277" s="90"/>
      <c r="Y277" s="87"/>
      <c r="Z277" s="87"/>
      <c r="AA277" s="90"/>
      <c r="AB277" s="87"/>
      <c r="AC277" s="87"/>
      <c r="AD277" s="90"/>
      <c r="AE277" s="87"/>
      <c r="AF277" s="87"/>
      <c r="AG277" s="90"/>
    </row>
    <row r="278" spans="1:33" ht="15.75" thickBot="1" x14ac:dyDescent="0.3">
      <c r="A278" s="68"/>
      <c r="B278" s="68"/>
      <c r="D278" s="88"/>
      <c r="E278" s="88"/>
      <c r="F278" s="91"/>
      <c r="G278" s="88"/>
      <c r="H278" s="88"/>
      <c r="I278" s="91"/>
      <c r="J278" s="88"/>
      <c r="K278" s="88"/>
      <c r="L278" s="91"/>
      <c r="M278" s="88"/>
      <c r="N278" s="88"/>
      <c r="O278" s="91"/>
      <c r="P278" s="88"/>
      <c r="Q278" s="88"/>
      <c r="R278" s="91"/>
      <c r="S278" s="88"/>
      <c r="T278" s="88"/>
      <c r="U278" s="91"/>
      <c r="V278" s="88"/>
      <c r="W278" s="88"/>
      <c r="X278" s="91"/>
      <c r="Y278" s="88"/>
      <c r="Z278" s="88"/>
      <c r="AA278" s="91"/>
      <c r="AB278" s="88"/>
      <c r="AC278" s="88"/>
      <c r="AD278" s="91"/>
      <c r="AE278" s="88"/>
      <c r="AF278" s="88"/>
      <c r="AG278" s="91"/>
    </row>
    <row r="280" spans="1:33" ht="15.75" thickBot="1" x14ac:dyDescent="0.3"/>
    <row r="281" spans="1:33" ht="15.75" thickBot="1" x14ac:dyDescent="0.3">
      <c r="A281" s="68" t="s">
        <v>261</v>
      </c>
      <c r="B281" s="68"/>
      <c r="D281" s="52" t="s">
        <v>27</v>
      </c>
      <c r="E281" s="52"/>
      <c r="F281" s="52"/>
      <c r="G281" s="73" t="s">
        <v>28</v>
      </c>
      <c r="H281" s="73"/>
      <c r="I281" s="73"/>
      <c r="J281" s="52" t="s">
        <v>29</v>
      </c>
      <c r="K281" s="52"/>
      <c r="L281" s="52"/>
      <c r="M281" s="73" t="s">
        <v>30</v>
      </c>
      <c r="N281" s="73"/>
      <c r="O281" s="73"/>
      <c r="P281" s="52" t="s">
        <v>31</v>
      </c>
      <c r="Q281" s="52"/>
      <c r="R281" s="52"/>
      <c r="S281" s="73" t="s">
        <v>32</v>
      </c>
      <c r="T281" s="73"/>
      <c r="U281" s="73"/>
      <c r="V281" s="52" t="s">
        <v>33</v>
      </c>
      <c r="W281" s="52"/>
      <c r="X281" s="52"/>
      <c r="Y281" s="73" t="s">
        <v>34</v>
      </c>
      <c r="Z281" s="73"/>
      <c r="AA281" s="73"/>
      <c r="AB281" s="52" t="s">
        <v>35</v>
      </c>
      <c r="AC281" s="52"/>
      <c r="AD281" s="52"/>
      <c r="AE281" s="73" t="s">
        <v>36</v>
      </c>
      <c r="AF281" s="73"/>
      <c r="AG281" s="73"/>
    </row>
    <row r="282" spans="1:33" ht="15.75" thickBot="1" x14ac:dyDescent="0.3">
      <c r="A282" s="68"/>
      <c r="B282" s="68"/>
      <c r="C282" s="105" t="s">
        <v>243</v>
      </c>
      <c r="D282" s="75">
        <v>0</v>
      </c>
      <c r="E282" s="75"/>
      <c r="F282" s="76"/>
      <c r="G282" s="74">
        <v>0</v>
      </c>
      <c r="H282" s="75"/>
      <c r="I282" s="76"/>
      <c r="J282" s="74">
        <v>0</v>
      </c>
      <c r="K282" s="75"/>
      <c r="L282" s="76"/>
      <c r="M282" s="74">
        <v>0</v>
      </c>
      <c r="N282" s="75"/>
      <c r="O282" s="76"/>
      <c r="P282" s="74">
        <v>0</v>
      </c>
      <c r="Q282" s="75"/>
      <c r="R282" s="76"/>
      <c r="S282" s="74">
        <v>0</v>
      </c>
      <c r="T282" s="75"/>
      <c r="U282" s="76"/>
      <c r="V282" s="74">
        <v>0</v>
      </c>
      <c r="W282" s="75"/>
      <c r="X282" s="76"/>
      <c r="Y282" s="74">
        <v>0</v>
      </c>
      <c r="Z282" s="75"/>
      <c r="AA282" s="76"/>
      <c r="AB282" s="74">
        <v>0</v>
      </c>
      <c r="AC282" s="75"/>
      <c r="AD282" s="76"/>
      <c r="AE282" s="74">
        <v>0</v>
      </c>
      <c r="AF282" s="75"/>
      <c r="AG282" s="76"/>
    </row>
    <row r="283" spans="1:33" ht="15.75" thickBot="1" x14ac:dyDescent="0.3">
      <c r="A283" s="68"/>
      <c r="B283" s="68"/>
      <c r="C283" s="106" t="s">
        <v>244</v>
      </c>
      <c r="D283" s="82">
        <v>0</v>
      </c>
      <c r="E283" s="82"/>
      <c r="F283" s="84"/>
      <c r="G283" s="85">
        <v>0</v>
      </c>
      <c r="H283" s="82"/>
      <c r="I283" s="84"/>
      <c r="J283" s="85">
        <v>0</v>
      </c>
      <c r="K283" s="82"/>
      <c r="L283" s="84"/>
      <c r="M283" s="85">
        <v>0</v>
      </c>
      <c r="N283" s="82"/>
      <c r="O283" s="82"/>
      <c r="P283" s="81">
        <v>0</v>
      </c>
      <c r="Q283" s="82"/>
      <c r="R283" s="83"/>
      <c r="S283" s="82">
        <v>0</v>
      </c>
      <c r="T283" s="82"/>
      <c r="U283" s="84"/>
      <c r="V283" s="85">
        <v>0</v>
      </c>
      <c r="W283" s="82"/>
      <c r="X283" s="84"/>
      <c r="Y283" s="85">
        <v>0</v>
      </c>
      <c r="Z283" s="82"/>
      <c r="AA283" s="84"/>
      <c r="AB283" s="85">
        <v>0</v>
      </c>
      <c r="AC283" s="82"/>
      <c r="AD283" s="84"/>
      <c r="AE283" s="85">
        <v>0</v>
      </c>
      <c r="AF283" s="82"/>
      <c r="AG283" s="84"/>
    </row>
    <row r="284" spans="1:33" ht="15.75" thickBot="1" x14ac:dyDescent="0.3">
      <c r="A284" s="68"/>
      <c r="B284" s="68"/>
      <c r="C284" s="107" t="s">
        <v>37</v>
      </c>
      <c r="D284" s="104"/>
      <c r="E284" s="86"/>
      <c r="F284" s="89"/>
      <c r="G284" s="86"/>
      <c r="H284" s="86"/>
      <c r="I284" s="89"/>
      <c r="J284" s="86"/>
      <c r="K284" s="86"/>
      <c r="L284" s="89"/>
      <c r="M284" s="86"/>
      <c r="N284" s="86"/>
      <c r="O284" s="89"/>
      <c r="P284" s="86"/>
      <c r="Q284" s="86"/>
      <c r="R284" s="89"/>
      <c r="S284" s="86"/>
      <c r="T284" s="86"/>
      <c r="U284" s="89"/>
      <c r="V284" s="86"/>
      <c r="W284" s="86"/>
      <c r="X284" s="89"/>
      <c r="Y284" s="86"/>
      <c r="Z284" s="86"/>
      <c r="AA284" s="89"/>
      <c r="AB284" s="86"/>
      <c r="AC284" s="86"/>
      <c r="AD284" s="89"/>
      <c r="AE284" s="86"/>
      <c r="AF284" s="86"/>
      <c r="AG284" s="89"/>
    </row>
    <row r="285" spans="1:33" ht="15.75" thickBot="1" x14ac:dyDescent="0.3">
      <c r="A285" s="68"/>
      <c r="B285" s="68"/>
      <c r="D285" s="87"/>
      <c r="E285" s="87"/>
      <c r="F285" s="90"/>
      <c r="G285" s="87"/>
      <c r="H285" s="87"/>
      <c r="I285" s="90"/>
      <c r="J285" s="87"/>
      <c r="K285" s="87"/>
      <c r="L285" s="90"/>
      <c r="M285" s="87"/>
      <c r="N285" s="87"/>
      <c r="O285" s="90"/>
      <c r="P285" s="87"/>
      <c r="Q285" s="87"/>
      <c r="R285" s="90"/>
      <c r="S285" s="87"/>
      <c r="T285" s="87"/>
      <c r="U285" s="90"/>
      <c r="V285" s="87"/>
      <c r="W285" s="87"/>
      <c r="X285" s="90"/>
      <c r="Y285" s="87"/>
      <c r="Z285" s="87"/>
      <c r="AA285" s="90"/>
      <c r="AB285" s="87"/>
      <c r="AC285" s="87"/>
      <c r="AD285" s="90"/>
      <c r="AE285" s="87"/>
      <c r="AF285" s="87"/>
      <c r="AG285" s="90"/>
    </row>
    <row r="286" spans="1:33" ht="15.75" thickBot="1" x14ac:dyDescent="0.3">
      <c r="A286" s="68"/>
      <c r="B286" s="68"/>
      <c r="D286" s="88"/>
      <c r="E286" s="88"/>
      <c r="F286" s="91"/>
      <c r="G286" s="88"/>
      <c r="H286" s="88"/>
      <c r="I286" s="91"/>
      <c r="J286" s="88"/>
      <c r="K286" s="88"/>
      <c r="L286" s="91"/>
      <c r="M286" s="88"/>
      <c r="N286" s="88"/>
      <c r="O286" s="91"/>
      <c r="P286" s="88"/>
      <c r="Q286" s="88"/>
      <c r="R286" s="91"/>
      <c r="S286" s="88"/>
      <c r="T286" s="88"/>
      <c r="U286" s="91"/>
      <c r="V286" s="88"/>
      <c r="W286" s="88"/>
      <c r="X286" s="91"/>
      <c r="Y286" s="88"/>
      <c r="Z286" s="88"/>
      <c r="AA286" s="91"/>
      <c r="AB286" s="88"/>
      <c r="AC286" s="88"/>
      <c r="AD286" s="91"/>
      <c r="AE286" s="88"/>
      <c r="AF286" s="88"/>
      <c r="AG286" s="91"/>
    </row>
    <row r="288" spans="1:33" ht="15.75" thickBot="1" x14ac:dyDescent="0.3"/>
    <row r="289" spans="1:33" ht="15.75" thickBot="1" x14ac:dyDescent="0.3">
      <c r="A289" s="68" t="s">
        <v>96</v>
      </c>
      <c r="B289" s="68"/>
      <c r="D289" s="52" t="s">
        <v>27</v>
      </c>
      <c r="E289" s="52"/>
      <c r="F289" s="52"/>
      <c r="G289" s="73" t="s">
        <v>28</v>
      </c>
      <c r="H289" s="73"/>
      <c r="I289" s="73"/>
      <c r="J289" s="52" t="s">
        <v>29</v>
      </c>
      <c r="K289" s="52"/>
      <c r="L289" s="52"/>
      <c r="M289" s="73" t="s">
        <v>30</v>
      </c>
      <c r="N289" s="73"/>
      <c r="O289" s="73"/>
      <c r="P289" s="52" t="s">
        <v>31</v>
      </c>
      <c r="Q289" s="52"/>
      <c r="R289" s="52"/>
      <c r="S289" s="73" t="s">
        <v>32</v>
      </c>
      <c r="T289" s="73"/>
      <c r="U289" s="73"/>
      <c r="V289" s="52" t="s">
        <v>33</v>
      </c>
      <c r="W289" s="52"/>
      <c r="X289" s="52"/>
      <c r="Y289" s="73" t="s">
        <v>34</v>
      </c>
      <c r="Z289" s="73"/>
      <c r="AA289" s="73"/>
      <c r="AB289" s="52" t="s">
        <v>35</v>
      </c>
      <c r="AC289" s="52"/>
      <c r="AD289" s="52"/>
      <c r="AE289" s="73" t="s">
        <v>36</v>
      </c>
      <c r="AF289" s="73"/>
      <c r="AG289" s="73"/>
    </row>
    <row r="290" spans="1:33" ht="15.75" thickBot="1" x14ac:dyDescent="0.3">
      <c r="A290" s="68"/>
      <c r="B290" s="68"/>
      <c r="C290" s="105" t="s">
        <v>243</v>
      </c>
      <c r="D290" s="75">
        <v>0</v>
      </c>
      <c r="E290" s="75"/>
      <c r="F290" s="76"/>
      <c r="G290" s="74">
        <v>0</v>
      </c>
      <c r="H290" s="75"/>
      <c r="I290" s="76"/>
      <c r="J290" s="74">
        <v>0</v>
      </c>
      <c r="K290" s="75"/>
      <c r="L290" s="76"/>
      <c r="M290" s="74">
        <v>0</v>
      </c>
      <c r="N290" s="75"/>
      <c r="O290" s="76"/>
      <c r="P290" s="74">
        <v>0</v>
      </c>
      <c r="Q290" s="75"/>
      <c r="R290" s="76"/>
      <c r="S290" s="74">
        <v>0</v>
      </c>
      <c r="T290" s="75"/>
      <c r="U290" s="76"/>
      <c r="V290" s="74">
        <v>0</v>
      </c>
      <c r="W290" s="75"/>
      <c r="X290" s="76"/>
      <c r="Y290" s="74">
        <v>0</v>
      </c>
      <c r="Z290" s="75"/>
      <c r="AA290" s="76"/>
      <c r="AB290" s="74">
        <v>0</v>
      </c>
      <c r="AC290" s="75"/>
      <c r="AD290" s="76"/>
      <c r="AE290" s="74">
        <v>0</v>
      </c>
      <c r="AF290" s="75"/>
      <c r="AG290" s="76"/>
    </row>
    <row r="291" spans="1:33" ht="15.75" thickBot="1" x14ac:dyDescent="0.3">
      <c r="A291" s="68"/>
      <c r="B291" s="68"/>
      <c r="C291" s="106" t="s">
        <v>244</v>
      </c>
      <c r="D291" s="82">
        <v>0</v>
      </c>
      <c r="E291" s="82"/>
      <c r="F291" s="84"/>
      <c r="G291" s="85">
        <v>0</v>
      </c>
      <c r="H291" s="82"/>
      <c r="I291" s="84"/>
      <c r="J291" s="85">
        <v>0</v>
      </c>
      <c r="K291" s="82"/>
      <c r="L291" s="84"/>
      <c r="M291" s="85">
        <v>0</v>
      </c>
      <c r="N291" s="82"/>
      <c r="O291" s="82"/>
      <c r="P291" s="81">
        <v>0</v>
      </c>
      <c r="Q291" s="82"/>
      <c r="R291" s="83"/>
      <c r="S291" s="82">
        <v>0</v>
      </c>
      <c r="T291" s="82"/>
      <c r="U291" s="84"/>
      <c r="V291" s="85">
        <v>0</v>
      </c>
      <c r="W291" s="82"/>
      <c r="X291" s="84"/>
      <c r="Y291" s="85">
        <v>0</v>
      </c>
      <c r="Z291" s="82"/>
      <c r="AA291" s="84"/>
      <c r="AB291" s="85">
        <v>0</v>
      </c>
      <c r="AC291" s="82"/>
      <c r="AD291" s="84"/>
      <c r="AE291" s="85">
        <v>0</v>
      </c>
      <c r="AF291" s="82"/>
      <c r="AG291" s="84"/>
    </row>
    <row r="292" spans="1:33" ht="15.75" thickBot="1" x14ac:dyDescent="0.3">
      <c r="A292" s="68"/>
      <c r="B292" s="68"/>
      <c r="C292" s="107" t="s">
        <v>37</v>
      </c>
      <c r="D292" s="104"/>
      <c r="E292" s="86"/>
      <c r="F292" s="89"/>
      <c r="G292" s="86"/>
      <c r="H292" s="86"/>
      <c r="I292" s="89"/>
      <c r="J292" s="86"/>
      <c r="K292" s="86"/>
      <c r="L292" s="89"/>
      <c r="M292" s="86"/>
      <c r="N292" s="86"/>
      <c r="O292" s="89"/>
      <c r="P292" s="86"/>
      <c r="Q292" s="86"/>
      <c r="R292" s="89"/>
      <c r="S292" s="86"/>
      <c r="T292" s="86"/>
      <c r="U292" s="89"/>
      <c r="V292" s="86"/>
      <c r="W292" s="86"/>
      <c r="X292" s="89"/>
      <c r="Y292" s="86"/>
      <c r="Z292" s="86"/>
      <c r="AA292" s="89"/>
      <c r="AB292" s="86"/>
      <c r="AC292" s="86"/>
      <c r="AD292" s="89"/>
      <c r="AE292" s="86"/>
      <c r="AF292" s="86"/>
      <c r="AG292" s="89"/>
    </row>
    <row r="293" spans="1:33" ht="15.75" thickBot="1" x14ac:dyDescent="0.3">
      <c r="A293" s="68"/>
      <c r="B293" s="68"/>
      <c r="D293" s="87"/>
      <c r="E293" s="87"/>
      <c r="F293" s="90"/>
      <c r="G293" s="87"/>
      <c r="H293" s="87"/>
      <c r="I293" s="90"/>
      <c r="J293" s="87"/>
      <c r="K293" s="87"/>
      <c r="L293" s="90"/>
      <c r="M293" s="87"/>
      <c r="N293" s="87"/>
      <c r="O293" s="90"/>
      <c r="P293" s="87"/>
      <c r="Q293" s="87"/>
      <c r="R293" s="90"/>
      <c r="S293" s="87"/>
      <c r="T293" s="87"/>
      <c r="U293" s="90"/>
      <c r="V293" s="87"/>
      <c r="W293" s="87"/>
      <c r="X293" s="90"/>
      <c r="Y293" s="87"/>
      <c r="Z293" s="87"/>
      <c r="AA293" s="90"/>
      <c r="AB293" s="87"/>
      <c r="AC293" s="87"/>
      <c r="AD293" s="90"/>
      <c r="AE293" s="87"/>
      <c r="AF293" s="87"/>
      <c r="AG293" s="90"/>
    </row>
    <row r="294" spans="1:33" ht="15.75" thickBot="1" x14ac:dyDescent="0.3">
      <c r="A294" s="68"/>
      <c r="B294" s="68"/>
      <c r="D294" s="88"/>
      <c r="E294" s="88"/>
      <c r="F294" s="91"/>
      <c r="G294" s="88"/>
      <c r="H294" s="88"/>
      <c r="I294" s="91"/>
      <c r="J294" s="88"/>
      <c r="K294" s="88"/>
      <c r="L294" s="91"/>
      <c r="M294" s="88"/>
      <c r="N294" s="88"/>
      <c r="O294" s="91"/>
      <c r="P294" s="88"/>
      <c r="Q294" s="88"/>
      <c r="R294" s="91"/>
      <c r="S294" s="88"/>
      <c r="T294" s="88"/>
      <c r="U294" s="91"/>
      <c r="V294" s="88"/>
      <c r="W294" s="88"/>
      <c r="X294" s="91"/>
      <c r="Y294" s="88"/>
      <c r="Z294" s="88"/>
      <c r="AA294" s="91"/>
      <c r="AB294" s="88"/>
      <c r="AC294" s="88"/>
      <c r="AD294" s="91"/>
      <c r="AE294" s="88"/>
      <c r="AF294" s="88"/>
      <c r="AG294" s="91"/>
    </row>
    <row r="296" spans="1:33" ht="15.75" thickBot="1" x14ac:dyDescent="0.3"/>
    <row r="297" spans="1:33" ht="15.75" thickBot="1" x14ac:dyDescent="0.3">
      <c r="A297" s="68" t="s">
        <v>97</v>
      </c>
      <c r="B297" s="68"/>
      <c r="D297" s="52" t="s">
        <v>27</v>
      </c>
      <c r="E297" s="52"/>
      <c r="F297" s="52"/>
      <c r="G297" s="73" t="s">
        <v>28</v>
      </c>
      <c r="H297" s="73"/>
      <c r="I297" s="73"/>
      <c r="J297" s="52" t="s">
        <v>29</v>
      </c>
      <c r="K297" s="52"/>
      <c r="L297" s="52"/>
      <c r="M297" s="73" t="s">
        <v>30</v>
      </c>
      <c r="N297" s="73"/>
      <c r="O297" s="73"/>
      <c r="P297" s="52" t="s">
        <v>31</v>
      </c>
      <c r="Q297" s="52"/>
      <c r="R297" s="52"/>
      <c r="S297" s="73" t="s">
        <v>32</v>
      </c>
      <c r="T297" s="73"/>
      <c r="U297" s="73"/>
      <c r="V297" s="52" t="s">
        <v>33</v>
      </c>
      <c r="W297" s="52"/>
      <c r="X297" s="52"/>
      <c r="Y297" s="73" t="s">
        <v>34</v>
      </c>
      <c r="Z297" s="73"/>
      <c r="AA297" s="73"/>
      <c r="AB297" s="52" t="s">
        <v>35</v>
      </c>
      <c r="AC297" s="52"/>
      <c r="AD297" s="52"/>
      <c r="AE297" s="73" t="s">
        <v>36</v>
      </c>
      <c r="AF297" s="73"/>
      <c r="AG297" s="73"/>
    </row>
    <row r="298" spans="1:33" ht="15.75" thickBot="1" x14ac:dyDescent="0.3">
      <c r="A298" s="68"/>
      <c r="B298" s="68"/>
      <c r="C298" s="105" t="s">
        <v>243</v>
      </c>
      <c r="D298" s="75">
        <v>0</v>
      </c>
      <c r="E298" s="75"/>
      <c r="F298" s="76"/>
      <c r="G298" s="74">
        <v>0</v>
      </c>
      <c r="H298" s="75"/>
      <c r="I298" s="76"/>
      <c r="J298" s="74">
        <v>0</v>
      </c>
      <c r="K298" s="75"/>
      <c r="L298" s="76"/>
      <c r="M298" s="74">
        <v>0</v>
      </c>
      <c r="N298" s="75"/>
      <c r="O298" s="76"/>
      <c r="P298" s="74">
        <v>0</v>
      </c>
      <c r="Q298" s="75"/>
      <c r="R298" s="76"/>
      <c r="S298" s="74">
        <v>0</v>
      </c>
      <c r="T298" s="75"/>
      <c r="U298" s="76"/>
      <c r="V298" s="74">
        <v>0</v>
      </c>
      <c r="W298" s="75"/>
      <c r="X298" s="76"/>
      <c r="Y298" s="74">
        <v>0</v>
      </c>
      <c r="Z298" s="75"/>
      <c r="AA298" s="76"/>
      <c r="AB298" s="74">
        <v>0</v>
      </c>
      <c r="AC298" s="75"/>
      <c r="AD298" s="76"/>
      <c r="AE298" s="74">
        <v>0</v>
      </c>
      <c r="AF298" s="75"/>
      <c r="AG298" s="76"/>
    </row>
    <row r="299" spans="1:33" ht="15.75" thickBot="1" x14ac:dyDescent="0.3">
      <c r="A299" s="68"/>
      <c r="B299" s="68"/>
      <c r="C299" s="106" t="s">
        <v>244</v>
      </c>
      <c r="D299" s="82">
        <v>0</v>
      </c>
      <c r="E299" s="82"/>
      <c r="F299" s="84"/>
      <c r="G299" s="85">
        <v>0</v>
      </c>
      <c r="H299" s="82"/>
      <c r="I299" s="84"/>
      <c r="J299" s="85">
        <v>0</v>
      </c>
      <c r="K299" s="82"/>
      <c r="L299" s="84"/>
      <c r="M299" s="85">
        <v>0</v>
      </c>
      <c r="N299" s="82"/>
      <c r="O299" s="82"/>
      <c r="P299" s="81">
        <v>0</v>
      </c>
      <c r="Q299" s="82"/>
      <c r="R299" s="83"/>
      <c r="S299" s="82">
        <v>0</v>
      </c>
      <c r="T299" s="82"/>
      <c r="U299" s="84"/>
      <c r="V299" s="85">
        <v>0</v>
      </c>
      <c r="W299" s="82"/>
      <c r="X299" s="84"/>
      <c r="Y299" s="85">
        <v>0</v>
      </c>
      <c r="Z299" s="82"/>
      <c r="AA299" s="84"/>
      <c r="AB299" s="85">
        <v>0</v>
      </c>
      <c r="AC299" s="82"/>
      <c r="AD299" s="84"/>
      <c r="AE299" s="85">
        <v>0</v>
      </c>
      <c r="AF299" s="82"/>
      <c r="AG299" s="84"/>
    </row>
    <row r="300" spans="1:33" ht="15.75" thickBot="1" x14ac:dyDescent="0.3">
      <c r="A300" s="68"/>
      <c r="B300" s="68"/>
      <c r="C300" s="107" t="s">
        <v>37</v>
      </c>
      <c r="D300" s="104"/>
      <c r="E300" s="86"/>
      <c r="F300" s="89"/>
      <c r="G300" s="86"/>
      <c r="H300" s="86"/>
      <c r="I300" s="89"/>
      <c r="J300" s="86"/>
      <c r="K300" s="86"/>
      <c r="L300" s="89"/>
      <c r="M300" s="86"/>
      <c r="N300" s="86"/>
      <c r="O300" s="89"/>
      <c r="P300" s="86"/>
      <c r="Q300" s="86"/>
      <c r="R300" s="89"/>
      <c r="S300" s="86"/>
      <c r="T300" s="86"/>
      <c r="U300" s="89"/>
      <c r="V300" s="86"/>
      <c r="W300" s="86"/>
      <c r="X300" s="89"/>
      <c r="Y300" s="86"/>
      <c r="Z300" s="86"/>
      <c r="AA300" s="89"/>
      <c r="AB300" s="86"/>
      <c r="AC300" s="86"/>
      <c r="AD300" s="89"/>
      <c r="AE300" s="86"/>
      <c r="AF300" s="86"/>
      <c r="AG300" s="89"/>
    </row>
    <row r="301" spans="1:33" ht="15.75" thickBot="1" x14ac:dyDescent="0.3">
      <c r="A301" s="68"/>
      <c r="B301" s="68"/>
      <c r="D301" s="87"/>
      <c r="E301" s="87"/>
      <c r="F301" s="90"/>
      <c r="G301" s="87"/>
      <c r="H301" s="87"/>
      <c r="I301" s="90"/>
      <c r="J301" s="87"/>
      <c r="K301" s="87"/>
      <c r="L301" s="90"/>
      <c r="M301" s="87"/>
      <c r="N301" s="87"/>
      <c r="O301" s="90"/>
      <c r="P301" s="87"/>
      <c r="Q301" s="87"/>
      <c r="R301" s="90"/>
      <c r="S301" s="87"/>
      <c r="T301" s="87"/>
      <c r="U301" s="90"/>
      <c r="V301" s="87"/>
      <c r="W301" s="87"/>
      <c r="X301" s="90"/>
      <c r="Y301" s="87"/>
      <c r="Z301" s="87"/>
      <c r="AA301" s="90"/>
      <c r="AB301" s="87"/>
      <c r="AC301" s="87"/>
      <c r="AD301" s="90"/>
      <c r="AE301" s="87"/>
      <c r="AF301" s="87"/>
      <c r="AG301" s="90"/>
    </row>
    <row r="302" spans="1:33" ht="15.75" thickBot="1" x14ac:dyDescent="0.3">
      <c r="A302" s="68"/>
      <c r="B302" s="68"/>
      <c r="D302" s="88"/>
      <c r="E302" s="88"/>
      <c r="F302" s="91"/>
      <c r="G302" s="88"/>
      <c r="H302" s="88"/>
      <c r="I302" s="91"/>
      <c r="J302" s="88"/>
      <c r="K302" s="88"/>
      <c r="L302" s="91"/>
      <c r="M302" s="88"/>
      <c r="N302" s="88"/>
      <c r="O302" s="91"/>
      <c r="P302" s="88"/>
      <c r="Q302" s="88"/>
      <c r="R302" s="91"/>
      <c r="S302" s="88"/>
      <c r="T302" s="88"/>
      <c r="U302" s="91"/>
      <c r="V302" s="88"/>
      <c r="W302" s="88"/>
      <c r="X302" s="91"/>
      <c r="Y302" s="88"/>
      <c r="Z302" s="88"/>
      <c r="AA302" s="91"/>
      <c r="AB302" s="88"/>
      <c r="AC302" s="88"/>
      <c r="AD302" s="91"/>
      <c r="AE302" s="88"/>
      <c r="AF302" s="88"/>
      <c r="AG302" s="91"/>
    </row>
    <row r="304" spans="1:33" ht="15.75" thickBot="1" x14ac:dyDescent="0.3"/>
    <row r="305" spans="1:33" ht="15.75" thickBot="1" x14ac:dyDescent="0.3">
      <c r="A305" s="68" t="s">
        <v>98</v>
      </c>
      <c r="B305" s="68"/>
      <c r="D305" s="52" t="s">
        <v>27</v>
      </c>
      <c r="E305" s="52"/>
      <c r="F305" s="52"/>
      <c r="G305" s="73" t="s">
        <v>28</v>
      </c>
      <c r="H305" s="73"/>
      <c r="I305" s="73"/>
      <c r="J305" s="52" t="s">
        <v>29</v>
      </c>
      <c r="K305" s="52"/>
      <c r="L305" s="52"/>
      <c r="M305" s="73" t="s">
        <v>30</v>
      </c>
      <c r="N305" s="73"/>
      <c r="O305" s="73"/>
      <c r="P305" s="52" t="s">
        <v>31</v>
      </c>
      <c r="Q305" s="52"/>
      <c r="R305" s="52"/>
      <c r="S305" s="73" t="s">
        <v>32</v>
      </c>
      <c r="T305" s="73"/>
      <c r="U305" s="73"/>
      <c r="V305" s="52" t="s">
        <v>33</v>
      </c>
      <c r="W305" s="52"/>
      <c r="X305" s="52"/>
      <c r="Y305" s="73" t="s">
        <v>34</v>
      </c>
      <c r="Z305" s="73"/>
      <c r="AA305" s="73"/>
      <c r="AB305" s="52" t="s">
        <v>35</v>
      </c>
      <c r="AC305" s="52"/>
      <c r="AD305" s="52"/>
      <c r="AE305" s="73" t="s">
        <v>36</v>
      </c>
      <c r="AF305" s="73"/>
      <c r="AG305" s="73"/>
    </row>
    <row r="306" spans="1:33" ht="15.75" thickBot="1" x14ac:dyDescent="0.3">
      <c r="A306" s="68"/>
      <c r="B306" s="68"/>
      <c r="C306" s="105" t="s">
        <v>243</v>
      </c>
      <c r="D306" s="75">
        <v>0</v>
      </c>
      <c r="E306" s="75"/>
      <c r="F306" s="76"/>
      <c r="G306" s="74">
        <v>0</v>
      </c>
      <c r="H306" s="75"/>
      <c r="I306" s="76"/>
      <c r="J306" s="74">
        <v>0</v>
      </c>
      <c r="K306" s="75"/>
      <c r="L306" s="76"/>
      <c r="M306" s="74">
        <v>0</v>
      </c>
      <c r="N306" s="75"/>
      <c r="O306" s="76"/>
      <c r="P306" s="74">
        <v>0</v>
      </c>
      <c r="Q306" s="75"/>
      <c r="R306" s="76"/>
      <c r="S306" s="74">
        <v>0</v>
      </c>
      <c r="T306" s="75"/>
      <c r="U306" s="76"/>
      <c r="V306" s="74">
        <v>0</v>
      </c>
      <c r="W306" s="75"/>
      <c r="X306" s="76"/>
      <c r="Y306" s="74">
        <v>0</v>
      </c>
      <c r="Z306" s="75"/>
      <c r="AA306" s="76"/>
      <c r="AB306" s="74">
        <v>0</v>
      </c>
      <c r="AC306" s="75"/>
      <c r="AD306" s="76"/>
      <c r="AE306" s="74">
        <v>0</v>
      </c>
      <c r="AF306" s="75"/>
      <c r="AG306" s="76"/>
    </row>
    <row r="307" spans="1:33" ht="15.75" thickBot="1" x14ac:dyDescent="0.3">
      <c r="A307" s="68"/>
      <c r="B307" s="68"/>
      <c r="C307" s="106" t="s">
        <v>244</v>
      </c>
      <c r="D307" s="82">
        <v>0</v>
      </c>
      <c r="E307" s="82"/>
      <c r="F307" s="84"/>
      <c r="G307" s="85">
        <v>0</v>
      </c>
      <c r="H307" s="82"/>
      <c r="I307" s="84"/>
      <c r="J307" s="85">
        <v>0</v>
      </c>
      <c r="K307" s="82"/>
      <c r="L307" s="84"/>
      <c r="M307" s="85">
        <v>0</v>
      </c>
      <c r="N307" s="82"/>
      <c r="O307" s="82"/>
      <c r="P307" s="81">
        <v>0</v>
      </c>
      <c r="Q307" s="82"/>
      <c r="R307" s="83"/>
      <c r="S307" s="82">
        <v>0</v>
      </c>
      <c r="T307" s="82"/>
      <c r="U307" s="84"/>
      <c r="V307" s="85">
        <v>0</v>
      </c>
      <c r="W307" s="82"/>
      <c r="X307" s="84"/>
      <c r="Y307" s="85">
        <v>0</v>
      </c>
      <c r="Z307" s="82"/>
      <c r="AA307" s="84"/>
      <c r="AB307" s="85">
        <v>0</v>
      </c>
      <c r="AC307" s="82"/>
      <c r="AD307" s="84"/>
      <c r="AE307" s="85">
        <v>0</v>
      </c>
      <c r="AF307" s="82"/>
      <c r="AG307" s="84"/>
    </row>
    <row r="308" spans="1:33" ht="15.75" thickBot="1" x14ac:dyDescent="0.3">
      <c r="A308" s="68"/>
      <c r="B308" s="68"/>
      <c r="C308" s="107" t="s">
        <v>37</v>
      </c>
      <c r="D308" s="104"/>
      <c r="E308" s="86"/>
      <c r="F308" s="89"/>
      <c r="G308" s="86"/>
      <c r="H308" s="86"/>
      <c r="I308" s="89"/>
      <c r="J308" s="86"/>
      <c r="K308" s="86"/>
      <c r="L308" s="89"/>
      <c r="M308" s="86"/>
      <c r="N308" s="86"/>
      <c r="O308" s="89"/>
      <c r="P308" s="86"/>
      <c r="Q308" s="86"/>
      <c r="R308" s="89"/>
      <c r="S308" s="86"/>
      <c r="T308" s="86"/>
      <c r="U308" s="89"/>
      <c r="V308" s="86"/>
      <c r="W308" s="86"/>
      <c r="X308" s="89"/>
      <c r="Y308" s="86"/>
      <c r="Z308" s="86"/>
      <c r="AA308" s="89"/>
      <c r="AB308" s="86"/>
      <c r="AC308" s="86"/>
      <c r="AD308" s="89"/>
      <c r="AE308" s="86"/>
      <c r="AF308" s="86"/>
      <c r="AG308" s="89"/>
    </row>
    <row r="309" spans="1:33" ht="15.75" thickBot="1" x14ac:dyDescent="0.3">
      <c r="A309" s="68"/>
      <c r="B309" s="68"/>
      <c r="D309" s="87"/>
      <c r="E309" s="87"/>
      <c r="F309" s="90"/>
      <c r="G309" s="87"/>
      <c r="H309" s="87"/>
      <c r="I309" s="90"/>
      <c r="J309" s="87"/>
      <c r="K309" s="87"/>
      <c r="L309" s="90"/>
      <c r="M309" s="87"/>
      <c r="N309" s="87"/>
      <c r="O309" s="90"/>
      <c r="P309" s="87"/>
      <c r="Q309" s="87"/>
      <c r="R309" s="90"/>
      <c r="S309" s="87"/>
      <c r="T309" s="87"/>
      <c r="U309" s="90"/>
      <c r="V309" s="87"/>
      <c r="W309" s="87"/>
      <c r="X309" s="90"/>
      <c r="Y309" s="87"/>
      <c r="Z309" s="87"/>
      <c r="AA309" s="90"/>
      <c r="AB309" s="87"/>
      <c r="AC309" s="87"/>
      <c r="AD309" s="90"/>
      <c r="AE309" s="87"/>
      <c r="AF309" s="87"/>
      <c r="AG309" s="90"/>
    </row>
    <row r="310" spans="1:33" ht="15.75" thickBot="1" x14ac:dyDescent="0.3">
      <c r="A310" s="68"/>
      <c r="B310" s="68"/>
      <c r="D310" s="88"/>
      <c r="E310" s="88"/>
      <c r="F310" s="91"/>
      <c r="G310" s="88"/>
      <c r="H310" s="88"/>
      <c r="I310" s="91"/>
      <c r="J310" s="88"/>
      <c r="K310" s="88"/>
      <c r="L310" s="91"/>
      <c r="M310" s="88"/>
      <c r="N310" s="88"/>
      <c r="O310" s="91"/>
      <c r="P310" s="88"/>
      <c r="Q310" s="88"/>
      <c r="R310" s="91"/>
      <c r="S310" s="88"/>
      <c r="T310" s="88"/>
      <c r="U310" s="91"/>
      <c r="V310" s="88"/>
      <c r="W310" s="88"/>
      <c r="X310" s="91"/>
      <c r="Y310" s="88"/>
      <c r="Z310" s="88"/>
      <c r="AA310" s="91"/>
      <c r="AB310" s="88"/>
      <c r="AC310" s="88"/>
      <c r="AD310" s="91"/>
      <c r="AE310" s="88"/>
      <c r="AF310" s="88"/>
      <c r="AG310" s="91"/>
    </row>
    <row r="312" spans="1:33" ht="15.75" thickBot="1" x14ac:dyDescent="0.3"/>
    <row r="313" spans="1:33" ht="15.75" thickBot="1" x14ac:dyDescent="0.3">
      <c r="A313" s="68" t="s">
        <v>100</v>
      </c>
      <c r="B313" s="68"/>
      <c r="D313" s="52" t="s">
        <v>27</v>
      </c>
      <c r="E313" s="52"/>
      <c r="F313" s="52"/>
      <c r="G313" s="73" t="s">
        <v>28</v>
      </c>
      <c r="H313" s="73"/>
      <c r="I313" s="73"/>
      <c r="J313" s="52" t="s">
        <v>29</v>
      </c>
      <c r="K313" s="52"/>
      <c r="L313" s="52"/>
      <c r="M313" s="73" t="s">
        <v>30</v>
      </c>
      <c r="N313" s="73"/>
      <c r="O313" s="73"/>
      <c r="P313" s="52" t="s">
        <v>31</v>
      </c>
      <c r="Q313" s="52"/>
      <c r="R313" s="52"/>
      <c r="S313" s="73" t="s">
        <v>32</v>
      </c>
      <c r="T313" s="73"/>
      <c r="U313" s="73"/>
      <c r="V313" s="52" t="s">
        <v>33</v>
      </c>
      <c r="W313" s="52"/>
      <c r="X313" s="52"/>
      <c r="Y313" s="73" t="s">
        <v>34</v>
      </c>
      <c r="Z313" s="73"/>
      <c r="AA313" s="73"/>
      <c r="AB313" s="52" t="s">
        <v>35</v>
      </c>
      <c r="AC313" s="52"/>
      <c r="AD313" s="52"/>
      <c r="AE313" s="73" t="s">
        <v>36</v>
      </c>
      <c r="AF313" s="73"/>
      <c r="AG313" s="73"/>
    </row>
    <row r="314" spans="1:33" ht="15.75" thickBot="1" x14ac:dyDescent="0.3">
      <c r="A314" s="68"/>
      <c r="B314" s="68"/>
      <c r="C314" s="105" t="s">
        <v>243</v>
      </c>
      <c r="D314" s="75">
        <v>0</v>
      </c>
      <c r="E314" s="75"/>
      <c r="F314" s="76"/>
      <c r="G314" s="74">
        <v>0</v>
      </c>
      <c r="H314" s="75"/>
      <c r="I314" s="76"/>
      <c r="J314" s="74">
        <v>0</v>
      </c>
      <c r="K314" s="75"/>
      <c r="L314" s="76"/>
      <c r="M314" s="74">
        <v>0</v>
      </c>
      <c r="N314" s="75"/>
      <c r="O314" s="76"/>
      <c r="P314" s="74">
        <v>0</v>
      </c>
      <c r="Q314" s="75"/>
      <c r="R314" s="76"/>
      <c r="S314" s="74">
        <v>0</v>
      </c>
      <c r="T314" s="75"/>
      <c r="U314" s="76"/>
      <c r="V314" s="74">
        <v>0</v>
      </c>
      <c r="W314" s="75"/>
      <c r="X314" s="76"/>
      <c r="Y314" s="74">
        <v>0</v>
      </c>
      <c r="Z314" s="75"/>
      <c r="AA314" s="76"/>
      <c r="AB314" s="74">
        <v>0</v>
      </c>
      <c r="AC314" s="75"/>
      <c r="AD314" s="76"/>
      <c r="AE314" s="74">
        <v>0</v>
      </c>
      <c r="AF314" s="75"/>
      <c r="AG314" s="76"/>
    </row>
    <row r="315" spans="1:33" ht="15.75" thickBot="1" x14ac:dyDescent="0.3">
      <c r="A315" s="68"/>
      <c r="B315" s="68"/>
      <c r="C315" s="106" t="s">
        <v>244</v>
      </c>
      <c r="D315" s="82">
        <v>0</v>
      </c>
      <c r="E315" s="82"/>
      <c r="F315" s="84"/>
      <c r="G315" s="85">
        <v>0</v>
      </c>
      <c r="H315" s="82"/>
      <c r="I315" s="84"/>
      <c r="J315" s="85">
        <v>0</v>
      </c>
      <c r="K315" s="82"/>
      <c r="L315" s="84"/>
      <c r="M315" s="85">
        <v>0</v>
      </c>
      <c r="N315" s="82"/>
      <c r="O315" s="82"/>
      <c r="P315" s="81">
        <v>0</v>
      </c>
      <c r="Q315" s="82"/>
      <c r="R315" s="83"/>
      <c r="S315" s="82">
        <v>0</v>
      </c>
      <c r="T315" s="82"/>
      <c r="U315" s="84"/>
      <c r="V315" s="85">
        <v>0</v>
      </c>
      <c r="W315" s="82"/>
      <c r="X315" s="84"/>
      <c r="Y315" s="85">
        <v>0</v>
      </c>
      <c r="Z315" s="82"/>
      <c r="AA315" s="84"/>
      <c r="AB315" s="85">
        <v>0</v>
      </c>
      <c r="AC315" s="82"/>
      <c r="AD315" s="84"/>
      <c r="AE315" s="85">
        <v>0</v>
      </c>
      <c r="AF315" s="82"/>
      <c r="AG315" s="84"/>
    </row>
    <row r="316" spans="1:33" ht="15.75" thickBot="1" x14ac:dyDescent="0.3">
      <c r="A316" s="68"/>
      <c r="B316" s="68"/>
      <c r="C316" s="107" t="s">
        <v>37</v>
      </c>
      <c r="D316" s="104"/>
      <c r="E316" s="86"/>
      <c r="F316" s="89"/>
      <c r="G316" s="86"/>
      <c r="H316" s="86"/>
      <c r="I316" s="89"/>
      <c r="J316" s="86"/>
      <c r="K316" s="86"/>
      <c r="L316" s="89"/>
      <c r="M316" s="86"/>
      <c r="N316" s="86"/>
      <c r="O316" s="89"/>
      <c r="P316" s="86"/>
      <c r="Q316" s="86"/>
      <c r="R316" s="89"/>
      <c r="S316" s="86"/>
      <c r="T316" s="86"/>
      <c r="U316" s="89"/>
      <c r="V316" s="86"/>
      <c r="W316" s="86"/>
      <c r="X316" s="89"/>
      <c r="Y316" s="86"/>
      <c r="Z316" s="86"/>
      <c r="AA316" s="89"/>
      <c r="AB316" s="86"/>
      <c r="AC316" s="86"/>
      <c r="AD316" s="89"/>
      <c r="AE316" s="86"/>
      <c r="AF316" s="86"/>
      <c r="AG316" s="89"/>
    </row>
    <row r="317" spans="1:33" ht="15.75" thickBot="1" x14ac:dyDescent="0.3">
      <c r="A317" s="68"/>
      <c r="B317" s="68"/>
      <c r="D317" s="87"/>
      <c r="E317" s="87"/>
      <c r="F317" s="90"/>
      <c r="G317" s="87"/>
      <c r="H317" s="87"/>
      <c r="I317" s="90"/>
      <c r="J317" s="87"/>
      <c r="K317" s="87"/>
      <c r="L317" s="90"/>
      <c r="M317" s="87"/>
      <c r="N317" s="87"/>
      <c r="O317" s="90"/>
      <c r="P317" s="87"/>
      <c r="Q317" s="87"/>
      <c r="R317" s="90"/>
      <c r="S317" s="87"/>
      <c r="T317" s="87"/>
      <c r="U317" s="90"/>
      <c r="V317" s="87"/>
      <c r="W317" s="87"/>
      <c r="X317" s="90"/>
      <c r="Y317" s="87"/>
      <c r="Z317" s="87"/>
      <c r="AA317" s="90"/>
      <c r="AB317" s="87"/>
      <c r="AC317" s="87"/>
      <c r="AD317" s="90"/>
      <c r="AE317" s="87"/>
      <c r="AF317" s="87"/>
      <c r="AG317" s="90"/>
    </row>
    <row r="318" spans="1:33" ht="15.75" thickBot="1" x14ac:dyDescent="0.3">
      <c r="A318" s="68"/>
      <c r="B318" s="68"/>
      <c r="D318" s="88"/>
      <c r="E318" s="88"/>
      <c r="F318" s="91"/>
      <c r="G318" s="88"/>
      <c r="H318" s="88"/>
      <c r="I318" s="91"/>
      <c r="J318" s="88"/>
      <c r="K318" s="88"/>
      <c r="L318" s="91"/>
      <c r="M318" s="88"/>
      <c r="N318" s="88"/>
      <c r="O318" s="91"/>
      <c r="P318" s="88"/>
      <c r="Q318" s="88"/>
      <c r="R318" s="91"/>
      <c r="S318" s="88"/>
      <c r="T318" s="88"/>
      <c r="U318" s="91"/>
      <c r="V318" s="88"/>
      <c r="W318" s="88"/>
      <c r="X318" s="91"/>
      <c r="Y318" s="88"/>
      <c r="Z318" s="88"/>
      <c r="AA318" s="91"/>
      <c r="AB318" s="88"/>
      <c r="AC318" s="88"/>
      <c r="AD318" s="91"/>
      <c r="AE318" s="88"/>
      <c r="AF318" s="88"/>
      <c r="AG318" s="91"/>
    </row>
    <row r="320" spans="1:33" ht="15.75" thickBot="1" x14ac:dyDescent="0.3"/>
    <row r="321" spans="1:33" ht="15.75" thickBot="1" x14ac:dyDescent="0.3">
      <c r="A321" s="68" t="s">
        <v>101</v>
      </c>
      <c r="B321" s="68"/>
      <c r="D321" s="52" t="s">
        <v>27</v>
      </c>
      <c r="E321" s="52"/>
      <c r="F321" s="52"/>
      <c r="G321" s="73" t="s">
        <v>28</v>
      </c>
      <c r="H321" s="73"/>
      <c r="I321" s="73"/>
      <c r="J321" s="52" t="s">
        <v>29</v>
      </c>
      <c r="K321" s="52"/>
      <c r="L321" s="52"/>
      <c r="M321" s="73" t="s">
        <v>30</v>
      </c>
      <c r="N321" s="73"/>
      <c r="O321" s="73"/>
      <c r="P321" s="52" t="s">
        <v>31</v>
      </c>
      <c r="Q321" s="52"/>
      <c r="R321" s="52"/>
      <c r="S321" s="73" t="s">
        <v>32</v>
      </c>
      <c r="T321" s="73"/>
      <c r="U321" s="73"/>
      <c r="V321" s="52" t="s">
        <v>33</v>
      </c>
      <c r="W321" s="52"/>
      <c r="X321" s="52"/>
      <c r="Y321" s="73" t="s">
        <v>34</v>
      </c>
      <c r="Z321" s="73"/>
      <c r="AA321" s="73"/>
      <c r="AB321" s="52" t="s">
        <v>35</v>
      </c>
      <c r="AC321" s="52"/>
      <c r="AD321" s="52"/>
      <c r="AE321" s="73" t="s">
        <v>36</v>
      </c>
      <c r="AF321" s="73"/>
      <c r="AG321" s="73"/>
    </row>
    <row r="322" spans="1:33" ht="15.75" thickBot="1" x14ac:dyDescent="0.3">
      <c r="A322" s="68"/>
      <c r="B322" s="68"/>
      <c r="C322" s="105" t="s">
        <v>243</v>
      </c>
      <c r="D322" s="75">
        <v>0</v>
      </c>
      <c r="E322" s="75"/>
      <c r="F322" s="76"/>
      <c r="G322" s="74">
        <v>0</v>
      </c>
      <c r="H322" s="75"/>
      <c r="I322" s="76"/>
      <c r="J322" s="74">
        <v>0</v>
      </c>
      <c r="K322" s="75"/>
      <c r="L322" s="76"/>
      <c r="M322" s="74">
        <v>0</v>
      </c>
      <c r="N322" s="75"/>
      <c r="O322" s="76"/>
      <c r="P322" s="74">
        <v>0</v>
      </c>
      <c r="Q322" s="75"/>
      <c r="R322" s="76"/>
      <c r="S322" s="74">
        <v>0</v>
      </c>
      <c r="T322" s="75"/>
      <c r="U322" s="76"/>
      <c r="V322" s="74">
        <v>0</v>
      </c>
      <c r="W322" s="75"/>
      <c r="X322" s="76"/>
      <c r="Y322" s="74">
        <v>0</v>
      </c>
      <c r="Z322" s="75"/>
      <c r="AA322" s="76"/>
      <c r="AB322" s="74">
        <v>0</v>
      </c>
      <c r="AC322" s="75"/>
      <c r="AD322" s="76"/>
      <c r="AE322" s="74">
        <v>0</v>
      </c>
      <c r="AF322" s="75"/>
      <c r="AG322" s="76"/>
    </row>
    <row r="323" spans="1:33" ht="15.75" thickBot="1" x14ac:dyDescent="0.3">
      <c r="A323" s="68"/>
      <c r="B323" s="68"/>
      <c r="C323" s="106" t="s">
        <v>244</v>
      </c>
      <c r="D323" s="82">
        <v>0</v>
      </c>
      <c r="E323" s="82"/>
      <c r="F323" s="84"/>
      <c r="G323" s="85">
        <v>0</v>
      </c>
      <c r="H323" s="82"/>
      <c r="I323" s="84"/>
      <c r="J323" s="85">
        <v>0</v>
      </c>
      <c r="K323" s="82"/>
      <c r="L323" s="84"/>
      <c r="M323" s="85">
        <v>0</v>
      </c>
      <c r="N323" s="82"/>
      <c r="O323" s="82"/>
      <c r="P323" s="81">
        <v>0</v>
      </c>
      <c r="Q323" s="82"/>
      <c r="R323" s="83"/>
      <c r="S323" s="82">
        <v>0</v>
      </c>
      <c r="T323" s="82"/>
      <c r="U323" s="84"/>
      <c r="V323" s="85">
        <v>0</v>
      </c>
      <c r="W323" s="82"/>
      <c r="X323" s="84"/>
      <c r="Y323" s="85">
        <v>0</v>
      </c>
      <c r="Z323" s="82"/>
      <c r="AA323" s="84"/>
      <c r="AB323" s="85">
        <v>0</v>
      </c>
      <c r="AC323" s="82"/>
      <c r="AD323" s="84"/>
      <c r="AE323" s="85">
        <v>0</v>
      </c>
      <c r="AF323" s="82"/>
      <c r="AG323" s="84"/>
    </row>
    <row r="324" spans="1:33" ht="15.75" thickBot="1" x14ac:dyDescent="0.3">
      <c r="A324" s="68"/>
      <c r="B324" s="68"/>
      <c r="C324" s="107" t="s">
        <v>37</v>
      </c>
      <c r="D324" s="104"/>
      <c r="E324" s="86"/>
      <c r="F324" s="89"/>
      <c r="G324" s="86"/>
      <c r="H324" s="86"/>
      <c r="I324" s="89"/>
      <c r="J324" s="86"/>
      <c r="K324" s="86"/>
      <c r="L324" s="89"/>
      <c r="M324" s="86"/>
      <c r="N324" s="86"/>
      <c r="O324" s="89"/>
      <c r="P324" s="86"/>
      <c r="Q324" s="86"/>
      <c r="R324" s="89"/>
      <c r="S324" s="86"/>
      <c r="T324" s="86"/>
      <c r="U324" s="89"/>
      <c r="V324" s="86"/>
      <c r="W324" s="86"/>
      <c r="X324" s="89"/>
      <c r="Y324" s="86"/>
      <c r="Z324" s="86"/>
      <c r="AA324" s="89"/>
      <c r="AB324" s="86"/>
      <c r="AC324" s="86"/>
      <c r="AD324" s="89"/>
      <c r="AE324" s="86"/>
      <c r="AF324" s="86"/>
      <c r="AG324" s="89"/>
    </row>
    <row r="325" spans="1:33" ht="15.75" thickBot="1" x14ac:dyDescent="0.3">
      <c r="A325" s="68"/>
      <c r="B325" s="68"/>
      <c r="D325" s="87"/>
      <c r="E325" s="87"/>
      <c r="F325" s="90"/>
      <c r="G325" s="87"/>
      <c r="H325" s="87"/>
      <c r="I325" s="90"/>
      <c r="J325" s="87"/>
      <c r="K325" s="87"/>
      <c r="L325" s="90"/>
      <c r="M325" s="87"/>
      <c r="N325" s="87"/>
      <c r="O325" s="90"/>
      <c r="P325" s="87"/>
      <c r="Q325" s="87"/>
      <c r="R325" s="90"/>
      <c r="S325" s="87"/>
      <c r="T325" s="87"/>
      <c r="U325" s="90"/>
      <c r="V325" s="87"/>
      <c r="W325" s="87"/>
      <c r="X325" s="90"/>
      <c r="Y325" s="87"/>
      <c r="Z325" s="87"/>
      <c r="AA325" s="90"/>
      <c r="AB325" s="87"/>
      <c r="AC325" s="87"/>
      <c r="AD325" s="90"/>
      <c r="AE325" s="87"/>
      <c r="AF325" s="87"/>
      <c r="AG325" s="90"/>
    </row>
    <row r="326" spans="1:33" ht="15.75" thickBot="1" x14ac:dyDescent="0.3">
      <c r="A326" s="68"/>
      <c r="B326" s="68"/>
      <c r="D326" s="88"/>
      <c r="E326" s="88"/>
      <c r="F326" s="91"/>
      <c r="G326" s="88"/>
      <c r="H326" s="88"/>
      <c r="I326" s="91"/>
      <c r="J326" s="88"/>
      <c r="K326" s="88"/>
      <c r="L326" s="91"/>
      <c r="M326" s="88"/>
      <c r="N326" s="88"/>
      <c r="O326" s="91"/>
      <c r="P326" s="88"/>
      <c r="Q326" s="88"/>
      <c r="R326" s="91"/>
      <c r="S326" s="88"/>
      <c r="T326" s="88"/>
      <c r="U326" s="91"/>
      <c r="V326" s="88"/>
      <c r="W326" s="88"/>
      <c r="X326" s="91"/>
      <c r="Y326" s="88"/>
      <c r="Z326" s="88"/>
      <c r="AA326" s="91"/>
      <c r="AB326" s="88"/>
      <c r="AC326" s="88"/>
      <c r="AD326" s="91"/>
      <c r="AE326" s="88"/>
      <c r="AF326" s="88"/>
      <c r="AG326" s="91"/>
    </row>
    <row r="328" spans="1:33" ht="15.75" thickBot="1" x14ac:dyDescent="0.3"/>
    <row r="329" spans="1:33" ht="15.75" thickBot="1" x14ac:dyDescent="0.3">
      <c r="A329" s="68" t="s">
        <v>262</v>
      </c>
      <c r="B329" s="68"/>
      <c r="D329" s="52" t="s">
        <v>27</v>
      </c>
      <c r="E329" s="52"/>
      <c r="F329" s="52"/>
      <c r="G329" s="73" t="s">
        <v>28</v>
      </c>
      <c r="H329" s="73"/>
      <c r="I329" s="73"/>
      <c r="J329" s="52" t="s">
        <v>29</v>
      </c>
      <c r="K329" s="52"/>
      <c r="L329" s="52"/>
      <c r="M329" s="73" t="s">
        <v>30</v>
      </c>
      <c r="N329" s="73"/>
      <c r="O329" s="73"/>
      <c r="P329" s="52" t="s">
        <v>31</v>
      </c>
      <c r="Q329" s="52"/>
      <c r="R329" s="52"/>
      <c r="S329" s="73" t="s">
        <v>32</v>
      </c>
      <c r="T329" s="73"/>
      <c r="U329" s="73"/>
      <c r="V329" s="52" t="s">
        <v>33</v>
      </c>
      <c r="W329" s="52"/>
      <c r="X329" s="52"/>
      <c r="Y329" s="73" t="s">
        <v>34</v>
      </c>
      <c r="Z329" s="73"/>
      <c r="AA329" s="73"/>
      <c r="AB329" s="52" t="s">
        <v>35</v>
      </c>
      <c r="AC329" s="52"/>
      <c r="AD329" s="52"/>
      <c r="AE329" s="73" t="s">
        <v>36</v>
      </c>
      <c r="AF329" s="73"/>
      <c r="AG329" s="73"/>
    </row>
    <row r="330" spans="1:33" ht="15.75" thickBot="1" x14ac:dyDescent="0.3">
      <c r="A330" s="68"/>
      <c r="B330" s="68"/>
      <c r="C330" s="105" t="s">
        <v>243</v>
      </c>
      <c r="D330" s="75">
        <v>0</v>
      </c>
      <c r="E330" s="75"/>
      <c r="F330" s="76"/>
      <c r="G330" s="74">
        <v>0</v>
      </c>
      <c r="H330" s="75"/>
      <c r="I330" s="76"/>
      <c r="J330" s="74">
        <v>0</v>
      </c>
      <c r="K330" s="75"/>
      <c r="L330" s="76"/>
      <c r="M330" s="74">
        <v>0</v>
      </c>
      <c r="N330" s="75"/>
      <c r="O330" s="76"/>
      <c r="P330" s="74">
        <v>0</v>
      </c>
      <c r="Q330" s="75"/>
      <c r="R330" s="76"/>
      <c r="S330" s="74">
        <v>0</v>
      </c>
      <c r="T330" s="75"/>
      <c r="U330" s="76"/>
      <c r="V330" s="74">
        <v>0</v>
      </c>
      <c r="W330" s="75"/>
      <c r="X330" s="76"/>
      <c r="Y330" s="74">
        <v>0</v>
      </c>
      <c r="Z330" s="75"/>
      <c r="AA330" s="76"/>
      <c r="AB330" s="74">
        <v>0</v>
      </c>
      <c r="AC330" s="75"/>
      <c r="AD330" s="76"/>
      <c r="AE330" s="74">
        <v>0</v>
      </c>
      <c r="AF330" s="75"/>
      <c r="AG330" s="76"/>
    </row>
    <row r="331" spans="1:33" ht="15.75" thickBot="1" x14ac:dyDescent="0.3">
      <c r="A331" s="68"/>
      <c r="B331" s="68"/>
      <c r="C331" s="106" t="s">
        <v>244</v>
      </c>
      <c r="D331" s="82">
        <v>0</v>
      </c>
      <c r="E331" s="82"/>
      <c r="F331" s="84"/>
      <c r="G331" s="85">
        <v>0</v>
      </c>
      <c r="H331" s="82"/>
      <c r="I331" s="84"/>
      <c r="J331" s="85">
        <v>0</v>
      </c>
      <c r="K331" s="82"/>
      <c r="L331" s="84"/>
      <c r="M331" s="85">
        <v>0</v>
      </c>
      <c r="N331" s="82"/>
      <c r="O331" s="82"/>
      <c r="P331" s="81">
        <v>0</v>
      </c>
      <c r="Q331" s="82"/>
      <c r="R331" s="83"/>
      <c r="S331" s="82">
        <v>0</v>
      </c>
      <c r="T331" s="82"/>
      <c r="U331" s="84"/>
      <c r="V331" s="85">
        <v>0</v>
      </c>
      <c r="W331" s="82"/>
      <c r="X331" s="84"/>
      <c r="Y331" s="85">
        <v>0</v>
      </c>
      <c r="Z331" s="82"/>
      <c r="AA331" s="84"/>
      <c r="AB331" s="85">
        <v>0</v>
      </c>
      <c r="AC331" s="82"/>
      <c r="AD331" s="84"/>
      <c r="AE331" s="85">
        <v>0</v>
      </c>
      <c r="AF331" s="82"/>
      <c r="AG331" s="84"/>
    </row>
    <row r="332" spans="1:33" ht="15.75" thickBot="1" x14ac:dyDescent="0.3">
      <c r="A332" s="68"/>
      <c r="B332" s="68"/>
      <c r="C332" s="107" t="s">
        <v>37</v>
      </c>
      <c r="D332" s="104"/>
      <c r="E332" s="86"/>
      <c r="F332" s="89"/>
      <c r="G332" s="86"/>
      <c r="H332" s="86"/>
      <c r="I332" s="89"/>
      <c r="J332" s="86"/>
      <c r="K332" s="86"/>
      <c r="L332" s="89"/>
      <c r="M332" s="86"/>
      <c r="N332" s="86"/>
      <c r="O332" s="89"/>
      <c r="P332" s="86"/>
      <c r="Q332" s="86"/>
      <c r="R332" s="89"/>
      <c r="S332" s="86"/>
      <c r="T332" s="86"/>
      <c r="U332" s="89"/>
      <c r="V332" s="86"/>
      <c r="W332" s="86"/>
      <c r="X332" s="89"/>
      <c r="Y332" s="86"/>
      <c r="Z332" s="86"/>
      <c r="AA332" s="89"/>
      <c r="AB332" s="86"/>
      <c r="AC332" s="86"/>
      <c r="AD332" s="89"/>
      <c r="AE332" s="86"/>
      <c r="AF332" s="86"/>
      <c r="AG332" s="89"/>
    </row>
    <row r="333" spans="1:33" ht="15.75" thickBot="1" x14ac:dyDescent="0.3">
      <c r="A333" s="68"/>
      <c r="B333" s="68"/>
      <c r="D333" s="87"/>
      <c r="E333" s="87"/>
      <c r="F333" s="90"/>
      <c r="G333" s="87"/>
      <c r="H333" s="87"/>
      <c r="I333" s="90"/>
      <c r="J333" s="87"/>
      <c r="K333" s="87"/>
      <c r="L333" s="90"/>
      <c r="M333" s="87"/>
      <c r="N333" s="87"/>
      <c r="O333" s="90"/>
      <c r="P333" s="87"/>
      <c r="Q333" s="87"/>
      <c r="R333" s="90"/>
      <c r="S333" s="87"/>
      <c r="T333" s="87"/>
      <c r="U333" s="90"/>
      <c r="V333" s="87"/>
      <c r="W333" s="87"/>
      <c r="X333" s="90"/>
      <c r="Y333" s="87"/>
      <c r="Z333" s="87"/>
      <c r="AA333" s="90"/>
      <c r="AB333" s="87"/>
      <c r="AC333" s="87"/>
      <c r="AD333" s="90"/>
      <c r="AE333" s="87"/>
      <c r="AF333" s="87"/>
      <c r="AG333" s="90"/>
    </row>
    <row r="334" spans="1:33" ht="15.75" thickBot="1" x14ac:dyDescent="0.3">
      <c r="A334" s="68"/>
      <c r="B334" s="68"/>
      <c r="D334" s="88"/>
      <c r="E334" s="88"/>
      <c r="F334" s="91"/>
      <c r="G334" s="88"/>
      <c r="H334" s="88"/>
      <c r="I334" s="91"/>
      <c r="J334" s="88"/>
      <c r="K334" s="88"/>
      <c r="L334" s="91"/>
      <c r="M334" s="88"/>
      <c r="N334" s="88"/>
      <c r="O334" s="91"/>
      <c r="P334" s="88"/>
      <c r="Q334" s="88"/>
      <c r="R334" s="91"/>
      <c r="S334" s="88"/>
      <c r="T334" s="88"/>
      <c r="U334" s="91"/>
      <c r="V334" s="88"/>
      <c r="W334" s="88"/>
      <c r="X334" s="91"/>
      <c r="Y334" s="88"/>
      <c r="Z334" s="88"/>
      <c r="AA334" s="91"/>
      <c r="AB334" s="88"/>
      <c r="AC334" s="88"/>
      <c r="AD334" s="91"/>
      <c r="AE334" s="88"/>
      <c r="AF334" s="88"/>
      <c r="AG334" s="91"/>
    </row>
    <row r="336" spans="1:33" ht="15.75" thickBot="1" x14ac:dyDescent="0.3"/>
    <row r="337" spans="1:33" ht="15.75" thickBot="1" x14ac:dyDescent="0.3">
      <c r="A337" s="68" t="s">
        <v>102</v>
      </c>
      <c r="B337" s="68"/>
      <c r="D337" s="52" t="s">
        <v>27</v>
      </c>
      <c r="E337" s="52"/>
      <c r="F337" s="52"/>
      <c r="G337" s="73" t="s">
        <v>28</v>
      </c>
      <c r="H337" s="73"/>
      <c r="I337" s="73"/>
      <c r="J337" s="52" t="s">
        <v>29</v>
      </c>
      <c r="K337" s="52"/>
      <c r="L337" s="52"/>
      <c r="M337" s="73" t="s">
        <v>30</v>
      </c>
      <c r="N337" s="73"/>
      <c r="O337" s="73"/>
      <c r="P337" s="52" t="s">
        <v>31</v>
      </c>
      <c r="Q337" s="52"/>
      <c r="R337" s="52"/>
      <c r="S337" s="73" t="s">
        <v>32</v>
      </c>
      <c r="T337" s="73"/>
      <c r="U337" s="73"/>
      <c r="V337" s="52" t="s">
        <v>33</v>
      </c>
      <c r="W337" s="52"/>
      <c r="X337" s="52"/>
      <c r="Y337" s="73" t="s">
        <v>34</v>
      </c>
      <c r="Z337" s="73"/>
      <c r="AA337" s="73"/>
      <c r="AB337" s="52" t="s">
        <v>35</v>
      </c>
      <c r="AC337" s="52"/>
      <c r="AD337" s="52"/>
      <c r="AE337" s="73" t="s">
        <v>36</v>
      </c>
      <c r="AF337" s="73"/>
      <c r="AG337" s="73"/>
    </row>
    <row r="338" spans="1:33" ht="15.75" thickBot="1" x14ac:dyDescent="0.3">
      <c r="A338" s="68"/>
      <c r="B338" s="68"/>
      <c r="C338" s="105" t="s">
        <v>243</v>
      </c>
      <c r="D338" s="75">
        <v>0</v>
      </c>
      <c r="E338" s="75"/>
      <c r="F338" s="76"/>
      <c r="G338" s="74">
        <v>0</v>
      </c>
      <c r="H338" s="75"/>
      <c r="I338" s="76"/>
      <c r="J338" s="74">
        <v>0</v>
      </c>
      <c r="K338" s="75"/>
      <c r="L338" s="76"/>
      <c r="M338" s="74">
        <v>0</v>
      </c>
      <c r="N338" s="75"/>
      <c r="O338" s="76"/>
      <c r="P338" s="74">
        <v>0</v>
      </c>
      <c r="Q338" s="75"/>
      <c r="R338" s="76"/>
      <c r="S338" s="74">
        <v>0</v>
      </c>
      <c r="T338" s="75"/>
      <c r="U338" s="76"/>
      <c r="V338" s="74">
        <v>0</v>
      </c>
      <c r="W338" s="75"/>
      <c r="X338" s="76"/>
      <c r="Y338" s="74">
        <v>0</v>
      </c>
      <c r="Z338" s="75"/>
      <c r="AA338" s="76"/>
      <c r="AB338" s="74">
        <v>0</v>
      </c>
      <c r="AC338" s="75"/>
      <c r="AD338" s="76"/>
      <c r="AE338" s="74">
        <v>0</v>
      </c>
      <c r="AF338" s="75"/>
      <c r="AG338" s="76"/>
    </row>
    <row r="339" spans="1:33" ht="15.75" thickBot="1" x14ac:dyDescent="0.3">
      <c r="A339" s="68"/>
      <c r="B339" s="68"/>
      <c r="C339" s="106" t="s">
        <v>244</v>
      </c>
      <c r="D339" s="82">
        <v>0</v>
      </c>
      <c r="E339" s="82"/>
      <c r="F339" s="84"/>
      <c r="G339" s="85">
        <v>0</v>
      </c>
      <c r="H339" s="82"/>
      <c r="I339" s="84"/>
      <c r="J339" s="85">
        <v>0</v>
      </c>
      <c r="K339" s="82"/>
      <c r="L339" s="84"/>
      <c r="M339" s="85">
        <v>0</v>
      </c>
      <c r="N339" s="82"/>
      <c r="O339" s="82"/>
      <c r="P339" s="81">
        <v>0</v>
      </c>
      <c r="Q339" s="82"/>
      <c r="R339" s="83"/>
      <c r="S339" s="82">
        <v>0</v>
      </c>
      <c r="T339" s="82"/>
      <c r="U339" s="84"/>
      <c r="V339" s="85">
        <v>0</v>
      </c>
      <c r="W339" s="82"/>
      <c r="X339" s="84"/>
      <c r="Y339" s="85">
        <v>0</v>
      </c>
      <c r="Z339" s="82"/>
      <c r="AA339" s="84"/>
      <c r="AB339" s="85">
        <v>0</v>
      </c>
      <c r="AC339" s="82"/>
      <c r="AD339" s="84"/>
      <c r="AE339" s="85">
        <v>0</v>
      </c>
      <c r="AF339" s="82"/>
      <c r="AG339" s="84"/>
    </row>
    <row r="340" spans="1:33" ht="15.75" thickBot="1" x14ac:dyDescent="0.3">
      <c r="A340" s="68"/>
      <c r="B340" s="68"/>
      <c r="C340" s="107" t="s">
        <v>37</v>
      </c>
      <c r="D340" s="104"/>
      <c r="E340" s="86"/>
      <c r="F340" s="89"/>
      <c r="G340" s="86"/>
      <c r="H340" s="86"/>
      <c r="I340" s="89"/>
      <c r="J340" s="86"/>
      <c r="K340" s="86"/>
      <c r="L340" s="89"/>
      <c r="M340" s="86"/>
      <c r="N340" s="86"/>
      <c r="O340" s="89"/>
      <c r="P340" s="86"/>
      <c r="Q340" s="86"/>
      <c r="R340" s="89"/>
      <c r="S340" s="86"/>
      <c r="T340" s="86"/>
      <c r="U340" s="89"/>
      <c r="V340" s="86"/>
      <c r="W340" s="86"/>
      <c r="X340" s="89"/>
      <c r="Y340" s="86"/>
      <c r="Z340" s="86"/>
      <c r="AA340" s="89"/>
      <c r="AB340" s="86"/>
      <c r="AC340" s="86"/>
      <c r="AD340" s="89"/>
      <c r="AE340" s="86"/>
      <c r="AF340" s="86"/>
      <c r="AG340" s="89"/>
    </row>
    <row r="341" spans="1:33" ht="15.75" thickBot="1" x14ac:dyDescent="0.3">
      <c r="A341" s="68"/>
      <c r="B341" s="68"/>
      <c r="D341" s="87"/>
      <c r="E341" s="87"/>
      <c r="F341" s="90"/>
      <c r="G341" s="87"/>
      <c r="H341" s="87"/>
      <c r="I341" s="90"/>
      <c r="J341" s="87"/>
      <c r="K341" s="87"/>
      <c r="L341" s="90"/>
      <c r="M341" s="87"/>
      <c r="N341" s="87"/>
      <c r="O341" s="90"/>
      <c r="P341" s="87"/>
      <c r="Q341" s="87"/>
      <c r="R341" s="90"/>
      <c r="S341" s="87"/>
      <c r="T341" s="87"/>
      <c r="U341" s="90"/>
      <c r="V341" s="87"/>
      <c r="W341" s="87"/>
      <c r="X341" s="90"/>
      <c r="Y341" s="87"/>
      <c r="Z341" s="87"/>
      <c r="AA341" s="90"/>
      <c r="AB341" s="87"/>
      <c r="AC341" s="87"/>
      <c r="AD341" s="90"/>
      <c r="AE341" s="87"/>
      <c r="AF341" s="87"/>
      <c r="AG341" s="90"/>
    </row>
    <row r="342" spans="1:33" ht="15.75" thickBot="1" x14ac:dyDescent="0.3">
      <c r="A342" s="68"/>
      <c r="B342" s="68"/>
      <c r="D342" s="88"/>
      <c r="E342" s="88"/>
      <c r="F342" s="91"/>
      <c r="G342" s="88"/>
      <c r="H342" s="88"/>
      <c r="I342" s="91"/>
      <c r="J342" s="88"/>
      <c r="K342" s="88"/>
      <c r="L342" s="91"/>
      <c r="M342" s="88"/>
      <c r="N342" s="88"/>
      <c r="O342" s="91"/>
      <c r="P342" s="88"/>
      <c r="Q342" s="88"/>
      <c r="R342" s="91"/>
      <c r="S342" s="88"/>
      <c r="T342" s="88"/>
      <c r="U342" s="91"/>
      <c r="V342" s="88"/>
      <c r="W342" s="88"/>
      <c r="X342" s="91"/>
      <c r="Y342" s="88"/>
      <c r="Z342" s="88"/>
      <c r="AA342" s="91"/>
      <c r="AB342" s="88"/>
      <c r="AC342" s="88"/>
      <c r="AD342" s="91"/>
      <c r="AE342" s="88"/>
      <c r="AF342" s="88"/>
      <c r="AG342" s="91"/>
    </row>
    <row r="344" spans="1:33" ht="15.75" thickBot="1" x14ac:dyDescent="0.3"/>
    <row r="345" spans="1:33" ht="15.75" thickBot="1" x14ac:dyDescent="0.3">
      <c r="A345" s="68" t="s">
        <v>103</v>
      </c>
      <c r="B345" s="68"/>
      <c r="D345" s="52" t="s">
        <v>27</v>
      </c>
      <c r="E345" s="52"/>
      <c r="F345" s="52"/>
      <c r="G345" s="73" t="s">
        <v>28</v>
      </c>
      <c r="H345" s="73"/>
      <c r="I345" s="73"/>
      <c r="J345" s="52" t="s">
        <v>29</v>
      </c>
      <c r="K345" s="52"/>
      <c r="L345" s="52"/>
      <c r="M345" s="73" t="s">
        <v>30</v>
      </c>
      <c r="N345" s="73"/>
      <c r="O345" s="73"/>
      <c r="P345" s="52" t="s">
        <v>31</v>
      </c>
      <c r="Q345" s="52"/>
      <c r="R345" s="52"/>
      <c r="S345" s="73" t="s">
        <v>32</v>
      </c>
      <c r="T345" s="73"/>
      <c r="U345" s="73"/>
      <c r="V345" s="52" t="s">
        <v>33</v>
      </c>
      <c r="W345" s="52"/>
      <c r="X345" s="52"/>
      <c r="Y345" s="73" t="s">
        <v>34</v>
      </c>
      <c r="Z345" s="73"/>
      <c r="AA345" s="73"/>
      <c r="AB345" s="52" t="s">
        <v>35</v>
      </c>
      <c r="AC345" s="52"/>
      <c r="AD345" s="52"/>
      <c r="AE345" s="73" t="s">
        <v>36</v>
      </c>
      <c r="AF345" s="73"/>
      <c r="AG345" s="73"/>
    </row>
    <row r="346" spans="1:33" ht="15.75" thickBot="1" x14ac:dyDescent="0.3">
      <c r="A346" s="68"/>
      <c r="B346" s="68"/>
      <c r="C346" s="105" t="s">
        <v>243</v>
      </c>
      <c r="D346" s="75">
        <v>0</v>
      </c>
      <c r="E346" s="75"/>
      <c r="F346" s="76"/>
      <c r="G346" s="74">
        <v>0</v>
      </c>
      <c r="H346" s="75"/>
      <c r="I346" s="76"/>
      <c r="J346" s="74">
        <v>0</v>
      </c>
      <c r="K346" s="75"/>
      <c r="L346" s="76"/>
      <c r="M346" s="74">
        <v>0</v>
      </c>
      <c r="N346" s="75"/>
      <c r="O346" s="76"/>
      <c r="P346" s="74">
        <v>0</v>
      </c>
      <c r="Q346" s="75"/>
      <c r="R346" s="76"/>
      <c r="S346" s="74">
        <v>0</v>
      </c>
      <c r="T346" s="75"/>
      <c r="U346" s="76"/>
      <c r="V346" s="74">
        <v>0</v>
      </c>
      <c r="W346" s="75"/>
      <c r="X346" s="76"/>
      <c r="Y346" s="74">
        <v>0</v>
      </c>
      <c r="Z346" s="75"/>
      <c r="AA346" s="76"/>
      <c r="AB346" s="74">
        <v>0</v>
      </c>
      <c r="AC346" s="75"/>
      <c r="AD346" s="76"/>
      <c r="AE346" s="74">
        <v>0</v>
      </c>
      <c r="AF346" s="75"/>
      <c r="AG346" s="76"/>
    </row>
    <row r="347" spans="1:33" ht="15.75" thickBot="1" x14ac:dyDescent="0.3">
      <c r="A347" s="68"/>
      <c r="B347" s="68"/>
      <c r="C347" s="106" t="s">
        <v>244</v>
      </c>
      <c r="D347" s="82">
        <v>0</v>
      </c>
      <c r="E347" s="82"/>
      <c r="F347" s="84"/>
      <c r="G347" s="85">
        <v>0</v>
      </c>
      <c r="H347" s="82"/>
      <c r="I347" s="84"/>
      <c r="J347" s="85">
        <v>0</v>
      </c>
      <c r="K347" s="82"/>
      <c r="L347" s="84"/>
      <c r="M347" s="85">
        <v>0</v>
      </c>
      <c r="N347" s="82"/>
      <c r="O347" s="82"/>
      <c r="P347" s="81">
        <v>1</v>
      </c>
      <c r="Q347" s="82"/>
      <c r="R347" s="83"/>
      <c r="S347" s="82">
        <v>1</v>
      </c>
      <c r="T347" s="82"/>
      <c r="U347" s="84"/>
      <c r="V347" s="85">
        <v>1</v>
      </c>
      <c r="W347" s="82"/>
      <c r="X347" s="84"/>
      <c r="Y347" s="85">
        <v>1</v>
      </c>
      <c r="Z347" s="82"/>
      <c r="AA347" s="84"/>
      <c r="AB347" s="85">
        <v>1</v>
      </c>
      <c r="AC347" s="82"/>
      <c r="AD347" s="84"/>
      <c r="AE347" s="85">
        <v>1</v>
      </c>
      <c r="AF347" s="82"/>
      <c r="AG347" s="84"/>
    </row>
    <row r="348" spans="1:33" ht="15.75" thickBot="1" x14ac:dyDescent="0.3">
      <c r="A348" s="68"/>
      <c r="B348" s="68"/>
      <c r="C348" s="107" t="s">
        <v>37</v>
      </c>
      <c r="D348" s="104"/>
      <c r="E348" s="86"/>
      <c r="F348" s="89"/>
      <c r="G348" s="86"/>
      <c r="H348" s="86"/>
      <c r="I348" s="89"/>
      <c r="J348" s="86"/>
      <c r="K348" s="86"/>
      <c r="L348" s="89"/>
      <c r="M348" s="86"/>
      <c r="N348" s="86"/>
      <c r="O348" s="89"/>
      <c r="P348" s="86" t="s">
        <v>7</v>
      </c>
      <c r="Q348" s="86"/>
      <c r="R348" s="89">
        <v>1</v>
      </c>
      <c r="S348" s="86" t="s">
        <v>7</v>
      </c>
      <c r="T348" s="86"/>
      <c r="U348" s="89">
        <v>1</v>
      </c>
      <c r="V348" s="86" t="s">
        <v>7</v>
      </c>
      <c r="W348" s="86"/>
      <c r="X348" s="89">
        <v>1</v>
      </c>
      <c r="Y348" s="86" t="s">
        <v>7</v>
      </c>
      <c r="Z348" s="86"/>
      <c r="AA348" s="89">
        <v>1</v>
      </c>
      <c r="AB348" s="86"/>
      <c r="AC348" s="86"/>
      <c r="AD348" s="89"/>
      <c r="AE348" s="86"/>
      <c r="AF348" s="86"/>
      <c r="AG348" s="89"/>
    </row>
    <row r="349" spans="1:33" ht="15.75" thickBot="1" x14ac:dyDescent="0.3">
      <c r="A349" s="68"/>
      <c r="B349" s="68"/>
      <c r="D349" s="87"/>
      <c r="E349" s="87"/>
      <c r="F349" s="90"/>
      <c r="G349" s="87"/>
      <c r="H349" s="87"/>
      <c r="I349" s="90"/>
      <c r="J349" s="87"/>
      <c r="K349" s="87"/>
      <c r="L349" s="90"/>
      <c r="M349" s="87"/>
      <c r="N349" s="87"/>
      <c r="O349" s="90"/>
      <c r="P349" s="87"/>
      <c r="Q349" s="87"/>
      <c r="R349" s="90"/>
      <c r="S349" s="87" t="s">
        <v>9</v>
      </c>
      <c r="T349" s="87"/>
      <c r="U349" s="90">
        <v>1</v>
      </c>
      <c r="V349" s="87" t="s">
        <v>9</v>
      </c>
      <c r="W349" s="87"/>
      <c r="X349" s="90">
        <v>1</v>
      </c>
      <c r="Y349" s="87" t="s">
        <v>9</v>
      </c>
      <c r="Z349" s="87"/>
      <c r="AA349" s="90">
        <v>2</v>
      </c>
      <c r="AB349" s="87"/>
      <c r="AC349" s="87"/>
      <c r="AD349" s="90"/>
      <c r="AE349" s="87"/>
      <c r="AF349" s="87"/>
      <c r="AG349" s="90"/>
    </row>
    <row r="350" spans="1:33" ht="15.75" thickBot="1" x14ac:dyDescent="0.3">
      <c r="A350" s="68"/>
      <c r="B350" s="68"/>
      <c r="D350" s="88"/>
      <c r="E350" s="88"/>
      <c r="F350" s="91"/>
      <c r="G350" s="88"/>
      <c r="H350" s="88"/>
      <c r="I350" s="91"/>
      <c r="J350" s="88"/>
      <c r="K350" s="88"/>
      <c r="L350" s="91"/>
      <c r="M350" s="88"/>
      <c r="N350" s="88"/>
      <c r="O350" s="91"/>
      <c r="P350" s="88"/>
      <c r="Q350" s="88"/>
      <c r="R350" s="91"/>
      <c r="S350" s="88"/>
      <c r="T350" s="88"/>
      <c r="U350" s="91"/>
      <c r="V350" s="88"/>
      <c r="W350" s="88"/>
      <c r="X350" s="91"/>
      <c r="Y350" s="88"/>
      <c r="Z350" s="88"/>
      <c r="AA350" s="91"/>
      <c r="AB350" s="88"/>
      <c r="AC350" s="88"/>
      <c r="AD350" s="91"/>
      <c r="AE350" s="88"/>
      <c r="AF350" s="88"/>
      <c r="AG350" s="91"/>
    </row>
    <row r="352" spans="1:33" ht="15.75" thickBot="1" x14ac:dyDescent="0.3"/>
    <row r="353" spans="1:33" ht="15.75" thickBot="1" x14ac:dyDescent="0.3">
      <c r="A353" s="68" t="s">
        <v>263</v>
      </c>
      <c r="B353" s="68"/>
      <c r="D353" s="52" t="s">
        <v>27</v>
      </c>
      <c r="E353" s="52"/>
      <c r="F353" s="52"/>
      <c r="G353" s="73" t="s">
        <v>28</v>
      </c>
      <c r="H353" s="73"/>
      <c r="I353" s="73"/>
      <c r="J353" s="52" t="s">
        <v>29</v>
      </c>
      <c r="K353" s="52"/>
      <c r="L353" s="52"/>
      <c r="M353" s="73" t="s">
        <v>30</v>
      </c>
      <c r="N353" s="73"/>
      <c r="O353" s="73"/>
      <c r="P353" s="52" t="s">
        <v>31</v>
      </c>
      <c r="Q353" s="52"/>
      <c r="R353" s="52"/>
      <c r="S353" s="73" t="s">
        <v>32</v>
      </c>
      <c r="T353" s="73"/>
      <c r="U353" s="73"/>
      <c r="V353" s="52" t="s">
        <v>33</v>
      </c>
      <c r="W353" s="52"/>
      <c r="X353" s="52"/>
      <c r="Y353" s="73" t="s">
        <v>34</v>
      </c>
      <c r="Z353" s="73"/>
      <c r="AA353" s="73"/>
      <c r="AB353" s="52" t="s">
        <v>35</v>
      </c>
      <c r="AC353" s="52"/>
      <c r="AD353" s="52"/>
      <c r="AE353" s="73" t="s">
        <v>36</v>
      </c>
      <c r="AF353" s="73"/>
      <c r="AG353" s="73"/>
    </row>
    <row r="354" spans="1:33" ht="15.75" thickBot="1" x14ac:dyDescent="0.3">
      <c r="A354" s="68"/>
      <c r="B354" s="68"/>
      <c r="C354" s="105" t="s">
        <v>243</v>
      </c>
      <c r="D354" s="75">
        <v>0</v>
      </c>
      <c r="E354" s="75"/>
      <c r="F354" s="76"/>
      <c r="G354" s="74">
        <v>0</v>
      </c>
      <c r="H354" s="75"/>
      <c r="I354" s="76"/>
      <c r="J354" s="74">
        <v>0</v>
      </c>
      <c r="K354" s="75"/>
      <c r="L354" s="76"/>
      <c r="M354" s="74">
        <v>0</v>
      </c>
      <c r="N354" s="75"/>
      <c r="O354" s="76"/>
      <c r="P354" s="74">
        <v>0</v>
      </c>
      <c r="Q354" s="75"/>
      <c r="R354" s="76"/>
      <c r="S354" s="74">
        <v>0</v>
      </c>
      <c r="T354" s="75"/>
      <c r="U354" s="76"/>
      <c r="V354" s="74">
        <v>0</v>
      </c>
      <c r="W354" s="75"/>
      <c r="X354" s="76"/>
      <c r="Y354" s="74">
        <v>0</v>
      </c>
      <c r="Z354" s="75"/>
      <c r="AA354" s="76"/>
      <c r="AB354" s="74">
        <v>0</v>
      </c>
      <c r="AC354" s="75"/>
      <c r="AD354" s="76"/>
      <c r="AE354" s="74">
        <v>0</v>
      </c>
      <c r="AF354" s="75"/>
      <c r="AG354" s="76"/>
    </row>
    <row r="355" spans="1:33" ht="15.75" thickBot="1" x14ac:dyDescent="0.3">
      <c r="A355" s="68"/>
      <c r="B355" s="68"/>
      <c r="C355" s="106" t="s">
        <v>244</v>
      </c>
      <c r="D355" s="82">
        <v>0</v>
      </c>
      <c r="E355" s="82"/>
      <c r="F355" s="84"/>
      <c r="G355" s="85">
        <v>0</v>
      </c>
      <c r="H355" s="82"/>
      <c r="I355" s="84"/>
      <c r="J355" s="85">
        <v>0</v>
      </c>
      <c r="K355" s="82"/>
      <c r="L355" s="84"/>
      <c r="M355" s="85">
        <v>0</v>
      </c>
      <c r="N355" s="82"/>
      <c r="O355" s="82"/>
      <c r="P355" s="81">
        <v>0</v>
      </c>
      <c r="Q355" s="82"/>
      <c r="R355" s="83"/>
      <c r="S355" s="82">
        <v>0</v>
      </c>
      <c r="T355" s="82"/>
      <c r="U355" s="84"/>
      <c r="V355" s="85">
        <v>0</v>
      </c>
      <c r="W355" s="82"/>
      <c r="X355" s="84"/>
      <c r="Y355" s="85">
        <v>0</v>
      </c>
      <c r="Z355" s="82"/>
      <c r="AA355" s="84"/>
      <c r="AB355" s="85">
        <v>0</v>
      </c>
      <c r="AC355" s="82"/>
      <c r="AD355" s="84"/>
      <c r="AE355" s="85">
        <v>0</v>
      </c>
      <c r="AF355" s="82"/>
      <c r="AG355" s="84"/>
    </row>
    <row r="356" spans="1:33" ht="15.75" thickBot="1" x14ac:dyDescent="0.3">
      <c r="A356" s="68"/>
      <c r="B356" s="68"/>
      <c r="C356" s="107" t="s">
        <v>37</v>
      </c>
      <c r="D356" s="104"/>
      <c r="E356" s="86"/>
      <c r="F356" s="89"/>
      <c r="G356" s="86"/>
      <c r="H356" s="86"/>
      <c r="I356" s="89"/>
      <c r="J356" s="86"/>
      <c r="K356" s="86"/>
      <c r="L356" s="89"/>
      <c r="M356" s="86"/>
      <c r="N356" s="86"/>
      <c r="O356" s="89"/>
      <c r="P356" s="86"/>
      <c r="Q356" s="86"/>
      <c r="R356" s="89"/>
      <c r="S356" s="86"/>
      <c r="T356" s="86"/>
      <c r="U356" s="89"/>
      <c r="V356" s="86"/>
      <c r="W356" s="86"/>
      <c r="X356" s="89"/>
      <c r="Y356" s="86"/>
      <c r="Z356" s="86"/>
      <c r="AA356" s="89"/>
      <c r="AB356" s="86"/>
      <c r="AC356" s="86"/>
      <c r="AD356" s="89"/>
      <c r="AE356" s="86"/>
      <c r="AF356" s="86"/>
      <c r="AG356" s="89"/>
    </row>
    <row r="357" spans="1:33" ht="15.75" thickBot="1" x14ac:dyDescent="0.3">
      <c r="A357" s="68"/>
      <c r="B357" s="68"/>
      <c r="D357" s="87"/>
      <c r="E357" s="87"/>
      <c r="F357" s="90"/>
      <c r="G357" s="87"/>
      <c r="H357" s="87"/>
      <c r="I357" s="90"/>
      <c r="J357" s="87"/>
      <c r="K357" s="87"/>
      <c r="L357" s="90"/>
      <c r="M357" s="87"/>
      <c r="N357" s="87"/>
      <c r="O357" s="90"/>
      <c r="P357" s="87"/>
      <c r="Q357" s="87"/>
      <c r="R357" s="90"/>
      <c r="S357" s="87"/>
      <c r="T357" s="87"/>
      <c r="U357" s="90"/>
      <c r="V357" s="87"/>
      <c r="W357" s="87"/>
      <c r="X357" s="90"/>
      <c r="Y357" s="87"/>
      <c r="Z357" s="87"/>
      <c r="AA357" s="90"/>
      <c r="AB357" s="87"/>
      <c r="AC357" s="87"/>
      <c r="AD357" s="90"/>
      <c r="AE357" s="87"/>
      <c r="AF357" s="87"/>
      <c r="AG357" s="90"/>
    </row>
    <row r="358" spans="1:33" ht="15.75" thickBot="1" x14ac:dyDescent="0.3">
      <c r="A358" s="68"/>
      <c r="B358" s="68"/>
      <c r="D358" s="88"/>
      <c r="E358" s="88"/>
      <c r="F358" s="91"/>
      <c r="G358" s="88"/>
      <c r="H358" s="88"/>
      <c r="I358" s="91"/>
      <c r="J358" s="88"/>
      <c r="K358" s="88"/>
      <c r="L358" s="91"/>
      <c r="M358" s="88"/>
      <c r="N358" s="88"/>
      <c r="O358" s="91"/>
      <c r="P358" s="88"/>
      <c r="Q358" s="88"/>
      <c r="R358" s="91"/>
      <c r="S358" s="88"/>
      <c r="T358" s="88"/>
      <c r="U358" s="91"/>
      <c r="V358" s="88"/>
      <c r="W358" s="88"/>
      <c r="X358" s="91"/>
      <c r="Y358" s="88"/>
      <c r="Z358" s="88"/>
      <c r="AA358" s="91"/>
      <c r="AB358" s="88"/>
      <c r="AC358" s="88"/>
      <c r="AD358" s="91"/>
      <c r="AE358" s="88"/>
      <c r="AF358" s="88"/>
      <c r="AG358" s="91"/>
    </row>
    <row r="360" spans="1:33" ht="15.75" thickBot="1" x14ac:dyDescent="0.3"/>
    <row r="361" spans="1:33" ht="15.75" thickBot="1" x14ac:dyDescent="0.3">
      <c r="A361" s="68" t="s">
        <v>104</v>
      </c>
      <c r="B361" s="68"/>
      <c r="D361" s="52" t="s">
        <v>27</v>
      </c>
      <c r="E361" s="52"/>
      <c r="F361" s="52"/>
      <c r="G361" s="73" t="s">
        <v>28</v>
      </c>
      <c r="H361" s="73"/>
      <c r="I361" s="73"/>
      <c r="J361" s="52" t="s">
        <v>29</v>
      </c>
      <c r="K361" s="52"/>
      <c r="L361" s="52"/>
      <c r="M361" s="73" t="s">
        <v>30</v>
      </c>
      <c r="N361" s="73"/>
      <c r="O361" s="73"/>
      <c r="P361" s="52" t="s">
        <v>31</v>
      </c>
      <c r="Q361" s="52"/>
      <c r="R361" s="52"/>
      <c r="S361" s="73" t="s">
        <v>32</v>
      </c>
      <c r="T361" s="73"/>
      <c r="U361" s="73"/>
      <c r="V361" s="52" t="s">
        <v>33</v>
      </c>
      <c r="W361" s="52"/>
      <c r="X361" s="52"/>
      <c r="Y361" s="73" t="s">
        <v>34</v>
      </c>
      <c r="Z361" s="73"/>
      <c r="AA361" s="73"/>
      <c r="AB361" s="52" t="s">
        <v>35</v>
      </c>
      <c r="AC361" s="52"/>
      <c r="AD361" s="52"/>
      <c r="AE361" s="73" t="s">
        <v>36</v>
      </c>
      <c r="AF361" s="73"/>
      <c r="AG361" s="73"/>
    </row>
    <row r="362" spans="1:33" ht="15.75" thickBot="1" x14ac:dyDescent="0.3">
      <c r="A362" s="68"/>
      <c r="B362" s="68"/>
      <c r="C362" s="105" t="s">
        <v>243</v>
      </c>
      <c r="D362" s="75">
        <v>0</v>
      </c>
      <c r="E362" s="75"/>
      <c r="F362" s="76"/>
      <c r="G362" s="74">
        <v>0</v>
      </c>
      <c r="H362" s="75"/>
      <c r="I362" s="76"/>
      <c r="J362" s="74">
        <v>0</v>
      </c>
      <c r="K362" s="75"/>
      <c r="L362" s="76"/>
      <c r="M362" s="74">
        <v>0</v>
      </c>
      <c r="N362" s="75"/>
      <c r="O362" s="76"/>
      <c r="P362" s="74">
        <v>0</v>
      </c>
      <c r="Q362" s="75"/>
      <c r="R362" s="76"/>
      <c r="S362" s="74">
        <v>0</v>
      </c>
      <c r="T362" s="75"/>
      <c r="U362" s="76"/>
      <c r="V362" s="74">
        <v>0</v>
      </c>
      <c r="W362" s="75"/>
      <c r="X362" s="76"/>
      <c r="Y362" s="74">
        <v>0</v>
      </c>
      <c r="Z362" s="75"/>
      <c r="AA362" s="76"/>
      <c r="AB362" s="74">
        <v>0</v>
      </c>
      <c r="AC362" s="75"/>
      <c r="AD362" s="76"/>
      <c r="AE362" s="74">
        <v>0</v>
      </c>
      <c r="AF362" s="75"/>
      <c r="AG362" s="76"/>
    </row>
    <row r="363" spans="1:33" ht="15.75" thickBot="1" x14ac:dyDescent="0.3">
      <c r="A363" s="68"/>
      <c r="B363" s="68"/>
      <c r="C363" s="106" t="s">
        <v>244</v>
      </c>
      <c r="D363" s="82">
        <v>0</v>
      </c>
      <c r="E363" s="82"/>
      <c r="F363" s="84"/>
      <c r="G363" s="85">
        <v>0</v>
      </c>
      <c r="H363" s="82"/>
      <c r="I363" s="84"/>
      <c r="J363" s="85">
        <v>0</v>
      </c>
      <c r="K363" s="82"/>
      <c r="L363" s="84"/>
      <c r="M363" s="85">
        <v>0</v>
      </c>
      <c r="N363" s="82"/>
      <c r="O363" s="82"/>
      <c r="P363" s="81">
        <v>0</v>
      </c>
      <c r="Q363" s="82"/>
      <c r="R363" s="83"/>
      <c r="S363" s="82">
        <v>0</v>
      </c>
      <c r="T363" s="82"/>
      <c r="U363" s="84"/>
      <c r="V363" s="85">
        <v>0</v>
      </c>
      <c r="W363" s="82"/>
      <c r="X363" s="84"/>
      <c r="Y363" s="85">
        <v>0</v>
      </c>
      <c r="Z363" s="82"/>
      <c r="AA363" s="84"/>
      <c r="AB363" s="85">
        <v>0</v>
      </c>
      <c r="AC363" s="82"/>
      <c r="AD363" s="84"/>
      <c r="AE363" s="85">
        <v>0</v>
      </c>
      <c r="AF363" s="82"/>
      <c r="AG363" s="84"/>
    </row>
    <row r="364" spans="1:33" ht="15.75" thickBot="1" x14ac:dyDescent="0.3">
      <c r="A364" s="68"/>
      <c r="B364" s="68"/>
      <c r="C364" s="107" t="s">
        <v>37</v>
      </c>
      <c r="D364" s="104"/>
      <c r="E364" s="86"/>
      <c r="F364" s="89"/>
      <c r="G364" s="86"/>
      <c r="H364" s="86"/>
      <c r="I364" s="89"/>
      <c r="J364" s="86"/>
      <c r="K364" s="86"/>
      <c r="L364" s="89"/>
      <c r="M364" s="86"/>
      <c r="N364" s="86"/>
      <c r="O364" s="89"/>
      <c r="P364" s="86"/>
      <c r="Q364" s="86"/>
      <c r="R364" s="89"/>
      <c r="S364" s="86"/>
      <c r="T364" s="86"/>
      <c r="U364" s="89"/>
      <c r="V364" s="86"/>
      <c r="W364" s="86"/>
      <c r="X364" s="89"/>
      <c r="Y364" s="86"/>
      <c r="Z364" s="86"/>
      <c r="AA364" s="89"/>
      <c r="AB364" s="86"/>
      <c r="AC364" s="86"/>
      <c r="AD364" s="89"/>
      <c r="AE364" s="86"/>
      <c r="AF364" s="86"/>
      <c r="AG364" s="89"/>
    </row>
    <row r="365" spans="1:33" ht="15.75" thickBot="1" x14ac:dyDescent="0.3">
      <c r="A365" s="68"/>
      <c r="B365" s="68"/>
      <c r="D365" s="87"/>
      <c r="E365" s="87"/>
      <c r="F365" s="90"/>
      <c r="G365" s="87"/>
      <c r="H365" s="87"/>
      <c r="I365" s="90"/>
      <c r="J365" s="87"/>
      <c r="K365" s="87"/>
      <c r="L365" s="90"/>
      <c r="M365" s="87"/>
      <c r="N365" s="87"/>
      <c r="O365" s="90"/>
      <c r="P365" s="87"/>
      <c r="Q365" s="87"/>
      <c r="R365" s="90"/>
      <c r="S365" s="87"/>
      <c r="T365" s="87"/>
      <c r="U365" s="90"/>
      <c r="V365" s="87"/>
      <c r="W365" s="87"/>
      <c r="X365" s="90"/>
      <c r="Y365" s="87"/>
      <c r="Z365" s="87"/>
      <c r="AA365" s="90"/>
      <c r="AB365" s="87"/>
      <c r="AC365" s="87"/>
      <c r="AD365" s="90"/>
      <c r="AE365" s="87"/>
      <c r="AF365" s="87"/>
      <c r="AG365" s="90"/>
    </row>
    <row r="366" spans="1:33" ht="15.75" thickBot="1" x14ac:dyDescent="0.3">
      <c r="A366" s="68"/>
      <c r="B366" s="68"/>
      <c r="D366" s="88"/>
      <c r="E366" s="88"/>
      <c r="F366" s="91"/>
      <c r="G366" s="88"/>
      <c r="H366" s="88"/>
      <c r="I366" s="91"/>
      <c r="J366" s="88"/>
      <c r="K366" s="88"/>
      <c r="L366" s="91"/>
      <c r="M366" s="88"/>
      <c r="N366" s="88"/>
      <c r="O366" s="91"/>
      <c r="P366" s="88"/>
      <c r="Q366" s="88"/>
      <c r="R366" s="91"/>
      <c r="S366" s="88"/>
      <c r="T366" s="88"/>
      <c r="U366" s="91"/>
      <c r="V366" s="88"/>
      <c r="W366" s="88"/>
      <c r="X366" s="91"/>
      <c r="Y366" s="88"/>
      <c r="Z366" s="88"/>
      <c r="AA366" s="91"/>
      <c r="AB366" s="88"/>
      <c r="AC366" s="88"/>
      <c r="AD366" s="91"/>
      <c r="AE366" s="88"/>
      <c r="AF366" s="88"/>
      <c r="AG366" s="91"/>
    </row>
    <row r="368" spans="1:33" ht="15.75" thickBot="1" x14ac:dyDescent="0.3"/>
    <row r="369" spans="1:33" ht="15.75" thickBot="1" x14ac:dyDescent="0.3">
      <c r="A369" s="68" t="s">
        <v>264</v>
      </c>
      <c r="B369" s="68"/>
      <c r="D369" s="52" t="s">
        <v>27</v>
      </c>
      <c r="E369" s="52"/>
      <c r="F369" s="52"/>
      <c r="G369" s="73" t="s">
        <v>28</v>
      </c>
      <c r="H369" s="73"/>
      <c r="I369" s="73"/>
      <c r="J369" s="52" t="s">
        <v>29</v>
      </c>
      <c r="K369" s="52"/>
      <c r="L369" s="52"/>
      <c r="M369" s="73" t="s">
        <v>30</v>
      </c>
      <c r="N369" s="73"/>
      <c r="O369" s="73"/>
      <c r="P369" s="52" t="s">
        <v>31</v>
      </c>
      <c r="Q369" s="52"/>
      <c r="R369" s="52"/>
      <c r="S369" s="73" t="s">
        <v>32</v>
      </c>
      <c r="T369" s="73"/>
      <c r="U369" s="73"/>
      <c r="V369" s="52" t="s">
        <v>33</v>
      </c>
      <c r="W369" s="52"/>
      <c r="X369" s="52"/>
      <c r="Y369" s="73" t="s">
        <v>34</v>
      </c>
      <c r="Z369" s="73"/>
      <c r="AA369" s="73"/>
      <c r="AB369" s="52" t="s">
        <v>35</v>
      </c>
      <c r="AC369" s="52"/>
      <c r="AD369" s="52"/>
      <c r="AE369" s="73" t="s">
        <v>36</v>
      </c>
      <c r="AF369" s="73"/>
      <c r="AG369" s="73"/>
    </row>
    <row r="370" spans="1:33" ht="15.75" thickBot="1" x14ac:dyDescent="0.3">
      <c r="A370" s="68"/>
      <c r="B370" s="68"/>
      <c r="C370" s="105" t="s">
        <v>243</v>
      </c>
      <c r="D370" s="75">
        <v>0</v>
      </c>
      <c r="E370" s="75"/>
      <c r="F370" s="76"/>
      <c r="G370" s="74">
        <v>0</v>
      </c>
      <c r="H370" s="75"/>
      <c r="I370" s="76"/>
      <c r="J370" s="74">
        <v>0</v>
      </c>
      <c r="K370" s="75"/>
      <c r="L370" s="76"/>
      <c r="M370" s="74">
        <v>0</v>
      </c>
      <c r="N370" s="75"/>
      <c r="O370" s="76"/>
      <c r="P370" s="74">
        <v>0</v>
      </c>
      <c r="Q370" s="75"/>
      <c r="R370" s="76"/>
      <c r="S370" s="74">
        <v>0</v>
      </c>
      <c r="T370" s="75"/>
      <c r="U370" s="76"/>
      <c r="V370" s="74">
        <v>0</v>
      </c>
      <c r="W370" s="75"/>
      <c r="X370" s="76"/>
      <c r="Y370" s="74">
        <v>0</v>
      </c>
      <c r="Z370" s="75"/>
      <c r="AA370" s="76"/>
      <c r="AB370" s="74">
        <v>0</v>
      </c>
      <c r="AC370" s="75"/>
      <c r="AD370" s="76"/>
      <c r="AE370" s="74">
        <v>0</v>
      </c>
      <c r="AF370" s="75"/>
      <c r="AG370" s="76"/>
    </row>
    <row r="371" spans="1:33" ht="15.75" thickBot="1" x14ac:dyDescent="0.3">
      <c r="A371" s="68"/>
      <c r="B371" s="68"/>
      <c r="C371" s="106" t="s">
        <v>244</v>
      </c>
      <c r="D371" s="82">
        <v>0</v>
      </c>
      <c r="E371" s="82"/>
      <c r="F371" s="84"/>
      <c r="G371" s="85">
        <v>0</v>
      </c>
      <c r="H371" s="82"/>
      <c r="I371" s="84"/>
      <c r="J371" s="85">
        <v>0</v>
      </c>
      <c r="K371" s="82"/>
      <c r="L371" s="84"/>
      <c r="M371" s="85">
        <v>0</v>
      </c>
      <c r="N371" s="82"/>
      <c r="O371" s="82"/>
      <c r="P371" s="81">
        <v>0</v>
      </c>
      <c r="Q371" s="82"/>
      <c r="R371" s="83"/>
      <c r="S371" s="82">
        <v>0</v>
      </c>
      <c r="T371" s="82"/>
      <c r="U371" s="84"/>
      <c r="V371" s="85">
        <v>0</v>
      </c>
      <c r="W371" s="82"/>
      <c r="X371" s="84"/>
      <c r="Y371" s="85">
        <v>0</v>
      </c>
      <c r="Z371" s="82"/>
      <c r="AA371" s="84"/>
      <c r="AB371" s="85">
        <v>0</v>
      </c>
      <c r="AC371" s="82"/>
      <c r="AD371" s="84"/>
      <c r="AE371" s="85">
        <v>0</v>
      </c>
      <c r="AF371" s="82"/>
      <c r="AG371" s="84"/>
    </row>
    <row r="372" spans="1:33" ht="15.75" thickBot="1" x14ac:dyDescent="0.3">
      <c r="A372" s="68"/>
      <c r="B372" s="68"/>
      <c r="C372" s="107" t="s">
        <v>37</v>
      </c>
      <c r="D372" s="104"/>
      <c r="E372" s="86"/>
      <c r="F372" s="89"/>
      <c r="G372" s="86"/>
      <c r="H372" s="86"/>
      <c r="I372" s="89"/>
      <c r="J372" s="86"/>
      <c r="K372" s="86"/>
      <c r="L372" s="89"/>
      <c r="M372" s="86"/>
      <c r="N372" s="86"/>
      <c r="O372" s="89"/>
      <c r="P372" s="86"/>
      <c r="Q372" s="86"/>
      <c r="R372" s="89"/>
      <c r="S372" s="86"/>
      <c r="T372" s="86"/>
      <c r="U372" s="89"/>
      <c r="V372" s="86"/>
      <c r="W372" s="86"/>
      <c r="X372" s="89"/>
      <c r="Y372" s="86"/>
      <c r="Z372" s="86"/>
      <c r="AA372" s="89"/>
      <c r="AB372" s="86"/>
      <c r="AC372" s="86"/>
      <c r="AD372" s="89"/>
      <c r="AE372" s="86"/>
      <c r="AF372" s="86"/>
      <c r="AG372" s="89"/>
    </row>
    <row r="373" spans="1:33" ht="15.75" thickBot="1" x14ac:dyDescent="0.3">
      <c r="A373" s="68"/>
      <c r="B373" s="68"/>
      <c r="D373" s="87"/>
      <c r="E373" s="87"/>
      <c r="F373" s="90"/>
      <c r="G373" s="87"/>
      <c r="H373" s="87"/>
      <c r="I373" s="90"/>
      <c r="J373" s="87"/>
      <c r="K373" s="87"/>
      <c r="L373" s="90"/>
      <c r="M373" s="87"/>
      <c r="N373" s="87"/>
      <c r="O373" s="90"/>
      <c r="P373" s="87"/>
      <c r="Q373" s="87"/>
      <c r="R373" s="90"/>
      <c r="S373" s="87"/>
      <c r="T373" s="87"/>
      <c r="U373" s="90"/>
      <c r="V373" s="87"/>
      <c r="W373" s="87"/>
      <c r="X373" s="90"/>
      <c r="Y373" s="87"/>
      <c r="Z373" s="87"/>
      <c r="AA373" s="90"/>
      <c r="AB373" s="87"/>
      <c r="AC373" s="87"/>
      <c r="AD373" s="90"/>
      <c r="AE373" s="87"/>
      <c r="AF373" s="87"/>
      <c r="AG373" s="90"/>
    </row>
    <row r="374" spans="1:33" ht="15.75" thickBot="1" x14ac:dyDescent="0.3">
      <c r="A374" s="68"/>
      <c r="B374" s="68"/>
      <c r="D374" s="88"/>
      <c r="E374" s="88"/>
      <c r="F374" s="91"/>
      <c r="G374" s="88"/>
      <c r="H374" s="88"/>
      <c r="I374" s="91"/>
      <c r="J374" s="88"/>
      <c r="K374" s="88"/>
      <c r="L374" s="91"/>
      <c r="M374" s="88"/>
      <c r="N374" s="88"/>
      <c r="O374" s="91"/>
      <c r="P374" s="88"/>
      <c r="Q374" s="88"/>
      <c r="R374" s="91"/>
      <c r="S374" s="88"/>
      <c r="T374" s="88"/>
      <c r="U374" s="91"/>
      <c r="V374" s="88"/>
      <c r="W374" s="88"/>
      <c r="X374" s="91"/>
      <c r="Y374" s="88"/>
      <c r="Z374" s="88"/>
      <c r="AA374" s="91"/>
      <c r="AB374" s="88"/>
      <c r="AC374" s="88"/>
      <c r="AD374" s="91"/>
      <c r="AE374" s="88"/>
      <c r="AF374" s="88"/>
      <c r="AG374" s="91"/>
    </row>
    <row r="376" spans="1:33" ht="15.75" thickBot="1" x14ac:dyDescent="0.3"/>
    <row r="377" spans="1:33" ht="15.75" thickBot="1" x14ac:dyDescent="0.3">
      <c r="A377" s="68" t="s">
        <v>265</v>
      </c>
      <c r="B377" s="68"/>
      <c r="D377" s="52" t="s">
        <v>27</v>
      </c>
      <c r="E377" s="52"/>
      <c r="F377" s="52"/>
      <c r="G377" s="73" t="s">
        <v>28</v>
      </c>
      <c r="H377" s="73"/>
      <c r="I377" s="73"/>
      <c r="J377" s="52" t="s">
        <v>29</v>
      </c>
      <c r="K377" s="52"/>
      <c r="L377" s="52"/>
      <c r="M377" s="73" t="s">
        <v>30</v>
      </c>
      <c r="N377" s="73"/>
      <c r="O377" s="73"/>
      <c r="P377" s="52" t="s">
        <v>31</v>
      </c>
      <c r="Q377" s="52"/>
      <c r="R377" s="52"/>
      <c r="S377" s="73" t="s">
        <v>32</v>
      </c>
      <c r="T377" s="73"/>
      <c r="U377" s="73"/>
      <c r="V377" s="52" t="s">
        <v>33</v>
      </c>
      <c r="W377" s="52"/>
      <c r="X377" s="52"/>
      <c r="Y377" s="73" t="s">
        <v>34</v>
      </c>
      <c r="Z377" s="73"/>
      <c r="AA377" s="73"/>
      <c r="AB377" s="52" t="s">
        <v>35</v>
      </c>
      <c r="AC377" s="52"/>
      <c r="AD377" s="52"/>
      <c r="AE377" s="73" t="s">
        <v>36</v>
      </c>
      <c r="AF377" s="73"/>
      <c r="AG377" s="73"/>
    </row>
    <row r="378" spans="1:33" ht="15.75" thickBot="1" x14ac:dyDescent="0.3">
      <c r="A378" s="68"/>
      <c r="B378" s="68"/>
      <c r="C378" s="105" t="s">
        <v>243</v>
      </c>
      <c r="D378" s="75">
        <v>0</v>
      </c>
      <c r="E378" s="75"/>
      <c r="F378" s="76"/>
      <c r="G378" s="74">
        <v>0</v>
      </c>
      <c r="H378" s="75"/>
      <c r="I378" s="76"/>
      <c r="J378" s="74">
        <v>0</v>
      </c>
      <c r="K378" s="75"/>
      <c r="L378" s="76"/>
      <c r="M378" s="74">
        <v>0</v>
      </c>
      <c r="N378" s="75"/>
      <c r="O378" s="76"/>
      <c r="P378" s="74">
        <v>0</v>
      </c>
      <c r="Q378" s="75"/>
      <c r="R378" s="76"/>
      <c r="S378" s="74">
        <v>0</v>
      </c>
      <c r="T378" s="75"/>
      <c r="U378" s="76"/>
      <c r="V378" s="74">
        <v>0</v>
      </c>
      <c r="W378" s="75"/>
      <c r="X378" s="76"/>
      <c r="Y378" s="74">
        <v>0</v>
      </c>
      <c r="Z378" s="75"/>
      <c r="AA378" s="76"/>
      <c r="AB378" s="74">
        <v>0</v>
      </c>
      <c r="AC378" s="75"/>
      <c r="AD378" s="76"/>
      <c r="AE378" s="74">
        <v>0</v>
      </c>
      <c r="AF378" s="75"/>
      <c r="AG378" s="76"/>
    </row>
    <row r="379" spans="1:33" ht="15.75" thickBot="1" x14ac:dyDescent="0.3">
      <c r="A379" s="68"/>
      <c r="B379" s="68"/>
      <c r="C379" s="106" t="s">
        <v>244</v>
      </c>
      <c r="D379" s="82">
        <v>0</v>
      </c>
      <c r="E379" s="82"/>
      <c r="F379" s="84"/>
      <c r="G379" s="85">
        <v>0</v>
      </c>
      <c r="H379" s="82"/>
      <c r="I379" s="84"/>
      <c r="J379" s="85">
        <v>0</v>
      </c>
      <c r="K379" s="82"/>
      <c r="L379" s="84"/>
      <c r="M379" s="85">
        <v>0</v>
      </c>
      <c r="N379" s="82"/>
      <c r="O379" s="82"/>
      <c r="P379" s="81">
        <v>0</v>
      </c>
      <c r="Q379" s="82"/>
      <c r="R379" s="83"/>
      <c r="S379" s="82">
        <v>0</v>
      </c>
      <c r="T379" s="82"/>
      <c r="U379" s="84"/>
      <c r="V379" s="85">
        <v>0</v>
      </c>
      <c r="W379" s="82"/>
      <c r="X379" s="84"/>
      <c r="Y379" s="85">
        <v>0</v>
      </c>
      <c r="Z379" s="82"/>
      <c r="AA379" s="84"/>
      <c r="AB379" s="85">
        <v>0</v>
      </c>
      <c r="AC379" s="82"/>
      <c r="AD379" s="84"/>
      <c r="AE379" s="85">
        <v>0</v>
      </c>
      <c r="AF379" s="82"/>
      <c r="AG379" s="84"/>
    </row>
    <row r="380" spans="1:33" ht="15.75" thickBot="1" x14ac:dyDescent="0.3">
      <c r="A380" s="68"/>
      <c r="B380" s="68"/>
      <c r="C380" s="107" t="s">
        <v>37</v>
      </c>
      <c r="D380" s="104"/>
      <c r="E380" s="86"/>
      <c r="F380" s="89"/>
      <c r="G380" s="86"/>
      <c r="H380" s="86"/>
      <c r="I380" s="89"/>
      <c r="J380" s="86"/>
      <c r="K380" s="86"/>
      <c r="L380" s="89"/>
      <c r="M380" s="86"/>
      <c r="N380" s="86"/>
      <c r="O380" s="89"/>
      <c r="P380" s="86"/>
      <c r="Q380" s="86"/>
      <c r="R380" s="89"/>
      <c r="S380" s="86"/>
      <c r="T380" s="86"/>
      <c r="U380" s="89"/>
      <c r="V380" s="86"/>
      <c r="W380" s="86"/>
      <c r="X380" s="89"/>
      <c r="Y380" s="86"/>
      <c r="Z380" s="86"/>
      <c r="AA380" s="89"/>
      <c r="AB380" s="86"/>
      <c r="AC380" s="86"/>
      <c r="AD380" s="89"/>
      <c r="AE380" s="86"/>
      <c r="AF380" s="86"/>
      <c r="AG380" s="89"/>
    </row>
    <row r="381" spans="1:33" ht="15.75" thickBot="1" x14ac:dyDescent="0.3">
      <c r="A381" s="68"/>
      <c r="B381" s="68"/>
      <c r="D381" s="87"/>
      <c r="E381" s="87"/>
      <c r="F381" s="90"/>
      <c r="G381" s="87"/>
      <c r="H381" s="87"/>
      <c r="I381" s="90"/>
      <c r="J381" s="87"/>
      <c r="K381" s="87"/>
      <c r="L381" s="90"/>
      <c r="M381" s="87"/>
      <c r="N381" s="87"/>
      <c r="O381" s="90"/>
      <c r="P381" s="87"/>
      <c r="Q381" s="87"/>
      <c r="R381" s="90"/>
      <c r="S381" s="87"/>
      <c r="T381" s="87"/>
      <c r="U381" s="90"/>
      <c r="V381" s="87"/>
      <c r="W381" s="87"/>
      <c r="X381" s="90"/>
      <c r="Y381" s="87"/>
      <c r="Z381" s="87"/>
      <c r="AA381" s="90"/>
      <c r="AB381" s="87"/>
      <c r="AC381" s="87"/>
      <c r="AD381" s="90"/>
      <c r="AE381" s="87"/>
      <c r="AF381" s="87"/>
      <c r="AG381" s="90"/>
    </row>
    <row r="382" spans="1:33" ht="15.75" thickBot="1" x14ac:dyDescent="0.3">
      <c r="A382" s="68"/>
      <c r="B382" s="68"/>
      <c r="D382" s="88"/>
      <c r="E382" s="88"/>
      <c r="F382" s="91"/>
      <c r="G382" s="88"/>
      <c r="H382" s="88"/>
      <c r="I382" s="91"/>
      <c r="J382" s="88"/>
      <c r="K382" s="88"/>
      <c r="L382" s="91"/>
      <c r="M382" s="88"/>
      <c r="N382" s="88"/>
      <c r="O382" s="91"/>
      <c r="P382" s="88"/>
      <c r="Q382" s="88"/>
      <c r="R382" s="91"/>
      <c r="S382" s="88"/>
      <c r="T382" s="88"/>
      <c r="U382" s="91"/>
      <c r="V382" s="88"/>
      <c r="W382" s="88"/>
      <c r="X382" s="91"/>
      <c r="Y382" s="88"/>
      <c r="Z382" s="88"/>
      <c r="AA382" s="91"/>
      <c r="AB382" s="88"/>
      <c r="AC382" s="88"/>
      <c r="AD382" s="91"/>
      <c r="AE382" s="88"/>
      <c r="AF382" s="88"/>
      <c r="AG382" s="91"/>
    </row>
    <row r="384" spans="1:33" ht="15.75" thickBot="1" x14ac:dyDescent="0.3"/>
    <row r="385" spans="1:33" ht="15.75" thickBot="1" x14ac:dyDescent="0.3">
      <c r="A385" s="68" t="s">
        <v>105</v>
      </c>
      <c r="B385" s="68"/>
      <c r="D385" s="52" t="s">
        <v>27</v>
      </c>
      <c r="E385" s="52"/>
      <c r="F385" s="52"/>
      <c r="G385" s="73" t="s">
        <v>28</v>
      </c>
      <c r="H385" s="73"/>
      <c r="I385" s="73"/>
      <c r="J385" s="52" t="s">
        <v>29</v>
      </c>
      <c r="K385" s="52"/>
      <c r="L385" s="52"/>
      <c r="M385" s="73" t="s">
        <v>30</v>
      </c>
      <c r="N385" s="73"/>
      <c r="O385" s="73"/>
      <c r="P385" s="52" t="s">
        <v>31</v>
      </c>
      <c r="Q385" s="52"/>
      <c r="R385" s="52"/>
      <c r="S385" s="73" t="s">
        <v>32</v>
      </c>
      <c r="T385" s="73"/>
      <c r="U385" s="73"/>
      <c r="V385" s="52" t="s">
        <v>33</v>
      </c>
      <c r="W385" s="52"/>
      <c r="X385" s="52"/>
      <c r="Y385" s="73" t="s">
        <v>34</v>
      </c>
      <c r="Z385" s="73"/>
      <c r="AA385" s="73"/>
      <c r="AB385" s="52" t="s">
        <v>35</v>
      </c>
      <c r="AC385" s="52"/>
      <c r="AD385" s="52"/>
      <c r="AE385" s="73" t="s">
        <v>36</v>
      </c>
      <c r="AF385" s="73"/>
      <c r="AG385" s="73"/>
    </row>
    <row r="386" spans="1:33" ht="15.75" thickBot="1" x14ac:dyDescent="0.3">
      <c r="A386" s="68"/>
      <c r="B386" s="68"/>
      <c r="C386" s="105" t="s">
        <v>243</v>
      </c>
      <c r="D386" s="75">
        <v>0</v>
      </c>
      <c r="E386" s="75"/>
      <c r="F386" s="76"/>
      <c r="G386" s="74">
        <v>0</v>
      </c>
      <c r="H386" s="75"/>
      <c r="I386" s="76"/>
      <c r="J386" s="74">
        <v>0</v>
      </c>
      <c r="K386" s="75"/>
      <c r="L386" s="76"/>
      <c r="M386" s="74">
        <v>0</v>
      </c>
      <c r="N386" s="75"/>
      <c r="O386" s="76"/>
      <c r="P386" s="74">
        <v>0</v>
      </c>
      <c r="Q386" s="75"/>
      <c r="R386" s="76"/>
      <c r="S386" s="74">
        <v>0</v>
      </c>
      <c r="T386" s="75"/>
      <c r="U386" s="76"/>
      <c r="V386" s="74">
        <v>0</v>
      </c>
      <c r="W386" s="75"/>
      <c r="X386" s="76"/>
      <c r="Y386" s="74">
        <v>0</v>
      </c>
      <c r="Z386" s="75"/>
      <c r="AA386" s="76"/>
      <c r="AB386" s="74">
        <v>0</v>
      </c>
      <c r="AC386" s="75"/>
      <c r="AD386" s="76"/>
      <c r="AE386" s="74">
        <v>0</v>
      </c>
      <c r="AF386" s="75"/>
      <c r="AG386" s="76"/>
    </row>
    <row r="387" spans="1:33" ht="15.75" thickBot="1" x14ac:dyDescent="0.3">
      <c r="A387" s="68"/>
      <c r="B387" s="68"/>
      <c r="C387" s="106" t="s">
        <v>244</v>
      </c>
      <c r="D387" s="82">
        <v>0</v>
      </c>
      <c r="E387" s="82"/>
      <c r="F387" s="84"/>
      <c r="G387" s="85">
        <v>0</v>
      </c>
      <c r="H387" s="82"/>
      <c r="I387" s="84"/>
      <c r="J387" s="85">
        <v>0</v>
      </c>
      <c r="K387" s="82"/>
      <c r="L387" s="84"/>
      <c r="M387" s="85">
        <v>0</v>
      </c>
      <c r="N387" s="82"/>
      <c r="O387" s="82"/>
      <c r="P387" s="81">
        <v>0</v>
      </c>
      <c r="Q387" s="82"/>
      <c r="R387" s="83"/>
      <c r="S387" s="82">
        <v>0</v>
      </c>
      <c r="T387" s="82"/>
      <c r="U387" s="84"/>
      <c r="V387" s="85">
        <v>0</v>
      </c>
      <c r="W387" s="82"/>
      <c r="X387" s="84"/>
      <c r="Y387" s="85">
        <v>0</v>
      </c>
      <c r="Z387" s="82"/>
      <c r="AA387" s="84"/>
      <c r="AB387" s="85">
        <v>0</v>
      </c>
      <c r="AC387" s="82"/>
      <c r="AD387" s="84"/>
      <c r="AE387" s="85">
        <v>0</v>
      </c>
      <c r="AF387" s="82"/>
      <c r="AG387" s="84"/>
    </row>
    <row r="388" spans="1:33" ht="15.75" thickBot="1" x14ac:dyDescent="0.3">
      <c r="A388" s="68"/>
      <c r="B388" s="68"/>
      <c r="C388" s="107" t="s">
        <v>37</v>
      </c>
      <c r="D388" s="104"/>
      <c r="E388" s="86"/>
      <c r="F388" s="89"/>
      <c r="G388" s="86"/>
      <c r="H388" s="86"/>
      <c r="I388" s="89"/>
      <c r="J388" s="86"/>
      <c r="K388" s="86"/>
      <c r="L388" s="89"/>
      <c r="M388" s="86"/>
      <c r="N388" s="86"/>
      <c r="O388" s="89"/>
      <c r="P388" s="86"/>
      <c r="Q388" s="86"/>
      <c r="R388" s="89"/>
      <c r="S388" s="86"/>
      <c r="T388" s="86"/>
      <c r="U388" s="89"/>
      <c r="V388" s="86"/>
      <c r="W388" s="86"/>
      <c r="X388" s="89"/>
      <c r="Y388" s="86"/>
      <c r="Z388" s="86"/>
      <c r="AA388" s="89"/>
      <c r="AB388" s="86"/>
      <c r="AC388" s="86"/>
      <c r="AD388" s="89"/>
      <c r="AE388" s="86"/>
      <c r="AF388" s="86"/>
      <c r="AG388" s="89"/>
    </row>
    <row r="389" spans="1:33" ht="15.75" thickBot="1" x14ac:dyDescent="0.3">
      <c r="A389" s="68"/>
      <c r="B389" s="68"/>
      <c r="D389" s="87"/>
      <c r="E389" s="87"/>
      <c r="F389" s="90"/>
      <c r="G389" s="87"/>
      <c r="H389" s="87"/>
      <c r="I389" s="90"/>
      <c r="J389" s="87"/>
      <c r="K389" s="87"/>
      <c r="L389" s="90"/>
      <c r="M389" s="87"/>
      <c r="N389" s="87"/>
      <c r="O389" s="90"/>
      <c r="P389" s="87"/>
      <c r="Q389" s="87"/>
      <c r="R389" s="90"/>
      <c r="S389" s="87"/>
      <c r="T389" s="87"/>
      <c r="U389" s="90"/>
      <c r="V389" s="87"/>
      <c r="W389" s="87"/>
      <c r="X389" s="90"/>
      <c r="Y389" s="87"/>
      <c r="Z389" s="87"/>
      <c r="AA389" s="90"/>
      <c r="AB389" s="87"/>
      <c r="AC389" s="87"/>
      <c r="AD389" s="90"/>
      <c r="AE389" s="87"/>
      <c r="AF389" s="87"/>
      <c r="AG389" s="90"/>
    </row>
    <row r="390" spans="1:33" ht="15.75" thickBot="1" x14ac:dyDescent="0.3">
      <c r="A390" s="68"/>
      <c r="B390" s="68"/>
      <c r="D390" s="88"/>
      <c r="E390" s="88"/>
      <c r="F390" s="91"/>
      <c r="G390" s="88"/>
      <c r="H390" s="88"/>
      <c r="I390" s="91"/>
      <c r="J390" s="88"/>
      <c r="K390" s="88"/>
      <c r="L390" s="91"/>
      <c r="M390" s="88"/>
      <c r="N390" s="88"/>
      <c r="O390" s="91"/>
      <c r="P390" s="88"/>
      <c r="Q390" s="88"/>
      <c r="R390" s="91"/>
      <c r="S390" s="88"/>
      <c r="T390" s="88"/>
      <c r="U390" s="91"/>
      <c r="V390" s="88"/>
      <c r="W390" s="88"/>
      <c r="X390" s="91"/>
      <c r="Y390" s="88"/>
      <c r="Z390" s="88"/>
      <c r="AA390" s="91"/>
      <c r="AB390" s="88"/>
      <c r="AC390" s="88"/>
      <c r="AD390" s="91"/>
      <c r="AE390" s="88"/>
      <c r="AF390" s="88"/>
      <c r="AG390" s="91"/>
    </row>
    <row r="392" spans="1:33" ht="15.75" thickBot="1" x14ac:dyDescent="0.3"/>
    <row r="393" spans="1:33" ht="15.75" thickBot="1" x14ac:dyDescent="0.3">
      <c r="A393" s="68" t="s">
        <v>106</v>
      </c>
      <c r="B393" s="68"/>
      <c r="D393" s="52" t="s">
        <v>27</v>
      </c>
      <c r="E393" s="52"/>
      <c r="F393" s="52"/>
      <c r="G393" s="73" t="s">
        <v>28</v>
      </c>
      <c r="H393" s="73"/>
      <c r="I393" s="73"/>
      <c r="J393" s="52" t="s">
        <v>29</v>
      </c>
      <c r="K393" s="52"/>
      <c r="L393" s="52"/>
      <c r="M393" s="73" t="s">
        <v>30</v>
      </c>
      <c r="N393" s="73"/>
      <c r="O393" s="73"/>
      <c r="P393" s="52" t="s">
        <v>31</v>
      </c>
      <c r="Q393" s="52"/>
      <c r="R393" s="52"/>
      <c r="S393" s="73" t="s">
        <v>32</v>
      </c>
      <c r="T393" s="73"/>
      <c r="U393" s="73"/>
      <c r="V393" s="52" t="s">
        <v>33</v>
      </c>
      <c r="W393" s="52"/>
      <c r="X393" s="52"/>
      <c r="Y393" s="73" t="s">
        <v>34</v>
      </c>
      <c r="Z393" s="73"/>
      <c r="AA393" s="73"/>
      <c r="AB393" s="52" t="s">
        <v>35</v>
      </c>
      <c r="AC393" s="52"/>
      <c r="AD393" s="52"/>
      <c r="AE393" s="73" t="s">
        <v>36</v>
      </c>
      <c r="AF393" s="73"/>
      <c r="AG393" s="73"/>
    </row>
    <row r="394" spans="1:33" ht="15.75" thickBot="1" x14ac:dyDescent="0.3">
      <c r="A394" s="68"/>
      <c r="B394" s="68"/>
      <c r="C394" s="105" t="s">
        <v>243</v>
      </c>
      <c r="D394" s="75">
        <v>0</v>
      </c>
      <c r="E394" s="75"/>
      <c r="F394" s="76"/>
      <c r="G394" s="74">
        <v>0</v>
      </c>
      <c r="H394" s="75"/>
      <c r="I394" s="76"/>
      <c r="J394" s="74">
        <v>0</v>
      </c>
      <c r="K394" s="75"/>
      <c r="L394" s="76"/>
      <c r="M394" s="74">
        <v>0</v>
      </c>
      <c r="N394" s="75"/>
      <c r="O394" s="76"/>
      <c r="P394" s="74">
        <v>0</v>
      </c>
      <c r="Q394" s="75"/>
      <c r="R394" s="76"/>
      <c r="S394" s="74">
        <v>0</v>
      </c>
      <c r="T394" s="75"/>
      <c r="U394" s="76"/>
      <c r="V394" s="74">
        <v>0</v>
      </c>
      <c r="W394" s="75"/>
      <c r="X394" s="76"/>
      <c r="Y394" s="74">
        <v>0</v>
      </c>
      <c r="Z394" s="75"/>
      <c r="AA394" s="76"/>
      <c r="AB394" s="74">
        <v>0</v>
      </c>
      <c r="AC394" s="75"/>
      <c r="AD394" s="76"/>
      <c r="AE394" s="74">
        <v>0</v>
      </c>
      <c r="AF394" s="75"/>
      <c r="AG394" s="76"/>
    </row>
    <row r="395" spans="1:33" ht="15.75" thickBot="1" x14ac:dyDescent="0.3">
      <c r="A395" s="68"/>
      <c r="B395" s="68"/>
      <c r="C395" s="106" t="s">
        <v>244</v>
      </c>
      <c r="D395" s="82">
        <v>0</v>
      </c>
      <c r="E395" s="82"/>
      <c r="F395" s="84"/>
      <c r="G395" s="85">
        <v>0</v>
      </c>
      <c r="H395" s="82"/>
      <c r="I395" s="84"/>
      <c r="J395" s="85">
        <v>0</v>
      </c>
      <c r="K395" s="82"/>
      <c r="L395" s="84"/>
      <c r="M395" s="85">
        <v>0</v>
      </c>
      <c r="N395" s="82"/>
      <c r="O395" s="82"/>
      <c r="P395" s="81">
        <v>0</v>
      </c>
      <c r="Q395" s="82"/>
      <c r="R395" s="83"/>
      <c r="S395" s="82">
        <v>0</v>
      </c>
      <c r="T395" s="82"/>
      <c r="U395" s="84"/>
      <c r="V395" s="85">
        <v>0</v>
      </c>
      <c r="W395" s="82"/>
      <c r="X395" s="84"/>
      <c r="Y395" s="85">
        <v>0</v>
      </c>
      <c r="Z395" s="82"/>
      <c r="AA395" s="84"/>
      <c r="AB395" s="85">
        <v>0</v>
      </c>
      <c r="AC395" s="82"/>
      <c r="AD395" s="84"/>
      <c r="AE395" s="85">
        <v>0</v>
      </c>
      <c r="AF395" s="82"/>
      <c r="AG395" s="84"/>
    </row>
    <row r="396" spans="1:33" ht="15.75" thickBot="1" x14ac:dyDescent="0.3">
      <c r="A396" s="68"/>
      <c r="B396" s="68"/>
      <c r="C396" s="107" t="s">
        <v>37</v>
      </c>
      <c r="D396" s="104"/>
      <c r="E396" s="86"/>
      <c r="F396" s="89"/>
      <c r="G396" s="86"/>
      <c r="H396" s="86"/>
      <c r="I396" s="89"/>
      <c r="J396" s="86"/>
      <c r="K396" s="86"/>
      <c r="L396" s="89"/>
      <c r="M396" s="86"/>
      <c r="N396" s="86"/>
      <c r="O396" s="89"/>
      <c r="P396" s="86"/>
      <c r="Q396" s="86"/>
      <c r="R396" s="89"/>
      <c r="S396" s="86"/>
      <c r="T396" s="86"/>
      <c r="U396" s="89"/>
      <c r="V396" s="86"/>
      <c r="W396" s="86"/>
      <c r="X396" s="89"/>
      <c r="Y396" s="86"/>
      <c r="Z396" s="86"/>
      <c r="AA396" s="89"/>
      <c r="AB396" s="86"/>
      <c r="AC396" s="86"/>
      <c r="AD396" s="89"/>
      <c r="AE396" s="86"/>
      <c r="AF396" s="86"/>
      <c r="AG396" s="89"/>
    </row>
    <row r="397" spans="1:33" ht="15.75" thickBot="1" x14ac:dyDescent="0.3">
      <c r="A397" s="68"/>
      <c r="B397" s="68"/>
      <c r="D397" s="87"/>
      <c r="E397" s="87"/>
      <c r="F397" s="90"/>
      <c r="G397" s="87"/>
      <c r="H397" s="87"/>
      <c r="I397" s="90"/>
      <c r="J397" s="87"/>
      <c r="K397" s="87"/>
      <c r="L397" s="90"/>
      <c r="M397" s="87"/>
      <c r="N397" s="87"/>
      <c r="O397" s="90"/>
      <c r="P397" s="87"/>
      <c r="Q397" s="87"/>
      <c r="R397" s="90"/>
      <c r="S397" s="87"/>
      <c r="T397" s="87"/>
      <c r="U397" s="90"/>
      <c r="V397" s="87"/>
      <c r="W397" s="87"/>
      <c r="X397" s="90"/>
      <c r="Y397" s="87"/>
      <c r="Z397" s="87"/>
      <c r="AA397" s="90"/>
      <c r="AB397" s="87"/>
      <c r="AC397" s="87"/>
      <c r="AD397" s="90"/>
      <c r="AE397" s="87"/>
      <c r="AF397" s="87"/>
      <c r="AG397" s="90"/>
    </row>
    <row r="398" spans="1:33" ht="15.75" thickBot="1" x14ac:dyDescent="0.3">
      <c r="A398" s="68"/>
      <c r="B398" s="68"/>
      <c r="D398" s="88"/>
      <c r="E398" s="88"/>
      <c r="F398" s="91"/>
      <c r="G398" s="88"/>
      <c r="H398" s="88"/>
      <c r="I398" s="91"/>
      <c r="J398" s="88"/>
      <c r="K398" s="88"/>
      <c r="L398" s="91"/>
      <c r="M398" s="88"/>
      <c r="N398" s="88"/>
      <c r="O398" s="91"/>
      <c r="P398" s="88"/>
      <c r="Q398" s="88"/>
      <c r="R398" s="91"/>
      <c r="S398" s="88"/>
      <c r="T398" s="88"/>
      <c r="U398" s="91"/>
      <c r="V398" s="88"/>
      <c r="W398" s="88"/>
      <c r="X398" s="91"/>
      <c r="Y398" s="88"/>
      <c r="Z398" s="88"/>
      <c r="AA398" s="91"/>
      <c r="AB398" s="88"/>
      <c r="AC398" s="88"/>
      <c r="AD398" s="91"/>
      <c r="AE398" s="88"/>
      <c r="AF398" s="88"/>
      <c r="AG398" s="91"/>
    </row>
    <row r="400" spans="1:33" ht="15.75" thickBot="1" x14ac:dyDescent="0.3"/>
    <row r="401" spans="1:33" ht="15.75" thickBot="1" x14ac:dyDescent="0.3">
      <c r="A401" s="68" t="s">
        <v>266</v>
      </c>
      <c r="B401" s="68"/>
      <c r="D401" s="52" t="s">
        <v>27</v>
      </c>
      <c r="E401" s="52"/>
      <c r="F401" s="52"/>
      <c r="G401" s="73" t="s">
        <v>28</v>
      </c>
      <c r="H401" s="73"/>
      <c r="I401" s="73"/>
      <c r="J401" s="52" t="s">
        <v>29</v>
      </c>
      <c r="K401" s="52"/>
      <c r="L401" s="52"/>
      <c r="M401" s="73" t="s">
        <v>30</v>
      </c>
      <c r="N401" s="73"/>
      <c r="O401" s="73"/>
      <c r="P401" s="52" t="s">
        <v>31</v>
      </c>
      <c r="Q401" s="52"/>
      <c r="R401" s="52"/>
      <c r="S401" s="73" t="s">
        <v>32</v>
      </c>
      <c r="T401" s="73"/>
      <c r="U401" s="73"/>
      <c r="V401" s="52" t="s">
        <v>33</v>
      </c>
      <c r="W401" s="52"/>
      <c r="X401" s="52"/>
      <c r="Y401" s="73" t="s">
        <v>34</v>
      </c>
      <c r="Z401" s="73"/>
      <c r="AA401" s="73"/>
      <c r="AB401" s="52" t="s">
        <v>35</v>
      </c>
      <c r="AC401" s="52"/>
      <c r="AD401" s="52"/>
      <c r="AE401" s="73" t="s">
        <v>36</v>
      </c>
      <c r="AF401" s="73"/>
      <c r="AG401" s="73"/>
    </row>
    <row r="402" spans="1:33" ht="15.75" thickBot="1" x14ac:dyDescent="0.3">
      <c r="A402" s="68"/>
      <c r="B402" s="68"/>
      <c r="C402" s="105" t="s">
        <v>243</v>
      </c>
      <c r="D402" s="75">
        <v>0</v>
      </c>
      <c r="E402" s="75"/>
      <c r="F402" s="76"/>
      <c r="G402" s="74">
        <v>0</v>
      </c>
      <c r="H402" s="75"/>
      <c r="I402" s="76"/>
      <c r="J402" s="74">
        <v>0</v>
      </c>
      <c r="K402" s="75"/>
      <c r="L402" s="76"/>
      <c r="M402" s="74">
        <v>0</v>
      </c>
      <c r="N402" s="75"/>
      <c r="O402" s="76"/>
      <c r="P402" s="74">
        <v>0</v>
      </c>
      <c r="Q402" s="75"/>
      <c r="R402" s="76"/>
      <c r="S402" s="74">
        <v>0</v>
      </c>
      <c r="T402" s="75"/>
      <c r="U402" s="76"/>
      <c r="V402" s="74">
        <v>0</v>
      </c>
      <c r="W402" s="75"/>
      <c r="X402" s="76"/>
      <c r="Y402" s="74">
        <v>0</v>
      </c>
      <c r="Z402" s="75"/>
      <c r="AA402" s="76"/>
      <c r="AB402" s="74">
        <v>0</v>
      </c>
      <c r="AC402" s="75"/>
      <c r="AD402" s="76"/>
      <c r="AE402" s="74">
        <v>0</v>
      </c>
      <c r="AF402" s="75"/>
      <c r="AG402" s="76"/>
    </row>
    <row r="403" spans="1:33" ht="15.75" thickBot="1" x14ac:dyDescent="0.3">
      <c r="A403" s="68"/>
      <c r="B403" s="68"/>
      <c r="C403" s="106" t="s">
        <v>244</v>
      </c>
      <c r="D403" s="82">
        <v>0</v>
      </c>
      <c r="E403" s="82"/>
      <c r="F403" s="84"/>
      <c r="G403" s="85">
        <v>0</v>
      </c>
      <c r="H403" s="82"/>
      <c r="I403" s="84"/>
      <c r="J403" s="85">
        <v>0</v>
      </c>
      <c r="K403" s="82"/>
      <c r="L403" s="84"/>
      <c r="M403" s="85">
        <v>0</v>
      </c>
      <c r="N403" s="82"/>
      <c r="O403" s="82"/>
      <c r="P403" s="81">
        <v>0</v>
      </c>
      <c r="Q403" s="82"/>
      <c r="R403" s="83"/>
      <c r="S403" s="82">
        <v>0</v>
      </c>
      <c r="T403" s="82"/>
      <c r="U403" s="84"/>
      <c r="V403" s="85">
        <v>0</v>
      </c>
      <c r="W403" s="82"/>
      <c r="X403" s="84"/>
      <c r="Y403" s="85">
        <v>0</v>
      </c>
      <c r="Z403" s="82"/>
      <c r="AA403" s="84"/>
      <c r="AB403" s="85">
        <v>0</v>
      </c>
      <c r="AC403" s="82"/>
      <c r="AD403" s="84"/>
      <c r="AE403" s="85">
        <v>0</v>
      </c>
      <c r="AF403" s="82"/>
      <c r="AG403" s="84"/>
    </row>
    <row r="404" spans="1:33" ht="15.75" thickBot="1" x14ac:dyDescent="0.3">
      <c r="A404" s="68"/>
      <c r="B404" s="68"/>
      <c r="C404" s="107" t="s">
        <v>37</v>
      </c>
      <c r="D404" s="104"/>
      <c r="E404" s="86"/>
      <c r="F404" s="89"/>
      <c r="G404" s="86"/>
      <c r="H404" s="86"/>
      <c r="I404" s="89"/>
      <c r="J404" s="86"/>
      <c r="K404" s="86"/>
      <c r="L404" s="89"/>
      <c r="M404" s="86"/>
      <c r="N404" s="86"/>
      <c r="O404" s="89"/>
      <c r="P404" s="86"/>
      <c r="Q404" s="86"/>
      <c r="R404" s="89"/>
      <c r="S404" s="86"/>
      <c r="T404" s="86"/>
      <c r="U404" s="89"/>
      <c r="V404" s="86"/>
      <c r="W404" s="86"/>
      <c r="X404" s="89"/>
      <c r="Y404" s="86"/>
      <c r="Z404" s="86"/>
      <c r="AA404" s="89"/>
      <c r="AB404" s="86"/>
      <c r="AC404" s="86"/>
      <c r="AD404" s="89"/>
      <c r="AE404" s="86"/>
      <c r="AF404" s="86"/>
      <c r="AG404" s="89"/>
    </row>
    <row r="405" spans="1:33" ht="15.75" thickBot="1" x14ac:dyDescent="0.3">
      <c r="A405" s="68"/>
      <c r="B405" s="68"/>
      <c r="D405" s="87"/>
      <c r="E405" s="87"/>
      <c r="F405" s="90"/>
      <c r="G405" s="87"/>
      <c r="H405" s="87"/>
      <c r="I405" s="90"/>
      <c r="J405" s="87"/>
      <c r="K405" s="87"/>
      <c r="L405" s="90"/>
      <c r="M405" s="87"/>
      <c r="N405" s="87"/>
      <c r="O405" s="90"/>
      <c r="P405" s="87"/>
      <c r="Q405" s="87"/>
      <c r="R405" s="90"/>
      <c r="S405" s="87"/>
      <c r="T405" s="87"/>
      <c r="U405" s="90"/>
      <c r="V405" s="87"/>
      <c r="W405" s="87"/>
      <c r="X405" s="90"/>
      <c r="Y405" s="87"/>
      <c r="Z405" s="87"/>
      <c r="AA405" s="90"/>
      <c r="AB405" s="87"/>
      <c r="AC405" s="87"/>
      <c r="AD405" s="90"/>
      <c r="AE405" s="87"/>
      <c r="AF405" s="87"/>
      <c r="AG405" s="90"/>
    </row>
    <row r="406" spans="1:33" ht="15.75" thickBot="1" x14ac:dyDescent="0.3">
      <c r="A406" s="68"/>
      <c r="B406" s="68"/>
      <c r="D406" s="88"/>
      <c r="E406" s="88"/>
      <c r="F406" s="91"/>
      <c r="G406" s="88"/>
      <c r="H406" s="88"/>
      <c r="I406" s="91"/>
      <c r="J406" s="88"/>
      <c r="K406" s="88"/>
      <c r="L406" s="91"/>
      <c r="M406" s="88"/>
      <c r="N406" s="88"/>
      <c r="O406" s="91"/>
      <c r="P406" s="88"/>
      <c r="Q406" s="88"/>
      <c r="R406" s="91"/>
      <c r="S406" s="88"/>
      <c r="T406" s="88"/>
      <c r="U406" s="91"/>
      <c r="V406" s="88"/>
      <c r="W406" s="88"/>
      <c r="X406" s="91"/>
      <c r="Y406" s="88"/>
      <c r="Z406" s="88"/>
      <c r="AA406" s="91"/>
      <c r="AB406" s="88"/>
      <c r="AC406" s="88"/>
      <c r="AD406" s="91"/>
      <c r="AE406" s="88"/>
      <c r="AF406" s="88"/>
      <c r="AG406" s="91"/>
    </row>
    <row r="408" spans="1:33" ht="15.75" thickBot="1" x14ac:dyDescent="0.3"/>
    <row r="409" spans="1:33" ht="15.75" thickBot="1" x14ac:dyDescent="0.3">
      <c r="A409" s="68" t="s">
        <v>267</v>
      </c>
      <c r="B409" s="68"/>
      <c r="D409" s="52" t="s">
        <v>27</v>
      </c>
      <c r="E409" s="52"/>
      <c r="F409" s="52"/>
      <c r="G409" s="73" t="s">
        <v>28</v>
      </c>
      <c r="H409" s="73"/>
      <c r="I409" s="73"/>
      <c r="J409" s="52" t="s">
        <v>29</v>
      </c>
      <c r="K409" s="52"/>
      <c r="L409" s="52"/>
      <c r="M409" s="73" t="s">
        <v>30</v>
      </c>
      <c r="N409" s="73"/>
      <c r="O409" s="73"/>
      <c r="P409" s="52" t="s">
        <v>31</v>
      </c>
      <c r="Q409" s="52"/>
      <c r="R409" s="52"/>
      <c r="S409" s="73" t="s">
        <v>32</v>
      </c>
      <c r="T409" s="73"/>
      <c r="U409" s="73"/>
      <c r="V409" s="52" t="s">
        <v>33</v>
      </c>
      <c r="W409" s="52"/>
      <c r="X409" s="52"/>
      <c r="Y409" s="73" t="s">
        <v>34</v>
      </c>
      <c r="Z409" s="73"/>
      <c r="AA409" s="73"/>
      <c r="AB409" s="52" t="s">
        <v>35</v>
      </c>
      <c r="AC409" s="52"/>
      <c r="AD409" s="52"/>
      <c r="AE409" s="73" t="s">
        <v>36</v>
      </c>
      <c r="AF409" s="73"/>
      <c r="AG409" s="73"/>
    </row>
    <row r="410" spans="1:33" ht="15.75" thickBot="1" x14ac:dyDescent="0.3">
      <c r="A410" s="68"/>
      <c r="B410" s="68"/>
      <c r="C410" s="105" t="s">
        <v>243</v>
      </c>
      <c r="D410" s="75">
        <v>0</v>
      </c>
      <c r="E410" s="75"/>
      <c r="F410" s="76"/>
      <c r="G410" s="74">
        <v>0</v>
      </c>
      <c r="H410" s="75"/>
      <c r="I410" s="76"/>
      <c r="J410" s="74">
        <v>0</v>
      </c>
      <c r="K410" s="75"/>
      <c r="L410" s="76"/>
      <c r="M410" s="74">
        <v>0</v>
      </c>
      <c r="N410" s="75"/>
      <c r="O410" s="76"/>
      <c r="P410" s="74">
        <v>0</v>
      </c>
      <c r="Q410" s="75"/>
      <c r="R410" s="76"/>
      <c r="S410" s="74">
        <v>0</v>
      </c>
      <c r="T410" s="75"/>
      <c r="U410" s="76"/>
      <c r="V410" s="74">
        <v>0</v>
      </c>
      <c r="W410" s="75"/>
      <c r="X410" s="76"/>
      <c r="Y410" s="74">
        <v>0</v>
      </c>
      <c r="Z410" s="75"/>
      <c r="AA410" s="76"/>
      <c r="AB410" s="74">
        <v>0</v>
      </c>
      <c r="AC410" s="75"/>
      <c r="AD410" s="76"/>
      <c r="AE410" s="74">
        <v>0</v>
      </c>
      <c r="AF410" s="75"/>
      <c r="AG410" s="76"/>
    </row>
    <row r="411" spans="1:33" ht="15.75" thickBot="1" x14ac:dyDescent="0.3">
      <c r="A411" s="68"/>
      <c r="B411" s="68"/>
      <c r="C411" s="106" t="s">
        <v>244</v>
      </c>
      <c r="D411" s="82">
        <v>0</v>
      </c>
      <c r="E411" s="82"/>
      <c r="F411" s="84"/>
      <c r="G411" s="85">
        <v>0</v>
      </c>
      <c r="H411" s="82"/>
      <c r="I411" s="84"/>
      <c r="J411" s="85">
        <v>0</v>
      </c>
      <c r="K411" s="82"/>
      <c r="L411" s="84"/>
      <c r="M411" s="85">
        <v>0</v>
      </c>
      <c r="N411" s="82"/>
      <c r="O411" s="82"/>
      <c r="P411" s="81">
        <v>0</v>
      </c>
      <c r="Q411" s="82"/>
      <c r="R411" s="83"/>
      <c r="S411" s="82">
        <v>0</v>
      </c>
      <c r="T411" s="82"/>
      <c r="U411" s="84"/>
      <c r="V411" s="85">
        <v>0</v>
      </c>
      <c r="W411" s="82"/>
      <c r="X411" s="84"/>
      <c r="Y411" s="85">
        <v>0</v>
      </c>
      <c r="Z411" s="82"/>
      <c r="AA411" s="84"/>
      <c r="AB411" s="85">
        <v>0</v>
      </c>
      <c r="AC411" s="82"/>
      <c r="AD411" s="84"/>
      <c r="AE411" s="85">
        <v>0</v>
      </c>
      <c r="AF411" s="82"/>
      <c r="AG411" s="84"/>
    </row>
    <row r="412" spans="1:33" ht="15.75" thickBot="1" x14ac:dyDescent="0.3">
      <c r="A412" s="68"/>
      <c r="B412" s="68"/>
      <c r="C412" s="107" t="s">
        <v>37</v>
      </c>
      <c r="D412" s="104"/>
      <c r="E412" s="86"/>
      <c r="F412" s="89"/>
      <c r="G412" s="86"/>
      <c r="H412" s="86"/>
      <c r="I412" s="89"/>
      <c r="J412" s="86"/>
      <c r="K412" s="86"/>
      <c r="L412" s="89"/>
      <c r="M412" s="86"/>
      <c r="N412" s="86"/>
      <c r="O412" s="89"/>
      <c r="P412" s="86"/>
      <c r="Q412" s="86"/>
      <c r="R412" s="89"/>
      <c r="S412" s="86"/>
      <c r="T412" s="86"/>
      <c r="U412" s="89"/>
      <c r="V412" s="86"/>
      <c r="W412" s="86"/>
      <c r="X412" s="89"/>
      <c r="Y412" s="86"/>
      <c r="Z412" s="86"/>
      <c r="AA412" s="89"/>
      <c r="AB412" s="86"/>
      <c r="AC412" s="86"/>
      <c r="AD412" s="89"/>
      <c r="AE412" s="86"/>
      <c r="AF412" s="86"/>
      <c r="AG412" s="89"/>
    </row>
    <row r="413" spans="1:33" ht="15.75" thickBot="1" x14ac:dyDescent="0.3">
      <c r="A413" s="68"/>
      <c r="B413" s="68"/>
      <c r="D413" s="87"/>
      <c r="E413" s="87"/>
      <c r="F413" s="90"/>
      <c r="G413" s="87"/>
      <c r="H413" s="87"/>
      <c r="I413" s="90"/>
      <c r="J413" s="87"/>
      <c r="K413" s="87"/>
      <c r="L413" s="90"/>
      <c r="M413" s="87"/>
      <c r="N413" s="87"/>
      <c r="O413" s="90"/>
      <c r="P413" s="87"/>
      <c r="Q413" s="87"/>
      <c r="R413" s="90"/>
      <c r="S413" s="87"/>
      <c r="T413" s="87"/>
      <c r="U413" s="90"/>
      <c r="V413" s="87"/>
      <c r="W413" s="87"/>
      <c r="X413" s="90"/>
      <c r="Y413" s="87"/>
      <c r="Z413" s="87"/>
      <c r="AA413" s="90"/>
      <c r="AB413" s="87"/>
      <c r="AC413" s="87"/>
      <c r="AD413" s="90"/>
      <c r="AE413" s="87"/>
      <c r="AF413" s="87"/>
      <c r="AG413" s="90"/>
    </row>
    <row r="414" spans="1:33" ht="15.75" thickBot="1" x14ac:dyDescent="0.3">
      <c r="A414" s="68"/>
      <c r="B414" s="68"/>
      <c r="D414" s="88"/>
      <c r="E414" s="88"/>
      <c r="F414" s="91"/>
      <c r="G414" s="88"/>
      <c r="H414" s="88"/>
      <c r="I414" s="91"/>
      <c r="J414" s="88"/>
      <c r="K414" s="88"/>
      <c r="L414" s="91"/>
      <c r="M414" s="88"/>
      <c r="N414" s="88"/>
      <c r="O414" s="91"/>
      <c r="P414" s="88"/>
      <c r="Q414" s="88"/>
      <c r="R414" s="91"/>
      <c r="S414" s="88"/>
      <c r="T414" s="88"/>
      <c r="U414" s="91"/>
      <c r="V414" s="88"/>
      <c r="W414" s="88"/>
      <c r="X414" s="91"/>
      <c r="Y414" s="88"/>
      <c r="Z414" s="88"/>
      <c r="AA414" s="91"/>
      <c r="AB414" s="88"/>
      <c r="AC414" s="88"/>
      <c r="AD414" s="91"/>
      <c r="AE414" s="88"/>
      <c r="AF414" s="88"/>
      <c r="AG414" s="91"/>
    </row>
    <row r="416" spans="1:33" ht="15.75" thickBot="1" x14ac:dyDescent="0.3"/>
    <row r="417" spans="1:33" ht="15.75" thickBot="1" x14ac:dyDescent="0.3">
      <c r="A417" s="68" t="s">
        <v>268</v>
      </c>
      <c r="B417" s="68"/>
      <c r="D417" s="52" t="s">
        <v>27</v>
      </c>
      <c r="E417" s="52"/>
      <c r="F417" s="52"/>
      <c r="G417" s="73" t="s">
        <v>28</v>
      </c>
      <c r="H417" s="73"/>
      <c r="I417" s="73"/>
      <c r="J417" s="52" t="s">
        <v>29</v>
      </c>
      <c r="K417" s="52"/>
      <c r="L417" s="52"/>
      <c r="M417" s="73" t="s">
        <v>30</v>
      </c>
      <c r="N417" s="73"/>
      <c r="O417" s="73"/>
      <c r="P417" s="52" t="s">
        <v>31</v>
      </c>
      <c r="Q417" s="52"/>
      <c r="R417" s="52"/>
      <c r="S417" s="73" t="s">
        <v>32</v>
      </c>
      <c r="T417" s="73"/>
      <c r="U417" s="73"/>
      <c r="V417" s="52" t="s">
        <v>33</v>
      </c>
      <c r="W417" s="52"/>
      <c r="X417" s="52"/>
      <c r="Y417" s="73" t="s">
        <v>34</v>
      </c>
      <c r="Z417" s="73"/>
      <c r="AA417" s="73"/>
      <c r="AB417" s="52" t="s">
        <v>35</v>
      </c>
      <c r="AC417" s="52"/>
      <c r="AD417" s="52"/>
      <c r="AE417" s="73" t="s">
        <v>36</v>
      </c>
      <c r="AF417" s="73"/>
      <c r="AG417" s="73"/>
    </row>
    <row r="418" spans="1:33" ht="15.75" thickBot="1" x14ac:dyDescent="0.3">
      <c r="A418" s="68"/>
      <c r="B418" s="68"/>
      <c r="C418" s="105" t="s">
        <v>243</v>
      </c>
      <c r="D418" s="75">
        <v>0</v>
      </c>
      <c r="E418" s="75"/>
      <c r="F418" s="76"/>
      <c r="G418" s="74">
        <v>0</v>
      </c>
      <c r="H418" s="75"/>
      <c r="I418" s="76"/>
      <c r="J418" s="74">
        <v>0</v>
      </c>
      <c r="K418" s="75"/>
      <c r="L418" s="76"/>
      <c r="M418" s="74">
        <v>0</v>
      </c>
      <c r="N418" s="75"/>
      <c r="O418" s="76"/>
      <c r="P418" s="74">
        <v>0</v>
      </c>
      <c r="Q418" s="75"/>
      <c r="R418" s="76"/>
      <c r="S418" s="74">
        <v>0</v>
      </c>
      <c r="T418" s="75"/>
      <c r="U418" s="76"/>
      <c r="V418" s="74">
        <v>0</v>
      </c>
      <c r="W418" s="75"/>
      <c r="X418" s="76"/>
      <c r="Y418" s="74">
        <v>0</v>
      </c>
      <c r="Z418" s="75"/>
      <c r="AA418" s="76"/>
      <c r="AB418" s="74">
        <v>0</v>
      </c>
      <c r="AC418" s="75"/>
      <c r="AD418" s="76"/>
      <c r="AE418" s="74">
        <v>0</v>
      </c>
      <c r="AF418" s="75"/>
      <c r="AG418" s="76"/>
    </row>
    <row r="419" spans="1:33" ht="15.75" thickBot="1" x14ac:dyDescent="0.3">
      <c r="A419" s="68"/>
      <c r="B419" s="68"/>
      <c r="C419" s="106" t="s">
        <v>244</v>
      </c>
      <c r="D419" s="82">
        <v>0</v>
      </c>
      <c r="E419" s="82"/>
      <c r="F419" s="84"/>
      <c r="G419" s="85">
        <v>0</v>
      </c>
      <c r="H419" s="82"/>
      <c r="I419" s="84"/>
      <c r="J419" s="85">
        <v>0</v>
      </c>
      <c r="K419" s="82"/>
      <c r="L419" s="84"/>
      <c r="M419" s="85">
        <v>0</v>
      </c>
      <c r="N419" s="82"/>
      <c r="O419" s="82"/>
      <c r="P419" s="81">
        <v>0</v>
      </c>
      <c r="Q419" s="82"/>
      <c r="R419" s="83"/>
      <c r="S419" s="82">
        <v>0</v>
      </c>
      <c r="T419" s="82"/>
      <c r="U419" s="84"/>
      <c r="V419" s="85">
        <v>0</v>
      </c>
      <c r="W419" s="82"/>
      <c r="X419" s="84"/>
      <c r="Y419" s="85">
        <v>0</v>
      </c>
      <c r="Z419" s="82"/>
      <c r="AA419" s="84"/>
      <c r="AB419" s="85">
        <v>0</v>
      </c>
      <c r="AC419" s="82"/>
      <c r="AD419" s="84"/>
      <c r="AE419" s="85">
        <v>0</v>
      </c>
      <c r="AF419" s="82"/>
      <c r="AG419" s="84"/>
    </row>
    <row r="420" spans="1:33" ht="15.75" thickBot="1" x14ac:dyDescent="0.3">
      <c r="A420" s="68"/>
      <c r="B420" s="68"/>
      <c r="C420" s="107" t="s">
        <v>37</v>
      </c>
      <c r="D420" s="104"/>
      <c r="E420" s="86"/>
      <c r="F420" s="89"/>
      <c r="G420" s="86"/>
      <c r="H420" s="86"/>
      <c r="I420" s="89"/>
      <c r="J420" s="86"/>
      <c r="K420" s="86"/>
      <c r="L420" s="89"/>
      <c r="M420" s="86"/>
      <c r="N420" s="86"/>
      <c r="O420" s="89"/>
      <c r="P420" s="86"/>
      <c r="Q420" s="86"/>
      <c r="R420" s="89"/>
      <c r="S420" s="86"/>
      <c r="T420" s="86"/>
      <c r="U420" s="89"/>
      <c r="V420" s="86"/>
      <c r="W420" s="86"/>
      <c r="X420" s="89"/>
      <c r="Y420" s="86"/>
      <c r="Z420" s="86"/>
      <c r="AA420" s="89"/>
      <c r="AB420" s="86"/>
      <c r="AC420" s="86"/>
      <c r="AD420" s="89"/>
      <c r="AE420" s="86"/>
      <c r="AF420" s="86"/>
      <c r="AG420" s="89"/>
    </row>
    <row r="421" spans="1:33" ht="15.75" thickBot="1" x14ac:dyDescent="0.3">
      <c r="A421" s="68"/>
      <c r="B421" s="68"/>
      <c r="D421" s="87"/>
      <c r="E421" s="87"/>
      <c r="F421" s="90"/>
      <c r="G421" s="87"/>
      <c r="H421" s="87"/>
      <c r="I421" s="90"/>
      <c r="J421" s="87"/>
      <c r="K421" s="87"/>
      <c r="L421" s="90"/>
      <c r="M421" s="87"/>
      <c r="N421" s="87"/>
      <c r="O421" s="90"/>
      <c r="P421" s="87"/>
      <c r="Q421" s="87"/>
      <c r="R421" s="90"/>
      <c r="S421" s="87"/>
      <c r="T421" s="87"/>
      <c r="U421" s="90"/>
      <c r="V421" s="87"/>
      <c r="W421" s="87"/>
      <c r="X421" s="90"/>
      <c r="Y421" s="87"/>
      <c r="Z421" s="87"/>
      <c r="AA421" s="90"/>
      <c r="AB421" s="87"/>
      <c r="AC421" s="87"/>
      <c r="AD421" s="90"/>
      <c r="AE421" s="87"/>
      <c r="AF421" s="87"/>
      <c r="AG421" s="90"/>
    </row>
    <row r="422" spans="1:33" ht="15.75" thickBot="1" x14ac:dyDescent="0.3">
      <c r="A422" s="68"/>
      <c r="B422" s="68"/>
      <c r="D422" s="88"/>
      <c r="E422" s="88"/>
      <c r="F422" s="91"/>
      <c r="G422" s="88"/>
      <c r="H422" s="88"/>
      <c r="I422" s="91"/>
      <c r="J422" s="88"/>
      <c r="K422" s="88"/>
      <c r="L422" s="91"/>
      <c r="M422" s="88"/>
      <c r="N422" s="88"/>
      <c r="O422" s="91"/>
      <c r="P422" s="88"/>
      <c r="Q422" s="88"/>
      <c r="R422" s="91"/>
      <c r="S422" s="88"/>
      <c r="T422" s="88"/>
      <c r="U422" s="91"/>
      <c r="V422" s="88"/>
      <c r="W422" s="88"/>
      <c r="X422" s="91"/>
      <c r="Y422" s="88"/>
      <c r="Z422" s="88"/>
      <c r="AA422" s="91"/>
      <c r="AB422" s="88"/>
      <c r="AC422" s="88"/>
      <c r="AD422" s="91"/>
      <c r="AE422" s="88"/>
      <c r="AF422" s="88"/>
      <c r="AG422" s="91"/>
    </row>
    <row r="424" spans="1:33" ht="15.75" thickBot="1" x14ac:dyDescent="0.3"/>
    <row r="425" spans="1:33" ht="15.75" thickBot="1" x14ac:dyDescent="0.3">
      <c r="A425" s="68" t="s">
        <v>107</v>
      </c>
      <c r="B425" s="68"/>
      <c r="D425" s="52" t="s">
        <v>27</v>
      </c>
      <c r="E425" s="52"/>
      <c r="F425" s="52"/>
      <c r="G425" s="73" t="s">
        <v>28</v>
      </c>
      <c r="H425" s="73"/>
      <c r="I425" s="73"/>
      <c r="J425" s="52" t="s">
        <v>29</v>
      </c>
      <c r="K425" s="52"/>
      <c r="L425" s="52"/>
      <c r="M425" s="73" t="s">
        <v>30</v>
      </c>
      <c r="N425" s="73"/>
      <c r="O425" s="73"/>
      <c r="P425" s="52" t="s">
        <v>31</v>
      </c>
      <c r="Q425" s="52"/>
      <c r="R425" s="52"/>
      <c r="S425" s="73" t="s">
        <v>32</v>
      </c>
      <c r="T425" s="73"/>
      <c r="U425" s="73"/>
      <c r="V425" s="52" t="s">
        <v>33</v>
      </c>
      <c r="W425" s="52"/>
      <c r="X425" s="52"/>
      <c r="Y425" s="73" t="s">
        <v>34</v>
      </c>
      <c r="Z425" s="73"/>
      <c r="AA425" s="73"/>
      <c r="AB425" s="52" t="s">
        <v>35</v>
      </c>
      <c r="AC425" s="52"/>
      <c r="AD425" s="52"/>
      <c r="AE425" s="73" t="s">
        <v>36</v>
      </c>
      <c r="AF425" s="73"/>
      <c r="AG425" s="73"/>
    </row>
    <row r="426" spans="1:33" ht="15.75" thickBot="1" x14ac:dyDescent="0.3">
      <c r="A426" s="68"/>
      <c r="B426" s="68"/>
      <c r="C426" s="105" t="s">
        <v>243</v>
      </c>
      <c r="D426" s="75">
        <v>0</v>
      </c>
      <c r="E426" s="75"/>
      <c r="F426" s="76"/>
      <c r="G426" s="74">
        <v>0</v>
      </c>
      <c r="H426" s="75"/>
      <c r="I426" s="76"/>
      <c r="J426" s="74">
        <v>0</v>
      </c>
      <c r="K426" s="75"/>
      <c r="L426" s="76"/>
      <c r="M426" s="74">
        <v>0</v>
      </c>
      <c r="N426" s="75"/>
      <c r="O426" s="76"/>
      <c r="P426" s="74">
        <v>0</v>
      </c>
      <c r="Q426" s="75"/>
      <c r="R426" s="76"/>
      <c r="S426" s="74">
        <v>0</v>
      </c>
      <c r="T426" s="75"/>
      <c r="U426" s="76"/>
      <c r="V426" s="74">
        <v>0</v>
      </c>
      <c r="W426" s="75"/>
      <c r="X426" s="76"/>
      <c r="Y426" s="74">
        <v>0</v>
      </c>
      <c r="Z426" s="75"/>
      <c r="AA426" s="76"/>
      <c r="AB426" s="74">
        <v>0</v>
      </c>
      <c r="AC426" s="75"/>
      <c r="AD426" s="76"/>
      <c r="AE426" s="74">
        <v>0</v>
      </c>
      <c r="AF426" s="75"/>
      <c r="AG426" s="76"/>
    </row>
    <row r="427" spans="1:33" ht="15.75" thickBot="1" x14ac:dyDescent="0.3">
      <c r="A427" s="68"/>
      <c r="B427" s="68"/>
      <c r="C427" s="106" t="s">
        <v>244</v>
      </c>
      <c r="D427" s="82">
        <v>0</v>
      </c>
      <c r="E427" s="82"/>
      <c r="F427" s="84"/>
      <c r="G427" s="85">
        <v>0</v>
      </c>
      <c r="H427" s="82"/>
      <c r="I427" s="84"/>
      <c r="J427" s="85">
        <v>0</v>
      </c>
      <c r="K427" s="82"/>
      <c r="L427" s="84"/>
      <c r="M427" s="85">
        <v>0</v>
      </c>
      <c r="N427" s="82"/>
      <c r="O427" s="82"/>
      <c r="P427" s="81">
        <v>0</v>
      </c>
      <c r="Q427" s="82"/>
      <c r="R427" s="83"/>
      <c r="S427" s="82">
        <v>0</v>
      </c>
      <c r="T427" s="82"/>
      <c r="U427" s="84"/>
      <c r="V427" s="85">
        <v>0</v>
      </c>
      <c r="W427" s="82"/>
      <c r="X427" s="84"/>
      <c r="Y427" s="85">
        <v>0</v>
      </c>
      <c r="Z427" s="82"/>
      <c r="AA427" s="84"/>
      <c r="AB427" s="85">
        <v>0</v>
      </c>
      <c r="AC427" s="82"/>
      <c r="AD427" s="84"/>
      <c r="AE427" s="85">
        <v>0</v>
      </c>
      <c r="AF427" s="82"/>
      <c r="AG427" s="84"/>
    </row>
    <row r="428" spans="1:33" ht="15.75" thickBot="1" x14ac:dyDescent="0.3">
      <c r="A428" s="68"/>
      <c r="B428" s="68"/>
      <c r="C428" s="107" t="s">
        <v>37</v>
      </c>
      <c r="D428" s="104"/>
      <c r="E428" s="86"/>
      <c r="F428" s="89"/>
      <c r="G428" s="86"/>
      <c r="H428" s="86"/>
      <c r="I428" s="89"/>
      <c r="J428" s="86"/>
      <c r="K428" s="86"/>
      <c r="L428" s="89"/>
      <c r="M428" s="86"/>
      <c r="N428" s="86"/>
      <c r="O428" s="89"/>
      <c r="P428" s="86"/>
      <c r="Q428" s="86"/>
      <c r="R428" s="89"/>
      <c r="S428" s="86"/>
      <c r="T428" s="86"/>
      <c r="U428" s="89"/>
      <c r="V428" s="86"/>
      <c r="W428" s="86"/>
      <c r="X428" s="89"/>
      <c r="Y428" s="86"/>
      <c r="Z428" s="86"/>
      <c r="AA428" s="89"/>
      <c r="AB428" s="86"/>
      <c r="AC428" s="86"/>
      <c r="AD428" s="89"/>
      <c r="AE428" s="86"/>
      <c r="AF428" s="86"/>
      <c r="AG428" s="89"/>
    </row>
    <row r="429" spans="1:33" ht="15.75" thickBot="1" x14ac:dyDescent="0.3">
      <c r="A429" s="68"/>
      <c r="B429" s="68"/>
      <c r="D429" s="87"/>
      <c r="E429" s="87"/>
      <c r="F429" s="90"/>
      <c r="G429" s="87"/>
      <c r="H429" s="87"/>
      <c r="I429" s="90"/>
      <c r="J429" s="87"/>
      <c r="K429" s="87"/>
      <c r="L429" s="90"/>
      <c r="M429" s="87"/>
      <c r="N429" s="87"/>
      <c r="O429" s="90"/>
      <c r="P429" s="87"/>
      <c r="Q429" s="87"/>
      <c r="R429" s="90"/>
      <c r="S429" s="87"/>
      <c r="T429" s="87"/>
      <c r="U429" s="90"/>
      <c r="V429" s="87"/>
      <c r="W429" s="87"/>
      <c r="X429" s="90"/>
      <c r="Y429" s="87"/>
      <c r="Z429" s="87"/>
      <c r="AA429" s="90"/>
      <c r="AB429" s="87"/>
      <c r="AC429" s="87"/>
      <c r="AD429" s="90"/>
      <c r="AE429" s="87"/>
      <c r="AF429" s="87"/>
      <c r="AG429" s="90"/>
    </row>
    <row r="430" spans="1:33" ht="15.75" thickBot="1" x14ac:dyDescent="0.3">
      <c r="A430" s="68"/>
      <c r="B430" s="68"/>
      <c r="D430" s="88"/>
      <c r="E430" s="88"/>
      <c r="F430" s="91"/>
      <c r="G430" s="88"/>
      <c r="H430" s="88"/>
      <c r="I430" s="91"/>
      <c r="J430" s="88"/>
      <c r="K430" s="88"/>
      <c r="L430" s="91"/>
      <c r="M430" s="88"/>
      <c r="N430" s="88"/>
      <c r="O430" s="91"/>
      <c r="P430" s="88"/>
      <c r="Q430" s="88"/>
      <c r="R430" s="91"/>
      <c r="S430" s="88"/>
      <c r="T430" s="88"/>
      <c r="U430" s="91"/>
      <c r="V430" s="88"/>
      <c r="W430" s="88"/>
      <c r="X430" s="91"/>
      <c r="Y430" s="88"/>
      <c r="Z430" s="88"/>
      <c r="AA430" s="91"/>
      <c r="AB430" s="88"/>
      <c r="AC430" s="88"/>
      <c r="AD430" s="91"/>
      <c r="AE430" s="88"/>
      <c r="AF430" s="88"/>
      <c r="AG430" s="91"/>
    </row>
    <row r="432" spans="1:33" ht="15.75" thickBot="1" x14ac:dyDescent="0.3"/>
    <row r="433" spans="1:33" ht="15.75" thickBot="1" x14ac:dyDescent="0.3">
      <c r="A433" s="68" t="s">
        <v>108</v>
      </c>
      <c r="B433" s="68"/>
      <c r="D433" s="52" t="s">
        <v>27</v>
      </c>
      <c r="E433" s="52"/>
      <c r="F433" s="52"/>
      <c r="G433" s="73" t="s">
        <v>28</v>
      </c>
      <c r="H433" s="73"/>
      <c r="I433" s="73"/>
      <c r="J433" s="52" t="s">
        <v>29</v>
      </c>
      <c r="K433" s="52"/>
      <c r="L433" s="52"/>
      <c r="M433" s="73" t="s">
        <v>30</v>
      </c>
      <c r="N433" s="73"/>
      <c r="O433" s="73"/>
      <c r="P433" s="52" t="s">
        <v>31</v>
      </c>
      <c r="Q433" s="52"/>
      <c r="R433" s="52"/>
      <c r="S433" s="73" t="s">
        <v>32</v>
      </c>
      <c r="T433" s="73"/>
      <c r="U433" s="73"/>
      <c r="V433" s="52" t="s">
        <v>33</v>
      </c>
      <c r="W433" s="52"/>
      <c r="X433" s="52"/>
      <c r="Y433" s="73" t="s">
        <v>34</v>
      </c>
      <c r="Z433" s="73"/>
      <c r="AA433" s="73"/>
      <c r="AB433" s="52" t="s">
        <v>35</v>
      </c>
      <c r="AC433" s="52"/>
      <c r="AD433" s="52"/>
      <c r="AE433" s="73" t="s">
        <v>36</v>
      </c>
      <c r="AF433" s="73"/>
      <c r="AG433" s="73"/>
    </row>
    <row r="434" spans="1:33" ht="15.75" thickBot="1" x14ac:dyDescent="0.3">
      <c r="A434" s="68"/>
      <c r="B434" s="68"/>
      <c r="C434" s="105" t="s">
        <v>243</v>
      </c>
      <c r="D434" s="75">
        <v>0</v>
      </c>
      <c r="E434" s="75"/>
      <c r="F434" s="76"/>
      <c r="G434" s="74">
        <v>0</v>
      </c>
      <c r="H434" s="75"/>
      <c r="I434" s="76"/>
      <c r="J434" s="74">
        <v>0</v>
      </c>
      <c r="K434" s="75"/>
      <c r="L434" s="76"/>
      <c r="M434" s="74">
        <v>0</v>
      </c>
      <c r="N434" s="75"/>
      <c r="O434" s="76"/>
      <c r="P434" s="74">
        <v>0</v>
      </c>
      <c r="Q434" s="75"/>
      <c r="R434" s="76"/>
      <c r="S434" s="74">
        <v>0</v>
      </c>
      <c r="T434" s="75"/>
      <c r="U434" s="76"/>
      <c r="V434" s="74">
        <v>0</v>
      </c>
      <c r="W434" s="75"/>
      <c r="X434" s="76"/>
      <c r="Y434" s="74">
        <v>0</v>
      </c>
      <c r="Z434" s="75"/>
      <c r="AA434" s="76"/>
      <c r="AB434" s="74">
        <v>0</v>
      </c>
      <c r="AC434" s="75"/>
      <c r="AD434" s="76"/>
      <c r="AE434" s="74">
        <v>0</v>
      </c>
      <c r="AF434" s="75"/>
      <c r="AG434" s="76"/>
    </row>
    <row r="435" spans="1:33" ht="15.75" thickBot="1" x14ac:dyDescent="0.3">
      <c r="A435" s="68"/>
      <c r="B435" s="68"/>
      <c r="C435" s="106" t="s">
        <v>244</v>
      </c>
      <c r="D435" s="82">
        <v>0</v>
      </c>
      <c r="E435" s="82"/>
      <c r="F435" s="84"/>
      <c r="G435" s="85">
        <v>0</v>
      </c>
      <c r="H435" s="82"/>
      <c r="I435" s="84"/>
      <c r="J435" s="85">
        <v>0</v>
      </c>
      <c r="K435" s="82"/>
      <c r="L435" s="84"/>
      <c r="M435" s="85">
        <v>0</v>
      </c>
      <c r="N435" s="82"/>
      <c r="O435" s="82"/>
      <c r="P435" s="81">
        <v>0</v>
      </c>
      <c r="Q435" s="82"/>
      <c r="R435" s="83"/>
      <c r="S435" s="82">
        <v>0</v>
      </c>
      <c r="T435" s="82"/>
      <c r="U435" s="84"/>
      <c r="V435" s="85">
        <v>0</v>
      </c>
      <c r="W435" s="82"/>
      <c r="X435" s="84"/>
      <c r="Y435" s="85">
        <v>0</v>
      </c>
      <c r="Z435" s="82"/>
      <c r="AA435" s="84"/>
      <c r="AB435" s="85">
        <v>0</v>
      </c>
      <c r="AC435" s="82"/>
      <c r="AD435" s="84"/>
      <c r="AE435" s="85">
        <v>0</v>
      </c>
      <c r="AF435" s="82"/>
      <c r="AG435" s="84"/>
    </row>
    <row r="436" spans="1:33" ht="15.75" thickBot="1" x14ac:dyDescent="0.3">
      <c r="A436" s="68"/>
      <c r="B436" s="68"/>
      <c r="C436" s="107" t="s">
        <v>37</v>
      </c>
      <c r="D436" s="104"/>
      <c r="E436" s="86"/>
      <c r="F436" s="89"/>
      <c r="G436" s="86"/>
      <c r="H436" s="86"/>
      <c r="I436" s="89"/>
      <c r="J436" s="86"/>
      <c r="K436" s="86"/>
      <c r="L436" s="89"/>
      <c r="M436" s="86"/>
      <c r="N436" s="86"/>
      <c r="O436" s="89"/>
      <c r="P436" s="86"/>
      <c r="Q436" s="86"/>
      <c r="R436" s="89"/>
      <c r="S436" s="86"/>
      <c r="T436" s="86"/>
      <c r="U436" s="89"/>
      <c r="V436" s="86"/>
      <c r="W436" s="86"/>
      <c r="X436" s="89"/>
      <c r="Y436" s="86"/>
      <c r="Z436" s="86"/>
      <c r="AA436" s="89"/>
      <c r="AB436" s="86"/>
      <c r="AC436" s="86"/>
      <c r="AD436" s="89"/>
      <c r="AE436" s="86"/>
      <c r="AF436" s="86"/>
      <c r="AG436" s="89"/>
    </row>
    <row r="437" spans="1:33" ht="15.75" thickBot="1" x14ac:dyDescent="0.3">
      <c r="A437" s="68"/>
      <c r="B437" s="68"/>
      <c r="D437" s="87"/>
      <c r="E437" s="87"/>
      <c r="F437" s="90"/>
      <c r="G437" s="87"/>
      <c r="H437" s="87"/>
      <c r="I437" s="90"/>
      <c r="J437" s="87"/>
      <c r="K437" s="87"/>
      <c r="L437" s="90"/>
      <c r="M437" s="87"/>
      <c r="N437" s="87"/>
      <c r="O437" s="90"/>
      <c r="P437" s="87"/>
      <c r="Q437" s="87"/>
      <c r="R437" s="90"/>
      <c r="S437" s="87"/>
      <c r="T437" s="87"/>
      <c r="U437" s="90"/>
      <c r="V437" s="87"/>
      <c r="W437" s="87"/>
      <c r="X437" s="90"/>
      <c r="Y437" s="87"/>
      <c r="Z437" s="87"/>
      <c r="AA437" s="90"/>
      <c r="AB437" s="87"/>
      <c r="AC437" s="87"/>
      <c r="AD437" s="90"/>
      <c r="AE437" s="87"/>
      <c r="AF437" s="87"/>
      <c r="AG437" s="90"/>
    </row>
    <row r="438" spans="1:33" ht="15.75" thickBot="1" x14ac:dyDescent="0.3">
      <c r="A438" s="68"/>
      <c r="B438" s="68"/>
      <c r="D438" s="88"/>
      <c r="E438" s="88"/>
      <c r="F438" s="91"/>
      <c r="G438" s="88"/>
      <c r="H438" s="88"/>
      <c r="I438" s="91"/>
      <c r="J438" s="88"/>
      <c r="K438" s="88"/>
      <c r="L438" s="91"/>
      <c r="M438" s="88"/>
      <c r="N438" s="88"/>
      <c r="O438" s="91"/>
      <c r="P438" s="88"/>
      <c r="Q438" s="88"/>
      <c r="R438" s="91"/>
      <c r="S438" s="88"/>
      <c r="T438" s="88"/>
      <c r="U438" s="91"/>
      <c r="V438" s="88"/>
      <c r="W438" s="88"/>
      <c r="X438" s="91"/>
      <c r="Y438" s="88"/>
      <c r="Z438" s="88"/>
      <c r="AA438" s="91"/>
      <c r="AB438" s="88"/>
      <c r="AC438" s="88"/>
      <c r="AD438" s="91"/>
      <c r="AE438" s="88"/>
      <c r="AF438" s="88"/>
      <c r="AG438" s="91"/>
    </row>
    <row r="440" spans="1:33" ht="15.75" thickBot="1" x14ac:dyDescent="0.3"/>
    <row r="441" spans="1:33" ht="15.75" thickBot="1" x14ac:dyDescent="0.3">
      <c r="A441" s="68" t="s">
        <v>109</v>
      </c>
      <c r="B441" s="68"/>
      <c r="D441" s="52" t="s">
        <v>27</v>
      </c>
      <c r="E441" s="52"/>
      <c r="F441" s="52"/>
      <c r="G441" s="73" t="s">
        <v>28</v>
      </c>
      <c r="H441" s="73"/>
      <c r="I441" s="73"/>
      <c r="J441" s="52" t="s">
        <v>29</v>
      </c>
      <c r="K441" s="52"/>
      <c r="L441" s="52"/>
      <c r="M441" s="73" t="s">
        <v>30</v>
      </c>
      <c r="N441" s="73"/>
      <c r="O441" s="73"/>
      <c r="P441" s="52" t="s">
        <v>31</v>
      </c>
      <c r="Q441" s="52"/>
      <c r="R441" s="52"/>
      <c r="S441" s="73" t="s">
        <v>32</v>
      </c>
      <c r="T441" s="73"/>
      <c r="U441" s="73"/>
      <c r="V441" s="52" t="s">
        <v>33</v>
      </c>
      <c r="W441" s="52"/>
      <c r="X441" s="52"/>
      <c r="Y441" s="73" t="s">
        <v>34</v>
      </c>
      <c r="Z441" s="73"/>
      <c r="AA441" s="73"/>
      <c r="AB441" s="52" t="s">
        <v>35</v>
      </c>
      <c r="AC441" s="52"/>
      <c r="AD441" s="52"/>
      <c r="AE441" s="73" t="s">
        <v>36</v>
      </c>
      <c r="AF441" s="73"/>
      <c r="AG441" s="73"/>
    </row>
    <row r="442" spans="1:33" ht="15.75" thickBot="1" x14ac:dyDescent="0.3">
      <c r="A442" s="68"/>
      <c r="B442" s="68"/>
      <c r="C442" s="105" t="s">
        <v>243</v>
      </c>
      <c r="D442" s="75">
        <v>0</v>
      </c>
      <c r="E442" s="75"/>
      <c r="F442" s="76"/>
      <c r="G442" s="74">
        <v>0</v>
      </c>
      <c r="H442" s="75"/>
      <c r="I442" s="76"/>
      <c r="J442" s="74">
        <v>0</v>
      </c>
      <c r="K442" s="75"/>
      <c r="L442" s="76"/>
      <c r="M442" s="74">
        <v>0</v>
      </c>
      <c r="N442" s="75"/>
      <c r="O442" s="76"/>
      <c r="P442" s="74">
        <v>0</v>
      </c>
      <c r="Q442" s="75"/>
      <c r="R442" s="76"/>
      <c r="S442" s="74">
        <v>0</v>
      </c>
      <c r="T442" s="75"/>
      <c r="U442" s="76"/>
      <c r="V442" s="74">
        <v>0</v>
      </c>
      <c r="W442" s="75"/>
      <c r="X442" s="76"/>
      <c r="Y442" s="74">
        <v>0</v>
      </c>
      <c r="Z442" s="75"/>
      <c r="AA442" s="76"/>
      <c r="AB442" s="74">
        <v>0</v>
      </c>
      <c r="AC442" s="75"/>
      <c r="AD442" s="76"/>
      <c r="AE442" s="74">
        <v>0</v>
      </c>
      <c r="AF442" s="75"/>
      <c r="AG442" s="76"/>
    </row>
    <row r="443" spans="1:33" ht="15.75" thickBot="1" x14ac:dyDescent="0.3">
      <c r="A443" s="68"/>
      <c r="B443" s="68"/>
      <c r="C443" s="106" t="s">
        <v>244</v>
      </c>
      <c r="D443" s="82">
        <v>0</v>
      </c>
      <c r="E443" s="82"/>
      <c r="F443" s="84"/>
      <c r="G443" s="85">
        <v>0</v>
      </c>
      <c r="H443" s="82"/>
      <c r="I443" s="84"/>
      <c r="J443" s="85">
        <v>0</v>
      </c>
      <c r="K443" s="82"/>
      <c r="L443" s="84"/>
      <c r="M443" s="85">
        <v>0</v>
      </c>
      <c r="N443" s="82"/>
      <c r="O443" s="82"/>
      <c r="P443" s="81">
        <v>0</v>
      </c>
      <c r="Q443" s="82"/>
      <c r="R443" s="83"/>
      <c r="S443" s="82">
        <v>0</v>
      </c>
      <c r="T443" s="82"/>
      <c r="U443" s="84"/>
      <c r="V443" s="85">
        <v>0</v>
      </c>
      <c r="W443" s="82"/>
      <c r="X443" s="84"/>
      <c r="Y443" s="85">
        <v>0</v>
      </c>
      <c r="Z443" s="82"/>
      <c r="AA443" s="84"/>
      <c r="AB443" s="85">
        <v>0</v>
      </c>
      <c r="AC443" s="82"/>
      <c r="AD443" s="84"/>
      <c r="AE443" s="85">
        <v>0</v>
      </c>
      <c r="AF443" s="82"/>
      <c r="AG443" s="84"/>
    </row>
    <row r="444" spans="1:33" ht="15.75" thickBot="1" x14ac:dyDescent="0.3">
      <c r="A444" s="68"/>
      <c r="B444" s="68"/>
      <c r="C444" s="107" t="s">
        <v>37</v>
      </c>
      <c r="D444" s="104"/>
      <c r="E444" s="86"/>
      <c r="F444" s="89"/>
      <c r="G444" s="86"/>
      <c r="H444" s="86"/>
      <c r="I444" s="89"/>
      <c r="J444" s="86"/>
      <c r="K444" s="86"/>
      <c r="L444" s="89"/>
      <c r="M444" s="86"/>
      <c r="N444" s="86"/>
      <c r="O444" s="89"/>
      <c r="P444" s="86"/>
      <c r="Q444" s="86"/>
      <c r="R444" s="89"/>
      <c r="S444" s="86"/>
      <c r="T444" s="86"/>
      <c r="U444" s="89"/>
      <c r="V444" s="86"/>
      <c r="W444" s="86"/>
      <c r="X444" s="89"/>
      <c r="Y444" s="86"/>
      <c r="Z444" s="86"/>
      <c r="AA444" s="89"/>
      <c r="AB444" s="86"/>
      <c r="AC444" s="86"/>
      <c r="AD444" s="89"/>
      <c r="AE444" s="86"/>
      <c r="AF444" s="86"/>
      <c r="AG444" s="89"/>
    </row>
    <row r="445" spans="1:33" ht="15.75" thickBot="1" x14ac:dyDescent="0.3">
      <c r="A445" s="68"/>
      <c r="B445" s="68"/>
      <c r="D445" s="87"/>
      <c r="E445" s="87"/>
      <c r="F445" s="90"/>
      <c r="G445" s="87"/>
      <c r="H445" s="87"/>
      <c r="I445" s="90"/>
      <c r="J445" s="87"/>
      <c r="K445" s="87"/>
      <c r="L445" s="90"/>
      <c r="M445" s="87"/>
      <c r="N445" s="87"/>
      <c r="O445" s="90"/>
      <c r="P445" s="87"/>
      <c r="Q445" s="87"/>
      <c r="R445" s="90"/>
      <c r="S445" s="87"/>
      <c r="T445" s="87"/>
      <c r="U445" s="90"/>
      <c r="V445" s="87"/>
      <c r="W445" s="87"/>
      <c r="X445" s="90"/>
      <c r="Y445" s="87"/>
      <c r="Z445" s="87"/>
      <c r="AA445" s="90"/>
      <c r="AB445" s="87"/>
      <c r="AC445" s="87"/>
      <c r="AD445" s="90"/>
      <c r="AE445" s="87"/>
      <c r="AF445" s="87"/>
      <c r="AG445" s="90"/>
    </row>
    <row r="446" spans="1:33" ht="15.75" thickBot="1" x14ac:dyDescent="0.3">
      <c r="A446" s="68"/>
      <c r="B446" s="68"/>
      <c r="D446" s="88"/>
      <c r="E446" s="88"/>
      <c r="F446" s="91"/>
      <c r="G446" s="88"/>
      <c r="H446" s="88"/>
      <c r="I446" s="91"/>
      <c r="J446" s="88"/>
      <c r="K446" s="88"/>
      <c r="L446" s="91"/>
      <c r="M446" s="88"/>
      <c r="N446" s="88"/>
      <c r="O446" s="91"/>
      <c r="P446" s="88"/>
      <c r="Q446" s="88"/>
      <c r="R446" s="91"/>
      <c r="S446" s="88"/>
      <c r="T446" s="88"/>
      <c r="U446" s="91"/>
      <c r="V446" s="88"/>
      <c r="W446" s="88"/>
      <c r="X446" s="91"/>
      <c r="Y446" s="88"/>
      <c r="Z446" s="88"/>
      <c r="AA446" s="91"/>
      <c r="AB446" s="88"/>
      <c r="AC446" s="88"/>
      <c r="AD446" s="91"/>
      <c r="AE446" s="88"/>
      <c r="AF446" s="88"/>
      <c r="AG446" s="91"/>
    </row>
    <row r="448" spans="1:33" ht="15.75" thickBot="1" x14ac:dyDescent="0.3"/>
    <row r="449" spans="1:33" ht="15.75" thickBot="1" x14ac:dyDescent="0.3">
      <c r="A449" s="68" t="s">
        <v>110</v>
      </c>
      <c r="B449" s="68"/>
      <c r="D449" s="52" t="s">
        <v>27</v>
      </c>
      <c r="E449" s="52"/>
      <c r="F449" s="52"/>
      <c r="G449" s="73" t="s">
        <v>28</v>
      </c>
      <c r="H449" s="73"/>
      <c r="I449" s="73"/>
      <c r="J449" s="52" t="s">
        <v>29</v>
      </c>
      <c r="K449" s="52"/>
      <c r="L449" s="52"/>
      <c r="M449" s="73" t="s">
        <v>30</v>
      </c>
      <c r="N449" s="73"/>
      <c r="O449" s="73"/>
      <c r="P449" s="52" t="s">
        <v>31</v>
      </c>
      <c r="Q449" s="52"/>
      <c r="R449" s="52"/>
      <c r="S449" s="73" t="s">
        <v>32</v>
      </c>
      <c r="T449" s="73"/>
      <c r="U449" s="73"/>
      <c r="V449" s="52" t="s">
        <v>33</v>
      </c>
      <c r="W449" s="52"/>
      <c r="X449" s="52"/>
      <c r="Y449" s="73" t="s">
        <v>34</v>
      </c>
      <c r="Z449" s="73"/>
      <c r="AA449" s="73"/>
      <c r="AB449" s="52" t="s">
        <v>35</v>
      </c>
      <c r="AC449" s="52"/>
      <c r="AD449" s="52"/>
      <c r="AE449" s="73" t="s">
        <v>36</v>
      </c>
      <c r="AF449" s="73"/>
      <c r="AG449" s="73"/>
    </row>
    <row r="450" spans="1:33" ht="15.75" thickBot="1" x14ac:dyDescent="0.3">
      <c r="A450" s="68"/>
      <c r="B450" s="68"/>
      <c r="C450" s="105" t="s">
        <v>243</v>
      </c>
      <c r="D450" s="75">
        <v>0</v>
      </c>
      <c r="E450" s="75"/>
      <c r="F450" s="76"/>
      <c r="G450" s="74">
        <v>0</v>
      </c>
      <c r="H450" s="75"/>
      <c r="I450" s="76"/>
      <c r="J450" s="74">
        <v>0</v>
      </c>
      <c r="K450" s="75"/>
      <c r="L450" s="76"/>
      <c r="M450" s="74">
        <v>0</v>
      </c>
      <c r="N450" s="75"/>
      <c r="O450" s="76"/>
      <c r="P450" s="74">
        <v>0</v>
      </c>
      <c r="Q450" s="75"/>
      <c r="R450" s="76"/>
      <c r="S450" s="74">
        <v>0</v>
      </c>
      <c r="T450" s="75"/>
      <c r="U450" s="76"/>
      <c r="V450" s="74">
        <v>0</v>
      </c>
      <c r="W450" s="75"/>
      <c r="X450" s="76"/>
      <c r="Y450" s="74">
        <v>0</v>
      </c>
      <c r="Z450" s="75"/>
      <c r="AA450" s="76"/>
      <c r="AB450" s="74">
        <v>0</v>
      </c>
      <c r="AC450" s="75"/>
      <c r="AD450" s="76"/>
      <c r="AE450" s="74">
        <v>0</v>
      </c>
      <c r="AF450" s="75"/>
      <c r="AG450" s="76"/>
    </row>
    <row r="451" spans="1:33" ht="15.75" thickBot="1" x14ac:dyDescent="0.3">
      <c r="A451" s="68"/>
      <c r="B451" s="68"/>
      <c r="C451" s="106" t="s">
        <v>244</v>
      </c>
      <c r="D451" s="82">
        <v>0</v>
      </c>
      <c r="E451" s="82"/>
      <c r="F451" s="84"/>
      <c r="G451" s="85">
        <v>0</v>
      </c>
      <c r="H451" s="82"/>
      <c r="I451" s="84"/>
      <c r="J451" s="85">
        <v>0</v>
      </c>
      <c r="K451" s="82"/>
      <c r="L451" s="84"/>
      <c r="M451" s="85">
        <v>0</v>
      </c>
      <c r="N451" s="82"/>
      <c r="O451" s="82"/>
      <c r="P451" s="81">
        <v>0</v>
      </c>
      <c r="Q451" s="82"/>
      <c r="R451" s="83"/>
      <c r="S451" s="82">
        <v>0</v>
      </c>
      <c r="T451" s="82"/>
      <c r="U451" s="84"/>
      <c r="V451" s="85">
        <v>0</v>
      </c>
      <c r="W451" s="82"/>
      <c r="X451" s="84"/>
      <c r="Y451" s="85">
        <v>0</v>
      </c>
      <c r="Z451" s="82"/>
      <c r="AA451" s="84"/>
      <c r="AB451" s="85">
        <v>0</v>
      </c>
      <c r="AC451" s="82"/>
      <c r="AD451" s="84"/>
      <c r="AE451" s="85">
        <v>0</v>
      </c>
      <c r="AF451" s="82"/>
      <c r="AG451" s="84"/>
    </row>
    <row r="452" spans="1:33" ht="15.75" thickBot="1" x14ac:dyDescent="0.3">
      <c r="A452" s="68"/>
      <c r="B452" s="68"/>
      <c r="C452" s="107" t="s">
        <v>37</v>
      </c>
      <c r="D452" s="104"/>
      <c r="E452" s="86"/>
      <c r="F452" s="89"/>
      <c r="G452" s="86"/>
      <c r="H452" s="86"/>
      <c r="I452" s="89"/>
      <c r="J452" s="86"/>
      <c r="K452" s="86"/>
      <c r="L452" s="89"/>
      <c r="M452" s="86"/>
      <c r="N452" s="86"/>
      <c r="O452" s="89"/>
      <c r="P452" s="86"/>
      <c r="Q452" s="86"/>
      <c r="R452" s="89"/>
      <c r="S452" s="86"/>
      <c r="T452" s="86"/>
      <c r="U452" s="89"/>
      <c r="V452" s="86"/>
      <c r="W452" s="86"/>
      <c r="X452" s="89"/>
      <c r="Y452" s="86"/>
      <c r="Z452" s="86"/>
      <c r="AA452" s="89"/>
      <c r="AB452" s="86"/>
      <c r="AC452" s="86"/>
      <c r="AD452" s="89"/>
      <c r="AE452" s="86"/>
      <c r="AF452" s="86"/>
      <c r="AG452" s="89"/>
    </row>
    <row r="453" spans="1:33" ht="15.75" thickBot="1" x14ac:dyDescent="0.3">
      <c r="A453" s="68"/>
      <c r="B453" s="68"/>
      <c r="D453" s="87"/>
      <c r="E453" s="87"/>
      <c r="F453" s="90"/>
      <c r="G453" s="87"/>
      <c r="H453" s="87"/>
      <c r="I453" s="90"/>
      <c r="J453" s="87"/>
      <c r="K453" s="87"/>
      <c r="L453" s="90"/>
      <c r="M453" s="87"/>
      <c r="N453" s="87"/>
      <c r="O453" s="90"/>
      <c r="P453" s="87"/>
      <c r="Q453" s="87"/>
      <c r="R453" s="90"/>
      <c r="S453" s="87"/>
      <c r="T453" s="87"/>
      <c r="U453" s="90"/>
      <c r="V453" s="87"/>
      <c r="W453" s="87"/>
      <c r="X453" s="90"/>
      <c r="Y453" s="87"/>
      <c r="Z453" s="87"/>
      <c r="AA453" s="90"/>
      <c r="AB453" s="87"/>
      <c r="AC453" s="87"/>
      <c r="AD453" s="90"/>
      <c r="AE453" s="87"/>
      <c r="AF453" s="87"/>
      <c r="AG453" s="90"/>
    </row>
    <row r="454" spans="1:33" ht="15.75" thickBot="1" x14ac:dyDescent="0.3">
      <c r="A454" s="68"/>
      <c r="B454" s="68"/>
      <c r="D454" s="88"/>
      <c r="E454" s="88"/>
      <c r="F454" s="91"/>
      <c r="G454" s="88"/>
      <c r="H454" s="88"/>
      <c r="I454" s="91"/>
      <c r="J454" s="88"/>
      <c r="K454" s="88"/>
      <c r="L454" s="91"/>
      <c r="M454" s="88"/>
      <c r="N454" s="88"/>
      <c r="O454" s="91"/>
      <c r="P454" s="88"/>
      <c r="Q454" s="88"/>
      <c r="R454" s="91"/>
      <c r="S454" s="88"/>
      <c r="T454" s="88"/>
      <c r="U454" s="91"/>
      <c r="V454" s="88"/>
      <c r="W454" s="88"/>
      <c r="X454" s="91"/>
      <c r="Y454" s="88"/>
      <c r="Z454" s="88"/>
      <c r="AA454" s="91"/>
      <c r="AB454" s="88"/>
      <c r="AC454" s="88"/>
      <c r="AD454" s="91"/>
      <c r="AE454" s="88"/>
      <c r="AF454" s="88"/>
      <c r="AG454" s="91"/>
    </row>
    <row r="456" spans="1:33" ht="15.75" thickBot="1" x14ac:dyDescent="0.3"/>
    <row r="457" spans="1:33" ht="15.75" thickBot="1" x14ac:dyDescent="0.3">
      <c r="A457" s="68" t="s">
        <v>111</v>
      </c>
      <c r="B457" s="68"/>
      <c r="D457" s="52" t="s">
        <v>27</v>
      </c>
      <c r="E457" s="52"/>
      <c r="F457" s="52"/>
      <c r="G457" s="73" t="s">
        <v>28</v>
      </c>
      <c r="H457" s="73"/>
      <c r="I457" s="73"/>
      <c r="J457" s="52" t="s">
        <v>29</v>
      </c>
      <c r="K457" s="52"/>
      <c r="L457" s="52"/>
      <c r="M457" s="73" t="s">
        <v>30</v>
      </c>
      <c r="N457" s="73"/>
      <c r="O457" s="73"/>
      <c r="P457" s="52" t="s">
        <v>31</v>
      </c>
      <c r="Q457" s="52"/>
      <c r="R457" s="52"/>
      <c r="S457" s="73" t="s">
        <v>32</v>
      </c>
      <c r="T457" s="73"/>
      <c r="U457" s="73"/>
      <c r="V457" s="52" t="s">
        <v>33</v>
      </c>
      <c r="W457" s="52"/>
      <c r="X457" s="52"/>
      <c r="Y457" s="73" t="s">
        <v>34</v>
      </c>
      <c r="Z457" s="73"/>
      <c r="AA457" s="73"/>
      <c r="AB457" s="52" t="s">
        <v>35</v>
      </c>
      <c r="AC457" s="52"/>
      <c r="AD457" s="52"/>
      <c r="AE457" s="73" t="s">
        <v>36</v>
      </c>
      <c r="AF457" s="73"/>
      <c r="AG457" s="73"/>
    </row>
    <row r="458" spans="1:33" ht="15.75" thickBot="1" x14ac:dyDescent="0.3">
      <c r="A458" s="68"/>
      <c r="B458" s="68"/>
      <c r="C458" s="105" t="s">
        <v>243</v>
      </c>
      <c r="D458" s="75">
        <v>0</v>
      </c>
      <c r="E458" s="75"/>
      <c r="F458" s="76"/>
      <c r="G458" s="74">
        <v>0</v>
      </c>
      <c r="H458" s="75"/>
      <c r="I458" s="76"/>
      <c r="J458" s="74">
        <v>0</v>
      </c>
      <c r="K458" s="75"/>
      <c r="L458" s="76"/>
      <c r="M458" s="74">
        <v>0</v>
      </c>
      <c r="N458" s="75"/>
      <c r="O458" s="76"/>
      <c r="P458" s="74">
        <v>0</v>
      </c>
      <c r="Q458" s="75"/>
      <c r="R458" s="76"/>
      <c r="S458" s="74">
        <v>0</v>
      </c>
      <c r="T458" s="75"/>
      <c r="U458" s="76"/>
      <c r="V458" s="74">
        <v>0</v>
      </c>
      <c r="W458" s="75"/>
      <c r="X458" s="76"/>
      <c r="Y458" s="74">
        <v>0</v>
      </c>
      <c r="Z458" s="75"/>
      <c r="AA458" s="76"/>
      <c r="AB458" s="74">
        <v>0</v>
      </c>
      <c r="AC458" s="75"/>
      <c r="AD458" s="76"/>
      <c r="AE458" s="74">
        <v>0</v>
      </c>
      <c r="AF458" s="75"/>
      <c r="AG458" s="76"/>
    </row>
    <row r="459" spans="1:33" ht="15.75" thickBot="1" x14ac:dyDescent="0.3">
      <c r="A459" s="68"/>
      <c r="B459" s="68"/>
      <c r="C459" s="106" t="s">
        <v>244</v>
      </c>
      <c r="D459" s="82">
        <v>0</v>
      </c>
      <c r="E459" s="82"/>
      <c r="F459" s="84"/>
      <c r="G459" s="85">
        <v>0</v>
      </c>
      <c r="H459" s="82"/>
      <c r="I459" s="84"/>
      <c r="J459" s="85">
        <v>0</v>
      </c>
      <c r="K459" s="82"/>
      <c r="L459" s="84"/>
      <c r="M459" s="85">
        <v>0</v>
      </c>
      <c r="N459" s="82"/>
      <c r="O459" s="82"/>
      <c r="P459" s="81">
        <v>0</v>
      </c>
      <c r="Q459" s="82"/>
      <c r="R459" s="83"/>
      <c r="S459" s="82">
        <v>0</v>
      </c>
      <c r="T459" s="82"/>
      <c r="U459" s="84"/>
      <c r="V459" s="85">
        <v>0</v>
      </c>
      <c r="W459" s="82"/>
      <c r="X459" s="84"/>
      <c r="Y459" s="85">
        <v>0</v>
      </c>
      <c r="Z459" s="82"/>
      <c r="AA459" s="84"/>
      <c r="AB459" s="85">
        <v>0</v>
      </c>
      <c r="AC459" s="82"/>
      <c r="AD459" s="84"/>
      <c r="AE459" s="85">
        <v>0</v>
      </c>
      <c r="AF459" s="82"/>
      <c r="AG459" s="84"/>
    </row>
    <row r="460" spans="1:33" ht="15.75" thickBot="1" x14ac:dyDescent="0.3">
      <c r="A460" s="68"/>
      <c r="B460" s="68"/>
      <c r="C460" s="107" t="s">
        <v>37</v>
      </c>
      <c r="D460" s="104"/>
      <c r="E460" s="86"/>
      <c r="F460" s="89"/>
      <c r="G460" s="86"/>
      <c r="H460" s="86"/>
      <c r="I460" s="89"/>
      <c r="J460" s="86"/>
      <c r="K460" s="86"/>
      <c r="L460" s="89"/>
      <c r="M460" s="86"/>
      <c r="N460" s="86"/>
      <c r="O460" s="89"/>
      <c r="P460" s="86"/>
      <c r="Q460" s="86"/>
      <c r="R460" s="89"/>
      <c r="S460" s="86"/>
      <c r="T460" s="86"/>
      <c r="U460" s="89"/>
      <c r="V460" s="86"/>
      <c r="W460" s="86"/>
      <c r="X460" s="89"/>
      <c r="Y460" s="86"/>
      <c r="Z460" s="86"/>
      <c r="AA460" s="89"/>
      <c r="AB460" s="86"/>
      <c r="AC460" s="86"/>
      <c r="AD460" s="89"/>
      <c r="AE460" s="86"/>
      <c r="AF460" s="86"/>
      <c r="AG460" s="89"/>
    </row>
    <row r="461" spans="1:33" ht="15.75" thickBot="1" x14ac:dyDescent="0.3">
      <c r="A461" s="68"/>
      <c r="B461" s="68"/>
      <c r="D461" s="87"/>
      <c r="E461" s="87"/>
      <c r="F461" s="90"/>
      <c r="G461" s="87"/>
      <c r="H461" s="87"/>
      <c r="I461" s="90"/>
      <c r="J461" s="87"/>
      <c r="K461" s="87"/>
      <c r="L461" s="90"/>
      <c r="M461" s="87"/>
      <c r="N461" s="87"/>
      <c r="O461" s="90"/>
      <c r="P461" s="87"/>
      <c r="Q461" s="87"/>
      <c r="R461" s="90"/>
      <c r="S461" s="87"/>
      <c r="T461" s="87"/>
      <c r="U461" s="90"/>
      <c r="V461" s="87"/>
      <c r="W461" s="87"/>
      <c r="X461" s="90"/>
      <c r="Y461" s="87"/>
      <c r="Z461" s="87"/>
      <c r="AA461" s="90"/>
      <c r="AB461" s="87"/>
      <c r="AC461" s="87"/>
      <c r="AD461" s="90"/>
      <c r="AE461" s="87"/>
      <c r="AF461" s="87"/>
      <c r="AG461" s="90"/>
    </row>
    <row r="462" spans="1:33" ht="15.75" thickBot="1" x14ac:dyDescent="0.3">
      <c r="A462" s="68"/>
      <c r="B462" s="68"/>
      <c r="D462" s="88"/>
      <c r="E462" s="88"/>
      <c r="F462" s="91"/>
      <c r="G462" s="88"/>
      <c r="H462" s="88"/>
      <c r="I462" s="91"/>
      <c r="J462" s="88"/>
      <c r="K462" s="88"/>
      <c r="L462" s="91"/>
      <c r="M462" s="88"/>
      <c r="N462" s="88"/>
      <c r="O462" s="91"/>
      <c r="P462" s="88"/>
      <c r="Q462" s="88"/>
      <c r="R462" s="91"/>
      <c r="S462" s="88"/>
      <c r="T462" s="88"/>
      <c r="U462" s="91"/>
      <c r="V462" s="88"/>
      <c r="W462" s="88"/>
      <c r="X462" s="91"/>
      <c r="Y462" s="88"/>
      <c r="Z462" s="88"/>
      <c r="AA462" s="91"/>
      <c r="AB462" s="88"/>
      <c r="AC462" s="88"/>
      <c r="AD462" s="91"/>
      <c r="AE462" s="88"/>
      <c r="AF462" s="88"/>
      <c r="AG462" s="91"/>
    </row>
    <row r="464" spans="1:33" ht="15.75" thickBot="1" x14ac:dyDescent="0.3"/>
    <row r="465" spans="1:33" ht="15.75" thickBot="1" x14ac:dyDescent="0.3">
      <c r="A465" s="68" t="s">
        <v>112</v>
      </c>
      <c r="B465" s="68"/>
      <c r="D465" s="52" t="s">
        <v>27</v>
      </c>
      <c r="E465" s="52"/>
      <c r="F465" s="52"/>
      <c r="G465" s="73" t="s">
        <v>28</v>
      </c>
      <c r="H465" s="73"/>
      <c r="I465" s="73"/>
      <c r="J465" s="52" t="s">
        <v>29</v>
      </c>
      <c r="K465" s="52"/>
      <c r="L465" s="52"/>
      <c r="M465" s="73" t="s">
        <v>30</v>
      </c>
      <c r="N465" s="73"/>
      <c r="O465" s="73"/>
      <c r="P465" s="52" t="s">
        <v>31</v>
      </c>
      <c r="Q465" s="52"/>
      <c r="R465" s="52"/>
      <c r="S465" s="73" t="s">
        <v>32</v>
      </c>
      <c r="T465" s="73"/>
      <c r="U465" s="73"/>
      <c r="V465" s="52" t="s">
        <v>33</v>
      </c>
      <c r="W465" s="52"/>
      <c r="X465" s="52"/>
      <c r="Y465" s="73" t="s">
        <v>34</v>
      </c>
      <c r="Z465" s="73"/>
      <c r="AA465" s="73"/>
      <c r="AB465" s="52" t="s">
        <v>35</v>
      </c>
      <c r="AC465" s="52"/>
      <c r="AD465" s="52"/>
      <c r="AE465" s="73" t="s">
        <v>36</v>
      </c>
      <c r="AF465" s="73"/>
      <c r="AG465" s="73"/>
    </row>
    <row r="466" spans="1:33" ht="15.75" thickBot="1" x14ac:dyDescent="0.3">
      <c r="A466" s="68"/>
      <c r="B466" s="68"/>
      <c r="C466" s="105" t="s">
        <v>243</v>
      </c>
      <c r="D466" s="75">
        <v>0</v>
      </c>
      <c r="E466" s="75"/>
      <c r="F466" s="76"/>
      <c r="G466" s="74">
        <v>0</v>
      </c>
      <c r="H466" s="75"/>
      <c r="I466" s="76"/>
      <c r="J466" s="74">
        <v>0</v>
      </c>
      <c r="K466" s="75"/>
      <c r="L466" s="76"/>
      <c r="M466" s="74">
        <v>0</v>
      </c>
      <c r="N466" s="75"/>
      <c r="O466" s="76"/>
      <c r="P466" s="74">
        <v>0</v>
      </c>
      <c r="Q466" s="75"/>
      <c r="R466" s="76"/>
      <c r="S466" s="74">
        <v>0</v>
      </c>
      <c r="T466" s="75"/>
      <c r="U466" s="76"/>
      <c r="V466" s="74">
        <v>0</v>
      </c>
      <c r="W466" s="75"/>
      <c r="X466" s="76"/>
      <c r="Y466" s="74">
        <v>0</v>
      </c>
      <c r="Z466" s="75"/>
      <c r="AA466" s="76"/>
      <c r="AB466" s="74">
        <v>0</v>
      </c>
      <c r="AC466" s="75"/>
      <c r="AD466" s="76"/>
      <c r="AE466" s="74">
        <v>0</v>
      </c>
      <c r="AF466" s="75"/>
      <c r="AG466" s="76"/>
    </row>
    <row r="467" spans="1:33" ht="15.75" thickBot="1" x14ac:dyDescent="0.3">
      <c r="A467" s="68"/>
      <c r="B467" s="68"/>
      <c r="C467" s="106" t="s">
        <v>244</v>
      </c>
      <c r="D467" s="82">
        <v>0</v>
      </c>
      <c r="E467" s="82"/>
      <c r="F467" s="84"/>
      <c r="G467" s="85">
        <v>0</v>
      </c>
      <c r="H467" s="82"/>
      <c r="I467" s="84"/>
      <c r="J467" s="85">
        <v>0</v>
      </c>
      <c r="K467" s="82"/>
      <c r="L467" s="84"/>
      <c r="M467" s="85">
        <v>0</v>
      </c>
      <c r="N467" s="82"/>
      <c r="O467" s="82"/>
      <c r="P467" s="81">
        <v>0</v>
      </c>
      <c r="Q467" s="82"/>
      <c r="R467" s="83"/>
      <c r="S467" s="82">
        <v>0</v>
      </c>
      <c r="T467" s="82"/>
      <c r="U467" s="84"/>
      <c r="V467" s="85">
        <v>0</v>
      </c>
      <c r="W467" s="82"/>
      <c r="X467" s="84"/>
      <c r="Y467" s="85">
        <v>0</v>
      </c>
      <c r="Z467" s="82"/>
      <c r="AA467" s="84"/>
      <c r="AB467" s="85">
        <v>0</v>
      </c>
      <c r="AC467" s="82"/>
      <c r="AD467" s="84"/>
      <c r="AE467" s="85">
        <v>0</v>
      </c>
      <c r="AF467" s="82"/>
      <c r="AG467" s="84"/>
    </row>
    <row r="468" spans="1:33" ht="15.75" thickBot="1" x14ac:dyDescent="0.3">
      <c r="A468" s="68"/>
      <c r="B468" s="68"/>
      <c r="C468" s="107" t="s">
        <v>37</v>
      </c>
      <c r="D468" s="104"/>
      <c r="E468" s="86"/>
      <c r="F468" s="89"/>
      <c r="G468" s="86"/>
      <c r="H468" s="86"/>
      <c r="I468" s="89"/>
      <c r="J468" s="86"/>
      <c r="K468" s="86"/>
      <c r="L468" s="89"/>
      <c r="M468" s="86"/>
      <c r="N468" s="86"/>
      <c r="O468" s="89"/>
      <c r="P468" s="86"/>
      <c r="Q468" s="86"/>
      <c r="R468" s="89"/>
      <c r="S468" s="86"/>
      <c r="T468" s="86"/>
      <c r="U468" s="89"/>
      <c r="V468" s="86"/>
      <c r="W468" s="86"/>
      <c r="X468" s="89"/>
      <c r="Y468" s="86"/>
      <c r="Z468" s="86"/>
      <c r="AA468" s="89"/>
      <c r="AB468" s="86"/>
      <c r="AC468" s="86"/>
      <c r="AD468" s="89"/>
      <c r="AE468" s="86"/>
      <c r="AF468" s="86"/>
      <c r="AG468" s="89"/>
    </row>
    <row r="469" spans="1:33" ht="15.75" thickBot="1" x14ac:dyDescent="0.3">
      <c r="A469" s="68"/>
      <c r="B469" s="68"/>
      <c r="D469" s="87"/>
      <c r="E469" s="87"/>
      <c r="F469" s="90"/>
      <c r="G469" s="87"/>
      <c r="H469" s="87"/>
      <c r="I469" s="90"/>
      <c r="J469" s="87"/>
      <c r="K469" s="87"/>
      <c r="L469" s="90"/>
      <c r="M469" s="87"/>
      <c r="N469" s="87"/>
      <c r="O469" s="90"/>
      <c r="P469" s="87"/>
      <c r="Q469" s="87"/>
      <c r="R469" s="90"/>
      <c r="S469" s="87"/>
      <c r="T469" s="87"/>
      <c r="U469" s="90"/>
      <c r="V469" s="87"/>
      <c r="W469" s="87"/>
      <c r="X469" s="90"/>
      <c r="Y469" s="87"/>
      <c r="Z469" s="87"/>
      <c r="AA469" s="90"/>
      <c r="AB469" s="87"/>
      <c r="AC469" s="87"/>
      <c r="AD469" s="90"/>
      <c r="AE469" s="87"/>
      <c r="AF469" s="87"/>
      <c r="AG469" s="90"/>
    </row>
    <row r="470" spans="1:33" ht="15.75" thickBot="1" x14ac:dyDescent="0.3">
      <c r="A470" s="68"/>
      <c r="B470" s="68"/>
      <c r="D470" s="88"/>
      <c r="E470" s="88"/>
      <c r="F470" s="91"/>
      <c r="G470" s="88"/>
      <c r="H470" s="88"/>
      <c r="I470" s="91"/>
      <c r="J470" s="88"/>
      <c r="K470" s="88"/>
      <c r="L470" s="91"/>
      <c r="M470" s="88"/>
      <c r="N470" s="88"/>
      <c r="O470" s="91"/>
      <c r="P470" s="88"/>
      <c r="Q470" s="88"/>
      <c r="R470" s="91"/>
      <c r="S470" s="88"/>
      <c r="T470" s="88"/>
      <c r="U470" s="91"/>
      <c r="V470" s="88"/>
      <c r="W470" s="88"/>
      <c r="X470" s="91"/>
      <c r="Y470" s="88"/>
      <c r="Z470" s="88"/>
      <c r="AA470" s="91"/>
      <c r="AB470" s="88"/>
      <c r="AC470" s="88"/>
      <c r="AD470" s="91"/>
      <c r="AE470" s="88"/>
      <c r="AF470" s="88"/>
      <c r="AG470" s="91"/>
    </row>
    <row r="472" spans="1:33" ht="15.75" thickBot="1" x14ac:dyDescent="0.3"/>
    <row r="473" spans="1:33" ht="15.75" thickBot="1" x14ac:dyDescent="0.3">
      <c r="A473" s="68" t="s">
        <v>238</v>
      </c>
      <c r="B473" s="68"/>
      <c r="D473" s="52" t="s">
        <v>27</v>
      </c>
      <c r="E473" s="52"/>
      <c r="F473" s="52"/>
      <c r="G473" s="73" t="s">
        <v>28</v>
      </c>
      <c r="H473" s="73"/>
      <c r="I473" s="73"/>
      <c r="J473" s="52" t="s">
        <v>29</v>
      </c>
      <c r="K473" s="52"/>
      <c r="L473" s="52"/>
      <c r="M473" s="73" t="s">
        <v>30</v>
      </c>
      <c r="N473" s="73"/>
      <c r="O473" s="73"/>
      <c r="P473" s="52" t="s">
        <v>31</v>
      </c>
      <c r="Q473" s="52"/>
      <c r="R473" s="52"/>
      <c r="S473" s="73" t="s">
        <v>32</v>
      </c>
      <c r="T473" s="73"/>
      <c r="U473" s="73"/>
      <c r="V473" s="52" t="s">
        <v>33</v>
      </c>
      <c r="W473" s="52"/>
      <c r="X473" s="52"/>
      <c r="Y473" s="73" t="s">
        <v>34</v>
      </c>
      <c r="Z473" s="73"/>
      <c r="AA473" s="73"/>
      <c r="AB473" s="52" t="s">
        <v>35</v>
      </c>
      <c r="AC473" s="52"/>
      <c r="AD473" s="52"/>
      <c r="AE473" s="73" t="s">
        <v>36</v>
      </c>
      <c r="AF473" s="73"/>
      <c r="AG473" s="73"/>
    </row>
    <row r="474" spans="1:33" ht="15.75" thickBot="1" x14ac:dyDescent="0.3">
      <c r="A474" s="68"/>
      <c r="B474" s="68"/>
      <c r="C474" s="105" t="s">
        <v>243</v>
      </c>
      <c r="D474" s="75">
        <v>0</v>
      </c>
      <c r="E474" s="75"/>
      <c r="F474" s="76"/>
      <c r="G474" s="74">
        <v>0</v>
      </c>
      <c r="H474" s="75"/>
      <c r="I474" s="76"/>
      <c r="J474" s="74">
        <v>0</v>
      </c>
      <c r="K474" s="75"/>
      <c r="L474" s="76"/>
      <c r="M474" s="74">
        <v>0</v>
      </c>
      <c r="N474" s="75"/>
      <c r="O474" s="76"/>
      <c r="P474" s="74">
        <v>0</v>
      </c>
      <c r="Q474" s="75"/>
      <c r="R474" s="76"/>
      <c r="S474" s="74">
        <v>0</v>
      </c>
      <c r="T474" s="75"/>
      <c r="U474" s="76"/>
      <c r="V474" s="74">
        <v>0</v>
      </c>
      <c r="W474" s="75"/>
      <c r="X474" s="76"/>
      <c r="Y474" s="74">
        <v>0</v>
      </c>
      <c r="Z474" s="75"/>
      <c r="AA474" s="76"/>
      <c r="AB474" s="74">
        <v>0</v>
      </c>
      <c r="AC474" s="75"/>
      <c r="AD474" s="76"/>
      <c r="AE474" s="74">
        <v>0</v>
      </c>
      <c r="AF474" s="75"/>
      <c r="AG474" s="76"/>
    </row>
    <row r="475" spans="1:33" ht="15.75" thickBot="1" x14ac:dyDescent="0.3">
      <c r="A475" s="68"/>
      <c r="B475" s="68"/>
      <c r="C475" s="106" t="s">
        <v>244</v>
      </c>
      <c r="D475" s="82">
        <v>0</v>
      </c>
      <c r="E475" s="82"/>
      <c r="F475" s="84"/>
      <c r="G475" s="85">
        <v>0</v>
      </c>
      <c r="H475" s="82"/>
      <c r="I475" s="84"/>
      <c r="J475" s="85">
        <v>0</v>
      </c>
      <c r="K475" s="82"/>
      <c r="L475" s="84"/>
      <c r="M475" s="85">
        <v>0</v>
      </c>
      <c r="N475" s="82"/>
      <c r="O475" s="82"/>
      <c r="P475" s="81">
        <v>0</v>
      </c>
      <c r="Q475" s="82"/>
      <c r="R475" s="83"/>
      <c r="S475" s="82">
        <v>0</v>
      </c>
      <c r="T475" s="82"/>
      <c r="U475" s="84"/>
      <c r="V475" s="85">
        <v>0</v>
      </c>
      <c r="W475" s="82"/>
      <c r="X475" s="84"/>
      <c r="Y475" s="85">
        <v>0</v>
      </c>
      <c r="Z475" s="82"/>
      <c r="AA475" s="84"/>
      <c r="AB475" s="85">
        <v>0</v>
      </c>
      <c r="AC475" s="82"/>
      <c r="AD475" s="84"/>
      <c r="AE475" s="85">
        <v>0</v>
      </c>
      <c r="AF475" s="82"/>
      <c r="AG475" s="84"/>
    </row>
    <row r="476" spans="1:33" ht="15.75" thickBot="1" x14ac:dyDescent="0.3">
      <c r="A476" s="68"/>
      <c r="B476" s="68"/>
      <c r="C476" s="107" t="s">
        <v>37</v>
      </c>
      <c r="D476" s="104"/>
      <c r="E476" s="86"/>
      <c r="F476" s="89"/>
      <c r="G476" s="86"/>
      <c r="H476" s="86"/>
      <c r="I476" s="89"/>
      <c r="J476" s="86"/>
      <c r="K476" s="86"/>
      <c r="L476" s="89"/>
      <c r="M476" s="86"/>
      <c r="N476" s="86"/>
      <c r="O476" s="89"/>
      <c r="P476" s="86"/>
      <c r="Q476" s="86"/>
      <c r="R476" s="89"/>
      <c r="S476" s="86"/>
      <c r="T476" s="86"/>
      <c r="U476" s="89"/>
      <c r="V476" s="86"/>
      <c r="W476" s="86"/>
      <c r="X476" s="89"/>
      <c r="Y476" s="86"/>
      <c r="Z476" s="86"/>
      <c r="AA476" s="89"/>
      <c r="AB476" s="86"/>
      <c r="AC476" s="86"/>
      <c r="AD476" s="89"/>
      <c r="AE476" s="86"/>
      <c r="AF476" s="86"/>
      <c r="AG476" s="89"/>
    </row>
    <row r="477" spans="1:33" ht="15.75" thickBot="1" x14ac:dyDescent="0.3">
      <c r="A477" s="68"/>
      <c r="B477" s="68"/>
      <c r="D477" s="87"/>
      <c r="E477" s="87"/>
      <c r="F477" s="90"/>
      <c r="G477" s="87"/>
      <c r="H477" s="87"/>
      <c r="I477" s="90"/>
      <c r="J477" s="87"/>
      <c r="K477" s="87"/>
      <c r="L477" s="90"/>
      <c r="M477" s="87"/>
      <c r="N477" s="87"/>
      <c r="O477" s="90"/>
      <c r="P477" s="87"/>
      <c r="Q477" s="87"/>
      <c r="R477" s="90"/>
      <c r="S477" s="87"/>
      <c r="T477" s="87"/>
      <c r="U477" s="90"/>
      <c r="V477" s="87"/>
      <c r="W477" s="87"/>
      <c r="X477" s="90"/>
      <c r="Y477" s="87"/>
      <c r="Z477" s="87"/>
      <c r="AA477" s="90"/>
      <c r="AB477" s="87"/>
      <c r="AC477" s="87"/>
      <c r="AD477" s="90"/>
      <c r="AE477" s="87"/>
      <c r="AF477" s="87"/>
      <c r="AG477" s="90"/>
    </row>
    <row r="478" spans="1:33" ht="15.75" thickBot="1" x14ac:dyDescent="0.3">
      <c r="A478" s="68"/>
      <c r="B478" s="68"/>
      <c r="D478" s="88"/>
      <c r="E478" s="88"/>
      <c r="F478" s="91"/>
      <c r="G478" s="88"/>
      <c r="H478" s="88"/>
      <c r="I478" s="91"/>
      <c r="J478" s="88"/>
      <c r="K478" s="88"/>
      <c r="L478" s="91"/>
      <c r="M478" s="88"/>
      <c r="N478" s="88"/>
      <c r="O478" s="91"/>
      <c r="P478" s="88"/>
      <c r="Q478" s="88"/>
      <c r="R478" s="91"/>
      <c r="S478" s="88"/>
      <c r="T478" s="88"/>
      <c r="U478" s="91"/>
      <c r="V478" s="88"/>
      <c r="W478" s="88"/>
      <c r="X478" s="91"/>
      <c r="Y478" s="88"/>
      <c r="Z478" s="88"/>
      <c r="AA478" s="91"/>
      <c r="AB478" s="88"/>
      <c r="AC478" s="88"/>
      <c r="AD478" s="91"/>
      <c r="AE478" s="88"/>
      <c r="AF478" s="88"/>
      <c r="AG478" s="91"/>
    </row>
    <row r="480" spans="1:33" ht="15.75" thickBot="1" x14ac:dyDescent="0.3"/>
    <row r="481" spans="1:33" ht="15.75" thickBot="1" x14ac:dyDescent="0.3">
      <c r="A481" s="68" t="s">
        <v>269</v>
      </c>
      <c r="B481" s="68"/>
      <c r="D481" s="52" t="s">
        <v>27</v>
      </c>
      <c r="E481" s="52"/>
      <c r="F481" s="52"/>
      <c r="G481" s="73" t="s">
        <v>28</v>
      </c>
      <c r="H481" s="73"/>
      <c r="I481" s="73"/>
      <c r="J481" s="52" t="s">
        <v>29</v>
      </c>
      <c r="K481" s="52"/>
      <c r="L481" s="52"/>
      <c r="M481" s="73" t="s">
        <v>30</v>
      </c>
      <c r="N481" s="73"/>
      <c r="O481" s="73"/>
      <c r="P481" s="52" t="s">
        <v>31</v>
      </c>
      <c r="Q481" s="52"/>
      <c r="R481" s="52"/>
      <c r="S481" s="73" t="s">
        <v>32</v>
      </c>
      <c r="T481" s="73"/>
      <c r="U481" s="73"/>
      <c r="V481" s="52" t="s">
        <v>33</v>
      </c>
      <c r="W481" s="52"/>
      <c r="X481" s="52"/>
      <c r="Y481" s="73" t="s">
        <v>34</v>
      </c>
      <c r="Z481" s="73"/>
      <c r="AA481" s="73"/>
      <c r="AB481" s="52" t="s">
        <v>35</v>
      </c>
      <c r="AC481" s="52"/>
      <c r="AD481" s="52"/>
      <c r="AE481" s="73" t="s">
        <v>36</v>
      </c>
      <c r="AF481" s="73"/>
      <c r="AG481" s="73"/>
    </row>
    <row r="482" spans="1:33" ht="15.75" thickBot="1" x14ac:dyDescent="0.3">
      <c r="A482" s="68"/>
      <c r="B482" s="68"/>
      <c r="C482" s="105" t="s">
        <v>243</v>
      </c>
      <c r="D482" s="75">
        <v>0</v>
      </c>
      <c r="E482" s="75"/>
      <c r="F482" s="76"/>
      <c r="G482" s="74">
        <v>0</v>
      </c>
      <c r="H482" s="75"/>
      <c r="I482" s="76"/>
      <c r="J482" s="74">
        <v>0</v>
      </c>
      <c r="K482" s="75"/>
      <c r="L482" s="76"/>
      <c r="M482" s="74">
        <v>0</v>
      </c>
      <c r="N482" s="75"/>
      <c r="O482" s="76"/>
      <c r="P482" s="74">
        <v>0</v>
      </c>
      <c r="Q482" s="75"/>
      <c r="R482" s="76"/>
      <c r="S482" s="74">
        <v>0</v>
      </c>
      <c r="T482" s="75"/>
      <c r="U482" s="76"/>
      <c r="V482" s="74">
        <v>0</v>
      </c>
      <c r="W482" s="75"/>
      <c r="X482" s="76"/>
      <c r="Y482" s="74">
        <v>0</v>
      </c>
      <c r="Z482" s="75"/>
      <c r="AA482" s="76"/>
      <c r="AB482" s="74">
        <v>0</v>
      </c>
      <c r="AC482" s="75"/>
      <c r="AD482" s="76"/>
      <c r="AE482" s="74">
        <v>0</v>
      </c>
      <c r="AF482" s="75"/>
      <c r="AG482" s="76"/>
    </row>
    <row r="483" spans="1:33" ht="15.75" thickBot="1" x14ac:dyDescent="0.3">
      <c r="A483" s="68"/>
      <c r="B483" s="68"/>
      <c r="C483" s="106" t="s">
        <v>244</v>
      </c>
      <c r="D483" s="82">
        <v>0</v>
      </c>
      <c r="E483" s="82"/>
      <c r="F483" s="84"/>
      <c r="G483" s="85">
        <v>0</v>
      </c>
      <c r="H483" s="82"/>
      <c r="I483" s="84"/>
      <c r="J483" s="85">
        <v>0</v>
      </c>
      <c r="K483" s="82"/>
      <c r="L483" s="84"/>
      <c r="M483" s="85">
        <v>0</v>
      </c>
      <c r="N483" s="82"/>
      <c r="O483" s="82"/>
      <c r="P483" s="81">
        <v>0</v>
      </c>
      <c r="Q483" s="82"/>
      <c r="R483" s="83"/>
      <c r="S483" s="82">
        <v>0</v>
      </c>
      <c r="T483" s="82"/>
      <c r="U483" s="84"/>
      <c r="V483" s="85">
        <v>0</v>
      </c>
      <c r="W483" s="82"/>
      <c r="X483" s="84"/>
      <c r="Y483" s="85">
        <v>0</v>
      </c>
      <c r="Z483" s="82"/>
      <c r="AA483" s="84"/>
      <c r="AB483" s="85">
        <v>0</v>
      </c>
      <c r="AC483" s="82"/>
      <c r="AD483" s="84"/>
      <c r="AE483" s="85">
        <v>0</v>
      </c>
      <c r="AF483" s="82"/>
      <c r="AG483" s="84"/>
    </row>
    <row r="484" spans="1:33" ht="15.75" thickBot="1" x14ac:dyDescent="0.3">
      <c r="A484" s="68"/>
      <c r="B484" s="68"/>
      <c r="C484" s="107" t="s">
        <v>37</v>
      </c>
      <c r="D484" s="104"/>
      <c r="E484" s="86"/>
      <c r="F484" s="89"/>
      <c r="G484" s="86"/>
      <c r="H484" s="86"/>
      <c r="I484" s="89"/>
      <c r="J484" s="86"/>
      <c r="K484" s="86"/>
      <c r="L484" s="89"/>
      <c r="M484" s="86"/>
      <c r="N484" s="86"/>
      <c r="O484" s="89"/>
      <c r="P484" s="86"/>
      <c r="Q484" s="86"/>
      <c r="R484" s="89"/>
      <c r="S484" s="86"/>
      <c r="T484" s="86"/>
      <c r="U484" s="89"/>
      <c r="V484" s="86"/>
      <c r="W484" s="86"/>
      <c r="X484" s="89"/>
      <c r="Y484" s="86"/>
      <c r="Z484" s="86"/>
      <c r="AA484" s="89"/>
      <c r="AB484" s="86"/>
      <c r="AC484" s="86"/>
      <c r="AD484" s="89"/>
      <c r="AE484" s="86"/>
      <c r="AF484" s="86"/>
      <c r="AG484" s="89"/>
    </row>
    <row r="485" spans="1:33" ht="15.75" thickBot="1" x14ac:dyDescent="0.3">
      <c r="A485" s="68"/>
      <c r="B485" s="68"/>
      <c r="D485" s="87"/>
      <c r="E485" s="87"/>
      <c r="F485" s="90"/>
      <c r="G485" s="87"/>
      <c r="H485" s="87"/>
      <c r="I485" s="90"/>
      <c r="J485" s="87"/>
      <c r="K485" s="87"/>
      <c r="L485" s="90"/>
      <c r="M485" s="87"/>
      <c r="N485" s="87"/>
      <c r="O485" s="90"/>
      <c r="P485" s="87"/>
      <c r="Q485" s="87"/>
      <c r="R485" s="90"/>
      <c r="S485" s="87"/>
      <c r="T485" s="87"/>
      <c r="U485" s="90"/>
      <c r="V485" s="87"/>
      <c r="W485" s="87"/>
      <c r="X485" s="90"/>
      <c r="Y485" s="87"/>
      <c r="Z485" s="87"/>
      <c r="AA485" s="90"/>
      <c r="AB485" s="87"/>
      <c r="AC485" s="87"/>
      <c r="AD485" s="90"/>
      <c r="AE485" s="87"/>
      <c r="AF485" s="87"/>
      <c r="AG485" s="90"/>
    </row>
    <row r="486" spans="1:33" ht="15.75" thickBot="1" x14ac:dyDescent="0.3">
      <c r="A486" s="68"/>
      <c r="B486" s="68"/>
      <c r="D486" s="88"/>
      <c r="E486" s="88"/>
      <c r="F486" s="91"/>
      <c r="G486" s="88"/>
      <c r="H486" s="88"/>
      <c r="I486" s="91"/>
      <c r="J486" s="88"/>
      <c r="K486" s="88"/>
      <c r="L486" s="91"/>
      <c r="M486" s="88"/>
      <c r="N486" s="88"/>
      <c r="O486" s="91"/>
      <c r="P486" s="88"/>
      <c r="Q486" s="88"/>
      <c r="R486" s="91"/>
      <c r="S486" s="88"/>
      <c r="T486" s="88"/>
      <c r="U486" s="91"/>
      <c r="V486" s="88"/>
      <c r="W486" s="88"/>
      <c r="X486" s="91"/>
      <c r="Y486" s="88"/>
      <c r="Z486" s="88"/>
      <c r="AA486" s="91"/>
      <c r="AB486" s="88"/>
      <c r="AC486" s="88"/>
      <c r="AD486" s="91"/>
      <c r="AE486" s="88"/>
      <c r="AF486" s="88"/>
      <c r="AG486" s="91"/>
    </row>
    <row r="488" spans="1:33" ht="15.75" thickBot="1" x14ac:dyDescent="0.3"/>
    <row r="489" spans="1:33" ht="15.75" thickBot="1" x14ac:dyDescent="0.3">
      <c r="A489" s="68" t="s">
        <v>239</v>
      </c>
      <c r="B489" s="68"/>
      <c r="D489" s="52" t="s">
        <v>27</v>
      </c>
      <c r="E489" s="52"/>
      <c r="F489" s="52"/>
      <c r="G489" s="73" t="s">
        <v>28</v>
      </c>
      <c r="H489" s="73"/>
      <c r="I489" s="73"/>
      <c r="J489" s="52" t="s">
        <v>29</v>
      </c>
      <c r="K489" s="52"/>
      <c r="L489" s="52"/>
      <c r="M489" s="73" t="s">
        <v>30</v>
      </c>
      <c r="N489" s="73"/>
      <c r="O489" s="73"/>
      <c r="P489" s="52" t="s">
        <v>31</v>
      </c>
      <c r="Q489" s="52"/>
      <c r="R489" s="52"/>
      <c r="S489" s="73" t="s">
        <v>32</v>
      </c>
      <c r="T489" s="73"/>
      <c r="U489" s="73"/>
      <c r="V489" s="52" t="s">
        <v>33</v>
      </c>
      <c r="W489" s="52"/>
      <c r="X489" s="52"/>
      <c r="Y489" s="73" t="s">
        <v>34</v>
      </c>
      <c r="Z489" s="73"/>
      <c r="AA489" s="73"/>
      <c r="AB489" s="52" t="s">
        <v>35</v>
      </c>
      <c r="AC489" s="52"/>
      <c r="AD489" s="52"/>
      <c r="AE489" s="73" t="s">
        <v>36</v>
      </c>
      <c r="AF489" s="73"/>
      <c r="AG489" s="73"/>
    </row>
    <row r="490" spans="1:33" ht="15.75" thickBot="1" x14ac:dyDescent="0.3">
      <c r="A490" s="68"/>
      <c r="B490" s="68"/>
      <c r="C490" s="105" t="s">
        <v>243</v>
      </c>
      <c r="D490" s="75">
        <v>0</v>
      </c>
      <c r="E490" s="75"/>
      <c r="F490" s="76"/>
      <c r="G490" s="74">
        <v>0</v>
      </c>
      <c r="H490" s="75"/>
      <c r="I490" s="76"/>
      <c r="J490" s="74">
        <v>0</v>
      </c>
      <c r="K490" s="75"/>
      <c r="L490" s="76"/>
      <c r="M490" s="74">
        <v>0</v>
      </c>
      <c r="N490" s="75"/>
      <c r="O490" s="76"/>
      <c r="P490" s="74">
        <v>0</v>
      </c>
      <c r="Q490" s="75"/>
      <c r="R490" s="76"/>
      <c r="S490" s="74">
        <v>0</v>
      </c>
      <c r="T490" s="75"/>
      <c r="U490" s="76"/>
      <c r="V490" s="74">
        <v>0</v>
      </c>
      <c r="W490" s="75"/>
      <c r="X490" s="76"/>
      <c r="Y490" s="74">
        <v>0</v>
      </c>
      <c r="Z490" s="75"/>
      <c r="AA490" s="76"/>
      <c r="AB490" s="74">
        <v>0</v>
      </c>
      <c r="AC490" s="75"/>
      <c r="AD490" s="76"/>
      <c r="AE490" s="74">
        <v>0</v>
      </c>
      <c r="AF490" s="75"/>
      <c r="AG490" s="76"/>
    </row>
    <row r="491" spans="1:33" ht="15.75" thickBot="1" x14ac:dyDescent="0.3">
      <c r="A491" s="68"/>
      <c r="B491" s="68"/>
      <c r="C491" s="106" t="s">
        <v>244</v>
      </c>
      <c r="D491" s="82">
        <v>0</v>
      </c>
      <c r="E491" s="82"/>
      <c r="F491" s="84"/>
      <c r="G491" s="85">
        <v>0</v>
      </c>
      <c r="H491" s="82"/>
      <c r="I491" s="84"/>
      <c r="J491" s="85">
        <v>0</v>
      </c>
      <c r="K491" s="82"/>
      <c r="L491" s="84"/>
      <c r="M491" s="85">
        <v>0</v>
      </c>
      <c r="N491" s="82"/>
      <c r="O491" s="82"/>
      <c r="P491" s="81">
        <v>0</v>
      </c>
      <c r="Q491" s="82"/>
      <c r="R491" s="83"/>
      <c r="S491" s="82">
        <v>0</v>
      </c>
      <c r="T491" s="82"/>
      <c r="U491" s="84"/>
      <c r="V491" s="85">
        <v>0</v>
      </c>
      <c r="W491" s="82"/>
      <c r="X491" s="84"/>
      <c r="Y491" s="85">
        <v>0</v>
      </c>
      <c r="Z491" s="82"/>
      <c r="AA491" s="84"/>
      <c r="AB491" s="85">
        <v>0</v>
      </c>
      <c r="AC491" s="82"/>
      <c r="AD491" s="84"/>
      <c r="AE491" s="85">
        <v>0</v>
      </c>
      <c r="AF491" s="82"/>
      <c r="AG491" s="84"/>
    </row>
    <row r="492" spans="1:33" ht="15.75" thickBot="1" x14ac:dyDescent="0.3">
      <c r="A492" s="68"/>
      <c r="B492" s="68"/>
      <c r="C492" s="107" t="s">
        <v>37</v>
      </c>
      <c r="D492" s="104"/>
      <c r="E492" s="86"/>
      <c r="F492" s="89"/>
      <c r="G492" s="86"/>
      <c r="H492" s="86"/>
      <c r="I492" s="89"/>
      <c r="J492" s="86"/>
      <c r="K492" s="86"/>
      <c r="L492" s="89"/>
      <c r="M492" s="86"/>
      <c r="N492" s="86"/>
      <c r="O492" s="89"/>
      <c r="P492" s="86"/>
      <c r="Q492" s="86"/>
      <c r="R492" s="89"/>
      <c r="S492" s="86"/>
      <c r="T492" s="86"/>
      <c r="U492" s="89"/>
      <c r="V492" s="86"/>
      <c r="W492" s="86"/>
      <c r="X492" s="89"/>
      <c r="Y492" s="86"/>
      <c r="Z492" s="86"/>
      <c r="AA492" s="89"/>
      <c r="AB492" s="86"/>
      <c r="AC492" s="86"/>
      <c r="AD492" s="89"/>
      <c r="AE492" s="86"/>
      <c r="AF492" s="86"/>
      <c r="AG492" s="89"/>
    </row>
    <row r="493" spans="1:33" ht="15.75" thickBot="1" x14ac:dyDescent="0.3">
      <c r="A493" s="68"/>
      <c r="B493" s="68"/>
      <c r="D493" s="87"/>
      <c r="E493" s="87"/>
      <c r="F493" s="90"/>
      <c r="G493" s="87"/>
      <c r="H493" s="87"/>
      <c r="I493" s="90"/>
      <c r="J493" s="87"/>
      <c r="K493" s="87"/>
      <c r="L493" s="90"/>
      <c r="M493" s="87"/>
      <c r="N493" s="87"/>
      <c r="O493" s="90"/>
      <c r="P493" s="87"/>
      <c r="Q493" s="87"/>
      <c r="R493" s="90"/>
      <c r="S493" s="87"/>
      <c r="T493" s="87"/>
      <c r="U493" s="90"/>
      <c r="V493" s="87"/>
      <c r="W493" s="87"/>
      <c r="X493" s="90"/>
      <c r="Y493" s="87"/>
      <c r="Z493" s="87"/>
      <c r="AA493" s="90"/>
      <c r="AB493" s="87"/>
      <c r="AC493" s="87"/>
      <c r="AD493" s="90"/>
      <c r="AE493" s="87"/>
      <c r="AF493" s="87"/>
      <c r="AG493" s="90"/>
    </row>
    <row r="494" spans="1:33" ht="15.75" thickBot="1" x14ac:dyDescent="0.3">
      <c r="A494" s="68"/>
      <c r="B494" s="68"/>
      <c r="D494" s="88"/>
      <c r="E494" s="88"/>
      <c r="F494" s="91"/>
      <c r="G494" s="88"/>
      <c r="H494" s="88"/>
      <c r="I494" s="91"/>
      <c r="J494" s="88"/>
      <c r="K494" s="88"/>
      <c r="L494" s="91"/>
      <c r="M494" s="88"/>
      <c r="N494" s="88"/>
      <c r="O494" s="91"/>
      <c r="P494" s="88"/>
      <c r="Q494" s="88"/>
      <c r="R494" s="91"/>
      <c r="S494" s="88"/>
      <c r="T494" s="88"/>
      <c r="U494" s="91"/>
      <c r="V494" s="88"/>
      <c r="W494" s="88"/>
      <c r="X494" s="91"/>
      <c r="Y494" s="88"/>
      <c r="Z494" s="88"/>
      <c r="AA494" s="91"/>
      <c r="AB494" s="88"/>
      <c r="AC494" s="88"/>
      <c r="AD494" s="91"/>
      <c r="AE494" s="88"/>
      <c r="AF494" s="88"/>
      <c r="AG494" s="91"/>
    </row>
    <row r="496" spans="1:33" ht="15.75" thickBot="1" x14ac:dyDescent="0.3"/>
    <row r="497" spans="1:33" ht="15.75" thickBot="1" x14ac:dyDescent="0.3">
      <c r="A497" s="68" t="s">
        <v>270</v>
      </c>
      <c r="B497" s="68"/>
      <c r="D497" s="52" t="s">
        <v>27</v>
      </c>
      <c r="E497" s="52"/>
      <c r="F497" s="52"/>
      <c r="G497" s="73" t="s">
        <v>28</v>
      </c>
      <c r="H497" s="73"/>
      <c r="I497" s="73"/>
      <c r="J497" s="52" t="s">
        <v>29</v>
      </c>
      <c r="K497" s="52"/>
      <c r="L497" s="52"/>
      <c r="M497" s="73" t="s">
        <v>30</v>
      </c>
      <c r="N497" s="73"/>
      <c r="O497" s="73"/>
      <c r="P497" s="52" t="s">
        <v>31</v>
      </c>
      <c r="Q497" s="52"/>
      <c r="R497" s="52"/>
      <c r="S497" s="73" t="s">
        <v>32</v>
      </c>
      <c r="T497" s="73"/>
      <c r="U497" s="73"/>
      <c r="V497" s="52" t="s">
        <v>33</v>
      </c>
      <c r="W497" s="52"/>
      <c r="X497" s="52"/>
      <c r="Y497" s="73" t="s">
        <v>34</v>
      </c>
      <c r="Z497" s="73"/>
      <c r="AA497" s="73"/>
      <c r="AB497" s="52" t="s">
        <v>35</v>
      </c>
      <c r="AC497" s="52"/>
      <c r="AD497" s="52"/>
      <c r="AE497" s="73" t="s">
        <v>36</v>
      </c>
      <c r="AF497" s="73"/>
      <c r="AG497" s="73"/>
    </row>
    <row r="498" spans="1:33" ht="15.75" thickBot="1" x14ac:dyDescent="0.3">
      <c r="A498" s="68"/>
      <c r="B498" s="68"/>
      <c r="C498" s="105" t="s">
        <v>243</v>
      </c>
      <c r="D498" s="75">
        <v>0</v>
      </c>
      <c r="E498" s="75"/>
      <c r="F498" s="76"/>
      <c r="G498" s="74">
        <v>0</v>
      </c>
      <c r="H498" s="75"/>
      <c r="I498" s="76"/>
      <c r="J498" s="74">
        <v>0</v>
      </c>
      <c r="K498" s="75"/>
      <c r="L498" s="76"/>
      <c r="M498" s="74">
        <v>0</v>
      </c>
      <c r="N498" s="75"/>
      <c r="O498" s="76"/>
      <c r="P498" s="74">
        <v>0</v>
      </c>
      <c r="Q498" s="75"/>
      <c r="R498" s="76"/>
      <c r="S498" s="74">
        <v>0</v>
      </c>
      <c r="T498" s="75"/>
      <c r="U498" s="76"/>
      <c r="V498" s="74">
        <v>0</v>
      </c>
      <c r="W498" s="75"/>
      <c r="X498" s="76"/>
      <c r="Y498" s="74">
        <v>0</v>
      </c>
      <c r="Z498" s="75"/>
      <c r="AA498" s="76"/>
      <c r="AB498" s="74">
        <v>0</v>
      </c>
      <c r="AC498" s="75"/>
      <c r="AD498" s="76"/>
      <c r="AE498" s="74">
        <v>0</v>
      </c>
      <c r="AF498" s="75"/>
      <c r="AG498" s="76"/>
    </row>
    <row r="499" spans="1:33" ht="15.75" thickBot="1" x14ac:dyDescent="0.3">
      <c r="A499" s="68"/>
      <c r="B499" s="68"/>
      <c r="C499" s="106" t="s">
        <v>244</v>
      </c>
      <c r="D499" s="82">
        <v>0</v>
      </c>
      <c r="E499" s="82"/>
      <c r="F499" s="84"/>
      <c r="G499" s="85">
        <v>0</v>
      </c>
      <c r="H499" s="82"/>
      <c r="I499" s="84"/>
      <c r="J499" s="85">
        <v>0</v>
      </c>
      <c r="K499" s="82"/>
      <c r="L499" s="84"/>
      <c r="M499" s="85">
        <v>0</v>
      </c>
      <c r="N499" s="82"/>
      <c r="O499" s="82"/>
      <c r="P499" s="81">
        <v>0</v>
      </c>
      <c r="Q499" s="82"/>
      <c r="R499" s="83"/>
      <c r="S499" s="82">
        <v>0</v>
      </c>
      <c r="T499" s="82"/>
      <c r="U499" s="84"/>
      <c r="V499" s="85">
        <v>0</v>
      </c>
      <c r="W499" s="82"/>
      <c r="X499" s="84"/>
      <c r="Y499" s="85">
        <v>0</v>
      </c>
      <c r="Z499" s="82"/>
      <c r="AA499" s="84"/>
      <c r="AB499" s="85">
        <v>0</v>
      </c>
      <c r="AC499" s="82"/>
      <c r="AD499" s="84"/>
      <c r="AE499" s="85">
        <v>0</v>
      </c>
      <c r="AF499" s="82"/>
      <c r="AG499" s="84"/>
    </row>
    <row r="500" spans="1:33" ht="15.75" thickBot="1" x14ac:dyDescent="0.3">
      <c r="A500" s="68"/>
      <c r="B500" s="68"/>
      <c r="C500" s="107" t="s">
        <v>37</v>
      </c>
      <c r="D500" s="104"/>
      <c r="E500" s="86"/>
      <c r="F500" s="89"/>
      <c r="G500" s="86"/>
      <c r="H500" s="86"/>
      <c r="I500" s="89"/>
      <c r="J500" s="86"/>
      <c r="K500" s="86"/>
      <c r="L500" s="89"/>
      <c r="M500" s="86"/>
      <c r="N500" s="86"/>
      <c r="O500" s="89"/>
      <c r="P500" s="86"/>
      <c r="Q500" s="86"/>
      <c r="R500" s="89"/>
      <c r="S500" s="86"/>
      <c r="T500" s="86"/>
      <c r="U500" s="89"/>
      <c r="V500" s="86"/>
      <c r="W500" s="86"/>
      <c r="X500" s="89"/>
      <c r="Y500" s="86"/>
      <c r="Z500" s="86"/>
      <c r="AA500" s="89"/>
      <c r="AB500" s="86"/>
      <c r="AC500" s="86"/>
      <c r="AD500" s="89"/>
      <c r="AE500" s="86"/>
      <c r="AF500" s="86"/>
      <c r="AG500" s="89"/>
    </row>
    <row r="501" spans="1:33" ht="15.75" thickBot="1" x14ac:dyDescent="0.3">
      <c r="A501" s="68"/>
      <c r="B501" s="68"/>
      <c r="D501" s="87"/>
      <c r="E501" s="87"/>
      <c r="F501" s="90"/>
      <c r="G501" s="87"/>
      <c r="H501" s="87"/>
      <c r="I501" s="90"/>
      <c r="J501" s="87"/>
      <c r="K501" s="87"/>
      <c r="L501" s="90"/>
      <c r="M501" s="87"/>
      <c r="N501" s="87"/>
      <c r="O501" s="90"/>
      <c r="P501" s="87"/>
      <c r="Q501" s="87"/>
      <c r="R501" s="90"/>
      <c r="S501" s="87"/>
      <c r="T501" s="87"/>
      <c r="U501" s="90"/>
      <c r="V501" s="87"/>
      <c r="W501" s="87"/>
      <c r="X501" s="90"/>
      <c r="Y501" s="87"/>
      <c r="Z501" s="87"/>
      <c r="AA501" s="90"/>
      <c r="AB501" s="87"/>
      <c r="AC501" s="87"/>
      <c r="AD501" s="90"/>
      <c r="AE501" s="87"/>
      <c r="AF501" s="87"/>
      <c r="AG501" s="90"/>
    </row>
    <row r="502" spans="1:33" ht="15.75" thickBot="1" x14ac:dyDescent="0.3">
      <c r="A502" s="68"/>
      <c r="B502" s="68"/>
      <c r="D502" s="88"/>
      <c r="E502" s="88"/>
      <c r="F502" s="91"/>
      <c r="G502" s="88"/>
      <c r="H502" s="88"/>
      <c r="I502" s="91"/>
      <c r="J502" s="88"/>
      <c r="K502" s="88"/>
      <c r="L502" s="91"/>
      <c r="M502" s="88"/>
      <c r="N502" s="88"/>
      <c r="O502" s="91"/>
      <c r="P502" s="88"/>
      <c r="Q502" s="88"/>
      <c r="R502" s="91"/>
      <c r="S502" s="88"/>
      <c r="T502" s="88"/>
      <c r="U502" s="91"/>
      <c r="V502" s="88"/>
      <c r="W502" s="88"/>
      <c r="X502" s="91"/>
      <c r="Y502" s="88"/>
      <c r="Z502" s="88"/>
      <c r="AA502" s="91"/>
      <c r="AB502" s="88"/>
      <c r="AC502" s="88"/>
      <c r="AD502" s="91"/>
      <c r="AE502" s="88"/>
      <c r="AF502" s="88"/>
      <c r="AG502" s="91"/>
    </row>
    <row r="504" spans="1:33" ht="15.75" thickBot="1" x14ac:dyDescent="0.3"/>
    <row r="505" spans="1:33" ht="15.75" thickBot="1" x14ac:dyDescent="0.3">
      <c r="A505" s="68" t="s">
        <v>271</v>
      </c>
      <c r="B505" s="68"/>
      <c r="D505" s="52" t="s">
        <v>27</v>
      </c>
      <c r="E505" s="52"/>
      <c r="F505" s="52"/>
      <c r="G505" s="73" t="s">
        <v>28</v>
      </c>
      <c r="H505" s="73"/>
      <c r="I505" s="73"/>
      <c r="J505" s="52" t="s">
        <v>29</v>
      </c>
      <c r="K505" s="52"/>
      <c r="L505" s="52"/>
      <c r="M505" s="73" t="s">
        <v>30</v>
      </c>
      <c r="N505" s="73"/>
      <c r="O505" s="73"/>
      <c r="P505" s="52" t="s">
        <v>31</v>
      </c>
      <c r="Q505" s="52"/>
      <c r="R505" s="52"/>
      <c r="S505" s="73" t="s">
        <v>32</v>
      </c>
      <c r="T505" s="73"/>
      <c r="U505" s="73"/>
      <c r="V505" s="52" t="s">
        <v>33</v>
      </c>
      <c r="W505" s="52"/>
      <c r="X505" s="52"/>
      <c r="Y505" s="73" t="s">
        <v>34</v>
      </c>
      <c r="Z505" s="73"/>
      <c r="AA505" s="73"/>
      <c r="AB505" s="52" t="s">
        <v>35</v>
      </c>
      <c r="AC505" s="52"/>
      <c r="AD505" s="52"/>
      <c r="AE505" s="73" t="s">
        <v>36</v>
      </c>
      <c r="AF505" s="73"/>
      <c r="AG505" s="73"/>
    </row>
    <row r="506" spans="1:33" ht="15.75" thickBot="1" x14ac:dyDescent="0.3">
      <c r="A506" s="68"/>
      <c r="B506" s="68"/>
      <c r="C506" s="105" t="s">
        <v>243</v>
      </c>
      <c r="D506" s="75">
        <v>0</v>
      </c>
      <c r="E506" s="75"/>
      <c r="F506" s="76"/>
      <c r="G506" s="74">
        <v>0</v>
      </c>
      <c r="H506" s="75"/>
      <c r="I506" s="76"/>
      <c r="J506" s="74">
        <v>0</v>
      </c>
      <c r="K506" s="75"/>
      <c r="L506" s="76"/>
      <c r="M506" s="74">
        <v>0</v>
      </c>
      <c r="N506" s="75"/>
      <c r="O506" s="76"/>
      <c r="P506" s="74">
        <v>0</v>
      </c>
      <c r="Q506" s="75"/>
      <c r="R506" s="76"/>
      <c r="S506" s="74">
        <v>0</v>
      </c>
      <c r="T506" s="75"/>
      <c r="U506" s="76"/>
      <c r="V506" s="74">
        <v>0</v>
      </c>
      <c r="W506" s="75"/>
      <c r="X506" s="76"/>
      <c r="Y506" s="74">
        <v>0</v>
      </c>
      <c r="Z506" s="75"/>
      <c r="AA506" s="76"/>
      <c r="AB506" s="74">
        <v>0</v>
      </c>
      <c r="AC506" s="75"/>
      <c r="AD506" s="76"/>
      <c r="AE506" s="74">
        <v>0</v>
      </c>
      <c r="AF506" s="75"/>
      <c r="AG506" s="76"/>
    </row>
    <row r="507" spans="1:33" ht="15.75" thickBot="1" x14ac:dyDescent="0.3">
      <c r="A507" s="68"/>
      <c r="B507" s="68"/>
      <c r="C507" s="106" t="s">
        <v>244</v>
      </c>
      <c r="D507" s="82">
        <v>0</v>
      </c>
      <c r="E507" s="82"/>
      <c r="F507" s="84"/>
      <c r="G507" s="85">
        <v>0</v>
      </c>
      <c r="H507" s="82"/>
      <c r="I507" s="84"/>
      <c r="J507" s="85">
        <v>0</v>
      </c>
      <c r="K507" s="82"/>
      <c r="L507" s="84"/>
      <c r="M507" s="85">
        <v>0</v>
      </c>
      <c r="N507" s="82"/>
      <c r="O507" s="82"/>
      <c r="P507" s="81">
        <v>0</v>
      </c>
      <c r="Q507" s="82"/>
      <c r="R507" s="83"/>
      <c r="S507" s="82">
        <v>0</v>
      </c>
      <c r="T507" s="82"/>
      <c r="U507" s="84"/>
      <c r="V507" s="85">
        <v>0</v>
      </c>
      <c r="W507" s="82"/>
      <c r="X507" s="84"/>
      <c r="Y507" s="85">
        <v>0</v>
      </c>
      <c r="Z507" s="82"/>
      <c r="AA507" s="84"/>
      <c r="AB507" s="85">
        <v>0</v>
      </c>
      <c r="AC507" s="82"/>
      <c r="AD507" s="84"/>
      <c r="AE507" s="85">
        <v>0</v>
      </c>
      <c r="AF507" s="82"/>
      <c r="AG507" s="84"/>
    </row>
    <row r="508" spans="1:33" ht="15.75" thickBot="1" x14ac:dyDescent="0.3">
      <c r="A508" s="68"/>
      <c r="B508" s="68"/>
      <c r="C508" s="107" t="s">
        <v>37</v>
      </c>
      <c r="D508" s="104"/>
      <c r="E508" s="86"/>
      <c r="F508" s="89"/>
      <c r="G508" s="86"/>
      <c r="H508" s="86"/>
      <c r="I508" s="89"/>
      <c r="J508" s="86"/>
      <c r="K508" s="86"/>
      <c r="L508" s="89"/>
      <c r="M508" s="86"/>
      <c r="N508" s="86"/>
      <c r="O508" s="89"/>
      <c r="P508" s="86"/>
      <c r="Q508" s="86"/>
      <c r="R508" s="89"/>
      <c r="S508" s="86"/>
      <c r="T508" s="86"/>
      <c r="U508" s="89"/>
      <c r="V508" s="86"/>
      <c r="W508" s="86"/>
      <c r="X508" s="89"/>
      <c r="Y508" s="86"/>
      <c r="Z508" s="86"/>
      <c r="AA508" s="89"/>
      <c r="AB508" s="86"/>
      <c r="AC508" s="86"/>
      <c r="AD508" s="89"/>
      <c r="AE508" s="86"/>
      <c r="AF508" s="86"/>
      <c r="AG508" s="89"/>
    </row>
    <row r="509" spans="1:33" ht="15.75" thickBot="1" x14ac:dyDescent="0.3">
      <c r="A509" s="68"/>
      <c r="B509" s="68"/>
      <c r="D509" s="87"/>
      <c r="E509" s="87"/>
      <c r="F509" s="90"/>
      <c r="G509" s="87"/>
      <c r="H509" s="87"/>
      <c r="I509" s="90"/>
      <c r="J509" s="87"/>
      <c r="K509" s="87"/>
      <c r="L509" s="90"/>
      <c r="M509" s="87"/>
      <c r="N509" s="87"/>
      <c r="O509" s="90"/>
      <c r="P509" s="87"/>
      <c r="Q509" s="87"/>
      <c r="R509" s="90"/>
      <c r="S509" s="87"/>
      <c r="T509" s="87"/>
      <c r="U509" s="90"/>
      <c r="V509" s="87"/>
      <c r="W509" s="87"/>
      <c r="X509" s="90"/>
      <c r="Y509" s="87"/>
      <c r="Z509" s="87"/>
      <c r="AA509" s="90"/>
      <c r="AB509" s="87"/>
      <c r="AC509" s="87"/>
      <c r="AD509" s="90"/>
      <c r="AE509" s="87"/>
      <c r="AF509" s="87"/>
      <c r="AG509" s="90"/>
    </row>
    <row r="510" spans="1:33" ht="15.75" thickBot="1" x14ac:dyDescent="0.3">
      <c r="A510" s="68"/>
      <c r="B510" s="68"/>
      <c r="D510" s="88"/>
      <c r="E510" s="88"/>
      <c r="F510" s="91"/>
      <c r="G510" s="88"/>
      <c r="H510" s="88"/>
      <c r="I510" s="91"/>
      <c r="J510" s="88"/>
      <c r="K510" s="88"/>
      <c r="L510" s="91"/>
      <c r="M510" s="88"/>
      <c r="N510" s="88"/>
      <c r="O510" s="91"/>
      <c r="P510" s="88"/>
      <c r="Q510" s="88"/>
      <c r="R510" s="91"/>
      <c r="S510" s="88"/>
      <c r="T510" s="88"/>
      <c r="U510" s="91"/>
      <c r="V510" s="88"/>
      <c r="W510" s="88"/>
      <c r="X510" s="91"/>
      <c r="Y510" s="88"/>
      <c r="Z510" s="88"/>
      <c r="AA510" s="91"/>
      <c r="AB510" s="88"/>
      <c r="AC510" s="88"/>
      <c r="AD510" s="91"/>
      <c r="AE510" s="88"/>
      <c r="AF510" s="88"/>
      <c r="AG510" s="91"/>
    </row>
    <row r="512" spans="1:33" ht="15.75" thickBot="1" x14ac:dyDescent="0.3"/>
    <row r="513" spans="1:33" ht="15.75" thickBot="1" x14ac:dyDescent="0.3">
      <c r="A513" s="68" t="s">
        <v>272</v>
      </c>
      <c r="B513" s="68"/>
      <c r="D513" s="52" t="s">
        <v>27</v>
      </c>
      <c r="E513" s="52"/>
      <c r="F513" s="52"/>
      <c r="G513" s="73" t="s">
        <v>28</v>
      </c>
      <c r="H513" s="73"/>
      <c r="I513" s="73"/>
      <c r="J513" s="52" t="s">
        <v>29</v>
      </c>
      <c r="K513" s="52"/>
      <c r="L513" s="52"/>
      <c r="M513" s="73" t="s">
        <v>30</v>
      </c>
      <c r="N513" s="73"/>
      <c r="O513" s="73"/>
      <c r="P513" s="52" t="s">
        <v>31</v>
      </c>
      <c r="Q513" s="52"/>
      <c r="R513" s="52"/>
      <c r="S513" s="73" t="s">
        <v>32</v>
      </c>
      <c r="T513" s="73"/>
      <c r="U513" s="73"/>
      <c r="V513" s="52" t="s">
        <v>33</v>
      </c>
      <c r="W513" s="52"/>
      <c r="X513" s="52"/>
      <c r="Y513" s="73" t="s">
        <v>34</v>
      </c>
      <c r="Z513" s="73"/>
      <c r="AA513" s="73"/>
      <c r="AB513" s="52" t="s">
        <v>35</v>
      </c>
      <c r="AC513" s="52"/>
      <c r="AD513" s="52"/>
      <c r="AE513" s="73" t="s">
        <v>36</v>
      </c>
      <c r="AF513" s="73"/>
      <c r="AG513" s="73"/>
    </row>
    <row r="514" spans="1:33" ht="15.75" thickBot="1" x14ac:dyDescent="0.3">
      <c r="A514" s="68"/>
      <c r="B514" s="68"/>
      <c r="C514" s="105" t="s">
        <v>243</v>
      </c>
      <c r="D514" s="75">
        <v>0</v>
      </c>
      <c r="E514" s="75"/>
      <c r="F514" s="76"/>
      <c r="G514" s="74">
        <v>0</v>
      </c>
      <c r="H514" s="75"/>
      <c r="I514" s="76"/>
      <c r="J514" s="74">
        <v>0</v>
      </c>
      <c r="K514" s="75"/>
      <c r="L514" s="76"/>
      <c r="M514" s="74">
        <v>0</v>
      </c>
      <c r="N514" s="75"/>
      <c r="O514" s="76"/>
      <c r="P514" s="74">
        <v>0</v>
      </c>
      <c r="Q514" s="75"/>
      <c r="R514" s="76"/>
      <c r="S514" s="74">
        <v>0</v>
      </c>
      <c r="T514" s="75"/>
      <c r="U514" s="76"/>
      <c r="V514" s="74">
        <v>0</v>
      </c>
      <c r="W514" s="75"/>
      <c r="X514" s="76"/>
      <c r="Y514" s="74">
        <v>0</v>
      </c>
      <c r="Z514" s="75"/>
      <c r="AA514" s="76"/>
      <c r="AB514" s="74">
        <v>0</v>
      </c>
      <c r="AC514" s="75"/>
      <c r="AD514" s="76"/>
      <c r="AE514" s="74">
        <v>0</v>
      </c>
      <c r="AF514" s="75"/>
      <c r="AG514" s="76"/>
    </row>
    <row r="515" spans="1:33" ht="15.75" thickBot="1" x14ac:dyDescent="0.3">
      <c r="A515" s="68"/>
      <c r="B515" s="68"/>
      <c r="C515" s="106" t="s">
        <v>244</v>
      </c>
      <c r="D515" s="82">
        <v>0</v>
      </c>
      <c r="E515" s="82"/>
      <c r="F515" s="84"/>
      <c r="G515" s="85">
        <v>0</v>
      </c>
      <c r="H515" s="82"/>
      <c r="I515" s="84"/>
      <c r="J515" s="85">
        <v>0</v>
      </c>
      <c r="K515" s="82"/>
      <c r="L515" s="84"/>
      <c r="M515" s="85">
        <v>0</v>
      </c>
      <c r="N515" s="82"/>
      <c r="O515" s="82"/>
      <c r="P515" s="81">
        <v>0</v>
      </c>
      <c r="Q515" s="82"/>
      <c r="R515" s="83"/>
      <c r="S515" s="82">
        <v>0</v>
      </c>
      <c r="T515" s="82"/>
      <c r="U515" s="84"/>
      <c r="V515" s="85">
        <v>0</v>
      </c>
      <c r="W515" s="82"/>
      <c r="X515" s="84"/>
      <c r="Y515" s="85">
        <v>0</v>
      </c>
      <c r="Z515" s="82"/>
      <c r="AA515" s="84"/>
      <c r="AB515" s="85">
        <v>0</v>
      </c>
      <c r="AC515" s="82"/>
      <c r="AD515" s="84"/>
      <c r="AE515" s="85">
        <v>0</v>
      </c>
      <c r="AF515" s="82"/>
      <c r="AG515" s="84"/>
    </row>
    <row r="516" spans="1:33" ht="15.75" thickBot="1" x14ac:dyDescent="0.3">
      <c r="A516" s="68"/>
      <c r="B516" s="68"/>
      <c r="C516" s="107" t="s">
        <v>37</v>
      </c>
      <c r="D516" s="104"/>
      <c r="E516" s="86"/>
      <c r="F516" s="89"/>
      <c r="G516" s="86"/>
      <c r="H516" s="86"/>
      <c r="I516" s="89"/>
      <c r="J516" s="86"/>
      <c r="K516" s="86"/>
      <c r="L516" s="89"/>
      <c r="M516" s="86"/>
      <c r="N516" s="86"/>
      <c r="O516" s="89"/>
      <c r="P516" s="86"/>
      <c r="Q516" s="86"/>
      <c r="R516" s="89"/>
      <c r="S516" s="86"/>
      <c r="T516" s="86"/>
      <c r="U516" s="89"/>
      <c r="V516" s="86"/>
      <c r="W516" s="86"/>
      <c r="X516" s="89"/>
      <c r="Y516" s="86"/>
      <c r="Z516" s="86"/>
      <c r="AA516" s="89"/>
      <c r="AB516" s="86"/>
      <c r="AC516" s="86"/>
      <c r="AD516" s="89"/>
      <c r="AE516" s="86"/>
      <c r="AF516" s="86"/>
      <c r="AG516" s="89"/>
    </row>
    <row r="517" spans="1:33" ht="15.75" thickBot="1" x14ac:dyDescent="0.3">
      <c r="A517" s="68"/>
      <c r="B517" s="68"/>
      <c r="D517" s="87"/>
      <c r="E517" s="87"/>
      <c r="F517" s="90"/>
      <c r="G517" s="87"/>
      <c r="H517" s="87"/>
      <c r="I517" s="90"/>
      <c r="J517" s="87"/>
      <c r="K517" s="87"/>
      <c r="L517" s="90"/>
      <c r="M517" s="87"/>
      <c r="N517" s="87"/>
      <c r="O517" s="90"/>
      <c r="P517" s="87"/>
      <c r="Q517" s="87"/>
      <c r="R517" s="90"/>
      <c r="S517" s="87"/>
      <c r="T517" s="87"/>
      <c r="U517" s="90"/>
      <c r="V517" s="87"/>
      <c r="W517" s="87"/>
      <c r="X517" s="90"/>
      <c r="Y517" s="87"/>
      <c r="Z517" s="87"/>
      <c r="AA517" s="90"/>
      <c r="AB517" s="87"/>
      <c r="AC517" s="87"/>
      <c r="AD517" s="90"/>
      <c r="AE517" s="87"/>
      <c r="AF517" s="87"/>
      <c r="AG517" s="90"/>
    </row>
    <row r="518" spans="1:33" ht="15.75" thickBot="1" x14ac:dyDescent="0.3">
      <c r="A518" s="68"/>
      <c r="B518" s="68"/>
      <c r="D518" s="88"/>
      <c r="E518" s="88"/>
      <c r="F518" s="91"/>
      <c r="G518" s="88"/>
      <c r="H518" s="88"/>
      <c r="I518" s="91"/>
      <c r="J518" s="88"/>
      <c r="K518" s="88"/>
      <c r="L518" s="91"/>
      <c r="M518" s="88"/>
      <c r="N518" s="88"/>
      <c r="O518" s="91"/>
      <c r="P518" s="88"/>
      <c r="Q518" s="88"/>
      <c r="R518" s="91"/>
      <c r="S518" s="88"/>
      <c r="T518" s="88"/>
      <c r="U518" s="91"/>
      <c r="V518" s="88"/>
      <c r="W518" s="88"/>
      <c r="X518" s="91"/>
      <c r="Y518" s="88"/>
      <c r="Z518" s="88"/>
      <c r="AA518" s="91"/>
      <c r="AB518" s="88"/>
      <c r="AC518" s="88"/>
      <c r="AD518" s="91"/>
      <c r="AE518" s="88"/>
      <c r="AF518" s="88"/>
      <c r="AG518" s="91"/>
    </row>
    <row r="520" spans="1:33" ht="15.75" thickBot="1" x14ac:dyDescent="0.3"/>
    <row r="521" spans="1:33" ht="15.75" thickBot="1" x14ac:dyDescent="0.3">
      <c r="A521" s="68" t="s">
        <v>240</v>
      </c>
      <c r="B521" s="68"/>
      <c r="D521" s="52" t="s">
        <v>27</v>
      </c>
      <c r="E521" s="52"/>
      <c r="F521" s="52"/>
      <c r="G521" s="73" t="s">
        <v>28</v>
      </c>
      <c r="H521" s="73"/>
      <c r="I521" s="73"/>
      <c r="J521" s="52" t="s">
        <v>29</v>
      </c>
      <c r="K521" s="52"/>
      <c r="L521" s="52"/>
      <c r="M521" s="73" t="s">
        <v>30</v>
      </c>
      <c r="N521" s="73"/>
      <c r="O521" s="73"/>
      <c r="P521" s="52" t="s">
        <v>31</v>
      </c>
      <c r="Q521" s="52"/>
      <c r="R521" s="52"/>
      <c r="S521" s="73" t="s">
        <v>32</v>
      </c>
      <c r="T521" s="73"/>
      <c r="U521" s="73"/>
      <c r="V521" s="52" t="s">
        <v>33</v>
      </c>
      <c r="W521" s="52"/>
      <c r="X521" s="52"/>
      <c r="Y521" s="73" t="s">
        <v>34</v>
      </c>
      <c r="Z521" s="73"/>
      <c r="AA521" s="73"/>
      <c r="AB521" s="52" t="s">
        <v>35</v>
      </c>
      <c r="AC521" s="52"/>
      <c r="AD521" s="52"/>
      <c r="AE521" s="73" t="s">
        <v>36</v>
      </c>
      <c r="AF521" s="73"/>
      <c r="AG521" s="73"/>
    </row>
    <row r="522" spans="1:33" ht="15.75" thickBot="1" x14ac:dyDescent="0.3">
      <c r="A522" s="68"/>
      <c r="B522" s="68"/>
      <c r="C522" s="105" t="s">
        <v>243</v>
      </c>
      <c r="D522" s="75">
        <v>0</v>
      </c>
      <c r="E522" s="75"/>
      <c r="F522" s="76"/>
      <c r="G522" s="74">
        <v>0</v>
      </c>
      <c r="H522" s="75"/>
      <c r="I522" s="76"/>
      <c r="J522" s="74">
        <v>0</v>
      </c>
      <c r="K522" s="75"/>
      <c r="L522" s="76"/>
      <c r="M522" s="74">
        <v>0</v>
      </c>
      <c r="N522" s="75"/>
      <c r="O522" s="76"/>
      <c r="P522" s="74">
        <v>0</v>
      </c>
      <c r="Q522" s="75"/>
      <c r="R522" s="76"/>
      <c r="S522" s="74">
        <v>0</v>
      </c>
      <c r="T522" s="75"/>
      <c r="U522" s="76"/>
      <c r="V522" s="74">
        <v>0</v>
      </c>
      <c r="W522" s="75"/>
      <c r="X522" s="76"/>
      <c r="Y522" s="74">
        <v>0</v>
      </c>
      <c r="Z522" s="75"/>
      <c r="AA522" s="76"/>
      <c r="AB522" s="74">
        <v>0</v>
      </c>
      <c r="AC522" s="75"/>
      <c r="AD522" s="76"/>
      <c r="AE522" s="74">
        <v>0</v>
      </c>
      <c r="AF522" s="75"/>
      <c r="AG522" s="76"/>
    </row>
    <row r="523" spans="1:33" ht="15.75" thickBot="1" x14ac:dyDescent="0.3">
      <c r="A523" s="68"/>
      <c r="B523" s="68"/>
      <c r="C523" s="106" t="s">
        <v>244</v>
      </c>
      <c r="D523" s="82">
        <v>0</v>
      </c>
      <c r="E523" s="82"/>
      <c r="F523" s="84"/>
      <c r="G523" s="85">
        <v>0</v>
      </c>
      <c r="H523" s="82"/>
      <c r="I523" s="84"/>
      <c r="J523" s="85">
        <v>0</v>
      </c>
      <c r="K523" s="82"/>
      <c r="L523" s="84"/>
      <c r="M523" s="85">
        <v>0</v>
      </c>
      <c r="N523" s="82"/>
      <c r="O523" s="82"/>
      <c r="P523" s="81">
        <v>0</v>
      </c>
      <c r="Q523" s="82"/>
      <c r="R523" s="83"/>
      <c r="S523" s="82">
        <v>0</v>
      </c>
      <c r="T523" s="82"/>
      <c r="U523" s="84"/>
      <c r="V523" s="85">
        <v>0</v>
      </c>
      <c r="W523" s="82"/>
      <c r="X523" s="84"/>
      <c r="Y523" s="85">
        <v>0</v>
      </c>
      <c r="Z523" s="82"/>
      <c r="AA523" s="84"/>
      <c r="AB523" s="85">
        <v>0</v>
      </c>
      <c r="AC523" s="82"/>
      <c r="AD523" s="84"/>
      <c r="AE523" s="85">
        <v>0</v>
      </c>
      <c r="AF523" s="82"/>
      <c r="AG523" s="84"/>
    </row>
    <row r="524" spans="1:33" ht="15.75" thickBot="1" x14ac:dyDescent="0.3">
      <c r="A524" s="68"/>
      <c r="B524" s="68"/>
      <c r="C524" s="107" t="s">
        <v>37</v>
      </c>
      <c r="D524" s="104"/>
      <c r="E524" s="86"/>
      <c r="F524" s="89"/>
      <c r="G524" s="86"/>
      <c r="H524" s="86"/>
      <c r="I524" s="89"/>
      <c r="J524" s="86"/>
      <c r="K524" s="86"/>
      <c r="L524" s="89"/>
      <c r="M524" s="86"/>
      <c r="N524" s="86"/>
      <c r="O524" s="89"/>
      <c r="P524" s="86"/>
      <c r="Q524" s="86"/>
      <c r="R524" s="89"/>
      <c r="S524" s="86"/>
      <c r="T524" s="86"/>
      <c r="U524" s="89"/>
      <c r="V524" s="86"/>
      <c r="W524" s="86"/>
      <c r="X524" s="89"/>
      <c r="Y524" s="86"/>
      <c r="Z524" s="86"/>
      <c r="AA524" s="89"/>
      <c r="AB524" s="86"/>
      <c r="AC524" s="86"/>
      <c r="AD524" s="89"/>
      <c r="AE524" s="86"/>
      <c r="AF524" s="86"/>
      <c r="AG524" s="89"/>
    </row>
    <row r="525" spans="1:33" ht="15.75" thickBot="1" x14ac:dyDescent="0.3">
      <c r="A525" s="68"/>
      <c r="B525" s="68"/>
      <c r="D525" s="87"/>
      <c r="E525" s="87"/>
      <c r="F525" s="90"/>
      <c r="G525" s="87"/>
      <c r="H525" s="87"/>
      <c r="I525" s="90"/>
      <c r="J525" s="87"/>
      <c r="K525" s="87"/>
      <c r="L525" s="90"/>
      <c r="M525" s="87"/>
      <c r="N525" s="87"/>
      <c r="O525" s="90"/>
      <c r="P525" s="87"/>
      <c r="Q525" s="87"/>
      <c r="R525" s="90"/>
      <c r="S525" s="87"/>
      <c r="T525" s="87"/>
      <c r="U525" s="90"/>
      <c r="V525" s="87"/>
      <c r="W525" s="87"/>
      <c r="X525" s="90"/>
      <c r="Y525" s="87"/>
      <c r="Z525" s="87"/>
      <c r="AA525" s="90"/>
      <c r="AB525" s="87"/>
      <c r="AC525" s="87"/>
      <c r="AD525" s="90"/>
      <c r="AE525" s="87"/>
      <c r="AF525" s="87"/>
      <c r="AG525" s="90"/>
    </row>
    <row r="526" spans="1:33" ht="15.75" thickBot="1" x14ac:dyDescent="0.3">
      <c r="A526" s="68"/>
      <c r="B526" s="68"/>
      <c r="D526" s="88"/>
      <c r="E526" s="88"/>
      <c r="F526" s="91"/>
      <c r="G526" s="88"/>
      <c r="H526" s="88"/>
      <c r="I526" s="91"/>
      <c r="J526" s="88"/>
      <c r="K526" s="88"/>
      <c r="L526" s="91"/>
      <c r="M526" s="88"/>
      <c r="N526" s="88"/>
      <c r="O526" s="91"/>
      <c r="P526" s="88"/>
      <c r="Q526" s="88"/>
      <c r="R526" s="91"/>
      <c r="S526" s="88"/>
      <c r="T526" s="88"/>
      <c r="U526" s="91"/>
      <c r="V526" s="88"/>
      <c r="W526" s="88"/>
      <c r="X526" s="91"/>
      <c r="Y526" s="88"/>
      <c r="Z526" s="88"/>
      <c r="AA526" s="91"/>
      <c r="AB526" s="88"/>
      <c r="AC526" s="88"/>
      <c r="AD526" s="91"/>
      <c r="AE526" s="88"/>
      <c r="AF526" s="88"/>
      <c r="AG526" s="91"/>
    </row>
    <row r="528" spans="1:33" ht="15.75" thickBot="1" x14ac:dyDescent="0.3"/>
    <row r="529" spans="1:33" ht="15.75" thickBot="1" x14ac:dyDescent="0.3">
      <c r="A529" s="68" t="s">
        <v>273</v>
      </c>
      <c r="B529" s="68"/>
      <c r="D529" s="52" t="s">
        <v>27</v>
      </c>
      <c r="E529" s="52"/>
      <c r="F529" s="52"/>
      <c r="G529" s="73" t="s">
        <v>28</v>
      </c>
      <c r="H529" s="73"/>
      <c r="I529" s="73"/>
      <c r="J529" s="52" t="s">
        <v>29</v>
      </c>
      <c r="K529" s="52"/>
      <c r="L529" s="52"/>
      <c r="M529" s="73" t="s">
        <v>30</v>
      </c>
      <c r="N529" s="73"/>
      <c r="O529" s="73"/>
      <c r="P529" s="52" t="s">
        <v>31</v>
      </c>
      <c r="Q529" s="52"/>
      <c r="R529" s="52"/>
      <c r="S529" s="73" t="s">
        <v>32</v>
      </c>
      <c r="T529" s="73"/>
      <c r="U529" s="73"/>
      <c r="V529" s="52" t="s">
        <v>33</v>
      </c>
      <c r="W529" s="52"/>
      <c r="X529" s="52"/>
      <c r="Y529" s="73" t="s">
        <v>34</v>
      </c>
      <c r="Z529" s="73"/>
      <c r="AA529" s="73"/>
      <c r="AB529" s="52" t="s">
        <v>35</v>
      </c>
      <c r="AC529" s="52"/>
      <c r="AD529" s="52"/>
      <c r="AE529" s="73" t="s">
        <v>36</v>
      </c>
      <c r="AF529" s="73"/>
      <c r="AG529" s="73"/>
    </row>
    <row r="530" spans="1:33" ht="15.75" thickBot="1" x14ac:dyDescent="0.3">
      <c r="A530" s="68"/>
      <c r="B530" s="68"/>
      <c r="C530" s="105" t="s">
        <v>243</v>
      </c>
      <c r="D530" s="75">
        <v>0</v>
      </c>
      <c r="E530" s="75"/>
      <c r="F530" s="76"/>
      <c r="G530" s="74">
        <v>0</v>
      </c>
      <c r="H530" s="75"/>
      <c r="I530" s="76"/>
      <c r="J530" s="74">
        <v>0</v>
      </c>
      <c r="K530" s="75"/>
      <c r="L530" s="76"/>
      <c r="M530" s="74">
        <v>0</v>
      </c>
      <c r="N530" s="75"/>
      <c r="O530" s="76"/>
      <c r="P530" s="74">
        <v>0</v>
      </c>
      <c r="Q530" s="75"/>
      <c r="R530" s="76"/>
      <c r="S530" s="74">
        <v>0</v>
      </c>
      <c r="T530" s="75"/>
      <c r="U530" s="76"/>
      <c r="V530" s="74">
        <v>0</v>
      </c>
      <c r="W530" s="75"/>
      <c r="X530" s="76"/>
      <c r="Y530" s="74">
        <v>0</v>
      </c>
      <c r="Z530" s="75"/>
      <c r="AA530" s="76"/>
      <c r="AB530" s="74">
        <v>0</v>
      </c>
      <c r="AC530" s="75"/>
      <c r="AD530" s="76"/>
      <c r="AE530" s="74">
        <v>0</v>
      </c>
      <c r="AF530" s="75"/>
      <c r="AG530" s="76"/>
    </row>
    <row r="531" spans="1:33" ht="15.75" thickBot="1" x14ac:dyDescent="0.3">
      <c r="A531" s="68"/>
      <c r="B531" s="68"/>
      <c r="C531" s="106" t="s">
        <v>244</v>
      </c>
      <c r="D531" s="82">
        <v>0</v>
      </c>
      <c r="E531" s="82"/>
      <c r="F531" s="84"/>
      <c r="G531" s="85">
        <v>0</v>
      </c>
      <c r="H531" s="82"/>
      <c r="I531" s="84"/>
      <c r="J531" s="85">
        <v>0</v>
      </c>
      <c r="K531" s="82"/>
      <c r="L531" s="84"/>
      <c r="M531" s="85">
        <v>0</v>
      </c>
      <c r="N531" s="82"/>
      <c r="O531" s="82"/>
      <c r="P531" s="81">
        <v>0</v>
      </c>
      <c r="Q531" s="82"/>
      <c r="R531" s="83"/>
      <c r="S531" s="82">
        <v>0</v>
      </c>
      <c r="T531" s="82"/>
      <c r="U531" s="84"/>
      <c r="V531" s="85">
        <v>0</v>
      </c>
      <c r="W531" s="82"/>
      <c r="X531" s="84"/>
      <c r="Y531" s="85">
        <v>0</v>
      </c>
      <c r="Z531" s="82"/>
      <c r="AA531" s="84"/>
      <c r="AB531" s="85">
        <v>0</v>
      </c>
      <c r="AC531" s="82"/>
      <c r="AD531" s="84"/>
      <c r="AE531" s="85">
        <v>0</v>
      </c>
      <c r="AF531" s="82"/>
      <c r="AG531" s="84"/>
    </row>
    <row r="532" spans="1:33" ht="15.75" thickBot="1" x14ac:dyDescent="0.3">
      <c r="A532" s="68"/>
      <c r="B532" s="68"/>
      <c r="C532" s="107" t="s">
        <v>37</v>
      </c>
      <c r="D532" s="104"/>
      <c r="E532" s="86"/>
      <c r="F532" s="89"/>
      <c r="G532" s="86"/>
      <c r="H532" s="86"/>
      <c r="I532" s="89"/>
      <c r="J532" s="86"/>
      <c r="K532" s="86"/>
      <c r="L532" s="89"/>
      <c r="M532" s="86"/>
      <c r="N532" s="86"/>
      <c r="O532" s="89"/>
      <c r="P532" s="86"/>
      <c r="Q532" s="86"/>
      <c r="R532" s="89"/>
      <c r="S532" s="86"/>
      <c r="T532" s="86"/>
      <c r="U532" s="89"/>
      <c r="V532" s="86"/>
      <c r="W532" s="86"/>
      <c r="X532" s="89"/>
      <c r="Y532" s="86"/>
      <c r="Z532" s="86"/>
      <c r="AA532" s="89"/>
      <c r="AB532" s="86"/>
      <c r="AC532" s="86"/>
      <c r="AD532" s="89"/>
      <c r="AE532" s="86"/>
      <c r="AF532" s="86"/>
      <c r="AG532" s="89"/>
    </row>
    <row r="533" spans="1:33" ht="15.75" thickBot="1" x14ac:dyDescent="0.3">
      <c r="A533" s="68"/>
      <c r="B533" s="68"/>
      <c r="D533" s="87"/>
      <c r="E533" s="87"/>
      <c r="F533" s="90"/>
      <c r="G533" s="87"/>
      <c r="H533" s="87"/>
      <c r="I533" s="90"/>
      <c r="J533" s="87"/>
      <c r="K533" s="87"/>
      <c r="L533" s="90"/>
      <c r="M533" s="87"/>
      <c r="N533" s="87"/>
      <c r="O533" s="90"/>
      <c r="P533" s="87"/>
      <c r="Q533" s="87"/>
      <c r="R533" s="90"/>
      <c r="S533" s="87"/>
      <c r="T533" s="87"/>
      <c r="U533" s="90"/>
      <c r="V533" s="87"/>
      <c r="W533" s="87"/>
      <c r="X533" s="90"/>
      <c r="Y533" s="87"/>
      <c r="Z533" s="87"/>
      <c r="AA533" s="90"/>
      <c r="AB533" s="87"/>
      <c r="AC533" s="87"/>
      <c r="AD533" s="90"/>
      <c r="AE533" s="87"/>
      <c r="AF533" s="87"/>
      <c r="AG533" s="90"/>
    </row>
    <row r="534" spans="1:33" ht="15.75" thickBot="1" x14ac:dyDescent="0.3">
      <c r="A534" s="68"/>
      <c r="B534" s="68"/>
      <c r="D534" s="88"/>
      <c r="E534" s="88"/>
      <c r="F534" s="91"/>
      <c r="G534" s="88"/>
      <c r="H534" s="88"/>
      <c r="I534" s="91"/>
      <c r="J534" s="88"/>
      <c r="K534" s="88"/>
      <c r="L534" s="91"/>
      <c r="M534" s="88"/>
      <c r="N534" s="88"/>
      <c r="O534" s="91"/>
      <c r="P534" s="88"/>
      <c r="Q534" s="88"/>
      <c r="R534" s="91"/>
      <c r="S534" s="88"/>
      <c r="T534" s="88"/>
      <c r="U534" s="91"/>
      <c r="V534" s="88"/>
      <c r="W534" s="88"/>
      <c r="X534" s="91"/>
      <c r="Y534" s="88"/>
      <c r="Z534" s="88"/>
      <c r="AA534" s="91"/>
      <c r="AB534" s="88"/>
      <c r="AC534" s="88"/>
      <c r="AD534" s="91"/>
      <c r="AE534" s="88"/>
      <c r="AF534" s="88"/>
      <c r="AG534" s="91"/>
    </row>
    <row r="536" spans="1:33" ht="15.75" thickBot="1" x14ac:dyDescent="0.3"/>
    <row r="537" spans="1:33" ht="15.75" thickBot="1" x14ac:dyDescent="0.3">
      <c r="A537" s="68" t="s">
        <v>274</v>
      </c>
      <c r="B537" s="68"/>
      <c r="D537" s="52" t="s">
        <v>27</v>
      </c>
      <c r="E537" s="52"/>
      <c r="F537" s="52"/>
      <c r="G537" s="73" t="s">
        <v>28</v>
      </c>
      <c r="H537" s="73"/>
      <c r="I537" s="73"/>
      <c r="J537" s="52" t="s">
        <v>29</v>
      </c>
      <c r="K537" s="52"/>
      <c r="L537" s="52"/>
      <c r="M537" s="73" t="s">
        <v>30</v>
      </c>
      <c r="N537" s="73"/>
      <c r="O537" s="73"/>
      <c r="P537" s="52" t="s">
        <v>31</v>
      </c>
      <c r="Q537" s="52"/>
      <c r="R537" s="52"/>
      <c r="S537" s="73" t="s">
        <v>32</v>
      </c>
      <c r="T537" s="73"/>
      <c r="U537" s="73"/>
      <c r="V537" s="52" t="s">
        <v>33</v>
      </c>
      <c r="W537" s="52"/>
      <c r="X537" s="52"/>
      <c r="Y537" s="73" t="s">
        <v>34</v>
      </c>
      <c r="Z537" s="73"/>
      <c r="AA537" s="73"/>
      <c r="AB537" s="52" t="s">
        <v>35</v>
      </c>
      <c r="AC537" s="52"/>
      <c r="AD537" s="52"/>
      <c r="AE537" s="73" t="s">
        <v>36</v>
      </c>
      <c r="AF537" s="73"/>
      <c r="AG537" s="73"/>
    </row>
    <row r="538" spans="1:33" ht="15.75" thickBot="1" x14ac:dyDescent="0.3">
      <c r="A538" s="68"/>
      <c r="B538" s="68"/>
      <c r="C538" s="105" t="s">
        <v>243</v>
      </c>
      <c r="D538" s="75">
        <v>0</v>
      </c>
      <c r="E538" s="75"/>
      <c r="F538" s="76"/>
      <c r="G538" s="74">
        <v>0</v>
      </c>
      <c r="H538" s="75"/>
      <c r="I538" s="76"/>
      <c r="J538" s="74">
        <v>0</v>
      </c>
      <c r="K538" s="75"/>
      <c r="L538" s="76"/>
      <c r="M538" s="74">
        <v>0</v>
      </c>
      <c r="N538" s="75"/>
      <c r="O538" s="76"/>
      <c r="P538" s="74">
        <v>0</v>
      </c>
      <c r="Q538" s="75"/>
      <c r="R538" s="76"/>
      <c r="S538" s="74">
        <v>0</v>
      </c>
      <c r="T538" s="75"/>
      <c r="U538" s="76"/>
      <c r="V538" s="74">
        <v>0</v>
      </c>
      <c r="W538" s="75"/>
      <c r="X538" s="76"/>
      <c r="Y538" s="74">
        <v>0</v>
      </c>
      <c r="Z538" s="75"/>
      <c r="AA538" s="76"/>
      <c r="AB538" s="74">
        <v>0</v>
      </c>
      <c r="AC538" s="75"/>
      <c r="AD538" s="76"/>
      <c r="AE538" s="74">
        <v>0</v>
      </c>
      <c r="AF538" s="75"/>
      <c r="AG538" s="76"/>
    </row>
    <row r="539" spans="1:33" ht="15.75" thickBot="1" x14ac:dyDescent="0.3">
      <c r="A539" s="68"/>
      <c r="B539" s="68"/>
      <c r="C539" s="106" t="s">
        <v>244</v>
      </c>
      <c r="D539" s="82">
        <v>0</v>
      </c>
      <c r="E539" s="82"/>
      <c r="F539" s="84"/>
      <c r="G539" s="85">
        <v>0</v>
      </c>
      <c r="H539" s="82"/>
      <c r="I539" s="84"/>
      <c r="J539" s="85">
        <v>0</v>
      </c>
      <c r="K539" s="82"/>
      <c r="L539" s="84"/>
      <c r="M539" s="85">
        <v>0</v>
      </c>
      <c r="N539" s="82"/>
      <c r="O539" s="82"/>
      <c r="P539" s="81">
        <v>0</v>
      </c>
      <c r="Q539" s="82"/>
      <c r="R539" s="83"/>
      <c r="S539" s="82">
        <v>0</v>
      </c>
      <c r="T539" s="82"/>
      <c r="U539" s="84"/>
      <c r="V539" s="85">
        <v>0</v>
      </c>
      <c r="W539" s="82"/>
      <c r="X539" s="84"/>
      <c r="Y539" s="85">
        <v>0</v>
      </c>
      <c r="Z539" s="82"/>
      <c r="AA539" s="84"/>
      <c r="AB539" s="85">
        <v>0</v>
      </c>
      <c r="AC539" s="82"/>
      <c r="AD539" s="84"/>
      <c r="AE539" s="85">
        <v>0</v>
      </c>
      <c r="AF539" s="82"/>
      <c r="AG539" s="84"/>
    </row>
    <row r="540" spans="1:33" ht="15.75" thickBot="1" x14ac:dyDescent="0.3">
      <c r="A540" s="68"/>
      <c r="B540" s="68"/>
      <c r="C540" s="107" t="s">
        <v>37</v>
      </c>
      <c r="D540" s="104"/>
      <c r="E540" s="86"/>
      <c r="F540" s="89"/>
      <c r="G540" s="86"/>
      <c r="H540" s="86"/>
      <c r="I540" s="89"/>
      <c r="J540" s="86"/>
      <c r="K540" s="86"/>
      <c r="L540" s="89"/>
      <c r="M540" s="86"/>
      <c r="N540" s="86"/>
      <c r="O540" s="89"/>
      <c r="P540" s="86"/>
      <c r="Q540" s="86"/>
      <c r="R540" s="89"/>
      <c r="S540" s="86"/>
      <c r="T540" s="86"/>
      <c r="U540" s="89"/>
      <c r="V540" s="86"/>
      <c r="W540" s="86"/>
      <c r="X540" s="89"/>
      <c r="Y540" s="86"/>
      <c r="Z540" s="86"/>
      <c r="AA540" s="89"/>
      <c r="AB540" s="86"/>
      <c r="AC540" s="86"/>
      <c r="AD540" s="89"/>
      <c r="AE540" s="86"/>
      <c r="AF540" s="86"/>
      <c r="AG540" s="89"/>
    </row>
    <row r="541" spans="1:33" ht="15.75" thickBot="1" x14ac:dyDescent="0.3">
      <c r="A541" s="68"/>
      <c r="B541" s="68"/>
      <c r="D541" s="87"/>
      <c r="E541" s="87"/>
      <c r="F541" s="90"/>
      <c r="G541" s="87"/>
      <c r="H541" s="87"/>
      <c r="I541" s="90"/>
      <c r="J541" s="87"/>
      <c r="K541" s="87"/>
      <c r="L541" s="90"/>
      <c r="M541" s="87"/>
      <c r="N541" s="87"/>
      <c r="O541" s="90"/>
      <c r="P541" s="87"/>
      <c r="Q541" s="87"/>
      <c r="R541" s="90"/>
      <c r="S541" s="87"/>
      <c r="T541" s="87"/>
      <c r="U541" s="90"/>
      <c r="V541" s="87"/>
      <c r="W541" s="87"/>
      <c r="X541" s="90"/>
      <c r="Y541" s="87"/>
      <c r="Z541" s="87"/>
      <c r="AA541" s="90"/>
      <c r="AB541" s="87"/>
      <c r="AC541" s="87"/>
      <c r="AD541" s="90"/>
      <c r="AE541" s="87"/>
      <c r="AF541" s="87"/>
      <c r="AG541" s="90"/>
    </row>
    <row r="542" spans="1:33" ht="15.75" thickBot="1" x14ac:dyDescent="0.3">
      <c r="A542" s="68"/>
      <c r="B542" s="68"/>
      <c r="D542" s="88"/>
      <c r="E542" s="88"/>
      <c r="F542" s="91"/>
      <c r="G542" s="88"/>
      <c r="H542" s="88"/>
      <c r="I542" s="91"/>
      <c r="J542" s="88"/>
      <c r="K542" s="88"/>
      <c r="L542" s="91"/>
      <c r="M542" s="88"/>
      <c r="N542" s="88"/>
      <c r="O542" s="91"/>
      <c r="P542" s="88"/>
      <c r="Q542" s="88"/>
      <c r="R542" s="91"/>
      <c r="S542" s="88"/>
      <c r="T542" s="88"/>
      <c r="U542" s="91"/>
      <c r="V542" s="88"/>
      <c r="W542" s="88"/>
      <c r="X542" s="91"/>
      <c r="Y542" s="88"/>
      <c r="Z542" s="88"/>
      <c r="AA542" s="91"/>
      <c r="AB542" s="88"/>
      <c r="AC542" s="88"/>
      <c r="AD542" s="91"/>
      <c r="AE542" s="88"/>
      <c r="AF542" s="88"/>
      <c r="AG542" s="91"/>
    </row>
  </sheetData>
  <mergeCells count="4148">
    <mergeCell ref="V542:W542"/>
    <mergeCell ref="Y542:Z542"/>
    <mergeCell ref="AB542:AC542"/>
    <mergeCell ref="AE542:AF542"/>
    <mergeCell ref="V541:W541"/>
    <mergeCell ref="Y541:Z541"/>
    <mergeCell ref="AB541:AC541"/>
    <mergeCell ref="AE541:AF541"/>
    <mergeCell ref="D542:E542"/>
    <mergeCell ref="G542:H542"/>
    <mergeCell ref="J542:K542"/>
    <mergeCell ref="M542:N542"/>
    <mergeCell ref="P542:Q542"/>
    <mergeCell ref="S542:T542"/>
    <mergeCell ref="V540:W540"/>
    <mergeCell ref="Y540:Z540"/>
    <mergeCell ref="AB540:AC540"/>
    <mergeCell ref="AE540:AF540"/>
    <mergeCell ref="D541:E541"/>
    <mergeCell ref="G541:H541"/>
    <mergeCell ref="J541:K541"/>
    <mergeCell ref="M541:N541"/>
    <mergeCell ref="P541:Q541"/>
    <mergeCell ref="S541:T541"/>
    <mergeCell ref="V539:X539"/>
    <mergeCell ref="Y539:AA539"/>
    <mergeCell ref="AB539:AD539"/>
    <mergeCell ref="AE539:AG539"/>
    <mergeCell ref="D540:E540"/>
    <mergeCell ref="G540:H540"/>
    <mergeCell ref="J540:K540"/>
    <mergeCell ref="M540:N540"/>
    <mergeCell ref="P540:Q540"/>
    <mergeCell ref="S540:T540"/>
    <mergeCell ref="V538:X538"/>
    <mergeCell ref="Y538:AA538"/>
    <mergeCell ref="AB538:AD538"/>
    <mergeCell ref="AE538:AG538"/>
    <mergeCell ref="D539:F539"/>
    <mergeCell ref="G539:I539"/>
    <mergeCell ref="J539:L539"/>
    <mergeCell ref="M539:O539"/>
    <mergeCell ref="P539:R539"/>
    <mergeCell ref="S539:U539"/>
    <mergeCell ref="D538:F538"/>
    <mergeCell ref="G538:I538"/>
    <mergeCell ref="J538:L538"/>
    <mergeCell ref="M538:O538"/>
    <mergeCell ref="P538:R538"/>
    <mergeCell ref="S538:U538"/>
    <mergeCell ref="P537:R537"/>
    <mergeCell ref="S537:U537"/>
    <mergeCell ref="V537:X537"/>
    <mergeCell ref="Y537:AA537"/>
    <mergeCell ref="AB537:AD537"/>
    <mergeCell ref="AE537:AG537"/>
    <mergeCell ref="S534:T534"/>
    <mergeCell ref="V534:W534"/>
    <mergeCell ref="Y534:Z534"/>
    <mergeCell ref="AB534:AC534"/>
    <mergeCell ref="AE534:AF534"/>
    <mergeCell ref="A537:B542"/>
    <mergeCell ref="D537:F537"/>
    <mergeCell ref="G537:I537"/>
    <mergeCell ref="J537:L537"/>
    <mergeCell ref="M537:O537"/>
    <mergeCell ref="S533:T533"/>
    <mergeCell ref="V533:W533"/>
    <mergeCell ref="Y533:Z533"/>
    <mergeCell ref="AB533:AC533"/>
    <mergeCell ref="AE533:AF533"/>
    <mergeCell ref="D534:E534"/>
    <mergeCell ref="G534:H534"/>
    <mergeCell ref="J534:K534"/>
    <mergeCell ref="M534:N534"/>
    <mergeCell ref="P534:Q534"/>
    <mergeCell ref="S532:T532"/>
    <mergeCell ref="V532:W532"/>
    <mergeCell ref="Y532:Z532"/>
    <mergeCell ref="AB532:AC532"/>
    <mergeCell ref="AE532:AF532"/>
    <mergeCell ref="D533:E533"/>
    <mergeCell ref="G533:H533"/>
    <mergeCell ref="J533:K533"/>
    <mergeCell ref="M533:N533"/>
    <mergeCell ref="P533:Q533"/>
    <mergeCell ref="S531:U531"/>
    <mergeCell ref="V531:X531"/>
    <mergeCell ref="Y531:AA531"/>
    <mergeCell ref="AB531:AD531"/>
    <mergeCell ref="AE531:AG531"/>
    <mergeCell ref="D532:E532"/>
    <mergeCell ref="G532:H532"/>
    <mergeCell ref="J532:K532"/>
    <mergeCell ref="M532:N532"/>
    <mergeCell ref="P532:Q532"/>
    <mergeCell ref="S530:U530"/>
    <mergeCell ref="V530:X530"/>
    <mergeCell ref="Y530:AA530"/>
    <mergeCell ref="AB530:AD530"/>
    <mergeCell ref="AE530:AG530"/>
    <mergeCell ref="D531:F531"/>
    <mergeCell ref="G531:I531"/>
    <mergeCell ref="J531:L531"/>
    <mergeCell ref="M531:O531"/>
    <mergeCell ref="P531:R531"/>
    <mergeCell ref="S529:U529"/>
    <mergeCell ref="V529:X529"/>
    <mergeCell ref="Y529:AA529"/>
    <mergeCell ref="AB529:AD529"/>
    <mergeCell ref="AE529:AG529"/>
    <mergeCell ref="D530:F530"/>
    <mergeCell ref="G530:I530"/>
    <mergeCell ref="J530:L530"/>
    <mergeCell ref="M530:O530"/>
    <mergeCell ref="P530:R530"/>
    <mergeCell ref="V526:W526"/>
    <mergeCell ref="Y526:Z526"/>
    <mergeCell ref="AB526:AC526"/>
    <mergeCell ref="AE526:AF526"/>
    <mergeCell ref="A529:B534"/>
    <mergeCell ref="D529:F529"/>
    <mergeCell ref="G529:I529"/>
    <mergeCell ref="J529:L529"/>
    <mergeCell ref="M529:O529"/>
    <mergeCell ref="P529:R529"/>
    <mergeCell ref="V525:W525"/>
    <mergeCell ref="Y525:Z525"/>
    <mergeCell ref="AB525:AC525"/>
    <mergeCell ref="AE525:AF525"/>
    <mergeCell ref="D526:E526"/>
    <mergeCell ref="G526:H526"/>
    <mergeCell ref="J526:K526"/>
    <mergeCell ref="M526:N526"/>
    <mergeCell ref="P526:Q526"/>
    <mergeCell ref="S526:T526"/>
    <mergeCell ref="V524:W524"/>
    <mergeCell ref="Y524:Z524"/>
    <mergeCell ref="AB524:AC524"/>
    <mergeCell ref="AE524:AF524"/>
    <mergeCell ref="D525:E525"/>
    <mergeCell ref="G525:H525"/>
    <mergeCell ref="J525:K525"/>
    <mergeCell ref="M525:N525"/>
    <mergeCell ref="P525:Q525"/>
    <mergeCell ref="S525:T525"/>
    <mergeCell ref="V523:X523"/>
    <mergeCell ref="Y523:AA523"/>
    <mergeCell ref="AB523:AD523"/>
    <mergeCell ref="AE523:AG523"/>
    <mergeCell ref="D524:E524"/>
    <mergeCell ref="G524:H524"/>
    <mergeCell ref="J524:K524"/>
    <mergeCell ref="M524:N524"/>
    <mergeCell ref="P524:Q524"/>
    <mergeCell ref="S524:T524"/>
    <mergeCell ref="V522:X522"/>
    <mergeCell ref="Y522:AA522"/>
    <mergeCell ref="AB522:AD522"/>
    <mergeCell ref="AE522:AG522"/>
    <mergeCell ref="D523:F523"/>
    <mergeCell ref="G523:I523"/>
    <mergeCell ref="J523:L523"/>
    <mergeCell ref="M523:O523"/>
    <mergeCell ref="P523:R523"/>
    <mergeCell ref="S523:U523"/>
    <mergeCell ref="D522:F522"/>
    <mergeCell ref="G522:I522"/>
    <mergeCell ref="J522:L522"/>
    <mergeCell ref="M522:O522"/>
    <mergeCell ref="P522:R522"/>
    <mergeCell ref="S522:U522"/>
    <mergeCell ref="P521:R521"/>
    <mergeCell ref="S521:U521"/>
    <mergeCell ref="V521:X521"/>
    <mergeCell ref="Y521:AA521"/>
    <mergeCell ref="AB521:AD521"/>
    <mergeCell ref="AE521:AG521"/>
    <mergeCell ref="S518:T518"/>
    <mergeCell ref="V518:W518"/>
    <mergeCell ref="Y518:Z518"/>
    <mergeCell ref="AB518:AC518"/>
    <mergeCell ref="AE518:AF518"/>
    <mergeCell ref="A521:B526"/>
    <mergeCell ref="D521:F521"/>
    <mergeCell ref="G521:I521"/>
    <mergeCell ref="J521:L521"/>
    <mergeCell ref="M521:O521"/>
    <mergeCell ref="S517:T517"/>
    <mergeCell ref="V517:W517"/>
    <mergeCell ref="Y517:Z517"/>
    <mergeCell ref="AB517:AC517"/>
    <mergeCell ref="AE517:AF517"/>
    <mergeCell ref="D518:E518"/>
    <mergeCell ref="G518:H518"/>
    <mergeCell ref="J518:K518"/>
    <mergeCell ref="M518:N518"/>
    <mergeCell ref="P518:Q518"/>
    <mergeCell ref="S516:T516"/>
    <mergeCell ref="V516:W516"/>
    <mergeCell ref="Y516:Z516"/>
    <mergeCell ref="AB516:AC516"/>
    <mergeCell ref="AE516:AF516"/>
    <mergeCell ref="D517:E517"/>
    <mergeCell ref="G517:H517"/>
    <mergeCell ref="J517:K517"/>
    <mergeCell ref="M517:N517"/>
    <mergeCell ref="P517:Q517"/>
    <mergeCell ref="S515:U515"/>
    <mergeCell ref="V515:X515"/>
    <mergeCell ref="Y515:AA515"/>
    <mergeCell ref="AB515:AD515"/>
    <mergeCell ref="AE515:AG515"/>
    <mergeCell ref="D516:E516"/>
    <mergeCell ref="G516:H516"/>
    <mergeCell ref="J516:K516"/>
    <mergeCell ref="M516:N516"/>
    <mergeCell ref="P516:Q516"/>
    <mergeCell ref="S514:U514"/>
    <mergeCell ref="V514:X514"/>
    <mergeCell ref="Y514:AA514"/>
    <mergeCell ref="AB514:AD514"/>
    <mergeCell ref="AE514:AG514"/>
    <mergeCell ref="D515:F515"/>
    <mergeCell ref="G515:I515"/>
    <mergeCell ref="J515:L515"/>
    <mergeCell ref="M515:O515"/>
    <mergeCell ref="P515:R515"/>
    <mergeCell ref="S513:U513"/>
    <mergeCell ref="V513:X513"/>
    <mergeCell ref="Y513:AA513"/>
    <mergeCell ref="AB513:AD513"/>
    <mergeCell ref="AE513:AG513"/>
    <mergeCell ref="D514:F514"/>
    <mergeCell ref="G514:I514"/>
    <mergeCell ref="J514:L514"/>
    <mergeCell ref="M514:O514"/>
    <mergeCell ref="P514:R514"/>
    <mergeCell ref="V510:W510"/>
    <mergeCell ref="Y510:Z510"/>
    <mergeCell ref="AB510:AC510"/>
    <mergeCell ref="AE510:AF510"/>
    <mergeCell ref="A513:B518"/>
    <mergeCell ref="D513:F513"/>
    <mergeCell ref="G513:I513"/>
    <mergeCell ref="J513:L513"/>
    <mergeCell ref="M513:O513"/>
    <mergeCell ref="P513:R513"/>
    <mergeCell ref="V509:W509"/>
    <mergeCell ref="Y509:Z509"/>
    <mergeCell ref="AB509:AC509"/>
    <mergeCell ref="AE509:AF509"/>
    <mergeCell ref="D510:E510"/>
    <mergeCell ref="G510:H510"/>
    <mergeCell ref="J510:K510"/>
    <mergeCell ref="M510:N510"/>
    <mergeCell ref="P510:Q510"/>
    <mergeCell ref="S510:T510"/>
    <mergeCell ref="V508:W508"/>
    <mergeCell ref="Y508:Z508"/>
    <mergeCell ref="AB508:AC508"/>
    <mergeCell ref="AE508:AF508"/>
    <mergeCell ref="D509:E509"/>
    <mergeCell ref="G509:H509"/>
    <mergeCell ref="J509:K509"/>
    <mergeCell ref="M509:N509"/>
    <mergeCell ref="P509:Q509"/>
    <mergeCell ref="S509:T509"/>
    <mergeCell ref="V507:X507"/>
    <mergeCell ref="Y507:AA507"/>
    <mergeCell ref="AB507:AD507"/>
    <mergeCell ref="AE507:AG507"/>
    <mergeCell ref="D508:E508"/>
    <mergeCell ref="G508:H508"/>
    <mergeCell ref="J508:K508"/>
    <mergeCell ref="M508:N508"/>
    <mergeCell ref="P508:Q508"/>
    <mergeCell ref="S508:T508"/>
    <mergeCell ref="V506:X506"/>
    <mergeCell ref="Y506:AA506"/>
    <mergeCell ref="AB506:AD506"/>
    <mergeCell ref="AE506:AG506"/>
    <mergeCell ref="D507:F507"/>
    <mergeCell ref="G507:I507"/>
    <mergeCell ref="J507:L507"/>
    <mergeCell ref="M507:O507"/>
    <mergeCell ref="P507:R507"/>
    <mergeCell ref="S507:U507"/>
    <mergeCell ref="D506:F506"/>
    <mergeCell ref="G506:I506"/>
    <mergeCell ref="J506:L506"/>
    <mergeCell ref="M506:O506"/>
    <mergeCell ref="P506:R506"/>
    <mergeCell ref="S506:U506"/>
    <mergeCell ref="P505:R505"/>
    <mergeCell ref="S505:U505"/>
    <mergeCell ref="V505:X505"/>
    <mergeCell ref="Y505:AA505"/>
    <mergeCell ref="AB505:AD505"/>
    <mergeCell ref="AE505:AG505"/>
    <mergeCell ref="S502:T502"/>
    <mergeCell ref="V502:W502"/>
    <mergeCell ref="Y502:Z502"/>
    <mergeCell ref="AB502:AC502"/>
    <mergeCell ref="AE502:AF502"/>
    <mergeCell ref="A505:B510"/>
    <mergeCell ref="D505:F505"/>
    <mergeCell ref="G505:I505"/>
    <mergeCell ref="J505:L505"/>
    <mergeCell ref="M505:O505"/>
    <mergeCell ref="S501:T501"/>
    <mergeCell ref="V501:W501"/>
    <mergeCell ref="Y501:Z501"/>
    <mergeCell ref="AB501:AC501"/>
    <mergeCell ref="AE501:AF501"/>
    <mergeCell ref="D502:E502"/>
    <mergeCell ref="G502:H502"/>
    <mergeCell ref="J502:K502"/>
    <mergeCell ref="M502:N502"/>
    <mergeCell ref="P502:Q502"/>
    <mergeCell ref="S500:T500"/>
    <mergeCell ref="V500:W500"/>
    <mergeCell ref="Y500:Z500"/>
    <mergeCell ref="AB500:AC500"/>
    <mergeCell ref="AE500:AF500"/>
    <mergeCell ref="D501:E501"/>
    <mergeCell ref="G501:H501"/>
    <mergeCell ref="J501:K501"/>
    <mergeCell ref="M501:N501"/>
    <mergeCell ref="P501:Q501"/>
    <mergeCell ref="S499:U499"/>
    <mergeCell ref="V499:X499"/>
    <mergeCell ref="Y499:AA499"/>
    <mergeCell ref="AB499:AD499"/>
    <mergeCell ref="AE499:AG499"/>
    <mergeCell ref="D500:E500"/>
    <mergeCell ref="G500:H500"/>
    <mergeCell ref="J500:K500"/>
    <mergeCell ref="M500:N500"/>
    <mergeCell ref="P500:Q500"/>
    <mergeCell ref="S498:U498"/>
    <mergeCell ref="V498:X498"/>
    <mergeCell ref="Y498:AA498"/>
    <mergeCell ref="AB498:AD498"/>
    <mergeCell ref="AE498:AG498"/>
    <mergeCell ref="D499:F499"/>
    <mergeCell ref="G499:I499"/>
    <mergeCell ref="J499:L499"/>
    <mergeCell ref="M499:O499"/>
    <mergeCell ref="P499:R499"/>
    <mergeCell ref="S497:U497"/>
    <mergeCell ref="V497:X497"/>
    <mergeCell ref="Y497:AA497"/>
    <mergeCell ref="AB497:AD497"/>
    <mergeCell ref="AE497:AG497"/>
    <mergeCell ref="D498:F498"/>
    <mergeCell ref="G498:I498"/>
    <mergeCell ref="J498:L498"/>
    <mergeCell ref="M498:O498"/>
    <mergeCell ref="P498:R498"/>
    <mergeCell ref="V494:W494"/>
    <mergeCell ref="Y494:Z494"/>
    <mergeCell ref="AB494:AC494"/>
    <mergeCell ref="AE494:AF494"/>
    <mergeCell ref="A497:B502"/>
    <mergeCell ref="D497:F497"/>
    <mergeCell ref="G497:I497"/>
    <mergeCell ref="J497:L497"/>
    <mergeCell ref="M497:O497"/>
    <mergeCell ref="P497:R497"/>
    <mergeCell ref="V493:W493"/>
    <mergeCell ref="Y493:Z493"/>
    <mergeCell ref="AB493:AC493"/>
    <mergeCell ref="AE493:AF493"/>
    <mergeCell ref="D494:E494"/>
    <mergeCell ref="G494:H494"/>
    <mergeCell ref="J494:K494"/>
    <mergeCell ref="M494:N494"/>
    <mergeCell ref="P494:Q494"/>
    <mergeCell ref="S494:T494"/>
    <mergeCell ref="V492:W492"/>
    <mergeCell ref="Y492:Z492"/>
    <mergeCell ref="AB492:AC492"/>
    <mergeCell ref="AE492:AF492"/>
    <mergeCell ref="D493:E493"/>
    <mergeCell ref="G493:H493"/>
    <mergeCell ref="J493:K493"/>
    <mergeCell ref="M493:N493"/>
    <mergeCell ref="P493:Q493"/>
    <mergeCell ref="S493:T493"/>
    <mergeCell ref="V491:X491"/>
    <mergeCell ref="Y491:AA491"/>
    <mergeCell ref="AB491:AD491"/>
    <mergeCell ref="AE491:AG491"/>
    <mergeCell ref="D492:E492"/>
    <mergeCell ref="G492:H492"/>
    <mergeCell ref="J492:K492"/>
    <mergeCell ref="M492:N492"/>
    <mergeCell ref="P492:Q492"/>
    <mergeCell ref="S492:T492"/>
    <mergeCell ref="V490:X490"/>
    <mergeCell ref="Y490:AA490"/>
    <mergeCell ref="AB490:AD490"/>
    <mergeCell ref="AE490:AG490"/>
    <mergeCell ref="D491:F491"/>
    <mergeCell ref="G491:I491"/>
    <mergeCell ref="J491:L491"/>
    <mergeCell ref="M491:O491"/>
    <mergeCell ref="P491:R491"/>
    <mergeCell ref="S491:U491"/>
    <mergeCell ref="D490:F490"/>
    <mergeCell ref="G490:I490"/>
    <mergeCell ref="J490:L490"/>
    <mergeCell ref="M490:O490"/>
    <mergeCell ref="P490:R490"/>
    <mergeCell ref="S490:U490"/>
    <mergeCell ref="P489:R489"/>
    <mergeCell ref="S489:U489"/>
    <mergeCell ref="V489:X489"/>
    <mergeCell ref="Y489:AA489"/>
    <mergeCell ref="AB489:AD489"/>
    <mergeCell ref="AE489:AG489"/>
    <mergeCell ref="S486:T486"/>
    <mergeCell ref="V486:W486"/>
    <mergeCell ref="Y486:Z486"/>
    <mergeCell ref="AB486:AC486"/>
    <mergeCell ref="AE486:AF486"/>
    <mergeCell ref="A489:B494"/>
    <mergeCell ref="D489:F489"/>
    <mergeCell ref="G489:I489"/>
    <mergeCell ref="J489:L489"/>
    <mergeCell ref="M489:O489"/>
    <mergeCell ref="S485:T485"/>
    <mergeCell ref="V485:W485"/>
    <mergeCell ref="Y485:Z485"/>
    <mergeCell ref="AB485:AC485"/>
    <mergeCell ref="AE485:AF485"/>
    <mergeCell ref="D486:E486"/>
    <mergeCell ref="G486:H486"/>
    <mergeCell ref="J486:K486"/>
    <mergeCell ref="M486:N486"/>
    <mergeCell ref="P486:Q486"/>
    <mergeCell ref="S484:T484"/>
    <mergeCell ref="V484:W484"/>
    <mergeCell ref="Y484:Z484"/>
    <mergeCell ref="AB484:AC484"/>
    <mergeCell ref="AE484:AF484"/>
    <mergeCell ref="D485:E485"/>
    <mergeCell ref="G485:H485"/>
    <mergeCell ref="J485:K485"/>
    <mergeCell ref="M485:N485"/>
    <mergeCell ref="P485:Q485"/>
    <mergeCell ref="S483:U483"/>
    <mergeCell ref="V483:X483"/>
    <mergeCell ref="Y483:AA483"/>
    <mergeCell ref="AB483:AD483"/>
    <mergeCell ref="AE483:AG483"/>
    <mergeCell ref="D484:E484"/>
    <mergeCell ref="G484:H484"/>
    <mergeCell ref="J484:K484"/>
    <mergeCell ref="M484:N484"/>
    <mergeCell ref="P484:Q484"/>
    <mergeCell ref="S482:U482"/>
    <mergeCell ref="V482:X482"/>
    <mergeCell ref="Y482:AA482"/>
    <mergeCell ref="AB482:AD482"/>
    <mergeCell ref="AE482:AG482"/>
    <mergeCell ref="D483:F483"/>
    <mergeCell ref="G483:I483"/>
    <mergeCell ref="J483:L483"/>
    <mergeCell ref="M483:O483"/>
    <mergeCell ref="P483:R483"/>
    <mergeCell ref="S481:U481"/>
    <mergeCell ref="V481:X481"/>
    <mergeCell ref="Y481:AA481"/>
    <mergeCell ref="AB481:AD481"/>
    <mergeCell ref="AE481:AG481"/>
    <mergeCell ref="D482:F482"/>
    <mergeCell ref="G482:I482"/>
    <mergeCell ref="J482:L482"/>
    <mergeCell ref="M482:O482"/>
    <mergeCell ref="P482:R482"/>
    <mergeCell ref="V478:W478"/>
    <mergeCell ref="Y478:Z478"/>
    <mergeCell ref="AB478:AC478"/>
    <mergeCell ref="AE478:AF478"/>
    <mergeCell ref="A481:B486"/>
    <mergeCell ref="D481:F481"/>
    <mergeCell ref="G481:I481"/>
    <mergeCell ref="J481:L481"/>
    <mergeCell ref="M481:O481"/>
    <mergeCell ref="P481:R481"/>
    <mergeCell ref="V477:W477"/>
    <mergeCell ref="Y477:Z477"/>
    <mergeCell ref="AB477:AC477"/>
    <mergeCell ref="AE477:AF477"/>
    <mergeCell ref="D478:E478"/>
    <mergeCell ref="G478:H478"/>
    <mergeCell ref="J478:K478"/>
    <mergeCell ref="M478:N478"/>
    <mergeCell ref="P478:Q478"/>
    <mergeCell ref="S478:T478"/>
    <mergeCell ref="V476:W476"/>
    <mergeCell ref="Y476:Z476"/>
    <mergeCell ref="AB476:AC476"/>
    <mergeCell ref="AE476:AF476"/>
    <mergeCell ref="D477:E477"/>
    <mergeCell ref="G477:H477"/>
    <mergeCell ref="J477:K477"/>
    <mergeCell ref="M477:N477"/>
    <mergeCell ref="P477:Q477"/>
    <mergeCell ref="S477:T477"/>
    <mergeCell ref="V475:X475"/>
    <mergeCell ref="Y475:AA475"/>
    <mergeCell ref="AB475:AD475"/>
    <mergeCell ref="AE475:AG475"/>
    <mergeCell ref="D476:E476"/>
    <mergeCell ref="G476:H476"/>
    <mergeCell ref="J476:K476"/>
    <mergeCell ref="M476:N476"/>
    <mergeCell ref="P476:Q476"/>
    <mergeCell ref="S476:T476"/>
    <mergeCell ref="V474:X474"/>
    <mergeCell ref="Y474:AA474"/>
    <mergeCell ref="AB474:AD474"/>
    <mergeCell ref="AE474:AG474"/>
    <mergeCell ref="D475:F475"/>
    <mergeCell ref="G475:I475"/>
    <mergeCell ref="J475:L475"/>
    <mergeCell ref="M475:O475"/>
    <mergeCell ref="P475:R475"/>
    <mergeCell ref="S475:U475"/>
    <mergeCell ref="D474:F474"/>
    <mergeCell ref="G474:I474"/>
    <mergeCell ref="J474:L474"/>
    <mergeCell ref="M474:O474"/>
    <mergeCell ref="P474:R474"/>
    <mergeCell ref="S474:U474"/>
    <mergeCell ref="P473:R473"/>
    <mergeCell ref="S473:U473"/>
    <mergeCell ref="V473:X473"/>
    <mergeCell ref="Y473:AA473"/>
    <mergeCell ref="AB473:AD473"/>
    <mergeCell ref="AE473:AG473"/>
    <mergeCell ref="S470:T470"/>
    <mergeCell ref="V470:W470"/>
    <mergeCell ref="Y470:Z470"/>
    <mergeCell ref="AB470:AC470"/>
    <mergeCell ref="AE470:AF470"/>
    <mergeCell ref="A473:B478"/>
    <mergeCell ref="D473:F473"/>
    <mergeCell ref="G473:I473"/>
    <mergeCell ref="J473:L473"/>
    <mergeCell ref="M473:O473"/>
    <mergeCell ref="S469:T469"/>
    <mergeCell ref="V469:W469"/>
    <mergeCell ref="Y469:Z469"/>
    <mergeCell ref="AB469:AC469"/>
    <mergeCell ref="AE469:AF469"/>
    <mergeCell ref="D470:E470"/>
    <mergeCell ref="G470:H470"/>
    <mergeCell ref="J470:K470"/>
    <mergeCell ref="M470:N470"/>
    <mergeCell ref="P470:Q470"/>
    <mergeCell ref="S468:T468"/>
    <mergeCell ref="V468:W468"/>
    <mergeCell ref="Y468:Z468"/>
    <mergeCell ref="AB468:AC468"/>
    <mergeCell ref="AE468:AF468"/>
    <mergeCell ref="D469:E469"/>
    <mergeCell ref="G469:H469"/>
    <mergeCell ref="J469:K469"/>
    <mergeCell ref="M469:N469"/>
    <mergeCell ref="P469:Q469"/>
    <mergeCell ref="S467:U467"/>
    <mergeCell ref="V467:X467"/>
    <mergeCell ref="Y467:AA467"/>
    <mergeCell ref="AB467:AD467"/>
    <mergeCell ref="AE467:AG467"/>
    <mergeCell ref="D468:E468"/>
    <mergeCell ref="G468:H468"/>
    <mergeCell ref="J468:K468"/>
    <mergeCell ref="M468:N468"/>
    <mergeCell ref="P468:Q468"/>
    <mergeCell ref="S466:U466"/>
    <mergeCell ref="V466:X466"/>
    <mergeCell ref="Y466:AA466"/>
    <mergeCell ref="AB466:AD466"/>
    <mergeCell ref="AE466:AG466"/>
    <mergeCell ref="D467:F467"/>
    <mergeCell ref="G467:I467"/>
    <mergeCell ref="J467:L467"/>
    <mergeCell ref="M467:O467"/>
    <mergeCell ref="P467:R467"/>
    <mergeCell ref="S465:U465"/>
    <mergeCell ref="V465:X465"/>
    <mergeCell ref="Y465:AA465"/>
    <mergeCell ref="AB465:AD465"/>
    <mergeCell ref="AE465:AG465"/>
    <mergeCell ref="D466:F466"/>
    <mergeCell ref="G466:I466"/>
    <mergeCell ref="J466:L466"/>
    <mergeCell ref="M466:O466"/>
    <mergeCell ref="P466:R466"/>
    <mergeCell ref="V462:W462"/>
    <mergeCell ref="Y462:Z462"/>
    <mergeCell ref="AB462:AC462"/>
    <mergeCell ref="AE462:AF462"/>
    <mergeCell ref="A465:B470"/>
    <mergeCell ref="D465:F465"/>
    <mergeCell ref="G465:I465"/>
    <mergeCell ref="J465:L465"/>
    <mergeCell ref="M465:O465"/>
    <mergeCell ref="P465:R465"/>
    <mergeCell ref="V461:W461"/>
    <mergeCell ref="Y461:Z461"/>
    <mergeCell ref="AB461:AC461"/>
    <mergeCell ref="AE461:AF461"/>
    <mergeCell ref="D462:E462"/>
    <mergeCell ref="G462:H462"/>
    <mergeCell ref="J462:K462"/>
    <mergeCell ref="M462:N462"/>
    <mergeCell ref="P462:Q462"/>
    <mergeCell ref="S462:T462"/>
    <mergeCell ref="V460:W460"/>
    <mergeCell ref="Y460:Z460"/>
    <mergeCell ref="AB460:AC460"/>
    <mergeCell ref="AE460:AF460"/>
    <mergeCell ref="D461:E461"/>
    <mergeCell ref="G461:H461"/>
    <mergeCell ref="J461:K461"/>
    <mergeCell ref="M461:N461"/>
    <mergeCell ref="P461:Q461"/>
    <mergeCell ref="S461:T461"/>
    <mergeCell ref="V459:X459"/>
    <mergeCell ref="Y459:AA459"/>
    <mergeCell ref="AB459:AD459"/>
    <mergeCell ref="AE459:AG459"/>
    <mergeCell ref="D460:E460"/>
    <mergeCell ref="G460:H460"/>
    <mergeCell ref="J460:K460"/>
    <mergeCell ref="M460:N460"/>
    <mergeCell ref="P460:Q460"/>
    <mergeCell ref="S460:T460"/>
    <mergeCell ref="V458:X458"/>
    <mergeCell ref="Y458:AA458"/>
    <mergeCell ref="AB458:AD458"/>
    <mergeCell ref="AE458:AG458"/>
    <mergeCell ref="D459:F459"/>
    <mergeCell ref="G459:I459"/>
    <mergeCell ref="J459:L459"/>
    <mergeCell ref="M459:O459"/>
    <mergeCell ref="P459:R459"/>
    <mergeCell ref="S459:U459"/>
    <mergeCell ref="D458:F458"/>
    <mergeCell ref="G458:I458"/>
    <mergeCell ref="J458:L458"/>
    <mergeCell ref="M458:O458"/>
    <mergeCell ref="P458:R458"/>
    <mergeCell ref="S458:U458"/>
    <mergeCell ref="P457:R457"/>
    <mergeCell ref="S457:U457"/>
    <mergeCell ref="V457:X457"/>
    <mergeCell ref="Y457:AA457"/>
    <mergeCell ref="AB457:AD457"/>
    <mergeCell ref="AE457:AG457"/>
    <mergeCell ref="S454:T454"/>
    <mergeCell ref="V454:W454"/>
    <mergeCell ref="Y454:Z454"/>
    <mergeCell ref="AB454:AC454"/>
    <mergeCell ref="AE454:AF454"/>
    <mergeCell ref="A457:B462"/>
    <mergeCell ref="D457:F457"/>
    <mergeCell ref="G457:I457"/>
    <mergeCell ref="J457:L457"/>
    <mergeCell ref="M457:O457"/>
    <mergeCell ref="S453:T453"/>
    <mergeCell ref="V453:W453"/>
    <mergeCell ref="Y453:Z453"/>
    <mergeCell ref="AB453:AC453"/>
    <mergeCell ref="AE453:AF453"/>
    <mergeCell ref="D454:E454"/>
    <mergeCell ref="G454:H454"/>
    <mergeCell ref="J454:K454"/>
    <mergeCell ref="M454:N454"/>
    <mergeCell ref="P454:Q454"/>
    <mergeCell ref="S452:T452"/>
    <mergeCell ref="V452:W452"/>
    <mergeCell ref="Y452:Z452"/>
    <mergeCell ref="AB452:AC452"/>
    <mergeCell ref="AE452:AF452"/>
    <mergeCell ref="D453:E453"/>
    <mergeCell ref="G453:H453"/>
    <mergeCell ref="J453:K453"/>
    <mergeCell ref="M453:N453"/>
    <mergeCell ref="P453:Q453"/>
    <mergeCell ref="S451:U451"/>
    <mergeCell ref="V451:X451"/>
    <mergeCell ref="Y451:AA451"/>
    <mergeCell ref="AB451:AD451"/>
    <mergeCell ref="AE451:AG451"/>
    <mergeCell ref="D452:E452"/>
    <mergeCell ref="G452:H452"/>
    <mergeCell ref="J452:K452"/>
    <mergeCell ref="M452:N452"/>
    <mergeCell ref="P452:Q452"/>
    <mergeCell ref="S450:U450"/>
    <mergeCell ref="V450:X450"/>
    <mergeCell ref="Y450:AA450"/>
    <mergeCell ref="AB450:AD450"/>
    <mergeCell ref="AE450:AG450"/>
    <mergeCell ref="D451:F451"/>
    <mergeCell ref="G451:I451"/>
    <mergeCell ref="J451:L451"/>
    <mergeCell ref="M451:O451"/>
    <mergeCell ref="P451:R451"/>
    <mergeCell ref="S449:U449"/>
    <mergeCell ref="V449:X449"/>
    <mergeCell ref="Y449:AA449"/>
    <mergeCell ref="AB449:AD449"/>
    <mergeCell ref="AE449:AG449"/>
    <mergeCell ref="D450:F450"/>
    <mergeCell ref="G450:I450"/>
    <mergeCell ref="J450:L450"/>
    <mergeCell ref="M450:O450"/>
    <mergeCell ref="P450:R450"/>
    <mergeCell ref="V446:W446"/>
    <mergeCell ref="Y446:Z446"/>
    <mergeCell ref="AB446:AC446"/>
    <mergeCell ref="AE446:AF446"/>
    <mergeCell ref="A449:B454"/>
    <mergeCell ref="D449:F449"/>
    <mergeCell ref="G449:I449"/>
    <mergeCell ref="J449:L449"/>
    <mergeCell ref="M449:O449"/>
    <mergeCell ref="P449:R449"/>
    <mergeCell ref="V445:W445"/>
    <mergeCell ref="Y445:Z445"/>
    <mergeCell ref="AB445:AC445"/>
    <mergeCell ref="AE445:AF445"/>
    <mergeCell ref="D446:E446"/>
    <mergeCell ref="G446:H446"/>
    <mergeCell ref="J446:K446"/>
    <mergeCell ref="M446:N446"/>
    <mergeCell ref="P446:Q446"/>
    <mergeCell ref="S446:T446"/>
    <mergeCell ref="V444:W444"/>
    <mergeCell ref="Y444:Z444"/>
    <mergeCell ref="AB444:AC444"/>
    <mergeCell ref="AE444:AF444"/>
    <mergeCell ref="D445:E445"/>
    <mergeCell ref="G445:H445"/>
    <mergeCell ref="J445:K445"/>
    <mergeCell ref="M445:N445"/>
    <mergeCell ref="P445:Q445"/>
    <mergeCell ref="S445:T445"/>
    <mergeCell ref="V443:X443"/>
    <mergeCell ref="Y443:AA443"/>
    <mergeCell ref="AB443:AD443"/>
    <mergeCell ref="AE443:AG443"/>
    <mergeCell ref="D444:E444"/>
    <mergeCell ref="G444:H444"/>
    <mergeCell ref="J444:K444"/>
    <mergeCell ref="M444:N444"/>
    <mergeCell ref="P444:Q444"/>
    <mergeCell ref="S444:T444"/>
    <mergeCell ref="V442:X442"/>
    <mergeCell ref="Y442:AA442"/>
    <mergeCell ref="AB442:AD442"/>
    <mergeCell ref="AE442:AG442"/>
    <mergeCell ref="D443:F443"/>
    <mergeCell ref="G443:I443"/>
    <mergeCell ref="J443:L443"/>
    <mergeCell ref="M443:O443"/>
    <mergeCell ref="P443:R443"/>
    <mergeCell ref="S443:U443"/>
    <mergeCell ref="D442:F442"/>
    <mergeCell ref="G442:I442"/>
    <mergeCell ref="J442:L442"/>
    <mergeCell ref="M442:O442"/>
    <mergeCell ref="P442:R442"/>
    <mergeCell ref="S442:U442"/>
    <mergeCell ref="P441:R441"/>
    <mergeCell ref="S441:U441"/>
    <mergeCell ref="V441:X441"/>
    <mergeCell ref="Y441:AA441"/>
    <mergeCell ref="AB441:AD441"/>
    <mergeCell ref="AE441:AG441"/>
    <mergeCell ref="S438:T438"/>
    <mergeCell ref="V438:W438"/>
    <mergeCell ref="Y438:Z438"/>
    <mergeCell ref="AB438:AC438"/>
    <mergeCell ref="AE438:AF438"/>
    <mergeCell ref="A441:B446"/>
    <mergeCell ref="D441:F441"/>
    <mergeCell ref="G441:I441"/>
    <mergeCell ref="J441:L441"/>
    <mergeCell ref="M441:O441"/>
    <mergeCell ref="S437:T437"/>
    <mergeCell ref="V437:W437"/>
    <mergeCell ref="Y437:Z437"/>
    <mergeCell ref="AB437:AC437"/>
    <mergeCell ref="AE437:AF437"/>
    <mergeCell ref="D438:E438"/>
    <mergeCell ref="G438:H438"/>
    <mergeCell ref="J438:K438"/>
    <mergeCell ref="M438:N438"/>
    <mergeCell ref="P438:Q438"/>
    <mergeCell ref="S436:T436"/>
    <mergeCell ref="V436:W436"/>
    <mergeCell ref="Y436:Z436"/>
    <mergeCell ref="AB436:AC436"/>
    <mergeCell ref="AE436:AF436"/>
    <mergeCell ref="D437:E437"/>
    <mergeCell ref="G437:H437"/>
    <mergeCell ref="J437:K437"/>
    <mergeCell ref="M437:N437"/>
    <mergeCell ref="P437:Q437"/>
    <mergeCell ref="S435:U435"/>
    <mergeCell ref="V435:X435"/>
    <mergeCell ref="Y435:AA435"/>
    <mergeCell ref="AB435:AD435"/>
    <mergeCell ref="AE435:AG435"/>
    <mergeCell ref="D436:E436"/>
    <mergeCell ref="G436:H436"/>
    <mergeCell ref="J436:K436"/>
    <mergeCell ref="M436:N436"/>
    <mergeCell ref="P436:Q436"/>
    <mergeCell ref="S434:U434"/>
    <mergeCell ref="V434:X434"/>
    <mergeCell ref="Y434:AA434"/>
    <mergeCell ref="AB434:AD434"/>
    <mergeCell ref="AE434:AG434"/>
    <mergeCell ref="D435:F435"/>
    <mergeCell ref="G435:I435"/>
    <mergeCell ref="J435:L435"/>
    <mergeCell ref="M435:O435"/>
    <mergeCell ref="P435:R435"/>
    <mergeCell ref="S433:U433"/>
    <mergeCell ref="V433:X433"/>
    <mergeCell ref="Y433:AA433"/>
    <mergeCell ref="AB433:AD433"/>
    <mergeCell ref="AE433:AG433"/>
    <mergeCell ref="D434:F434"/>
    <mergeCell ref="G434:I434"/>
    <mergeCell ref="J434:L434"/>
    <mergeCell ref="M434:O434"/>
    <mergeCell ref="P434:R434"/>
    <mergeCell ref="V430:W430"/>
    <mergeCell ref="Y430:Z430"/>
    <mergeCell ref="AB430:AC430"/>
    <mergeCell ref="AE430:AF430"/>
    <mergeCell ref="A433:B438"/>
    <mergeCell ref="D433:F433"/>
    <mergeCell ref="G433:I433"/>
    <mergeCell ref="J433:L433"/>
    <mergeCell ref="M433:O433"/>
    <mergeCell ref="P433:R433"/>
    <mergeCell ref="V429:W429"/>
    <mergeCell ref="Y429:Z429"/>
    <mergeCell ref="AB429:AC429"/>
    <mergeCell ref="AE429:AF429"/>
    <mergeCell ref="D430:E430"/>
    <mergeCell ref="G430:H430"/>
    <mergeCell ref="J430:K430"/>
    <mergeCell ref="M430:N430"/>
    <mergeCell ref="P430:Q430"/>
    <mergeCell ref="S430:T430"/>
    <mergeCell ref="V428:W428"/>
    <mergeCell ref="Y428:Z428"/>
    <mergeCell ref="AB428:AC428"/>
    <mergeCell ref="AE428:AF428"/>
    <mergeCell ref="D429:E429"/>
    <mergeCell ref="G429:H429"/>
    <mergeCell ref="J429:K429"/>
    <mergeCell ref="M429:N429"/>
    <mergeCell ref="P429:Q429"/>
    <mergeCell ref="S429:T429"/>
    <mergeCell ref="V427:X427"/>
    <mergeCell ref="Y427:AA427"/>
    <mergeCell ref="AB427:AD427"/>
    <mergeCell ref="AE427:AG427"/>
    <mergeCell ref="D428:E428"/>
    <mergeCell ref="G428:H428"/>
    <mergeCell ref="J428:K428"/>
    <mergeCell ref="M428:N428"/>
    <mergeCell ref="P428:Q428"/>
    <mergeCell ref="S428:T428"/>
    <mergeCell ref="V426:X426"/>
    <mergeCell ref="Y426:AA426"/>
    <mergeCell ref="AB426:AD426"/>
    <mergeCell ref="AE426:AG426"/>
    <mergeCell ref="D427:F427"/>
    <mergeCell ref="G427:I427"/>
    <mergeCell ref="J427:L427"/>
    <mergeCell ref="M427:O427"/>
    <mergeCell ref="P427:R427"/>
    <mergeCell ref="S427:U427"/>
    <mergeCell ref="D426:F426"/>
    <mergeCell ref="G426:I426"/>
    <mergeCell ref="J426:L426"/>
    <mergeCell ref="M426:O426"/>
    <mergeCell ref="P426:R426"/>
    <mergeCell ref="S426:U426"/>
    <mergeCell ref="P425:R425"/>
    <mergeCell ref="S425:U425"/>
    <mergeCell ref="V425:X425"/>
    <mergeCell ref="Y425:AA425"/>
    <mergeCell ref="AB425:AD425"/>
    <mergeCell ref="AE425:AG425"/>
    <mergeCell ref="S422:T422"/>
    <mergeCell ref="V422:W422"/>
    <mergeCell ref="Y422:Z422"/>
    <mergeCell ref="AB422:AC422"/>
    <mergeCell ref="AE422:AF422"/>
    <mergeCell ref="A425:B430"/>
    <mergeCell ref="D425:F425"/>
    <mergeCell ref="G425:I425"/>
    <mergeCell ref="J425:L425"/>
    <mergeCell ref="M425:O425"/>
    <mergeCell ref="S421:T421"/>
    <mergeCell ref="V421:W421"/>
    <mergeCell ref="Y421:Z421"/>
    <mergeCell ref="AB421:AC421"/>
    <mergeCell ref="AE421:AF421"/>
    <mergeCell ref="D422:E422"/>
    <mergeCell ref="G422:H422"/>
    <mergeCell ref="J422:K422"/>
    <mergeCell ref="M422:N422"/>
    <mergeCell ref="P422:Q422"/>
    <mergeCell ref="S420:T420"/>
    <mergeCell ref="V420:W420"/>
    <mergeCell ref="Y420:Z420"/>
    <mergeCell ref="AB420:AC420"/>
    <mergeCell ref="AE420:AF420"/>
    <mergeCell ref="D421:E421"/>
    <mergeCell ref="G421:H421"/>
    <mergeCell ref="J421:K421"/>
    <mergeCell ref="M421:N421"/>
    <mergeCell ref="P421:Q421"/>
    <mergeCell ref="S419:U419"/>
    <mergeCell ref="V419:X419"/>
    <mergeCell ref="Y419:AA419"/>
    <mergeCell ref="AB419:AD419"/>
    <mergeCell ref="AE419:AG419"/>
    <mergeCell ref="D420:E420"/>
    <mergeCell ref="G420:H420"/>
    <mergeCell ref="J420:K420"/>
    <mergeCell ref="M420:N420"/>
    <mergeCell ref="P420:Q420"/>
    <mergeCell ref="S418:U418"/>
    <mergeCell ref="V418:X418"/>
    <mergeCell ref="Y418:AA418"/>
    <mergeCell ref="AB418:AD418"/>
    <mergeCell ref="AE418:AG418"/>
    <mergeCell ref="D419:F419"/>
    <mergeCell ref="G419:I419"/>
    <mergeCell ref="J419:L419"/>
    <mergeCell ref="M419:O419"/>
    <mergeCell ref="P419:R419"/>
    <mergeCell ref="S417:U417"/>
    <mergeCell ref="V417:X417"/>
    <mergeCell ref="Y417:AA417"/>
    <mergeCell ref="AB417:AD417"/>
    <mergeCell ref="AE417:AG417"/>
    <mergeCell ref="D418:F418"/>
    <mergeCell ref="G418:I418"/>
    <mergeCell ref="J418:L418"/>
    <mergeCell ref="M418:O418"/>
    <mergeCell ref="P418:R418"/>
    <mergeCell ref="V414:W414"/>
    <mergeCell ref="Y414:Z414"/>
    <mergeCell ref="AB414:AC414"/>
    <mergeCell ref="AE414:AF414"/>
    <mergeCell ref="A417:B422"/>
    <mergeCell ref="D417:F417"/>
    <mergeCell ref="G417:I417"/>
    <mergeCell ref="J417:L417"/>
    <mergeCell ref="M417:O417"/>
    <mergeCell ref="P417:R417"/>
    <mergeCell ref="V413:W413"/>
    <mergeCell ref="Y413:Z413"/>
    <mergeCell ref="AB413:AC413"/>
    <mergeCell ref="AE413:AF413"/>
    <mergeCell ref="D414:E414"/>
    <mergeCell ref="G414:H414"/>
    <mergeCell ref="J414:K414"/>
    <mergeCell ref="M414:N414"/>
    <mergeCell ref="P414:Q414"/>
    <mergeCell ref="S414:T414"/>
    <mergeCell ref="V412:W412"/>
    <mergeCell ref="Y412:Z412"/>
    <mergeCell ref="AB412:AC412"/>
    <mergeCell ref="AE412:AF412"/>
    <mergeCell ref="D413:E413"/>
    <mergeCell ref="G413:H413"/>
    <mergeCell ref="J413:K413"/>
    <mergeCell ref="M413:N413"/>
    <mergeCell ref="P413:Q413"/>
    <mergeCell ref="S413:T413"/>
    <mergeCell ref="V411:X411"/>
    <mergeCell ref="Y411:AA411"/>
    <mergeCell ref="AB411:AD411"/>
    <mergeCell ref="AE411:AG411"/>
    <mergeCell ref="D412:E412"/>
    <mergeCell ref="G412:H412"/>
    <mergeCell ref="J412:K412"/>
    <mergeCell ref="M412:N412"/>
    <mergeCell ref="P412:Q412"/>
    <mergeCell ref="S412:T412"/>
    <mergeCell ref="V410:X410"/>
    <mergeCell ref="Y410:AA410"/>
    <mergeCell ref="AB410:AD410"/>
    <mergeCell ref="AE410:AG410"/>
    <mergeCell ref="D411:F411"/>
    <mergeCell ref="G411:I411"/>
    <mergeCell ref="J411:L411"/>
    <mergeCell ref="M411:O411"/>
    <mergeCell ref="P411:R411"/>
    <mergeCell ref="S411:U411"/>
    <mergeCell ref="D410:F410"/>
    <mergeCell ref="G410:I410"/>
    <mergeCell ref="J410:L410"/>
    <mergeCell ref="M410:O410"/>
    <mergeCell ref="P410:R410"/>
    <mergeCell ref="S410:U410"/>
    <mergeCell ref="P409:R409"/>
    <mergeCell ref="S409:U409"/>
    <mergeCell ref="V409:X409"/>
    <mergeCell ref="Y409:AA409"/>
    <mergeCell ref="AB409:AD409"/>
    <mergeCell ref="AE409:AG409"/>
    <mergeCell ref="S406:T406"/>
    <mergeCell ref="V406:W406"/>
    <mergeCell ref="Y406:Z406"/>
    <mergeCell ref="AB406:AC406"/>
    <mergeCell ref="AE406:AF406"/>
    <mergeCell ref="A409:B414"/>
    <mergeCell ref="D409:F409"/>
    <mergeCell ref="G409:I409"/>
    <mergeCell ref="J409:L409"/>
    <mergeCell ref="M409:O409"/>
    <mergeCell ref="S405:T405"/>
    <mergeCell ref="V405:W405"/>
    <mergeCell ref="Y405:Z405"/>
    <mergeCell ref="AB405:AC405"/>
    <mergeCell ref="AE405:AF405"/>
    <mergeCell ref="D406:E406"/>
    <mergeCell ref="G406:H406"/>
    <mergeCell ref="J406:K406"/>
    <mergeCell ref="M406:N406"/>
    <mergeCell ref="P406:Q406"/>
    <mergeCell ref="S404:T404"/>
    <mergeCell ref="V404:W404"/>
    <mergeCell ref="Y404:Z404"/>
    <mergeCell ref="AB404:AC404"/>
    <mergeCell ref="AE404:AF404"/>
    <mergeCell ref="D405:E405"/>
    <mergeCell ref="G405:H405"/>
    <mergeCell ref="J405:K405"/>
    <mergeCell ref="M405:N405"/>
    <mergeCell ref="P405:Q405"/>
    <mergeCell ref="S403:U403"/>
    <mergeCell ref="V403:X403"/>
    <mergeCell ref="Y403:AA403"/>
    <mergeCell ref="AB403:AD403"/>
    <mergeCell ref="AE403:AG403"/>
    <mergeCell ref="D404:E404"/>
    <mergeCell ref="G404:H404"/>
    <mergeCell ref="J404:K404"/>
    <mergeCell ref="M404:N404"/>
    <mergeCell ref="P404:Q404"/>
    <mergeCell ref="S402:U402"/>
    <mergeCell ref="V402:X402"/>
    <mergeCell ref="Y402:AA402"/>
    <mergeCell ref="AB402:AD402"/>
    <mergeCell ref="AE402:AG402"/>
    <mergeCell ref="D403:F403"/>
    <mergeCell ref="G403:I403"/>
    <mergeCell ref="J403:L403"/>
    <mergeCell ref="M403:O403"/>
    <mergeCell ref="P403:R403"/>
    <mergeCell ref="S401:U401"/>
    <mergeCell ref="V401:X401"/>
    <mergeCell ref="Y401:AA401"/>
    <mergeCell ref="AB401:AD401"/>
    <mergeCell ref="AE401:AG401"/>
    <mergeCell ref="D402:F402"/>
    <mergeCell ref="G402:I402"/>
    <mergeCell ref="J402:L402"/>
    <mergeCell ref="M402:O402"/>
    <mergeCell ref="P402:R402"/>
    <mergeCell ref="V398:W398"/>
    <mergeCell ref="Y398:Z398"/>
    <mergeCell ref="AB398:AC398"/>
    <mergeCell ref="AE398:AF398"/>
    <mergeCell ref="A401:B406"/>
    <mergeCell ref="D401:F401"/>
    <mergeCell ref="G401:I401"/>
    <mergeCell ref="J401:L401"/>
    <mergeCell ref="M401:O401"/>
    <mergeCell ref="P401:R401"/>
    <mergeCell ref="V397:W397"/>
    <mergeCell ref="Y397:Z397"/>
    <mergeCell ref="AB397:AC397"/>
    <mergeCell ref="AE397:AF397"/>
    <mergeCell ref="D398:E398"/>
    <mergeCell ref="G398:H398"/>
    <mergeCell ref="J398:K398"/>
    <mergeCell ref="M398:N398"/>
    <mergeCell ref="P398:Q398"/>
    <mergeCell ref="S398:T398"/>
    <mergeCell ref="V396:W396"/>
    <mergeCell ref="Y396:Z396"/>
    <mergeCell ref="AB396:AC396"/>
    <mergeCell ref="AE396:AF396"/>
    <mergeCell ref="D397:E397"/>
    <mergeCell ref="G397:H397"/>
    <mergeCell ref="J397:K397"/>
    <mergeCell ref="M397:N397"/>
    <mergeCell ref="P397:Q397"/>
    <mergeCell ref="S397:T397"/>
    <mergeCell ref="V395:X395"/>
    <mergeCell ref="Y395:AA395"/>
    <mergeCell ref="AB395:AD395"/>
    <mergeCell ref="AE395:AG395"/>
    <mergeCell ref="D396:E396"/>
    <mergeCell ref="G396:H396"/>
    <mergeCell ref="J396:K396"/>
    <mergeCell ref="M396:N396"/>
    <mergeCell ref="P396:Q396"/>
    <mergeCell ref="S396:T396"/>
    <mergeCell ref="V394:X394"/>
    <mergeCell ref="Y394:AA394"/>
    <mergeCell ref="AB394:AD394"/>
    <mergeCell ref="AE394:AG394"/>
    <mergeCell ref="D395:F395"/>
    <mergeCell ref="G395:I395"/>
    <mergeCell ref="J395:L395"/>
    <mergeCell ref="M395:O395"/>
    <mergeCell ref="P395:R395"/>
    <mergeCell ref="S395:U395"/>
    <mergeCell ref="D394:F394"/>
    <mergeCell ref="G394:I394"/>
    <mergeCell ref="J394:L394"/>
    <mergeCell ref="M394:O394"/>
    <mergeCell ref="P394:R394"/>
    <mergeCell ref="S394:U394"/>
    <mergeCell ref="P393:R393"/>
    <mergeCell ref="S393:U393"/>
    <mergeCell ref="V393:X393"/>
    <mergeCell ref="Y393:AA393"/>
    <mergeCell ref="AB393:AD393"/>
    <mergeCell ref="AE393:AG393"/>
    <mergeCell ref="S390:T390"/>
    <mergeCell ref="V390:W390"/>
    <mergeCell ref="Y390:Z390"/>
    <mergeCell ref="AB390:AC390"/>
    <mergeCell ref="AE390:AF390"/>
    <mergeCell ref="A393:B398"/>
    <mergeCell ref="D393:F393"/>
    <mergeCell ref="G393:I393"/>
    <mergeCell ref="J393:L393"/>
    <mergeCell ref="M393:O393"/>
    <mergeCell ref="S389:T389"/>
    <mergeCell ref="V389:W389"/>
    <mergeCell ref="Y389:Z389"/>
    <mergeCell ref="AB389:AC389"/>
    <mergeCell ref="AE389:AF389"/>
    <mergeCell ref="D390:E390"/>
    <mergeCell ref="G390:H390"/>
    <mergeCell ref="J390:K390"/>
    <mergeCell ref="M390:N390"/>
    <mergeCell ref="P390:Q390"/>
    <mergeCell ref="S388:T388"/>
    <mergeCell ref="V388:W388"/>
    <mergeCell ref="Y388:Z388"/>
    <mergeCell ref="AB388:AC388"/>
    <mergeCell ref="AE388:AF388"/>
    <mergeCell ref="D389:E389"/>
    <mergeCell ref="G389:H389"/>
    <mergeCell ref="J389:K389"/>
    <mergeCell ref="M389:N389"/>
    <mergeCell ref="P389:Q389"/>
    <mergeCell ref="S387:U387"/>
    <mergeCell ref="V387:X387"/>
    <mergeCell ref="Y387:AA387"/>
    <mergeCell ref="AB387:AD387"/>
    <mergeCell ref="AE387:AG387"/>
    <mergeCell ref="D388:E388"/>
    <mergeCell ref="G388:H388"/>
    <mergeCell ref="J388:K388"/>
    <mergeCell ref="M388:N388"/>
    <mergeCell ref="P388:Q388"/>
    <mergeCell ref="S386:U386"/>
    <mergeCell ref="V386:X386"/>
    <mergeCell ref="Y386:AA386"/>
    <mergeCell ref="AB386:AD386"/>
    <mergeCell ref="AE386:AG386"/>
    <mergeCell ref="D387:F387"/>
    <mergeCell ref="G387:I387"/>
    <mergeCell ref="J387:L387"/>
    <mergeCell ref="M387:O387"/>
    <mergeCell ref="P387:R387"/>
    <mergeCell ref="S385:U385"/>
    <mergeCell ref="V385:X385"/>
    <mergeCell ref="Y385:AA385"/>
    <mergeCell ref="AB385:AD385"/>
    <mergeCell ref="AE385:AG385"/>
    <mergeCell ref="D386:F386"/>
    <mergeCell ref="G386:I386"/>
    <mergeCell ref="J386:L386"/>
    <mergeCell ref="M386:O386"/>
    <mergeCell ref="P386:R386"/>
    <mergeCell ref="V382:W382"/>
    <mergeCell ref="Y382:Z382"/>
    <mergeCell ref="AB382:AC382"/>
    <mergeCell ref="AE382:AF382"/>
    <mergeCell ref="A385:B390"/>
    <mergeCell ref="D385:F385"/>
    <mergeCell ref="G385:I385"/>
    <mergeCell ref="J385:L385"/>
    <mergeCell ref="M385:O385"/>
    <mergeCell ref="P385:R385"/>
    <mergeCell ref="V381:W381"/>
    <mergeCell ref="Y381:Z381"/>
    <mergeCell ref="AB381:AC381"/>
    <mergeCell ref="AE381:AF381"/>
    <mergeCell ref="D382:E382"/>
    <mergeCell ref="G382:H382"/>
    <mergeCell ref="J382:K382"/>
    <mergeCell ref="M382:N382"/>
    <mergeCell ref="P382:Q382"/>
    <mergeCell ref="S382:T382"/>
    <mergeCell ref="V380:W380"/>
    <mergeCell ref="Y380:Z380"/>
    <mergeCell ref="AB380:AC380"/>
    <mergeCell ref="AE380:AF380"/>
    <mergeCell ref="D381:E381"/>
    <mergeCell ref="G381:H381"/>
    <mergeCell ref="J381:K381"/>
    <mergeCell ref="M381:N381"/>
    <mergeCell ref="P381:Q381"/>
    <mergeCell ref="S381:T381"/>
    <mergeCell ref="V379:X379"/>
    <mergeCell ref="Y379:AA379"/>
    <mergeCell ref="AB379:AD379"/>
    <mergeCell ref="AE379:AG379"/>
    <mergeCell ref="D380:E380"/>
    <mergeCell ref="G380:H380"/>
    <mergeCell ref="J380:K380"/>
    <mergeCell ref="M380:N380"/>
    <mergeCell ref="P380:Q380"/>
    <mergeCell ref="S380:T380"/>
    <mergeCell ref="V378:X378"/>
    <mergeCell ref="Y378:AA378"/>
    <mergeCell ref="AB378:AD378"/>
    <mergeCell ref="AE378:AG378"/>
    <mergeCell ref="D379:F379"/>
    <mergeCell ref="G379:I379"/>
    <mergeCell ref="J379:L379"/>
    <mergeCell ref="M379:O379"/>
    <mergeCell ref="P379:R379"/>
    <mergeCell ref="S379:U379"/>
    <mergeCell ref="D378:F378"/>
    <mergeCell ref="G378:I378"/>
    <mergeCell ref="J378:L378"/>
    <mergeCell ref="M378:O378"/>
    <mergeCell ref="P378:R378"/>
    <mergeCell ref="S378:U378"/>
    <mergeCell ref="P377:R377"/>
    <mergeCell ref="S377:U377"/>
    <mergeCell ref="V377:X377"/>
    <mergeCell ref="Y377:AA377"/>
    <mergeCell ref="AB377:AD377"/>
    <mergeCell ref="AE377:AG377"/>
    <mergeCell ref="S374:T374"/>
    <mergeCell ref="V374:W374"/>
    <mergeCell ref="Y374:Z374"/>
    <mergeCell ref="AB374:AC374"/>
    <mergeCell ref="AE374:AF374"/>
    <mergeCell ref="A377:B382"/>
    <mergeCell ref="D377:F377"/>
    <mergeCell ref="G377:I377"/>
    <mergeCell ref="J377:L377"/>
    <mergeCell ref="M377:O377"/>
    <mergeCell ref="S373:T373"/>
    <mergeCell ref="V373:W373"/>
    <mergeCell ref="Y373:Z373"/>
    <mergeCell ref="AB373:AC373"/>
    <mergeCell ref="AE373:AF373"/>
    <mergeCell ref="D374:E374"/>
    <mergeCell ref="G374:H374"/>
    <mergeCell ref="J374:K374"/>
    <mergeCell ref="M374:N374"/>
    <mergeCell ref="P374:Q374"/>
    <mergeCell ref="S372:T372"/>
    <mergeCell ref="V372:W372"/>
    <mergeCell ref="Y372:Z372"/>
    <mergeCell ref="AB372:AC372"/>
    <mergeCell ref="AE372:AF372"/>
    <mergeCell ref="D373:E373"/>
    <mergeCell ref="G373:H373"/>
    <mergeCell ref="J373:K373"/>
    <mergeCell ref="M373:N373"/>
    <mergeCell ref="P373:Q373"/>
    <mergeCell ref="S371:U371"/>
    <mergeCell ref="V371:X371"/>
    <mergeCell ref="Y371:AA371"/>
    <mergeCell ref="AB371:AD371"/>
    <mergeCell ref="AE371:AG371"/>
    <mergeCell ref="D372:E372"/>
    <mergeCell ref="G372:H372"/>
    <mergeCell ref="J372:K372"/>
    <mergeCell ref="M372:N372"/>
    <mergeCell ref="P372:Q372"/>
    <mergeCell ref="S370:U370"/>
    <mergeCell ref="V370:X370"/>
    <mergeCell ref="Y370:AA370"/>
    <mergeCell ref="AB370:AD370"/>
    <mergeCell ref="AE370:AG370"/>
    <mergeCell ref="D371:F371"/>
    <mergeCell ref="G371:I371"/>
    <mergeCell ref="J371:L371"/>
    <mergeCell ref="M371:O371"/>
    <mergeCell ref="P371:R371"/>
    <mergeCell ref="S369:U369"/>
    <mergeCell ref="V369:X369"/>
    <mergeCell ref="Y369:AA369"/>
    <mergeCell ref="AB369:AD369"/>
    <mergeCell ref="AE369:AG369"/>
    <mergeCell ref="D370:F370"/>
    <mergeCell ref="G370:I370"/>
    <mergeCell ref="J370:L370"/>
    <mergeCell ref="M370:O370"/>
    <mergeCell ref="P370:R370"/>
    <mergeCell ref="V366:W366"/>
    <mergeCell ref="Y366:Z366"/>
    <mergeCell ref="AB366:AC366"/>
    <mergeCell ref="AE366:AF366"/>
    <mergeCell ref="A369:B374"/>
    <mergeCell ref="D369:F369"/>
    <mergeCell ref="G369:I369"/>
    <mergeCell ref="J369:L369"/>
    <mergeCell ref="M369:O369"/>
    <mergeCell ref="P369:R369"/>
    <mergeCell ref="V365:W365"/>
    <mergeCell ref="Y365:Z365"/>
    <mergeCell ref="AB365:AC365"/>
    <mergeCell ref="AE365:AF365"/>
    <mergeCell ref="D366:E366"/>
    <mergeCell ref="G366:H366"/>
    <mergeCell ref="J366:K366"/>
    <mergeCell ref="M366:N366"/>
    <mergeCell ref="P366:Q366"/>
    <mergeCell ref="S366:T366"/>
    <mergeCell ref="V364:W364"/>
    <mergeCell ref="Y364:Z364"/>
    <mergeCell ref="AB364:AC364"/>
    <mergeCell ref="AE364:AF364"/>
    <mergeCell ref="D365:E365"/>
    <mergeCell ref="G365:H365"/>
    <mergeCell ref="J365:K365"/>
    <mergeCell ref="M365:N365"/>
    <mergeCell ref="P365:Q365"/>
    <mergeCell ref="S365:T365"/>
    <mergeCell ref="V363:X363"/>
    <mergeCell ref="Y363:AA363"/>
    <mergeCell ref="AB363:AD363"/>
    <mergeCell ref="AE363:AG363"/>
    <mergeCell ref="D364:E364"/>
    <mergeCell ref="G364:H364"/>
    <mergeCell ref="J364:K364"/>
    <mergeCell ref="M364:N364"/>
    <mergeCell ref="P364:Q364"/>
    <mergeCell ref="S364:T364"/>
    <mergeCell ref="V362:X362"/>
    <mergeCell ref="Y362:AA362"/>
    <mergeCell ref="AB362:AD362"/>
    <mergeCell ref="AE362:AG362"/>
    <mergeCell ref="D363:F363"/>
    <mergeCell ref="G363:I363"/>
    <mergeCell ref="J363:L363"/>
    <mergeCell ref="M363:O363"/>
    <mergeCell ref="P363:R363"/>
    <mergeCell ref="S363:U363"/>
    <mergeCell ref="D362:F362"/>
    <mergeCell ref="G362:I362"/>
    <mergeCell ref="J362:L362"/>
    <mergeCell ref="M362:O362"/>
    <mergeCell ref="P362:R362"/>
    <mergeCell ref="S362:U362"/>
    <mergeCell ref="P361:R361"/>
    <mergeCell ref="S361:U361"/>
    <mergeCell ref="V361:X361"/>
    <mergeCell ref="Y361:AA361"/>
    <mergeCell ref="AB361:AD361"/>
    <mergeCell ref="AE361:AG361"/>
    <mergeCell ref="S358:T358"/>
    <mergeCell ref="V358:W358"/>
    <mergeCell ref="Y358:Z358"/>
    <mergeCell ref="AB358:AC358"/>
    <mergeCell ref="AE358:AF358"/>
    <mergeCell ref="A361:B366"/>
    <mergeCell ref="D361:F361"/>
    <mergeCell ref="G361:I361"/>
    <mergeCell ref="J361:L361"/>
    <mergeCell ref="M361:O361"/>
    <mergeCell ref="S357:T357"/>
    <mergeCell ref="V357:W357"/>
    <mergeCell ref="Y357:Z357"/>
    <mergeCell ref="AB357:AC357"/>
    <mergeCell ref="AE357:AF357"/>
    <mergeCell ref="D358:E358"/>
    <mergeCell ref="G358:H358"/>
    <mergeCell ref="J358:K358"/>
    <mergeCell ref="M358:N358"/>
    <mergeCell ref="P358:Q358"/>
    <mergeCell ref="S356:T356"/>
    <mergeCell ref="V356:W356"/>
    <mergeCell ref="Y356:Z356"/>
    <mergeCell ref="AB356:AC356"/>
    <mergeCell ref="AE356:AF356"/>
    <mergeCell ref="D357:E357"/>
    <mergeCell ref="G357:H357"/>
    <mergeCell ref="J357:K357"/>
    <mergeCell ref="M357:N357"/>
    <mergeCell ref="P357:Q357"/>
    <mergeCell ref="S355:U355"/>
    <mergeCell ref="V355:X355"/>
    <mergeCell ref="Y355:AA355"/>
    <mergeCell ref="AB355:AD355"/>
    <mergeCell ref="AE355:AG355"/>
    <mergeCell ref="D356:E356"/>
    <mergeCell ref="G356:H356"/>
    <mergeCell ref="J356:K356"/>
    <mergeCell ref="M356:N356"/>
    <mergeCell ref="P356:Q356"/>
    <mergeCell ref="S354:U354"/>
    <mergeCell ref="V354:X354"/>
    <mergeCell ref="Y354:AA354"/>
    <mergeCell ref="AB354:AD354"/>
    <mergeCell ref="AE354:AG354"/>
    <mergeCell ref="D355:F355"/>
    <mergeCell ref="G355:I355"/>
    <mergeCell ref="J355:L355"/>
    <mergeCell ref="M355:O355"/>
    <mergeCell ref="P355:R355"/>
    <mergeCell ref="S353:U353"/>
    <mergeCell ref="V353:X353"/>
    <mergeCell ref="Y353:AA353"/>
    <mergeCell ref="AB353:AD353"/>
    <mergeCell ref="AE353:AG353"/>
    <mergeCell ref="D354:F354"/>
    <mergeCell ref="G354:I354"/>
    <mergeCell ref="J354:L354"/>
    <mergeCell ref="M354:O354"/>
    <mergeCell ref="P354:R354"/>
    <mergeCell ref="V350:W350"/>
    <mergeCell ref="Y350:Z350"/>
    <mergeCell ref="AB350:AC350"/>
    <mergeCell ref="AE350:AF350"/>
    <mergeCell ref="A353:B358"/>
    <mergeCell ref="D353:F353"/>
    <mergeCell ref="G353:I353"/>
    <mergeCell ref="J353:L353"/>
    <mergeCell ref="M353:O353"/>
    <mergeCell ref="P353:R353"/>
    <mergeCell ref="V349:W349"/>
    <mergeCell ref="Y349:Z349"/>
    <mergeCell ref="AB349:AC349"/>
    <mergeCell ref="AE349:AF349"/>
    <mergeCell ref="D350:E350"/>
    <mergeCell ref="G350:H350"/>
    <mergeCell ref="J350:K350"/>
    <mergeCell ref="M350:N350"/>
    <mergeCell ref="P350:Q350"/>
    <mergeCell ref="S350:T350"/>
    <mergeCell ref="V348:W348"/>
    <mergeCell ref="Y348:Z348"/>
    <mergeCell ref="AB348:AC348"/>
    <mergeCell ref="AE348:AF348"/>
    <mergeCell ref="D349:E349"/>
    <mergeCell ref="G349:H349"/>
    <mergeCell ref="J349:K349"/>
    <mergeCell ref="M349:N349"/>
    <mergeCell ref="P349:Q349"/>
    <mergeCell ref="S349:T349"/>
    <mergeCell ref="V347:X347"/>
    <mergeCell ref="Y347:AA347"/>
    <mergeCell ref="AB347:AD347"/>
    <mergeCell ref="AE347:AG347"/>
    <mergeCell ref="D348:E348"/>
    <mergeCell ref="G348:H348"/>
    <mergeCell ref="J348:K348"/>
    <mergeCell ref="M348:N348"/>
    <mergeCell ref="P348:Q348"/>
    <mergeCell ref="S348:T348"/>
    <mergeCell ref="V346:X346"/>
    <mergeCell ref="Y346:AA346"/>
    <mergeCell ref="AB346:AD346"/>
    <mergeCell ref="AE346:AG346"/>
    <mergeCell ref="D347:F347"/>
    <mergeCell ref="G347:I347"/>
    <mergeCell ref="J347:L347"/>
    <mergeCell ref="M347:O347"/>
    <mergeCell ref="P347:R347"/>
    <mergeCell ref="S347:U347"/>
    <mergeCell ref="D346:F346"/>
    <mergeCell ref="G346:I346"/>
    <mergeCell ref="J346:L346"/>
    <mergeCell ref="M346:O346"/>
    <mergeCell ref="P346:R346"/>
    <mergeCell ref="S346:U346"/>
    <mergeCell ref="P345:R345"/>
    <mergeCell ref="S345:U345"/>
    <mergeCell ref="V345:X345"/>
    <mergeCell ref="Y345:AA345"/>
    <mergeCell ref="AB345:AD345"/>
    <mergeCell ref="AE345:AG345"/>
    <mergeCell ref="S342:T342"/>
    <mergeCell ref="V342:W342"/>
    <mergeCell ref="Y342:Z342"/>
    <mergeCell ref="AB342:AC342"/>
    <mergeCell ref="AE342:AF342"/>
    <mergeCell ref="A345:B350"/>
    <mergeCell ref="D345:F345"/>
    <mergeCell ref="G345:I345"/>
    <mergeCell ref="J345:L345"/>
    <mergeCell ref="M345:O345"/>
    <mergeCell ref="S341:T341"/>
    <mergeCell ref="V341:W341"/>
    <mergeCell ref="Y341:Z341"/>
    <mergeCell ref="AB341:AC341"/>
    <mergeCell ref="AE341:AF341"/>
    <mergeCell ref="D342:E342"/>
    <mergeCell ref="G342:H342"/>
    <mergeCell ref="J342:K342"/>
    <mergeCell ref="M342:N342"/>
    <mergeCell ref="P342:Q342"/>
    <mergeCell ref="S340:T340"/>
    <mergeCell ref="V340:W340"/>
    <mergeCell ref="Y340:Z340"/>
    <mergeCell ref="AB340:AC340"/>
    <mergeCell ref="AE340:AF340"/>
    <mergeCell ref="D341:E341"/>
    <mergeCell ref="G341:H341"/>
    <mergeCell ref="J341:K341"/>
    <mergeCell ref="M341:N341"/>
    <mergeCell ref="P341:Q341"/>
    <mergeCell ref="S339:U339"/>
    <mergeCell ref="V339:X339"/>
    <mergeCell ref="Y339:AA339"/>
    <mergeCell ref="AB339:AD339"/>
    <mergeCell ref="AE339:AG339"/>
    <mergeCell ref="D340:E340"/>
    <mergeCell ref="G340:H340"/>
    <mergeCell ref="J340:K340"/>
    <mergeCell ref="M340:N340"/>
    <mergeCell ref="P340:Q340"/>
    <mergeCell ref="S338:U338"/>
    <mergeCell ref="V338:X338"/>
    <mergeCell ref="Y338:AA338"/>
    <mergeCell ref="AB338:AD338"/>
    <mergeCell ref="AE338:AG338"/>
    <mergeCell ref="D339:F339"/>
    <mergeCell ref="G339:I339"/>
    <mergeCell ref="J339:L339"/>
    <mergeCell ref="M339:O339"/>
    <mergeCell ref="P339:R339"/>
    <mergeCell ref="S337:U337"/>
    <mergeCell ref="V337:X337"/>
    <mergeCell ref="Y337:AA337"/>
    <mergeCell ref="AB337:AD337"/>
    <mergeCell ref="AE337:AG337"/>
    <mergeCell ref="D338:F338"/>
    <mergeCell ref="G338:I338"/>
    <mergeCell ref="J338:L338"/>
    <mergeCell ref="M338:O338"/>
    <mergeCell ref="P338:R338"/>
    <mergeCell ref="V334:W334"/>
    <mergeCell ref="Y334:Z334"/>
    <mergeCell ref="AB334:AC334"/>
    <mergeCell ref="AE334:AF334"/>
    <mergeCell ref="A337:B342"/>
    <mergeCell ref="D337:F337"/>
    <mergeCell ref="G337:I337"/>
    <mergeCell ref="J337:L337"/>
    <mergeCell ref="M337:O337"/>
    <mergeCell ref="P337:R337"/>
    <mergeCell ref="V333:W333"/>
    <mergeCell ref="Y333:Z333"/>
    <mergeCell ref="AB333:AC333"/>
    <mergeCell ref="AE333:AF333"/>
    <mergeCell ref="D334:E334"/>
    <mergeCell ref="G334:H334"/>
    <mergeCell ref="J334:K334"/>
    <mergeCell ref="M334:N334"/>
    <mergeCell ref="P334:Q334"/>
    <mergeCell ref="S334:T334"/>
    <mergeCell ref="V332:W332"/>
    <mergeCell ref="Y332:Z332"/>
    <mergeCell ref="AB332:AC332"/>
    <mergeCell ref="AE332:AF332"/>
    <mergeCell ref="D333:E333"/>
    <mergeCell ref="G333:H333"/>
    <mergeCell ref="J333:K333"/>
    <mergeCell ref="M333:N333"/>
    <mergeCell ref="P333:Q333"/>
    <mergeCell ref="S333:T333"/>
    <mergeCell ref="V331:X331"/>
    <mergeCell ref="Y331:AA331"/>
    <mergeCell ref="AB331:AD331"/>
    <mergeCell ref="AE331:AG331"/>
    <mergeCell ref="D332:E332"/>
    <mergeCell ref="G332:H332"/>
    <mergeCell ref="J332:K332"/>
    <mergeCell ref="M332:N332"/>
    <mergeCell ref="P332:Q332"/>
    <mergeCell ref="S332:T332"/>
    <mergeCell ref="V330:X330"/>
    <mergeCell ref="Y330:AA330"/>
    <mergeCell ref="AB330:AD330"/>
    <mergeCell ref="AE330:AG330"/>
    <mergeCell ref="D331:F331"/>
    <mergeCell ref="G331:I331"/>
    <mergeCell ref="J331:L331"/>
    <mergeCell ref="M331:O331"/>
    <mergeCell ref="P331:R331"/>
    <mergeCell ref="S331:U331"/>
    <mergeCell ref="D330:F330"/>
    <mergeCell ref="G330:I330"/>
    <mergeCell ref="J330:L330"/>
    <mergeCell ref="M330:O330"/>
    <mergeCell ref="P330:R330"/>
    <mergeCell ref="S330:U330"/>
    <mergeCell ref="P329:R329"/>
    <mergeCell ref="S329:U329"/>
    <mergeCell ref="V329:X329"/>
    <mergeCell ref="Y329:AA329"/>
    <mergeCell ref="AB329:AD329"/>
    <mergeCell ref="AE329:AG329"/>
    <mergeCell ref="S326:T326"/>
    <mergeCell ref="V326:W326"/>
    <mergeCell ref="Y326:Z326"/>
    <mergeCell ref="AB326:AC326"/>
    <mergeCell ref="AE326:AF326"/>
    <mergeCell ref="A329:B334"/>
    <mergeCell ref="D329:F329"/>
    <mergeCell ref="G329:I329"/>
    <mergeCell ref="J329:L329"/>
    <mergeCell ref="M329:O329"/>
    <mergeCell ref="S325:T325"/>
    <mergeCell ref="V325:W325"/>
    <mergeCell ref="Y325:Z325"/>
    <mergeCell ref="AB325:AC325"/>
    <mergeCell ref="AE325:AF325"/>
    <mergeCell ref="D326:E326"/>
    <mergeCell ref="G326:H326"/>
    <mergeCell ref="J326:K326"/>
    <mergeCell ref="M326:N326"/>
    <mergeCell ref="P326:Q326"/>
    <mergeCell ref="S324:T324"/>
    <mergeCell ref="V324:W324"/>
    <mergeCell ref="Y324:Z324"/>
    <mergeCell ref="AB324:AC324"/>
    <mergeCell ref="AE324:AF324"/>
    <mergeCell ref="D325:E325"/>
    <mergeCell ref="G325:H325"/>
    <mergeCell ref="J325:K325"/>
    <mergeCell ref="M325:N325"/>
    <mergeCell ref="P325:Q325"/>
    <mergeCell ref="S323:U323"/>
    <mergeCell ref="V323:X323"/>
    <mergeCell ref="Y323:AA323"/>
    <mergeCell ref="AB323:AD323"/>
    <mergeCell ref="AE323:AG323"/>
    <mergeCell ref="D324:E324"/>
    <mergeCell ref="G324:H324"/>
    <mergeCell ref="J324:K324"/>
    <mergeCell ref="M324:N324"/>
    <mergeCell ref="P324:Q324"/>
    <mergeCell ref="S322:U322"/>
    <mergeCell ref="V322:X322"/>
    <mergeCell ref="Y322:AA322"/>
    <mergeCell ref="AB322:AD322"/>
    <mergeCell ref="AE322:AG322"/>
    <mergeCell ref="D323:F323"/>
    <mergeCell ref="G323:I323"/>
    <mergeCell ref="J323:L323"/>
    <mergeCell ref="M323:O323"/>
    <mergeCell ref="P323:R323"/>
    <mergeCell ref="S321:U321"/>
    <mergeCell ref="V321:X321"/>
    <mergeCell ref="Y321:AA321"/>
    <mergeCell ref="AB321:AD321"/>
    <mergeCell ref="AE321:AG321"/>
    <mergeCell ref="D322:F322"/>
    <mergeCell ref="G322:I322"/>
    <mergeCell ref="J322:L322"/>
    <mergeCell ref="M322:O322"/>
    <mergeCell ref="P322:R322"/>
    <mergeCell ref="V318:W318"/>
    <mergeCell ref="Y318:Z318"/>
    <mergeCell ref="AB318:AC318"/>
    <mergeCell ref="AE318:AF318"/>
    <mergeCell ref="A321:B326"/>
    <mergeCell ref="D321:F321"/>
    <mergeCell ref="G321:I321"/>
    <mergeCell ref="J321:L321"/>
    <mergeCell ref="M321:O321"/>
    <mergeCell ref="P321:R321"/>
    <mergeCell ref="V317:W317"/>
    <mergeCell ref="Y317:Z317"/>
    <mergeCell ref="AB317:AC317"/>
    <mergeCell ref="AE317:AF317"/>
    <mergeCell ref="D318:E318"/>
    <mergeCell ref="G318:H318"/>
    <mergeCell ref="J318:K318"/>
    <mergeCell ref="M318:N318"/>
    <mergeCell ref="P318:Q318"/>
    <mergeCell ref="S318:T318"/>
    <mergeCell ref="V316:W316"/>
    <mergeCell ref="Y316:Z316"/>
    <mergeCell ref="AB316:AC316"/>
    <mergeCell ref="AE316:AF316"/>
    <mergeCell ref="D317:E317"/>
    <mergeCell ref="G317:H317"/>
    <mergeCell ref="J317:K317"/>
    <mergeCell ref="M317:N317"/>
    <mergeCell ref="P317:Q317"/>
    <mergeCell ref="S317:T317"/>
    <mergeCell ref="V315:X315"/>
    <mergeCell ref="Y315:AA315"/>
    <mergeCell ref="AB315:AD315"/>
    <mergeCell ref="AE315:AG315"/>
    <mergeCell ref="D316:E316"/>
    <mergeCell ref="G316:H316"/>
    <mergeCell ref="J316:K316"/>
    <mergeCell ref="M316:N316"/>
    <mergeCell ref="P316:Q316"/>
    <mergeCell ref="S316:T316"/>
    <mergeCell ref="V314:X314"/>
    <mergeCell ref="Y314:AA314"/>
    <mergeCell ref="AB314:AD314"/>
    <mergeCell ref="AE314:AG314"/>
    <mergeCell ref="D315:F315"/>
    <mergeCell ref="G315:I315"/>
    <mergeCell ref="J315:L315"/>
    <mergeCell ref="M315:O315"/>
    <mergeCell ref="P315:R315"/>
    <mergeCell ref="S315:U315"/>
    <mergeCell ref="D314:F314"/>
    <mergeCell ref="G314:I314"/>
    <mergeCell ref="J314:L314"/>
    <mergeCell ref="M314:O314"/>
    <mergeCell ref="P314:R314"/>
    <mergeCell ref="S314:U314"/>
    <mergeCell ref="P313:R313"/>
    <mergeCell ref="S313:U313"/>
    <mergeCell ref="V313:X313"/>
    <mergeCell ref="Y313:AA313"/>
    <mergeCell ref="AB313:AD313"/>
    <mergeCell ref="AE313:AG313"/>
    <mergeCell ref="S310:T310"/>
    <mergeCell ref="V310:W310"/>
    <mergeCell ref="Y310:Z310"/>
    <mergeCell ref="AB310:AC310"/>
    <mergeCell ref="AE310:AF310"/>
    <mergeCell ref="A313:B318"/>
    <mergeCell ref="D313:F313"/>
    <mergeCell ref="G313:I313"/>
    <mergeCell ref="J313:L313"/>
    <mergeCell ref="M313:O313"/>
    <mergeCell ref="S309:T309"/>
    <mergeCell ref="V309:W309"/>
    <mergeCell ref="Y309:Z309"/>
    <mergeCell ref="AB309:AC309"/>
    <mergeCell ref="AE309:AF309"/>
    <mergeCell ref="D310:E310"/>
    <mergeCell ref="G310:H310"/>
    <mergeCell ref="J310:K310"/>
    <mergeCell ref="M310:N310"/>
    <mergeCell ref="P310:Q310"/>
    <mergeCell ref="S308:T308"/>
    <mergeCell ref="V308:W308"/>
    <mergeCell ref="Y308:Z308"/>
    <mergeCell ref="AB308:AC308"/>
    <mergeCell ref="AE308:AF308"/>
    <mergeCell ref="D309:E309"/>
    <mergeCell ref="G309:H309"/>
    <mergeCell ref="J309:K309"/>
    <mergeCell ref="M309:N309"/>
    <mergeCell ref="P309:Q309"/>
    <mergeCell ref="S307:U307"/>
    <mergeCell ref="V307:X307"/>
    <mergeCell ref="Y307:AA307"/>
    <mergeCell ref="AB307:AD307"/>
    <mergeCell ref="AE307:AG307"/>
    <mergeCell ref="D308:E308"/>
    <mergeCell ref="G308:H308"/>
    <mergeCell ref="J308:K308"/>
    <mergeCell ref="M308:N308"/>
    <mergeCell ref="P308:Q308"/>
    <mergeCell ref="S306:U306"/>
    <mergeCell ref="V306:X306"/>
    <mergeCell ref="Y306:AA306"/>
    <mergeCell ref="AB306:AD306"/>
    <mergeCell ref="AE306:AG306"/>
    <mergeCell ref="D307:F307"/>
    <mergeCell ref="G307:I307"/>
    <mergeCell ref="J307:L307"/>
    <mergeCell ref="M307:O307"/>
    <mergeCell ref="P307:R307"/>
    <mergeCell ref="S305:U305"/>
    <mergeCell ref="V305:X305"/>
    <mergeCell ref="Y305:AA305"/>
    <mergeCell ref="AB305:AD305"/>
    <mergeCell ref="AE305:AG305"/>
    <mergeCell ref="D306:F306"/>
    <mergeCell ref="G306:I306"/>
    <mergeCell ref="J306:L306"/>
    <mergeCell ref="M306:O306"/>
    <mergeCell ref="P306:R306"/>
    <mergeCell ref="V302:W302"/>
    <mergeCell ref="Y302:Z302"/>
    <mergeCell ref="AB302:AC302"/>
    <mergeCell ref="AE302:AF302"/>
    <mergeCell ref="A305:B310"/>
    <mergeCell ref="D305:F305"/>
    <mergeCell ref="G305:I305"/>
    <mergeCell ref="J305:L305"/>
    <mergeCell ref="M305:O305"/>
    <mergeCell ref="P305:R305"/>
    <mergeCell ref="V301:W301"/>
    <mergeCell ref="Y301:Z301"/>
    <mergeCell ref="AB301:AC301"/>
    <mergeCell ref="AE301:AF301"/>
    <mergeCell ref="D302:E302"/>
    <mergeCell ref="G302:H302"/>
    <mergeCell ref="J302:K302"/>
    <mergeCell ref="M302:N302"/>
    <mergeCell ref="P302:Q302"/>
    <mergeCell ref="S302:T302"/>
    <mergeCell ref="V300:W300"/>
    <mergeCell ref="Y300:Z300"/>
    <mergeCell ref="AB300:AC300"/>
    <mergeCell ref="AE300:AF300"/>
    <mergeCell ref="D301:E301"/>
    <mergeCell ref="G301:H301"/>
    <mergeCell ref="J301:K301"/>
    <mergeCell ref="M301:N301"/>
    <mergeCell ref="P301:Q301"/>
    <mergeCell ref="S301:T301"/>
    <mergeCell ref="V299:X299"/>
    <mergeCell ref="Y299:AA299"/>
    <mergeCell ref="AB299:AD299"/>
    <mergeCell ref="AE299:AG299"/>
    <mergeCell ref="D300:E300"/>
    <mergeCell ref="G300:H300"/>
    <mergeCell ref="J300:K300"/>
    <mergeCell ref="M300:N300"/>
    <mergeCell ref="P300:Q300"/>
    <mergeCell ref="S300:T300"/>
    <mergeCell ref="V298:X298"/>
    <mergeCell ref="Y298:AA298"/>
    <mergeCell ref="AB298:AD298"/>
    <mergeCell ref="AE298:AG298"/>
    <mergeCell ref="D299:F299"/>
    <mergeCell ref="G299:I299"/>
    <mergeCell ref="J299:L299"/>
    <mergeCell ref="M299:O299"/>
    <mergeCell ref="P299:R299"/>
    <mergeCell ref="S299:U299"/>
    <mergeCell ref="D298:F298"/>
    <mergeCell ref="G298:I298"/>
    <mergeCell ref="J298:L298"/>
    <mergeCell ref="M298:O298"/>
    <mergeCell ref="P298:R298"/>
    <mergeCell ref="S298:U298"/>
    <mergeCell ref="P297:R297"/>
    <mergeCell ref="S297:U297"/>
    <mergeCell ref="V297:X297"/>
    <mergeCell ref="Y297:AA297"/>
    <mergeCell ref="AB297:AD297"/>
    <mergeCell ref="AE297:AG297"/>
    <mergeCell ref="S294:T294"/>
    <mergeCell ref="V294:W294"/>
    <mergeCell ref="Y294:Z294"/>
    <mergeCell ref="AB294:AC294"/>
    <mergeCell ref="AE294:AF294"/>
    <mergeCell ref="A297:B302"/>
    <mergeCell ref="D297:F297"/>
    <mergeCell ref="G297:I297"/>
    <mergeCell ref="J297:L297"/>
    <mergeCell ref="M297:O297"/>
    <mergeCell ref="S293:T293"/>
    <mergeCell ref="V293:W293"/>
    <mergeCell ref="Y293:Z293"/>
    <mergeCell ref="AB293:AC293"/>
    <mergeCell ref="AE293:AF293"/>
    <mergeCell ref="D294:E294"/>
    <mergeCell ref="G294:H294"/>
    <mergeCell ref="J294:K294"/>
    <mergeCell ref="M294:N294"/>
    <mergeCell ref="P294:Q294"/>
    <mergeCell ref="S292:T292"/>
    <mergeCell ref="V292:W292"/>
    <mergeCell ref="Y292:Z292"/>
    <mergeCell ref="AB292:AC292"/>
    <mergeCell ref="AE292:AF292"/>
    <mergeCell ref="D293:E293"/>
    <mergeCell ref="G293:H293"/>
    <mergeCell ref="J293:K293"/>
    <mergeCell ref="M293:N293"/>
    <mergeCell ref="P293:Q293"/>
    <mergeCell ref="S291:U291"/>
    <mergeCell ref="V291:X291"/>
    <mergeCell ref="Y291:AA291"/>
    <mergeCell ref="AB291:AD291"/>
    <mergeCell ref="AE291:AG291"/>
    <mergeCell ref="D292:E292"/>
    <mergeCell ref="G292:H292"/>
    <mergeCell ref="J292:K292"/>
    <mergeCell ref="M292:N292"/>
    <mergeCell ref="P292:Q292"/>
    <mergeCell ref="S290:U290"/>
    <mergeCell ref="V290:X290"/>
    <mergeCell ref="Y290:AA290"/>
    <mergeCell ref="AB290:AD290"/>
    <mergeCell ref="AE290:AG290"/>
    <mergeCell ref="D291:F291"/>
    <mergeCell ref="G291:I291"/>
    <mergeCell ref="J291:L291"/>
    <mergeCell ref="M291:O291"/>
    <mergeCell ref="P291:R291"/>
    <mergeCell ref="S289:U289"/>
    <mergeCell ref="V289:X289"/>
    <mergeCell ref="Y289:AA289"/>
    <mergeCell ref="AB289:AD289"/>
    <mergeCell ref="AE289:AG289"/>
    <mergeCell ref="D290:F290"/>
    <mergeCell ref="G290:I290"/>
    <mergeCell ref="J290:L290"/>
    <mergeCell ref="M290:O290"/>
    <mergeCell ref="P290:R290"/>
    <mergeCell ref="V286:W286"/>
    <mergeCell ref="Y286:Z286"/>
    <mergeCell ref="AB286:AC286"/>
    <mergeCell ref="AE286:AF286"/>
    <mergeCell ref="A289:B294"/>
    <mergeCell ref="D289:F289"/>
    <mergeCell ref="G289:I289"/>
    <mergeCell ref="J289:L289"/>
    <mergeCell ref="M289:O289"/>
    <mergeCell ref="P289:R289"/>
    <mergeCell ref="V285:W285"/>
    <mergeCell ref="Y285:Z285"/>
    <mergeCell ref="AB285:AC285"/>
    <mergeCell ref="AE285:AF285"/>
    <mergeCell ref="D286:E286"/>
    <mergeCell ref="G286:H286"/>
    <mergeCell ref="J286:K286"/>
    <mergeCell ref="M286:N286"/>
    <mergeCell ref="P286:Q286"/>
    <mergeCell ref="S286:T286"/>
    <mergeCell ref="V284:W284"/>
    <mergeCell ref="Y284:Z284"/>
    <mergeCell ref="AB284:AC284"/>
    <mergeCell ref="AE284:AF284"/>
    <mergeCell ref="D285:E285"/>
    <mergeCell ref="G285:H285"/>
    <mergeCell ref="J285:K285"/>
    <mergeCell ref="M285:N285"/>
    <mergeCell ref="P285:Q285"/>
    <mergeCell ref="S285:T285"/>
    <mergeCell ref="V283:X283"/>
    <mergeCell ref="Y283:AA283"/>
    <mergeCell ref="AB283:AD283"/>
    <mergeCell ref="AE283:AG283"/>
    <mergeCell ref="D284:E284"/>
    <mergeCell ref="G284:H284"/>
    <mergeCell ref="J284:K284"/>
    <mergeCell ref="M284:N284"/>
    <mergeCell ref="P284:Q284"/>
    <mergeCell ref="S284:T284"/>
    <mergeCell ref="V282:X282"/>
    <mergeCell ref="Y282:AA282"/>
    <mergeCell ref="AB282:AD282"/>
    <mergeCell ref="AE282:AG282"/>
    <mergeCell ref="D283:F283"/>
    <mergeCell ref="G283:I283"/>
    <mergeCell ref="J283:L283"/>
    <mergeCell ref="M283:O283"/>
    <mergeCell ref="P283:R283"/>
    <mergeCell ref="S283:U283"/>
    <mergeCell ref="D282:F282"/>
    <mergeCell ref="G282:I282"/>
    <mergeCell ref="J282:L282"/>
    <mergeCell ref="M282:O282"/>
    <mergeCell ref="P282:R282"/>
    <mergeCell ref="S282:U282"/>
    <mergeCell ref="P281:R281"/>
    <mergeCell ref="S281:U281"/>
    <mergeCell ref="V281:X281"/>
    <mergeCell ref="Y281:AA281"/>
    <mergeCell ref="AB281:AD281"/>
    <mergeCell ref="AE281:AG281"/>
    <mergeCell ref="S278:T278"/>
    <mergeCell ref="V278:W278"/>
    <mergeCell ref="Y278:Z278"/>
    <mergeCell ref="AB278:AC278"/>
    <mergeCell ref="AE278:AF278"/>
    <mergeCell ref="A281:B286"/>
    <mergeCell ref="D281:F281"/>
    <mergeCell ref="G281:I281"/>
    <mergeCell ref="J281:L281"/>
    <mergeCell ref="M281:O281"/>
    <mergeCell ref="S277:T277"/>
    <mergeCell ref="V277:W277"/>
    <mergeCell ref="Y277:Z277"/>
    <mergeCell ref="AB277:AC277"/>
    <mergeCell ref="AE277:AF277"/>
    <mergeCell ref="D278:E278"/>
    <mergeCell ref="G278:H278"/>
    <mergeCell ref="J278:K278"/>
    <mergeCell ref="M278:N278"/>
    <mergeCell ref="P278:Q278"/>
    <mergeCell ref="S276:T276"/>
    <mergeCell ref="V276:W276"/>
    <mergeCell ref="Y276:Z276"/>
    <mergeCell ref="AB276:AC276"/>
    <mergeCell ref="AE276:AF276"/>
    <mergeCell ref="D277:E277"/>
    <mergeCell ref="G277:H277"/>
    <mergeCell ref="J277:K277"/>
    <mergeCell ref="M277:N277"/>
    <mergeCell ref="P277:Q277"/>
    <mergeCell ref="S275:U275"/>
    <mergeCell ref="V275:X275"/>
    <mergeCell ref="Y275:AA275"/>
    <mergeCell ref="AB275:AD275"/>
    <mergeCell ref="AE275:AG275"/>
    <mergeCell ref="D276:E276"/>
    <mergeCell ref="G276:H276"/>
    <mergeCell ref="J276:K276"/>
    <mergeCell ref="M276:N276"/>
    <mergeCell ref="P276:Q276"/>
    <mergeCell ref="S274:U274"/>
    <mergeCell ref="V274:X274"/>
    <mergeCell ref="Y274:AA274"/>
    <mergeCell ref="AB274:AD274"/>
    <mergeCell ref="AE274:AG274"/>
    <mergeCell ref="D275:F275"/>
    <mergeCell ref="G275:I275"/>
    <mergeCell ref="J275:L275"/>
    <mergeCell ref="M275:O275"/>
    <mergeCell ref="P275:R275"/>
    <mergeCell ref="S273:U273"/>
    <mergeCell ref="V273:X273"/>
    <mergeCell ref="Y273:AA273"/>
    <mergeCell ref="AB273:AD273"/>
    <mergeCell ref="AE273:AG273"/>
    <mergeCell ref="D274:F274"/>
    <mergeCell ref="G274:I274"/>
    <mergeCell ref="J274:L274"/>
    <mergeCell ref="M274:O274"/>
    <mergeCell ref="P274:R274"/>
    <mergeCell ref="V270:W270"/>
    <mergeCell ref="Y270:Z270"/>
    <mergeCell ref="AB270:AC270"/>
    <mergeCell ref="AE270:AF270"/>
    <mergeCell ref="A273:B278"/>
    <mergeCell ref="D273:F273"/>
    <mergeCell ref="G273:I273"/>
    <mergeCell ref="J273:L273"/>
    <mergeCell ref="M273:O273"/>
    <mergeCell ref="P273:R273"/>
    <mergeCell ref="V269:W269"/>
    <mergeCell ref="Y269:Z269"/>
    <mergeCell ref="AB269:AC269"/>
    <mergeCell ref="AE269:AF269"/>
    <mergeCell ref="D270:E270"/>
    <mergeCell ref="G270:H270"/>
    <mergeCell ref="J270:K270"/>
    <mergeCell ref="M270:N270"/>
    <mergeCell ref="P270:Q270"/>
    <mergeCell ref="S270:T270"/>
    <mergeCell ref="V268:W268"/>
    <mergeCell ref="Y268:Z268"/>
    <mergeCell ref="AB268:AC268"/>
    <mergeCell ref="AE268:AF268"/>
    <mergeCell ref="D269:E269"/>
    <mergeCell ref="G269:H269"/>
    <mergeCell ref="J269:K269"/>
    <mergeCell ref="M269:N269"/>
    <mergeCell ref="P269:Q269"/>
    <mergeCell ref="S269:T269"/>
    <mergeCell ref="V267:X267"/>
    <mergeCell ref="Y267:AA267"/>
    <mergeCell ref="AB267:AD267"/>
    <mergeCell ref="AE267:AG267"/>
    <mergeCell ref="D268:E268"/>
    <mergeCell ref="G268:H268"/>
    <mergeCell ref="J268:K268"/>
    <mergeCell ref="M268:N268"/>
    <mergeCell ref="P268:Q268"/>
    <mergeCell ref="S268:T268"/>
    <mergeCell ref="V266:X266"/>
    <mergeCell ref="Y266:AA266"/>
    <mergeCell ref="AB266:AD266"/>
    <mergeCell ref="AE266:AG266"/>
    <mergeCell ref="D267:F267"/>
    <mergeCell ref="G267:I267"/>
    <mergeCell ref="J267:L267"/>
    <mergeCell ref="M267:O267"/>
    <mergeCell ref="P267:R267"/>
    <mergeCell ref="S267:U267"/>
    <mergeCell ref="D266:F266"/>
    <mergeCell ref="G266:I266"/>
    <mergeCell ref="J266:L266"/>
    <mergeCell ref="M266:O266"/>
    <mergeCell ref="P266:R266"/>
    <mergeCell ref="S266:U266"/>
    <mergeCell ref="P265:R265"/>
    <mergeCell ref="S265:U265"/>
    <mergeCell ref="V265:X265"/>
    <mergeCell ref="Y265:AA265"/>
    <mergeCell ref="AB265:AD265"/>
    <mergeCell ref="AE265:AG265"/>
    <mergeCell ref="S262:T262"/>
    <mergeCell ref="V262:W262"/>
    <mergeCell ref="Y262:Z262"/>
    <mergeCell ref="AB262:AC262"/>
    <mergeCell ref="AE262:AF262"/>
    <mergeCell ref="A265:B270"/>
    <mergeCell ref="D265:F265"/>
    <mergeCell ref="G265:I265"/>
    <mergeCell ref="J265:L265"/>
    <mergeCell ref="M265:O265"/>
    <mergeCell ref="S261:T261"/>
    <mergeCell ref="V261:W261"/>
    <mergeCell ref="Y261:Z261"/>
    <mergeCell ref="AB261:AC261"/>
    <mergeCell ref="AE261:AF261"/>
    <mergeCell ref="D262:E262"/>
    <mergeCell ref="G262:H262"/>
    <mergeCell ref="J262:K262"/>
    <mergeCell ref="M262:N262"/>
    <mergeCell ref="P262:Q262"/>
    <mergeCell ref="S260:T260"/>
    <mergeCell ref="V260:W260"/>
    <mergeCell ref="Y260:Z260"/>
    <mergeCell ref="AB260:AC260"/>
    <mergeCell ref="AE260:AF260"/>
    <mergeCell ref="D261:E261"/>
    <mergeCell ref="G261:H261"/>
    <mergeCell ref="J261:K261"/>
    <mergeCell ref="M261:N261"/>
    <mergeCell ref="P261:Q261"/>
    <mergeCell ref="S259:U259"/>
    <mergeCell ref="V259:X259"/>
    <mergeCell ref="Y259:AA259"/>
    <mergeCell ref="AB259:AD259"/>
    <mergeCell ref="AE259:AG259"/>
    <mergeCell ref="D260:E260"/>
    <mergeCell ref="G260:H260"/>
    <mergeCell ref="J260:K260"/>
    <mergeCell ref="M260:N260"/>
    <mergeCell ref="P260:Q260"/>
    <mergeCell ref="S258:U258"/>
    <mergeCell ref="V258:X258"/>
    <mergeCell ref="Y258:AA258"/>
    <mergeCell ref="AB258:AD258"/>
    <mergeCell ref="AE258:AG258"/>
    <mergeCell ref="D259:F259"/>
    <mergeCell ref="G259:I259"/>
    <mergeCell ref="J259:L259"/>
    <mergeCell ref="M259:O259"/>
    <mergeCell ref="P259:R259"/>
    <mergeCell ref="S257:U257"/>
    <mergeCell ref="V257:X257"/>
    <mergeCell ref="Y257:AA257"/>
    <mergeCell ref="AB257:AD257"/>
    <mergeCell ref="AE257:AG257"/>
    <mergeCell ref="D258:F258"/>
    <mergeCell ref="G258:I258"/>
    <mergeCell ref="J258:L258"/>
    <mergeCell ref="M258:O258"/>
    <mergeCell ref="P258:R258"/>
    <mergeCell ref="V254:W254"/>
    <mergeCell ref="Y254:Z254"/>
    <mergeCell ref="AB254:AC254"/>
    <mergeCell ref="AE254:AF254"/>
    <mergeCell ref="A257:B262"/>
    <mergeCell ref="D257:F257"/>
    <mergeCell ref="G257:I257"/>
    <mergeCell ref="J257:L257"/>
    <mergeCell ref="M257:O257"/>
    <mergeCell ref="P257:R257"/>
    <mergeCell ref="V253:W253"/>
    <mergeCell ref="Y253:Z253"/>
    <mergeCell ref="AB253:AC253"/>
    <mergeCell ref="AE253:AF253"/>
    <mergeCell ref="D254:E254"/>
    <mergeCell ref="G254:H254"/>
    <mergeCell ref="J254:K254"/>
    <mergeCell ref="M254:N254"/>
    <mergeCell ref="P254:Q254"/>
    <mergeCell ref="S254:T254"/>
    <mergeCell ref="V252:W252"/>
    <mergeCell ref="Y252:Z252"/>
    <mergeCell ref="AB252:AC252"/>
    <mergeCell ref="AE252:AF252"/>
    <mergeCell ref="D253:E253"/>
    <mergeCell ref="G253:H253"/>
    <mergeCell ref="J253:K253"/>
    <mergeCell ref="M253:N253"/>
    <mergeCell ref="P253:Q253"/>
    <mergeCell ref="S253:T253"/>
    <mergeCell ref="V251:X251"/>
    <mergeCell ref="Y251:AA251"/>
    <mergeCell ref="AB251:AD251"/>
    <mergeCell ref="AE251:AG251"/>
    <mergeCell ref="D252:E252"/>
    <mergeCell ref="G252:H252"/>
    <mergeCell ref="J252:K252"/>
    <mergeCell ref="M252:N252"/>
    <mergeCell ref="P252:Q252"/>
    <mergeCell ref="S252:T252"/>
    <mergeCell ref="V250:X250"/>
    <mergeCell ref="Y250:AA250"/>
    <mergeCell ref="AB250:AD250"/>
    <mergeCell ref="AE250:AG250"/>
    <mergeCell ref="D251:F251"/>
    <mergeCell ref="G251:I251"/>
    <mergeCell ref="J251:L251"/>
    <mergeCell ref="M251:O251"/>
    <mergeCell ref="P251:R251"/>
    <mergeCell ref="S251:U251"/>
    <mergeCell ref="D250:F250"/>
    <mergeCell ref="G250:I250"/>
    <mergeCell ref="J250:L250"/>
    <mergeCell ref="M250:O250"/>
    <mergeCell ref="P250:R250"/>
    <mergeCell ref="S250:U250"/>
    <mergeCell ref="P249:R249"/>
    <mergeCell ref="S249:U249"/>
    <mergeCell ref="V249:X249"/>
    <mergeCell ref="Y249:AA249"/>
    <mergeCell ref="AB249:AD249"/>
    <mergeCell ref="AE249:AG249"/>
    <mergeCell ref="S246:T246"/>
    <mergeCell ref="V246:W246"/>
    <mergeCell ref="Y246:Z246"/>
    <mergeCell ref="AB246:AC246"/>
    <mergeCell ref="AE246:AF246"/>
    <mergeCell ref="A249:B254"/>
    <mergeCell ref="D249:F249"/>
    <mergeCell ref="G249:I249"/>
    <mergeCell ref="J249:L249"/>
    <mergeCell ref="M249:O249"/>
    <mergeCell ref="S245:T245"/>
    <mergeCell ref="V245:W245"/>
    <mergeCell ref="Y245:Z245"/>
    <mergeCell ref="AB245:AC245"/>
    <mergeCell ref="AE245:AF245"/>
    <mergeCell ref="D246:E246"/>
    <mergeCell ref="G246:H246"/>
    <mergeCell ref="J246:K246"/>
    <mergeCell ref="M246:N246"/>
    <mergeCell ref="P246:Q246"/>
    <mergeCell ref="S244:T244"/>
    <mergeCell ref="V244:W244"/>
    <mergeCell ref="Y244:Z244"/>
    <mergeCell ref="AB244:AC244"/>
    <mergeCell ref="AE244:AF244"/>
    <mergeCell ref="D245:E245"/>
    <mergeCell ref="G245:H245"/>
    <mergeCell ref="J245:K245"/>
    <mergeCell ref="M245:N245"/>
    <mergeCell ref="P245:Q245"/>
    <mergeCell ref="S243:U243"/>
    <mergeCell ref="V243:X243"/>
    <mergeCell ref="Y243:AA243"/>
    <mergeCell ref="AB243:AD243"/>
    <mergeCell ref="AE243:AG243"/>
    <mergeCell ref="D244:E244"/>
    <mergeCell ref="G244:H244"/>
    <mergeCell ref="J244:K244"/>
    <mergeCell ref="M244:N244"/>
    <mergeCell ref="P244:Q244"/>
    <mergeCell ref="S242:U242"/>
    <mergeCell ref="V242:X242"/>
    <mergeCell ref="Y242:AA242"/>
    <mergeCell ref="AB242:AD242"/>
    <mergeCell ref="AE242:AG242"/>
    <mergeCell ref="D243:F243"/>
    <mergeCell ref="G243:I243"/>
    <mergeCell ref="J243:L243"/>
    <mergeCell ref="M243:O243"/>
    <mergeCell ref="P243:R243"/>
    <mergeCell ref="S241:U241"/>
    <mergeCell ref="V241:X241"/>
    <mergeCell ref="Y241:AA241"/>
    <mergeCell ref="AB241:AD241"/>
    <mergeCell ref="AE241:AG241"/>
    <mergeCell ref="D242:F242"/>
    <mergeCell ref="G242:I242"/>
    <mergeCell ref="J242:L242"/>
    <mergeCell ref="M242:O242"/>
    <mergeCell ref="P242:R242"/>
    <mergeCell ref="V238:W238"/>
    <mergeCell ref="Y238:Z238"/>
    <mergeCell ref="AB238:AC238"/>
    <mergeCell ref="AE238:AF238"/>
    <mergeCell ref="A241:B246"/>
    <mergeCell ref="D241:F241"/>
    <mergeCell ref="G241:I241"/>
    <mergeCell ref="J241:L241"/>
    <mergeCell ref="M241:O241"/>
    <mergeCell ref="P241:R241"/>
    <mergeCell ref="V237:W237"/>
    <mergeCell ref="Y237:Z237"/>
    <mergeCell ref="AB237:AC237"/>
    <mergeCell ref="AE237:AF237"/>
    <mergeCell ref="D238:E238"/>
    <mergeCell ref="G238:H238"/>
    <mergeCell ref="J238:K238"/>
    <mergeCell ref="M238:N238"/>
    <mergeCell ref="P238:Q238"/>
    <mergeCell ref="S238:T238"/>
    <mergeCell ref="V236:W236"/>
    <mergeCell ref="Y236:Z236"/>
    <mergeCell ref="AB236:AC236"/>
    <mergeCell ref="AE236:AF236"/>
    <mergeCell ref="D237:E237"/>
    <mergeCell ref="G237:H237"/>
    <mergeCell ref="J237:K237"/>
    <mergeCell ref="M237:N237"/>
    <mergeCell ref="P237:Q237"/>
    <mergeCell ref="S237:T237"/>
    <mergeCell ref="V235:X235"/>
    <mergeCell ref="Y235:AA235"/>
    <mergeCell ref="AB235:AD235"/>
    <mergeCell ref="AE235:AG235"/>
    <mergeCell ref="D236:E236"/>
    <mergeCell ref="G236:H236"/>
    <mergeCell ref="J236:K236"/>
    <mergeCell ref="M236:N236"/>
    <mergeCell ref="P236:Q236"/>
    <mergeCell ref="S236:T236"/>
    <mergeCell ref="V234:X234"/>
    <mergeCell ref="Y234:AA234"/>
    <mergeCell ref="AB234:AD234"/>
    <mergeCell ref="AE234:AG234"/>
    <mergeCell ref="D235:F235"/>
    <mergeCell ref="G235:I235"/>
    <mergeCell ref="J235:L235"/>
    <mergeCell ref="M235:O235"/>
    <mergeCell ref="P235:R235"/>
    <mergeCell ref="S235:U235"/>
    <mergeCell ref="D234:F234"/>
    <mergeCell ref="G234:I234"/>
    <mergeCell ref="J234:L234"/>
    <mergeCell ref="M234:O234"/>
    <mergeCell ref="P234:R234"/>
    <mergeCell ref="S234:U234"/>
    <mergeCell ref="P233:R233"/>
    <mergeCell ref="S233:U233"/>
    <mergeCell ref="V233:X233"/>
    <mergeCell ref="Y233:AA233"/>
    <mergeCell ref="AB233:AD233"/>
    <mergeCell ref="AE233:AG233"/>
    <mergeCell ref="S230:T230"/>
    <mergeCell ref="V230:W230"/>
    <mergeCell ref="Y230:Z230"/>
    <mergeCell ref="AB230:AC230"/>
    <mergeCell ref="AE230:AF230"/>
    <mergeCell ref="A233:B238"/>
    <mergeCell ref="D233:F233"/>
    <mergeCell ref="G233:I233"/>
    <mergeCell ref="J233:L233"/>
    <mergeCell ref="M233:O233"/>
    <mergeCell ref="S229:T229"/>
    <mergeCell ref="V229:W229"/>
    <mergeCell ref="Y229:Z229"/>
    <mergeCell ref="AB229:AC229"/>
    <mergeCell ref="AE229:AF229"/>
    <mergeCell ref="D230:E230"/>
    <mergeCell ref="G230:H230"/>
    <mergeCell ref="J230:K230"/>
    <mergeCell ref="M230:N230"/>
    <mergeCell ref="P230:Q230"/>
    <mergeCell ref="S228:T228"/>
    <mergeCell ref="V228:W228"/>
    <mergeCell ref="Y228:Z228"/>
    <mergeCell ref="AB228:AC228"/>
    <mergeCell ref="AE228:AF228"/>
    <mergeCell ref="D229:E229"/>
    <mergeCell ref="G229:H229"/>
    <mergeCell ref="J229:K229"/>
    <mergeCell ref="M229:N229"/>
    <mergeCell ref="P229:Q229"/>
    <mergeCell ref="S227:U227"/>
    <mergeCell ref="V227:X227"/>
    <mergeCell ref="Y227:AA227"/>
    <mergeCell ref="AB227:AD227"/>
    <mergeCell ref="AE227:AG227"/>
    <mergeCell ref="D228:E228"/>
    <mergeCell ref="G228:H228"/>
    <mergeCell ref="J228:K228"/>
    <mergeCell ref="M228:N228"/>
    <mergeCell ref="P228:Q228"/>
    <mergeCell ref="S226:U226"/>
    <mergeCell ref="V226:X226"/>
    <mergeCell ref="Y226:AA226"/>
    <mergeCell ref="AB226:AD226"/>
    <mergeCell ref="AE226:AG226"/>
    <mergeCell ref="D227:F227"/>
    <mergeCell ref="G227:I227"/>
    <mergeCell ref="J227:L227"/>
    <mergeCell ref="M227:O227"/>
    <mergeCell ref="P227:R227"/>
    <mergeCell ref="S225:U225"/>
    <mergeCell ref="V225:X225"/>
    <mergeCell ref="Y225:AA225"/>
    <mergeCell ref="AB225:AD225"/>
    <mergeCell ref="AE225:AG225"/>
    <mergeCell ref="D226:F226"/>
    <mergeCell ref="G226:I226"/>
    <mergeCell ref="J226:L226"/>
    <mergeCell ref="M226:O226"/>
    <mergeCell ref="P226:R226"/>
    <mergeCell ref="V222:W222"/>
    <mergeCell ref="Y222:Z222"/>
    <mergeCell ref="AB222:AC222"/>
    <mergeCell ref="AE222:AF222"/>
    <mergeCell ref="A225:B230"/>
    <mergeCell ref="D225:F225"/>
    <mergeCell ref="G225:I225"/>
    <mergeCell ref="J225:L225"/>
    <mergeCell ref="M225:O225"/>
    <mergeCell ref="P225:R225"/>
    <mergeCell ref="V221:W221"/>
    <mergeCell ref="Y221:Z221"/>
    <mergeCell ref="AB221:AC221"/>
    <mergeCell ref="AE221:AF221"/>
    <mergeCell ref="D222:E222"/>
    <mergeCell ref="G222:H222"/>
    <mergeCell ref="J222:K222"/>
    <mergeCell ref="M222:N222"/>
    <mergeCell ref="P222:Q222"/>
    <mergeCell ref="S222:T222"/>
    <mergeCell ref="V220:W220"/>
    <mergeCell ref="Y220:Z220"/>
    <mergeCell ref="AB220:AC220"/>
    <mergeCell ref="AE220:AF220"/>
    <mergeCell ref="D221:E221"/>
    <mergeCell ref="G221:H221"/>
    <mergeCell ref="J221:K221"/>
    <mergeCell ref="M221:N221"/>
    <mergeCell ref="P221:Q221"/>
    <mergeCell ref="S221:T221"/>
    <mergeCell ref="V219:X219"/>
    <mergeCell ref="Y219:AA219"/>
    <mergeCell ref="AB219:AD219"/>
    <mergeCell ref="AE219:AG219"/>
    <mergeCell ref="D220:E220"/>
    <mergeCell ref="G220:H220"/>
    <mergeCell ref="J220:K220"/>
    <mergeCell ref="M220:N220"/>
    <mergeCell ref="P220:Q220"/>
    <mergeCell ref="S220:T220"/>
    <mergeCell ref="V218:X218"/>
    <mergeCell ref="Y218:AA218"/>
    <mergeCell ref="AB218:AD218"/>
    <mergeCell ref="AE218:AG218"/>
    <mergeCell ref="D219:F219"/>
    <mergeCell ref="G219:I219"/>
    <mergeCell ref="J219:L219"/>
    <mergeCell ref="M219:O219"/>
    <mergeCell ref="P219:R219"/>
    <mergeCell ref="S219:U219"/>
    <mergeCell ref="D218:F218"/>
    <mergeCell ref="G218:I218"/>
    <mergeCell ref="J218:L218"/>
    <mergeCell ref="M218:O218"/>
    <mergeCell ref="P218:R218"/>
    <mergeCell ref="S218:U218"/>
    <mergeCell ref="P217:R217"/>
    <mergeCell ref="S217:U217"/>
    <mergeCell ref="V217:X217"/>
    <mergeCell ref="Y217:AA217"/>
    <mergeCell ref="AB217:AD217"/>
    <mergeCell ref="AE217:AG217"/>
    <mergeCell ref="S214:T214"/>
    <mergeCell ref="V214:W214"/>
    <mergeCell ref="Y214:Z214"/>
    <mergeCell ref="AB214:AC214"/>
    <mergeCell ref="AE214:AF214"/>
    <mergeCell ref="A217:B222"/>
    <mergeCell ref="D217:F217"/>
    <mergeCell ref="G217:I217"/>
    <mergeCell ref="J217:L217"/>
    <mergeCell ref="M217:O217"/>
    <mergeCell ref="S213:T213"/>
    <mergeCell ref="V213:W213"/>
    <mergeCell ref="Y213:Z213"/>
    <mergeCell ref="AB213:AC213"/>
    <mergeCell ref="AE213:AF213"/>
    <mergeCell ref="D214:E214"/>
    <mergeCell ref="G214:H214"/>
    <mergeCell ref="J214:K214"/>
    <mergeCell ref="M214:N214"/>
    <mergeCell ref="P214:Q214"/>
    <mergeCell ref="S212:T212"/>
    <mergeCell ref="V212:W212"/>
    <mergeCell ref="Y212:Z212"/>
    <mergeCell ref="AB212:AC212"/>
    <mergeCell ref="AE212:AF212"/>
    <mergeCell ref="D213:E213"/>
    <mergeCell ref="G213:H213"/>
    <mergeCell ref="J213:K213"/>
    <mergeCell ref="M213:N213"/>
    <mergeCell ref="P213:Q213"/>
    <mergeCell ref="S211:U211"/>
    <mergeCell ref="V211:X211"/>
    <mergeCell ref="Y211:AA211"/>
    <mergeCell ref="AB211:AD211"/>
    <mergeCell ref="AE211:AG211"/>
    <mergeCell ref="D212:E212"/>
    <mergeCell ref="G212:H212"/>
    <mergeCell ref="J212:K212"/>
    <mergeCell ref="M212:N212"/>
    <mergeCell ref="P212:Q212"/>
    <mergeCell ref="S210:U210"/>
    <mergeCell ref="V210:X210"/>
    <mergeCell ref="Y210:AA210"/>
    <mergeCell ref="AB210:AD210"/>
    <mergeCell ref="AE210:AG210"/>
    <mergeCell ref="D211:F211"/>
    <mergeCell ref="G211:I211"/>
    <mergeCell ref="J211:L211"/>
    <mergeCell ref="M211:O211"/>
    <mergeCell ref="P211:R211"/>
    <mergeCell ref="S209:U209"/>
    <mergeCell ref="V209:X209"/>
    <mergeCell ref="Y209:AA209"/>
    <mergeCell ref="AB209:AD209"/>
    <mergeCell ref="AE209:AG209"/>
    <mergeCell ref="D210:F210"/>
    <mergeCell ref="G210:I210"/>
    <mergeCell ref="J210:L210"/>
    <mergeCell ref="M210:O210"/>
    <mergeCell ref="P210:R210"/>
    <mergeCell ref="V206:W206"/>
    <mergeCell ref="Y206:Z206"/>
    <mergeCell ref="AB206:AC206"/>
    <mergeCell ref="AE206:AF206"/>
    <mergeCell ref="A209:B214"/>
    <mergeCell ref="D209:F209"/>
    <mergeCell ref="G209:I209"/>
    <mergeCell ref="J209:L209"/>
    <mergeCell ref="M209:O209"/>
    <mergeCell ref="P209:R209"/>
    <mergeCell ref="V205:W205"/>
    <mergeCell ref="Y205:Z205"/>
    <mergeCell ref="AB205:AC205"/>
    <mergeCell ref="AE205:AF205"/>
    <mergeCell ref="D206:E206"/>
    <mergeCell ref="G206:H206"/>
    <mergeCell ref="J206:K206"/>
    <mergeCell ref="M206:N206"/>
    <mergeCell ref="P206:Q206"/>
    <mergeCell ref="S206:T206"/>
    <mergeCell ref="V204:W204"/>
    <mergeCell ref="Y204:Z204"/>
    <mergeCell ref="AB204:AC204"/>
    <mergeCell ref="AE204:AF204"/>
    <mergeCell ref="D205:E205"/>
    <mergeCell ref="G205:H205"/>
    <mergeCell ref="J205:K205"/>
    <mergeCell ref="M205:N205"/>
    <mergeCell ref="P205:Q205"/>
    <mergeCell ref="S205:T205"/>
    <mergeCell ref="V203:X203"/>
    <mergeCell ref="Y203:AA203"/>
    <mergeCell ref="AB203:AD203"/>
    <mergeCell ref="AE203:AG203"/>
    <mergeCell ref="D204:E204"/>
    <mergeCell ref="G204:H204"/>
    <mergeCell ref="J204:K204"/>
    <mergeCell ref="M204:N204"/>
    <mergeCell ref="P204:Q204"/>
    <mergeCell ref="S204:T204"/>
    <mergeCell ref="V202:X202"/>
    <mergeCell ref="Y202:AA202"/>
    <mergeCell ref="AB202:AD202"/>
    <mergeCell ref="AE202:AG202"/>
    <mergeCell ref="D203:F203"/>
    <mergeCell ref="G203:I203"/>
    <mergeCell ref="J203:L203"/>
    <mergeCell ref="M203:O203"/>
    <mergeCell ref="P203:R203"/>
    <mergeCell ref="S203:U203"/>
    <mergeCell ref="D202:F202"/>
    <mergeCell ref="G202:I202"/>
    <mergeCell ref="J202:L202"/>
    <mergeCell ref="M202:O202"/>
    <mergeCell ref="P202:R202"/>
    <mergeCell ref="S202:U202"/>
    <mergeCell ref="P201:R201"/>
    <mergeCell ref="S201:U201"/>
    <mergeCell ref="V201:X201"/>
    <mergeCell ref="Y201:AA201"/>
    <mergeCell ref="AB201:AD201"/>
    <mergeCell ref="AE201:AG201"/>
    <mergeCell ref="S198:T198"/>
    <mergeCell ref="V198:W198"/>
    <mergeCell ref="Y198:Z198"/>
    <mergeCell ref="AB198:AC198"/>
    <mergeCell ref="AE198:AF198"/>
    <mergeCell ref="A201:B206"/>
    <mergeCell ref="D201:F201"/>
    <mergeCell ref="G201:I201"/>
    <mergeCell ref="J201:L201"/>
    <mergeCell ref="M201:O201"/>
    <mergeCell ref="S197:T197"/>
    <mergeCell ref="V197:W197"/>
    <mergeCell ref="Y197:Z197"/>
    <mergeCell ref="AB197:AC197"/>
    <mergeCell ref="AE197:AF197"/>
    <mergeCell ref="D198:E198"/>
    <mergeCell ref="G198:H198"/>
    <mergeCell ref="J198:K198"/>
    <mergeCell ref="M198:N198"/>
    <mergeCell ref="P198:Q198"/>
    <mergeCell ref="S196:T196"/>
    <mergeCell ref="V196:W196"/>
    <mergeCell ref="Y196:Z196"/>
    <mergeCell ref="AB196:AC196"/>
    <mergeCell ref="AE196:AF196"/>
    <mergeCell ref="D197:E197"/>
    <mergeCell ref="G197:H197"/>
    <mergeCell ref="J197:K197"/>
    <mergeCell ref="M197:N197"/>
    <mergeCell ref="P197:Q197"/>
    <mergeCell ref="S195:U195"/>
    <mergeCell ref="V195:X195"/>
    <mergeCell ref="Y195:AA195"/>
    <mergeCell ref="AB195:AD195"/>
    <mergeCell ref="AE195:AG195"/>
    <mergeCell ref="D196:E196"/>
    <mergeCell ref="G196:H196"/>
    <mergeCell ref="J196:K196"/>
    <mergeCell ref="M196:N196"/>
    <mergeCell ref="P196:Q196"/>
    <mergeCell ref="S194:U194"/>
    <mergeCell ref="V194:X194"/>
    <mergeCell ref="Y194:AA194"/>
    <mergeCell ref="AB194:AD194"/>
    <mergeCell ref="AE194:AG194"/>
    <mergeCell ref="D195:F195"/>
    <mergeCell ref="G195:I195"/>
    <mergeCell ref="J195:L195"/>
    <mergeCell ref="M195:O195"/>
    <mergeCell ref="P195:R195"/>
    <mergeCell ref="S193:U193"/>
    <mergeCell ref="V193:X193"/>
    <mergeCell ref="Y193:AA193"/>
    <mergeCell ref="AB193:AD193"/>
    <mergeCell ref="AE193:AG193"/>
    <mergeCell ref="D194:F194"/>
    <mergeCell ref="G194:I194"/>
    <mergeCell ref="J194:L194"/>
    <mergeCell ref="M194:O194"/>
    <mergeCell ref="P194:R194"/>
    <mergeCell ref="V190:W190"/>
    <mergeCell ref="Y190:Z190"/>
    <mergeCell ref="AB190:AC190"/>
    <mergeCell ref="AE190:AF190"/>
    <mergeCell ref="A193:B198"/>
    <mergeCell ref="D193:F193"/>
    <mergeCell ref="G193:I193"/>
    <mergeCell ref="J193:L193"/>
    <mergeCell ref="M193:O193"/>
    <mergeCell ref="P193:R193"/>
    <mergeCell ref="V189:W189"/>
    <mergeCell ref="Y189:Z189"/>
    <mergeCell ref="AB189:AC189"/>
    <mergeCell ref="AE189:AF189"/>
    <mergeCell ref="D190:E190"/>
    <mergeCell ref="G190:H190"/>
    <mergeCell ref="J190:K190"/>
    <mergeCell ref="M190:N190"/>
    <mergeCell ref="P190:Q190"/>
    <mergeCell ref="S190:T190"/>
    <mergeCell ref="V188:W188"/>
    <mergeCell ref="Y188:Z188"/>
    <mergeCell ref="AB188:AC188"/>
    <mergeCell ref="AE188:AF188"/>
    <mergeCell ref="D189:E189"/>
    <mergeCell ref="G189:H189"/>
    <mergeCell ref="J189:K189"/>
    <mergeCell ref="M189:N189"/>
    <mergeCell ref="P189:Q189"/>
    <mergeCell ref="S189:T189"/>
    <mergeCell ref="V187:X187"/>
    <mergeCell ref="Y187:AA187"/>
    <mergeCell ref="AB187:AD187"/>
    <mergeCell ref="AE187:AG187"/>
    <mergeCell ref="D188:E188"/>
    <mergeCell ref="G188:H188"/>
    <mergeCell ref="J188:K188"/>
    <mergeCell ref="M188:N188"/>
    <mergeCell ref="P188:Q188"/>
    <mergeCell ref="S188:T188"/>
    <mergeCell ref="V186:X186"/>
    <mergeCell ref="Y186:AA186"/>
    <mergeCell ref="AB186:AD186"/>
    <mergeCell ref="AE186:AG186"/>
    <mergeCell ref="D187:F187"/>
    <mergeCell ref="G187:I187"/>
    <mergeCell ref="J187:L187"/>
    <mergeCell ref="M187:O187"/>
    <mergeCell ref="P187:R187"/>
    <mergeCell ref="S187:U187"/>
    <mergeCell ref="D186:F186"/>
    <mergeCell ref="G186:I186"/>
    <mergeCell ref="J186:L186"/>
    <mergeCell ref="M186:O186"/>
    <mergeCell ref="P186:R186"/>
    <mergeCell ref="S186:U186"/>
    <mergeCell ref="P185:R185"/>
    <mergeCell ref="S185:U185"/>
    <mergeCell ref="V185:X185"/>
    <mergeCell ref="Y185:AA185"/>
    <mergeCell ref="AB185:AD185"/>
    <mergeCell ref="AE185:AG185"/>
    <mergeCell ref="S182:T182"/>
    <mergeCell ref="V182:W182"/>
    <mergeCell ref="Y182:Z182"/>
    <mergeCell ref="AB182:AC182"/>
    <mergeCell ref="AE182:AF182"/>
    <mergeCell ref="A185:B190"/>
    <mergeCell ref="D185:F185"/>
    <mergeCell ref="G185:I185"/>
    <mergeCell ref="J185:L185"/>
    <mergeCell ref="M185:O185"/>
    <mergeCell ref="S181:T181"/>
    <mergeCell ref="V181:W181"/>
    <mergeCell ref="Y181:Z181"/>
    <mergeCell ref="AB181:AC181"/>
    <mergeCell ref="AE181:AF181"/>
    <mergeCell ref="D182:E182"/>
    <mergeCell ref="G182:H182"/>
    <mergeCell ref="J182:K182"/>
    <mergeCell ref="M182:N182"/>
    <mergeCell ref="P182:Q182"/>
    <mergeCell ref="S180:T180"/>
    <mergeCell ref="V180:W180"/>
    <mergeCell ref="Y180:Z180"/>
    <mergeCell ref="AB180:AC180"/>
    <mergeCell ref="AE180:AF180"/>
    <mergeCell ref="D181:E181"/>
    <mergeCell ref="G181:H181"/>
    <mergeCell ref="J181:K181"/>
    <mergeCell ref="M181:N181"/>
    <mergeCell ref="P181:Q181"/>
    <mergeCell ref="S179:U179"/>
    <mergeCell ref="V179:X179"/>
    <mergeCell ref="Y179:AA179"/>
    <mergeCell ref="AB179:AD179"/>
    <mergeCell ref="AE179:AG179"/>
    <mergeCell ref="D180:E180"/>
    <mergeCell ref="G180:H180"/>
    <mergeCell ref="J180:K180"/>
    <mergeCell ref="M180:N180"/>
    <mergeCell ref="P180:Q180"/>
    <mergeCell ref="S178:U178"/>
    <mergeCell ref="V178:X178"/>
    <mergeCell ref="Y178:AA178"/>
    <mergeCell ref="AB178:AD178"/>
    <mergeCell ref="AE178:AG178"/>
    <mergeCell ref="D179:F179"/>
    <mergeCell ref="G179:I179"/>
    <mergeCell ref="J179:L179"/>
    <mergeCell ref="M179:O179"/>
    <mergeCell ref="P179:R179"/>
    <mergeCell ref="S177:U177"/>
    <mergeCell ref="V177:X177"/>
    <mergeCell ref="Y177:AA177"/>
    <mergeCell ref="AB177:AD177"/>
    <mergeCell ref="AE177:AG177"/>
    <mergeCell ref="D178:F178"/>
    <mergeCell ref="G178:I178"/>
    <mergeCell ref="J178:L178"/>
    <mergeCell ref="M178:O178"/>
    <mergeCell ref="P178:R178"/>
    <mergeCell ref="V174:W174"/>
    <mergeCell ref="Y174:Z174"/>
    <mergeCell ref="AB174:AC174"/>
    <mergeCell ref="AE174:AF174"/>
    <mergeCell ref="A177:B182"/>
    <mergeCell ref="D177:F177"/>
    <mergeCell ref="G177:I177"/>
    <mergeCell ref="J177:L177"/>
    <mergeCell ref="M177:O177"/>
    <mergeCell ref="P177:R177"/>
    <mergeCell ref="V173:W173"/>
    <mergeCell ref="Y173:Z173"/>
    <mergeCell ref="AB173:AC173"/>
    <mergeCell ref="AE173:AF173"/>
    <mergeCell ref="D174:E174"/>
    <mergeCell ref="G174:H174"/>
    <mergeCell ref="J174:K174"/>
    <mergeCell ref="M174:N174"/>
    <mergeCell ref="P174:Q174"/>
    <mergeCell ref="S174:T174"/>
    <mergeCell ref="V172:W172"/>
    <mergeCell ref="Y172:Z172"/>
    <mergeCell ref="AB172:AC172"/>
    <mergeCell ref="AE172:AF172"/>
    <mergeCell ref="D173:E173"/>
    <mergeCell ref="G173:H173"/>
    <mergeCell ref="J173:K173"/>
    <mergeCell ref="M173:N173"/>
    <mergeCell ref="P173:Q173"/>
    <mergeCell ref="S173:T173"/>
    <mergeCell ref="V171:X171"/>
    <mergeCell ref="Y171:AA171"/>
    <mergeCell ref="AB171:AD171"/>
    <mergeCell ref="AE171:AG171"/>
    <mergeCell ref="D172:E172"/>
    <mergeCell ref="G172:H172"/>
    <mergeCell ref="J172:K172"/>
    <mergeCell ref="M172:N172"/>
    <mergeCell ref="P172:Q172"/>
    <mergeCell ref="S172:T172"/>
    <mergeCell ref="V170:X170"/>
    <mergeCell ref="Y170:AA170"/>
    <mergeCell ref="AB170:AD170"/>
    <mergeCell ref="AE170:AG170"/>
    <mergeCell ref="D171:F171"/>
    <mergeCell ref="G171:I171"/>
    <mergeCell ref="J171:L171"/>
    <mergeCell ref="M171:O171"/>
    <mergeCell ref="P171:R171"/>
    <mergeCell ref="S171:U171"/>
    <mergeCell ref="D170:F170"/>
    <mergeCell ref="G170:I170"/>
    <mergeCell ref="J170:L170"/>
    <mergeCell ref="M170:O170"/>
    <mergeCell ref="P170:R170"/>
    <mergeCell ref="S170:U170"/>
    <mergeCell ref="P169:R169"/>
    <mergeCell ref="S169:U169"/>
    <mergeCell ref="V169:X169"/>
    <mergeCell ref="Y169:AA169"/>
    <mergeCell ref="AB169:AD169"/>
    <mergeCell ref="AE169:AG169"/>
    <mergeCell ref="S166:T166"/>
    <mergeCell ref="V166:W166"/>
    <mergeCell ref="Y166:Z166"/>
    <mergeCell ref="AB166:AC166"/>
    <mergeCell ref="AE166:AF166"/>
    <mergeCell ref="A169:B174"/>
    <mergeCell ref="D169:F169"/>
    <mergeCell ref="G169:I169"/>
    <mergeCell ref="J169:L169"/>
    <mergeCell ref="M169:O169"/>
    <mergeCell ref="S165:T165"/>
    <mergeCell ref="V165:W165"/>
    <mergeCell ref="Y165:Z165"/>
    <mergeCell ref="AB165:AC165"/>
    <mergeCell ref="AE165:AF165"/>
    <mergeCell ref="D166:E166"/>
    <mergeCell ref="G166:H166"/>
    <mergeCell ref="J166:K166"/>
    <mergeCell ref="M166:N166"/>
    <mergeCell ref="P166:Q166"/>
    <mergeCell ref="S164:T164"/>
    <mergeCell ref="V164:W164"/>
    <mergeCell ref="Y164:Z164"/>
    <mergeCell ref="AB164:AC164"/>
    <mergeCell ref="AE164:AF164"/>
    <mergeCell ref="D165:E165"/>
    <mergeCell ref="G165:H165"/>
    <mergeCell ref="J165:K165"/>
    <mergeCell ref="M165:N165"/>
    <mergeCell ref="P165:Q165"/>
    <mergeCell ref="S163:U163"/>
    <mergeCell ref="V163:X163"/>
    <mergeCell ref="Y163:AA163"/>
    <mergeCell ref="AB163:AD163"/>
    <mergeCell ref="AE163:AG163"/>
    <mergeCell ref="D164:E164"/>
    <mergeCell ref="G164:H164"/>
    <mergeCell ref="J164:K164"/>
    <mergeCell ref="M164:N164"/>
    <mergeCell ref="P164:Q164"/>
    <mergeCell ref="S162:U162"/>
    <mergeCell ref="V162:X162"/>
    <mergeCell ref="Y162:AA162"/>
    <mergeCell ref="AB162:AD162"/>
    <mergeCell ref="AE162:AG162"/>
    <mergeCell ref="D163:F163"/>
    <mergeCell ref="G163:I163"/>
    <mergeCell ref="J163:L163"/>
    <mergeCell ref="M163:O163"/>
    <mergeCell ref="P163:R163"/>
    <mergeCell ref="S161:U161"/>
    <mergeCell ref="V161:X161"/>
    <mergeCell ref="Y161:AA161"/>
    <mergeCell ref="AB161:AD161"/>
    <mergeCell ref="AE161:AG161"/>
    <mergeCell ref="D162:F162"/>
    <mergeCell ref="G162:I162"/>
    <mergeCell ref="J162:L162"/>
    <mergeCell ref="M162:O162"/>
    <mergeCell ref="P162:R162"/>
    <mergeCell ref="V158:W158"/>
    <mergeCell ref="Y158:Z158"/>
    <mergeCell ref="AB158:AC158"/>
    <mergeCell ref="AE158:AF158"/>
    <mergeCell ref="A161:B166"/>
    <mergeCell ref="D161:F161"/>
    <mergeCell ref="G161:I161"/>
    <mergeCell ref="J161:L161"/>
    <mergeCell ref="M161:O161"/>
    <mergeCell ref="P161:R161"/>
    <mergeCell ref="V157:W157"/>
    <mergeCell ref="Y157:Z157"/>
    <mergeCell ref="AB157:AC157"/>
    <mergeCell ref="AE157:AF157"/>
    <mergeCell ref="D158:E158"/>
    <mergeCell ref="G158:H158"/>
    <mergeCell ref="J158:K158"/>
    <mergeCell ref="M158:N158"/>
    <mergeCell ref="P158:Q158"/>
    <mergeCell ref="S158:T158"/>
    <mergeCell ref="V156:W156"/>
    <mergeCell ref="Y156:Z156"/>
    <mergeCell ref="AB156:AC156"/>
    <mergeCell ref="AE156:AF156"/>
    <mergeCell ref="D157:E157"/>
    <mergeCell ref="G157:H157"/>
    <mergeCell ref="J157:K157"/>
    <mergeCell ref="M157:N157"/>
    <mergeCell ref="P157:Q157"/>
    <mergeCell ref="S157:T157"/>
    <mergeCell ref="V155:X155"/>
    <mergeCell ref="Y155:AA155"/>
    <mergeCell ref="AB155:AD155"/>
    <mergeCell ref="AE155:AG155"/>
    <mergeCell ref="D156:E156"/>
    <mergeCell ref="G156:H156"/>
    <mergeCell ref="J156:K156"/>
    <mergeCell ref="M156:N156"/>
    <mergeCell ref="P156:Q156"/>
    <mergeCell ref="S156:T156"/>
    <mergeCell ref="V154:X154"/>
    <mergeCell ref="Y154:AA154"/>
    <mergeCell ref="AB154:AD154"/>
    <mergeCell ref="AE154:AG154"/>
    <mergeCell ref="D155:F155"/>
    <mergeCell ref="G155:I155"/>
    <mergeCell ref="J155:L155"/>
    <mergeCell ref="M155:O155"/>
    <mergeCell ref="P155:R155"/>
    <mergeCell ref="S155:U155"/>
    <mergeCell ref="D154:F154"/>
    <mergeCell ref="G154:I154"/>
    <mergeCell ref="J154:L154"/>
    <mergeCell ref="M154:O154"/>
    <mergeCell ref="P154:R154"/>
    <mergeCell ref="S154:U154"/>
    <mergeCell ref="P153:R153"/>
    <mergeCell ref="S153:U153"/>
    <mergeCell ref="V153:X153"/>
    <mergeCell ref="Y153:AA153"/>
    <mergeCell ref="AB153:AD153"/>
    <mergeCell ref="AE153:AG153"/>
    <mergeCell ref="S150:T150"/>
    <mergeCell ref="V150:W150"/>
    <mergeCell ref="Y150:Z150"/>
    <mergeCell ref="AB150:AC150"/>
    <mergeCell ref="AE150:AF150"/>
    <mergeCell ref="A153:B158"/>
    <mergeCell ref="D153:F153"/>
    <mergeCell ref="G153:I153"/>
    <mergeCell ref="J153:L153"/>
    <mergeCell ref="M153:O153"/>
    <mergeCell ref="S149:T149"/>
    <mergeCell ref="V149:W149"/>
    <mergeCell ref="Y149:Z149"/>
    <mergeCell ref="AB149:AC149"/>
    <mergeCell ref="AE149:AF149"/>
    <mergeCell ref="D150:E150"/>
    <mergeCell ref="G150:H150"/>
    <mergeCell ref="J150:K150"/>
    <mergeCell ref="M150:N150"/>
    <mergeCell ref="P150:Q150"/>
    <mergeCell ref="S148:T148"/>
    <mergeCell ref="V148:W148"/>
    <mergeCell ref="Y148:Z148"/>
    <mergeCell ref="AB148:AC148"/>
    <mergeCell ref="AE148:AF148"/>
    <mergeCell ref="D149:E149"/>
    <mergeCell ref="G149:H149"/>
    <mergeCell ref="J149:K149"/>
    <mergeCell ref="M149:N149"/>
    <mergeCell ref="P149:Q149"/>
    <mergeCell ref="S147:U147"/>
    <mergeCell ref="V147:X147"/>
    <mergeCell ref="Y147:AA147"/>
    <mergeCell ref="AB147:AD147"/>
    <mergeCell ref="AE147:AG147"/>
    <mergeCell ref="D148:E148"/>
    <mergeCell ref="G148:H148"/>
    <mergeCell ref="J148:K148"/>
    <mergeCell ref="M148:N148"/>
    <mergeCell ref="P148:Q148"/>
    <mergeCell ref="S146:U146"/>
    <mergeCell ref="V146:X146"/>
    <mergeCell ref="Y146:AA146"/>
    <mergeCell ref="AB146:AD146"/>
    <mergeCell ref="AE146:AG146"/>
    <mergeCell ref="D147:F147"/>
    <mergeCell ref="G147:I147"/>
    <mergeCell ref="J147:L147"/>
    <mergeCell ref="M147:O147"/>
    <mergeCell ref="P147:R147"/>
    <mergeCell ref="S145:U145"/>
    <mergeCell ref="V145:X145"/>
    <mergeCell ref="Y145:AA145"/>
    <mergeCell ref="AB145:AD145"/>
    <mergeCell ref="AE145:AG145"/>
    <mergeCell ref="D146:F146"/>
    <mergeCell ref="G146:I146"/>
    <mergeCell ref="J146:L146"/>
    <mergeCell ref="M146:O146"/>
    <mergeCell ref="P146:R146"/>
    <mergeCell ref="V142:W142"/>
    <mergeCell ref="Y142:Z142"/>
    <mergeCell ref="AB142:AC142"/>
    <mergeCell ref="AE142:AF142"/>
    <mergeCell ref="A145:B150"/>
    <mergeCell ref="D145:F145"/>
    <mergeCell ref="G145:I145"/>
    <mergeCell ref="J145:L145"/>
    <mergeCell ref="M145:O145"/>
    <mergeCell ref="P145:R145"/>
    <mergeCell ref="V141:W141"/>
    <mergeCell ref="Y141:Z141"/>
    <mergeCell ref="AB141:AC141"/>
    <mergeCell ref="AE141:AF141"/>
    <mergeCell ref="D142:E142"/>
    <mergeCell ref="G142:H142"/>
    <mergeCell ref="J142:K142"/>
    <mergeCell ref="M142:N142"/>
    <mergeCell ref="P142:Q142"/>
    <mergeCell ref="S142:T142"/>
    <mergeCell ref="V140:W140"/>
    <mergeCell ref="Y140:Z140"/>
    <mergeCell ref="AB140:AC140"/>
    <mergeCell ref="AE140:AF140"/>
    <mergeCell ref="D141:E141"/>
    <mergeCell ref="G141:H141"/>
    <mergeCell ref="J141:K141"/>
    <mergeCell ref="M141:N141"/>
    <mergeCell ref="P141:Q141"/>
    <mergeCell ref="S141:T141"/>
    <mergeCell ref="V139:X139"/>
    <mergeCell ref="Y139:AA139"/>
    <mergeCell ref="AB139:AD139"/>
    <mergeCell ref="AE139:AG139"/>
    <mergeCell ref="D140:E140"/>
    <mergeCell ref="G140:H140"/>
    <mergeCell ref="J140:K140"/>
    <mergeCell ref="M140:N140"/>
    <mergeCell ref="P140:Q140"/>
    <mergeCell ref="S140:T140"/>
    <mergeCell ref="V138:X138"/>
    <mergeCell ref="Y138:AA138"/>
    <mergeCell ref="AB138:AD138"/>
    <mergeCell ref="AE138:AG138"/>
    <mergeCell ref="D139:F139"/>
    <mergeCell ref="G139:I139"/>
    <mergeCell ref="J139:L139"/>
    <mergeCell ref="M139:O139"/>
    <mergeCell ref="P139:R139"/>
    <mergeCell ref="S139:U139"/>
    <mergeCell ref="D138:F138"/>
    <mergeCell ref="G138:I138"/>
    <mergeCell ref="J138:L138"/>
    <mergeCell ref="M138:O138"/>
    <mergeCell ref="P138:R138"/>
    <mergeCell ref="S138:U138"/>
    <mergeCell ref="P137:R137"/>
    <mergeCell ref="S137:U137"/>
    <mergeCell ref="V137:X137"/>
    <mergeCell ref="Y137:AA137"/>
    <mergeCell ref="AB137:AD137"/>
    <mergeCell ref="AE137:AG137"/>
    <mergeCell ref="S134:T134"/>
    <mergeCell ref="V134:W134"/>
    <mergeCell ref="Y134:Z134"/>
    <mergeCell ref="AB134:AC134"/>
    <mergeCell ref="AE134:AF134"/>
    <mergeCell ref="A137:B142"/>
    <mergeCell ref="D137:F137"/>
    <mergeCell ref="G137:I137"/>
    <mergeCell ref="J137:L137"/>
    <mergeCell ref="M137:O137"/>
    <mergeCell ref="S133:T133"/>
    <mergeCell ref="V133:W133"/>
    <mergeCell ref="Y133:Z133"/>
    <mergeCell ref="AB133:AC133"/>
    <mergeCell ref="AE133:AF133"/>
    <mergeCell ref="D134:E134"/>
    <mergeCell ref="G134:H134"/>
    <mergeCell ref="J134:K134"/>
    <mergeCell ref="M134:N134"/>
    <mergeCell ref="P134:Q134"/>
    <mergeCell ref="S132:T132"/>
    <mergeCell ref="V132:W132"/>
    <mergeCell ref="Y132:Z132"/>
    <mergeCell ref="AB132:AC132"/>
    <mergeCell ref="AE132:AF132"/>
    <mergeCell ref="D133:E133"/>
    <mergeCell ref="G133:H133"/>
    <mergeCell ref="J133:K133"/>
    <mergeCell ref="M133:N133"/>
    <mergeCell ref="P133:Q133"/>
    <mergeCell ref="S131:U131"/>
    <mergeCell ref="V131:X131"/>
    <mergeCell ref="Y131:AA131"/>
    <mergeCell ref="AB131:AD131"/>
    <mergeCell ref="AE131:AG131"/>
    <mergeCell ref="D132:E132"/>
    <mergeCell ref="G132:H132"/>
    <mergeCell ref="J132:K132"/>
    <mergeCell ref="M132:N132"/>
    <mergeCell ref="P132:Q132"/>
    <mergeCell ref="S130:U130"/>
    <mergeCell ref="V130:X130"/>
    <mergeCell ref="Y130:AA130"/>
    <mergeCell ref="AB130:AD130"/>
    <mergeCell ref="AE130:AG130"/>
    <mergeCell ref="D131:F131"/>
    <mergeCell ref="G131:I131"/>
    <mergeCell ref="J131:L131"/>
    <mergeCell ref="M131:O131"/>
    <mergeCell ref="P131:R131"/>
    <mergeCell ref="S129:U129"/>
    <mergeCell ref="V129:X129"/>
    <mergeCell ref="Y129:AA129"/>
    <mergeCell ref="AB129:AD129"/>
    <mergeCell ref="AE129:AG129"/>
    <mergeCell ref="D130:F130"/>
    <mergeCell ref="G130:I130"/>
    <mergeCell ref="J130:L130"/>
    <mergeCell ref="M130:O130"/>
    <mergeCell ref="P130:R130"/>
    <mergeCell ref="V126:W126"/>
    <mergeCell ref="Y126:Z126"/>
    <mergeCell ref="AB126:AC126"/>
    <mergeCell ref="AE126:AF126"/>
    <mergeCell ref="A129:B134"/>
    <mergeCell ref="D129:F129"/>
    <mergeCell ref="G129:I129"/>
    <mergeCell ref="J129:L129"/>
    <mergeCell ref="M129:O129"/>
    <mergeCell ref="P129:R129"/>
    <mergeCell ref="V125:W125"/>
    <mergeCell ref="Y125:Z125"/>
    <mergeCell ref="AB125:AC125"/>
    <mergeCell ref="AE125:AF125"/>
    <mergeCell ref="D126:E126"/>
    <mergeCell ref="G126:H126"/>
    <mergeCell ref="J126:K126"/>
    <mergeCell ref="M126:N126"/>
    <mergeCell ref="P126:Q126"/>
    <mergeCell ref="S126:T126"/>
    <mergeCell ref="V124:W124"/>
    <mergeCell ref="Y124:Z124"/>
    <mergeCell ref="AB124:AC124"/>
    <mergeCell ref="AE124:AF124"/>
    <mergeCell ref="D125:E125"/>
    <mergeCell ref="G125:H125"/>
    <mergeCell ref="J125:K125"/>
    <mergeCell ref="M125:N125"/>
    <mergeCell ref="P125:Q125"/>
    <mergeCell ref="S125:T125"/>
    <mergeCell ref="V123:X123"/>
    <mergeCell ref="Y123:AA123"/>
    <mergeCell ref="AB123:AD123"/>
    <mergeCell ref="AE123:AG123"/>
    <mergeCell ref="D124:E124"/>
    <mergeCell ref="G124:H124"/>
    <mergeCell ref="J124:K124"/>
    <mergeCell ref="M124:N124"/>
    <mergeCell ref="P124:Q124"/>
    <mergeCell ref="S124:T124"/>
    <mergeCell ref="V122:X122"/>
    <mergeCell ref="Y122:AA122"/>
    <mergeCell ref="AB122:AD122"/>
    <mergeCell ref="AE122:AG122"/>
    <mergeCell ref="D123:F123"/>
    <mergeCell ref="G123:I123"/>
    <mergeCell ref="J123:L123"/>
    <mergeCell ref="M123:O123"/>
    <mergeCell ref="P123:R123"/>
    <mergeCell ref="S123:U123"/>
    <mergeCell ref="D122:F122"/>
    <mergeCell ref="G122:I122"/>
    <mergeCell ref="J122:L122"/>
    <mergeCell ref="M122:O122"/>
    <mergeCell ref="P122:R122"/>
    <mergeCell ref="S122:U122"/>
    <mergeCell ref="P121:R121"/>
    <mergeCell ref="S121:U121"/>
    <mergeCell ref="V121:X121"/>
    <mergeCell ref="Y121:AA121"/>
    <mergeCell ref="AB121:AD121"/>
    <mergeCell ref="AE121:AG121"/>
    <mergeCell ref="S118:T118"/>
    <mergeCell ref="V118:W118"/>
    <mergeCell ref="Y118:Z118"/>
    <mergeCell ref="AB118:AC118"/>
    <mergeCell ref="AE118:AF118"/>
    <mergeCell ref="A121:B126"/>
    <mergeCell ref="D121:F121"/>
    <mergeCell ref="G121:I121"/>
    <mergeCell ref="J121:L121"/>
    <mergeCell ref="M121:O121"/>
    <mergeCell ref="S117:T117"/>
    <mergeCell ref="V117:W117"/>
    <mergeCell ref="Y117:Z117"/>
    <mergeCell ref="AB117:AC117"/>
    <mergeCell ref="AE117:AF117"/>
    <mergeCell ref="D118:E118"/>
    <mergeCell ref="G118:H118"/>
    <mergeCell ref="J118:K118"/>
    <mergeCell ref="M118:N118"/>
    <mergeCell ref="P118:Q118"/>
    <mergeCell ref="S116:T116"/>
    <mergeCell ref="V116:W116"/>
    <mergeCell ref="Y116:Z116"/>
    <mergeCell ref="AB116:AC116"/>
    <mergeCell ref="AE116:AF116"/>
    <mergeCell ref="D117:E117"/>
    <mergeCell ref="G117:H117"/>
    <mergeCell ref="J117:K117"/>
    <mergeCell ref="M117:N117"/>
    <mergeCell ref="P117:Q117"/>
    <mergeCell ref="S115:U115"/>
    <mergeCell ref="V115:X115"/>
    <mergeCell ref="Y115:AA115"/>
    <mergeCell ref="AB115:AD115"/>
    <mergeCell ref="AE115:AG115"/>
    <mergeCell ref="D116:E116"/>
    <mergeCell ref="G116:H116"/>
    <mergeCell ref="J116:K116"/>
    <mergeCell ref="M116:N116"/>
    <mergeCell ref="P116:Q116"/>
    <mergeCell ref="S114:U114"/>
    <mergeCell ref="V114:X114"/>
    <mergeCell ref="Y114:AA114"/>
    <mergeCell ref="AB114:AD114"/>
    <mergeCell ref="AE114:AG114"/>
    <mergeCell ref="D115:F115"/>
    <mergeCell ref="G115:I115"/>
    <mergeCell ref="J115:L115"/>
    <mergeCell ref="M115:O115"/>
    <mergeCell ref="P115:R115"/>
    <mergeCell ref="S113:U113"/>
    <mergeCell ref="V113:X113"/>
    <mergeCell ref="Y113:AA113"/>
    <mergeCell ref="AB113:AD113"/>
    <mergeCell ref="AE113:AG113"/>
    <mergeCell ref="D114:F114"/>
    <mergeCell ref="G114:I114"/>
    <mergeCell ref="J114:L114"/>
    <mergeCell ref="M114:O114"/>
    <mergeCell ref="P114:R114"/>
    <mergeCell ref="V110:W110"/>
    <mergeCell ref="Y110:Z110"/>
    <mergeCell ref="AB110:AC110"/>
    <mergeCell ref="AE110:AF110"/>
    <mergeCell ref="A113:B118"/>
    <mergeCell ref="D113:F113"/>
    <mergeCell ref="G113:I113"/>
    <mergeCell ref="J113:L113"/>
    <mergeCell ref="M113:O113"/>
    <mergeCell ref="P113:R113"/>
    <mergeCell ref="V109:W109"/>
    <mergeCell ref="Y109:Z109"/>
    <mergeCell ref="AB109:AC109"/>
    <mergeCell ref="AE109:AF109"/>
    <mergeCell ref="D110:E110"/>
    <mergeCell ref="G110:H110"/>
    <mergeCell ref="J110:K110"/>
    <mergeCell ref="M110:N110"/>
    <mergeCell ref="P110:Q110"/>
    <mergeCell ref="S110:T110"/>
    <mergeCell ref="V108:W108"/>
    <mergeCell ref="Y108:Z108"/>
    <mergeCell ref="AB108:AC108"/>
    <mergeCell ref="AE108:AF108"/>
    <mergeCell ref="D109:E109"/>
    <mergeCell ref="G109:H109"/>
    <mergeCell ref="J109:K109"/>
    <mergeCell ref="M109:N109"/>
    <mergeCell ref="P109:Q109"/>
    <mergeCell ref="S109:T109"/>
    <mergeCell ref="V107:X107"/>
    <mergeCell ref="Y107:AA107"/>
    <mergeCell ref="AB107:AD107"/>
    <mergeCell ref="AE107:AG107"/>
    <mergeCell ref="D108:E108"/>
    <mergeCell ref="G108:H108"/>
    <mergeCell ref="J108:K108"/>
    <mergeCell ref="M108:N108"/>
    <mergeCell ref="P108:Q108"/>
    <mergeCell ref="S108:T108"/>
    <mergeCell ref="V106:X106"/>
    <mergeCell ref="Y106:AA106"/>
    <mergeCell ref="AB106:AD106"/>
    <mergeCell ref="AE106:AG106"/>
    <mergeCell ref="D107:F107"/>
    <mergeCell ref="G107:I107"/>
    <mergeCell ref="J107:L107"/>
    <mergeCell ref="M107:O107"/>
    <mergeCell ref="P107:R107"/>
    <mergeCell ref="S107:U107"/>
    <mergeCell ref="D106:F106"/>
    <mergeCell ref="G106:I106"/>
    <mergeCell ref="J106:L106"/>
    <mergeCell ref="M106:O106"/>
    <mergeCell ref="P106:R106"/>
    <mergeCell ref="S106:U106"/>
    <mergeCell ref="P105:R105"/>
    <mergeCell ref="S105:U105"/>
    <mergeCell ref="V105:X105"/>
    <mergeCell ref="Y105:AA105"/>
    <mergeCell ref="AB105:AD105"/>
    <mergeCell ref="AE105:AG105"/>
    <mergeCell ref="S102:T102"/>
    <mergeCell ref="V102:W102"/>
    <mergeCell ref="Y102:Z102"/>
    <mergeCell ref="AB102:AC102"/>
    <mergeCell ref="AE102:AF102"/>
    <mergeCell ref="A105:B110"/>
    <mergeCell ref="D105:F105"/>
    <mergeCell ref="G105:I105"/>
    <mergeCell ref="J105:L105"/>
    <mergeCell ref="M105:O105"/>
    <mergeCell ref="S101:T101"/>
    <mergeCell ref="V101:W101"/>
    <mergeCell ref="Y101:Z101"/>
    <mergeCell ref="AB101:AC101"/>
    <mergeCell ref="AE101:AF101"/>
    <mergeCell ref="D102:E102"/>
    <mergeCell ref="G102:H102"/>
    <mergeCell ref="J102:K102"/>
    <mergeCell ref="M102:N102"/>
    <mergeCell ref="P102:Q102"/>
    <mergeCell ref="S100:T100"/>
    <mergeCell ref="V100:W100"/>
    <mergeCell ref="Y100:Z100"/>
    <mergeCell ref="AB100:AC100"/>
    <mergeCell ref="AE100:AF100"/>
    <mergeCell ref="D101:E101"/>
    <mergeCell ref="G101:H101"/>
    <mergeCell ref="J101:K101"/>
    <mergeCell ref="M101:N101"/>
    <mergeCell ref="P101:Q101"/>
    <mergeCell ref="S99:U99"/>
    <mergeCell ref="V99:X99"/>
    <mergeCell ref="Y99:AA99"/>
    <mergeCell ref="AB99:AD99"/>
    <mergeCell ref="AE99:AG99"/>
    <mergeCell ref="D100:E100"/>
    <mergeCell ref="G100:H100"/>
    <mergeCell ref="J100:K100"/>
    <mergeCell ref="M100:N100"/>
    <mergeCell ref="P100:Q100"/>
    <mergeCell ref="S98:U98"/>
    <mergeCell ref="V98:X98"/>
    <mergeCell ref="Y98:AA98"/>
    <mergeCell ref="AB98:AD98"/>
    <mergeCell ref="AE98:AG98"/>
    <mergeCell ref="D99:F99"/>
    <mergeCell ref="G99:I99"/>
    <mergeCell ref="J99:L99"/>
    <mergeCell ref="M99:O99"/>
    <mergeCell ref="P99:R99"/>
    <mergeCell ref="S97:U97"/>
    <mergeCell ref="V97:X97"/>
    <mergeCell ref="Y97:AA97"/>
    <mergeCell ref="AB97:AD97"/>
    <mergeCell ref="AE97:AG97"/>
    <mergeCell ref="D98:F98"/>
    <mergeCell ref="G98:I98"/>
    <mergeCell ref="J98:L98"/>
    <mergeCell ref="M98:O98"/>
    <mergeCell ref="P98:R98"/>
    <mergeCell ref="V94:W94"/>
    <mergeCell ref="Y94:Z94"/>
    <mergeCell ref="AB94:AC94"/>
    <mergeCell ref="AE94:AF94"/>
    <mergeCell ref="A97:B102"/>
    <mergeCell ref="D97:F97"/>
    <mergeCell ref="G97:I97"/>
    <mergeCell ref="J97:L97"/>
    <mergeCell ref="M97:O97"/>
    <mergeCell ref="P97:R97"/>
    <mergeCell ref="V93:W93"/>
    <mergeCell ref="Y93:Z93"/>
    <mergeCell ref="AB93:AC93"/>
    <mergeCell ref="AE93:AF93"/>
    <mergeCell ref="D94:E94"/>
    <mergeCell ref="G94:H94"/>
    <mergeCell ref="J94:K94"/>
    <mergeCell ref="M94:N94"/>
    <mergeCell ref="P94:Q94"/>
    <mergeCell ref="S94:T94"/>
    <mergeCell ref="V92:W92"/>
    <mergeCell ref="Y92:Z92"/>
    <mergeCell ref="AB92:AC92"/>
    <mergeCell ref="AE92:AF92"/>
    <mergeCell ref="D93:E93"/>
    <mergeCell ref="G93:H93"/>
    <mergeCell ref="J93:K93"/>
    <mergeCell ref="M93:N93"/>
    <mergeCell ref="P93:Q93"/>
    <mergeCell ref="S93:T93"/>
    <mergeCell ref="V91:X91"/>
    <mergeCell ref="Y91:AA91"/>
    <mergeCell ref="AB91:AD91"/>
    <mergeCell ref="AE91:AG91"/>
    <mergeCell ref="D92:E92"/>
    <mergeCell ref="G92:H92"/>
    <mergeCell ref="J92:K92"/>
    <mergeCell ref="M92:N92"/>
    <mergeCell ref="P92:Q92"/>
    <mergeCell ref="S92:T92"/>
    <mergeCell ref="V90:X90"/>
    <mergeCell ref="Y90:AA90"/>
    <mergeCell ref="AB90:AD90"/>
    <mergeCell ref="AE90:AG90"/>
    <mergeCell ref="D91:F91"/>
    <mergeCell ref="G91:I91"/>
    <mergeCell ref="J91:L91"/>
    <mergeCell ref="M91:O91"/>
    <mergeCell ref="P91:R91"/>
    <mergeCell ref="S91:U91"/>
    <mergeCell ref="D90:F90"/>
    <mergeCell ref="G90:I90"/>
    <mergeCell ref="J90:L90"/>
    <mergeCell ref="M90:O90"/>
    <mergeCell ref="P90:R90"/>
    <mergeCell ref="S90:U90"/>
    <mergeCell ref="P89:R89"/>
    <mergeCell ref="S89:U89"/>
    <mergeCell ref="V89:X89"/>
    <mergeCell ref="Y89:AA89"/>
    <mergeCell ref="AB89:AD89"/>
    <mergeCell ref="AE89:AG89"/>
    <mergeCell ref="S86:T86"/>
    <mergeCell ref="V86:W86"/>
    <mergeCell ref="Y86:Z86"/>
    <mergeCell ref="AB86:AC86"/>
    <mergeCell ref="AE86:AF86"/>
    <mergeCell ref="A89:B94"/>
    <mergeCell ref="D89:F89"/>
    <mergeCell ref="G89:I89"/>
    <mergeCell ref="J89:L89"/>
    <mergeCell ref="M89:O89"/>
    <mergeCell ref="S85:T85"/>
    <mergeCell ref="V85:W85"/>
    <mergeCell ref="Y85:Z85"/>
    <mergeCell ref="AB85:AC85"/>
    <mergeCell ref="AE85:AF85"/>
    <mergeCell ref="D86:E86"/>
    <mergeCell ref="G86:H86"/>
    <mergeCell ref="J86:K86"/>
    <mergeCell ref="M86:N86"/>
    <mergeCell ref="P86:Q86"/>
    <mergeCell ref="S84:T84"/>
    <mergeCell ref="V84:W84"/>
    <mergeCell ref="Y84:Z84"/>
    <mergeCell ref="AB84:AC84"/>
    <mergeCell ref="AE84:AF84"/>
    <mergeCell ref="D85:E85"/>
    <mergeCell ref="G85:H85"/>
    <mergeCell ref="J85:K85"/>
    <mergeCell ref="M85:N85"/>
    <mergeCell ref="P85:Q85"/>
    <mergeCell ref="S83:U83"/>
    <mergeCell ref="V83:X83"/>
    <mergeCell ref="Y83:AA83"/>
    <mergeCell ref="AB83:AD83"/>
    <mergeCell ref="AE83:AG83"/>
    <mergeCell ref="D84:E84"/>
    <mergeCell ref="G84:H84"/>
    <mergeCell ref="J84:K84"/>
    <mergeCell ref="M84:N84"/>
    <mergeCell ref="P84:Q84"/>
    <mergeCell ref="S82:U82"/>
    <mergeCell ref="V82:X82"/>
    <mergeCell ref="Y82:AA82"/>
    <mergeCell ref="AB82:AD82"/>
    <mergeCell ref="AE82:AG82"/>
    <mergeCell ref="D83:F83"/>
    <mergeCell ref="G83:I83"/>
    <mergeCell ref="J83:L83"/>
    <mergeCell ref="M83:O83"/>
    <mergeCell ref="P83:R83"/>
    <mergeCell ref="S81:U81"/>
    <mergeCell ref="V81:X81"/>
    <mergeCell ref="Y81:AA81"/>
    <mergeCell ref="AB81:AD81"/>
    <mergeCell ref="AE81:AG81"/>
    <mergeCell ref="D82:F82"/>
    <mergeCell ref="G82:I82"/>
    <mergeCell ref="J82:L82"/>
    <mergeCell ref="M82:O82"/>
    <mergeCell ref="P82:R82"/>
    <mergeCell ref="V78:W78"/>
    <mergeCell ref="Y78:Z78"/>
    <mergeCell ref="AB78:AC78"/>
    <mergeCell ref="AE78:AF78"/>
    <mergeCell ref="A81:B86"/>
    <mergeCell ref="D81:F81"/>
    <mergeCell ref="G81:I81"/>
    <mergeCell ref="J81:L81"/>
    <mergeCell ref="M81:O81"/>
    <mergeCell ref="P81:R81"/>
    <mergeCell ref="V77:W77"/>
    <mergeCell ref="Y77:Z77"/>
    <mergeCell ref="AB77:AC77"/>
    <mergeCell ref="AE77:AF77"/>
    <mergeCell ref="D78:E78"/>
    <mergeCell ref="G78:H78"/>
    <mergeCell ref="J78:K78"/>
    <mergeCell ref="M78:N78"/>
    <mergeCell ref="P78:Q78"/>
    <mergeCell ref="S78:T78"/>
    <mergeCell ref="V76:W76"/>
    <mergeCell ref="Y76:Z76"/>
    <mergeCell ref="AB76:AC76"/>
    <mergeCell ref="AE76:AF76"/>
    <mergeCell ref="D77:E77"/>
    <mergeCell ref="G77:H77"/>
    <mergeCell ref="J77:K77"/>
    <mergeCell ref="M77:N77"/>
    <mergeCell ref="P77:Q77"/>
    <mergeCell ref="S77:T77"/>
    <mergeCell ref="V75:X75"/>
    <mergeCell ref="Y75:AA75"/>
    <mergeCell ref="AB75:AD75"/>
    <mergeCell ref="AE75:AG75"/>
    <mergeCell ref="D76:E76"/>
    <mergeCell ref="G76:H76"/>
    <mergeCell ref="J76:K76"/>
    <mergeCell ref="M76:N76"/>
    <mergeCell ref="P76:Q76"/>
    <mergeCell ref="S76:T76"/>
    <mergeCell ref="V74:X74"/>
    <mergeCell ref="Y74:AA74"/>
    <mergeCell ref="AB74:AD74"/>
    <mergeCell ref="AE74:AG74"/>
    <mergeCell ref="D75:F75"/>
    <mergeCell ref="G75:I75"/>
    <mergeCell ref="J75:L75"/>
    <mergeCell ref="M75:O75"/>
    <mergeCell ref="P75:R75"/>
    <mergeCell ref="S75:U75"/>
    <mergeCell ref="D74:F74"/>
    <mergeCell ref="G74:I74"/>
    <mergeCell ref="J74:L74"/>
    <mergeCell ref="M74:O74"/>
    <mergeCell ref="P74:R74"/>
    <mergeCell ref="S74:U74"/>
    <mergeCell ref="P73:R73"/>
    <mergeCell ref="S73:U73"/>
    <mergeCell ref="V73:X73"/>
    <mergeCell ref="Y73:AA73"/>
    <mergeCell ref="AB73:AD73"/>
    <mergeCell ref="AE73:AG73"/>
    <mergeCell ref="S70:T70"/>
    <mergeCell ref="V70:W70"/>
    <mergeCell ref="Y70:Z70"/>
    <mergeCell ref="AB70:AC70"/>
    <mergeCell ref="AE70:AF70"/>
    <mergeCell ref="A73:B78"/>
    <mergeCell ref="D73:F73"/>
    <mergeCell ref="G73:I73"/>
    <mergeCell ref="J73:L73"/>
    <mergeCell ref="M73:O73"/>
    <mergeCell ref="S69:T69"/>
    <mergeCell ref="V69:W69"/>
    <mergeCell ref="Y69:Z69"/>
    <mergeCell ref="AB69:AC69"/>
    <mergeCell ref="AE69:AF69"/>
    <mergeCell ref="D70:E70"/>
    <mergeCell ref="G70:H70"/>
    <mergeCell ref="J70:K70"/>
    <mergeCell ref="M70:N70"/>
    <mergeCell ref="P70:Q70"/>
    <mergeCell ref="S68:T68"/>
    <mergeCell ref="V68:W68"/>
    <mergeCell ref="Y68:Z68"/>
    <mergeCell ref="AB68:AC68"/>
    <mergeCell ref="AE68:AF68"/>
    <mergeCell ref="D69:E69"/>
    <mergeCell ref="G69:H69"/>
    <mergeCell ref="J69:K69"/>
    <mergeCell ref="M69:N69"/>
    <mergeCell ref="P69:Q69"/>
    <mergeCell ref="S67:U67"/>
    <mergeCell ref="V67:X67"/>
    <mergeCell ref="Y67:AA67"/>
    <mergeCell ref="AB67:AD67"/>
    <mergeCell ref="AE67:AG67"/>
    <mergeCell ref="D68:E68"/>
    <mergeCell ref="G68:H68"/>
    <mergeCell ref="J68:K68"/>
    <mergeCell ref="M68:N68"/>
    <mergeCell ref="P68:Q68"/>
    <mergeCell ref="S66:U66"/>
    <mergeCell ref="V66:X66"/>
    <mergeCell ref="Y66:AA66"/>
    <mergeCell ref="AB66:AD66"/>
    <mergeCell ref="AE66:AG66"/>
    <mergeCell ref="D67:F67"/>
    <mergeCell ref="G67:I67"/>
    <mergeCell ref="J67:L67"/>
    <mergeCell ref="M67:O67"/>
    <mergeCell ref="P67:R67"/>
    <mergeCell ref="S65:U65"/>
    <mergeCell ref="V65:X65"/>
    <mergeCell ref="Y65:AA65"/>
    <mergeCell ref="AB65:AD65"/>
    <mergeCell ref="AE65:AG65"/>
    <mergeCell ref="D66:F66"/>
    <mergeCell ref="G66:I66"/>
    <mergeCell ref="J66:L66"/>
    <mergeCell ref="M66:O66"/>
    <mergeCell ref="P66:R66"/>
    <mergeCell ref="V62:W62"/>
    <mergeCell ref="Y62:Z62"/>
    <mergeCell ref="AB62:AC62"/>
    <mergeCell ref="AE62:AF62"/>
    <mergeCell ref="A65:B70"/>
    <mergeCell ref="D65:F65"/>
    <mergeCell ref="G65:I65"/>
    <mergeCell ref="J65:L65"/>
    <mergeCell ref="M65:O65"/>
    <mergeCell ref="P65:R65"/>
    <mergeCell ref="V61:W61"/>
    <mergeCell ref="Y61:Z61"/>
    <mergeCell ref="AB61:AC61"/>
    <mergeCell ref="AE61:AF61"/>
    <mergeCell ref="D62:E62"/>
    <mergeCell ref="G62:H62"/>
    <mergeCell ref="J62:K62"/>
    <mergeCell ref="M62:N62"/>
    <mergeCell ref="P62:Q62"/>
    <mergeCell ref="S62:T62"/>
    <mergeCell ref="V60:W60"/>
    <mergeCell ref="Y60:Z60"/>
    <mergeCell ref="AB60:AC60"/>
    <mergeCell ref="AE60:AF60"/>
    <mergeCell ref="D61:E61"/>
    <mergeCell ref="G61:H61"/>
    <mergeCell ref="J61:K61"/>
    <mergeCell ref="M61:N61"/>
    <mergeCell ref="P61:Q61"/>
    <mergeCell ref="S61:T61"/>
    <mergeCell ref="V59:X59"/>
    <mergeCell ref="Y59:AA59"/>
    <mergeCell ref="AB59:AD59"/>
    <mergeCell ref="AE59:AG59"/>
    <mergeCell ref="D60:E60"/>
    <mergeCell ref="G60:H60"/>
    <mergeCell ref="J60:K60"/>
    <mergeCell ref="M60:N60"/>
    <mergeCell ref="P60:Q60"/>
    <mergeCell ref="S60:T60"/>
    <mergeCell ref="V58:X58"/>
    <mergeCell ref="Y58:AA58"/>
    <mergeCell ref="AB58:AD58"/>
    <mergeCell ref="AE58:AG58"/>
    <mergeCell ref="D59:F59"/>
    <mergeCell ref="G59:I59"/>
    <mergeCell ref="J59:L59"/>
    <mergeCell ref="M59:O59"/>
    <mergeCell ref="P59:R59"/>
    <mergeCell ref="S59:U59"/>
    <mergeCell ref="D58:F58"/>
    <mergeCell ref="G58:I58"/>
    <mergeCell ref="J58:L58"/>
    <mergeCell ref="M58:O58"/>
    <mergeCell ref="P58:R58"/>
    <mergeCell ref="S58:U58"/>
    <mergeCell ref="P57:R57"/>
    <mergeCell ref="S57:U57"/>
    <mergeCell ref="V57:X57"/>
    <mergeCell ref="Y57:AA57"/>
    <mergeCell ref="AB57:AD57"/>
    <mergeCell ref="AE57:AG57"/>
    <mergeCell ref="S54:T54"/>
    <mergeCell ref="V54:W54"/>
    <mergeCell ref="Y54:Z54"/>
    <mergeCell ref="AB54:AC54"/>
    <mergeCell ref="AE54:AF54"/>
    <mergeCell ref="A57:B62"/>
    <mergeCell ref="D57:F57"/>
    <mergeCell ref="G57:I57"/>
    <mergeCell ref="J57:L57"/>
    <mergeCell ref="M57:O57"/>
    <mergeCell ref="S53:T53"/>
    <mergeCell ref="V53:W53"/>
    <mergeCell ref="Y53:Z53"/>
    <mergeCell ref="AB53:AC53"/>
    <mergeCell ref="AE53:AF53"/>
    <mergeCell ref="D54:E54"/>
    <mergeCell ref="G54:H54"/>
    <mergeCell ref="J54:K54"/>
    <mergeCell ref="M54:N54"/>
    <mergeCell ref="P54:Q54"/>
    <mergeCell ref="S52:T52"/>
    <mergeCell ref="V52:W52"/>
    <mergeCell ref="Y52:Z52"/>
    <mergeCell ref="AB52:AC52"/>
    <mergeCell ref="AE52:AF52"/>
    <mergeCell ref="D53:E53"/>
    <mergeCell ref="G53:H53"/>
    <mergeCell ref="J53:K53"/>
    <mergeCell ref="M53:N53"/>
    <mergeCell ref="P53:Q53"/>
    <mergeCell ref="S51:U51"/>
    <mergeCell ref="V51:X51"/>
    <mergeCell ref="Y51:AA51"/>
    <mergeCell ref="AB51:AD51"/>
    <mergeCell ref="AE51:AG51"/>
    <mergeCell ref="D52:E52"/>
    <mergeCell ref="G52:H52"/>
    <mergeCell ref="J52:K52"/>
    <mergeCell ref="M52:N52"/>
    <mergeCell ref="P52:Q52"/>
    <mergeCell ref="S50:U50"/>
    <mergeCell ref="V50:X50"/>
    <mergeCell ref="Y50:AA50"/>
    <mergeCell ref="AB50:AD50"/>
    <mergeCell ref="AE50:AG50"/>
    <mergeCell ref="D51:F51"/>
    <mergeCell ref="G51:I51"/>
    <mergeCell ref="J51:L51"/>
    <mergeCell ref="M51:O51"/>
    <mergeCell ref="P51:R51"/>
    <mergeCell ref="S49:U49"/>
    <mergeCell ref="V49:X49"/>
    <mergeCell ref="Y49:AA49"/>
    <mergeCell ref="AB49:AD49"/>
    <mergeCell ref="AE49:AG49"/>
    <mergeCell ref="D50:F50"/>
    <mergeCell ref="G50:I50"/>
    <mergeCell ref="J50:L50"/>
    <mergeCell ref="M50:O50"/>
    <mergeCell ref="P50:R50"/>
    <mergeCell ref="V46:W46"/>
    <mergeCell ref="Y46:Z46"/>
    <mergeCell ref="AB46:AC46"/>
    <mergeCell ref="AE46:AF46"/>
    <mergeCell ref="A49:B54"/>
    <mergeCell ref="D49:F49"/>
    <mergeCell ref="G49:I49"/>
    <mergeCell ref="J49:L49"/>
    <mergeCell ref="M49:O49"/>
    <mergeCell ref="P49:R49"/>
    <mergeCell ref="V45:W45"/>
    <mergeCell ref="Y45:Z45"/>
    <mergeCell ref="AB45:AC45"/>
    <mergeCell ref="AE45:AF45"/>
    <mergeCell ref="D46:E46"/>
    <mergeCell ref="G46:H46"/>
    <mergeCell ref="J46:K46"/>
    <mergeCell ref="M46:N46"/>
    <mergeCell ref="P46:Q46"/>
    <mergeCell ref="S46:T46"/>
    <mergeCell ref="V44:W44"/>
    <mergeCell ref="Y44:Z44"/>
    <mergeCell ref="AB44:AC44"/>
    <mergeCell ref="AE44:AF44"/>
    <mergeCell ref="D45:E45"/>
    <mergeCell ref="G45:H45"/>
    <mergeCell ref="J45:K45"/>
    <mergeCell ref="M45:N45"/>
    <mergeCell ref="P45:Q45"/>
    <mergeCell ref="S45:T45"/>
    <mergeCell ref="V43:X43"/>
    <mergeCell ref="Y43:AA43"/>
    <mergeCell ref="AB43:AD43"/>
    <mergeCell ref="AE43:AG43"/>
    <mergeCell ref="D44:E44"/>
    <mergeCell ref="G44:H44"/>
    <mergeCell ref="J44:K44"/>
    <mergeCell ref="M44:N44"/>
    <mergeCell ref="P44:Q44"/>
    <mergeCell ref="S44:T44"/>
    <mergeCell ref="V42:X42"/>
    <mergeCell ref="Y42:AA42"/>
    <mergeCell ref="AB42:AD42"/>
    <mergeCell ref="AE42:AG42"/>
    <mergeCell ref="D43:F43"/>
    <mergeCell ref="G43:I43"/>
    <mergeCell ref="J43:L43"/>
    <mergeCell ref="M43:O43"/>
    <mergeCell ref="P43:R43"/>
    <mergeCell ref="S43:U43"/>
    <mergeCell ref="D42:F42"/>
    <mergeCell ref="G42:I42"/>
    <mergeCell ref="J42:L42"/>
    <mergeCell ref="M42:O42"/>
    <mergeCell ref="P42:R42"/>
    <mergeCell ref="S42:U42"/>
    <mergeCell ref="P41:R41"/>
    <mergeCell ref="S41:U41"/>
    <mergeCell ref="V41:X41"/>
    <mergeCell ref="Y41:AA41"/>
    <mergeCell ref="AB41:AD41"/>
    <mergeCell ref="AE41:AG41"/>
    <mergeCell ref="S38:T38"/>
    <mergeCell ref="V38:W38"/>
    <mergeCell ref="Y38:Z38"/>
    <mergeCell ref="AB38:AC38"/>
    <mergeCell ref="AE38:AF38"/>
    <mergeCell ref="A41:B46"/>
    <mergeCell ref="D41:F41"/>
    <mergeCell ref="G41:I41"/>
    <mergeCell ref="J41:L41"/>
    <mergeCell ref="M41:O41"/>
    <mergeCell ref="S37:T37"/>
    <mergeCell ref="V37:W37"/>
    <mergeCell ref="Y37:Z37"/>
    <mergeCell ref="AB37:AC37"/>
    <mergeCell ref="AE37:AF37"/>
    <mergeCell ref="D38:E38"/>
    <mergeCell ref="G38:H38"/>
    <mergeCell ref="J38:K38"/>
    <mergeCell ref="M38:N38"/>
    <mergeCell ref="P38:Q38"/>
    <mergeCell ref="S36:T36"/>
    <mergeCell ref="V36:W36"/>
    <mergeCell ref="Y36:Z36"/>
    <mergeCell ref="AB36:AC36"/>
    <mergeCell ref="AE36:AF36"/>
    <mergeCell ref="D37:E37"/>
    <mergeCell ref="G37:H37"/>
    <mergeCell ref="J37:K37"/>
    <mergeCell ref="M37:N37"/>
    <mergeCell ref="P37:Q37"/>
    <mergeCell ref="S35:U35"/>
    <mergeCell ref="V35:X35"/>
    <mergeCell ref="Y35:AA35"/>
    <mergeCell ref="AB35:AD35"/>
    <mergeCell ref="AE35:AG35"/>
    <mergeCell ref="D36:E36"/>
    <mergeCell ref="G36:H36"/>
    <mergeCell ref="J36:K36"/>
    <mergeCell ref="M36:N36"/>
    <mergeCell ref="P36:Q36"/>
    <mergeCell ref="S34:U34"/>
    <mergeCell ref="V34:X34"/>
    <mergeCell ref="Y34:AA34"/>
    <mergeCell ref="AB34:AD34"/>
    <mergeCell ref="AE34:AG34"/>
    <mergeCell ref="D35:F35"/>
    <mergeCell ref="G35:I35"/>
    <mergeCell ref="J35:L35"/>
    <mergeCell ref="M35:O35"/>
    <mergeCell ref="P35:R35"/>
    <mergeCell ref="S33:U33"/>
    <mergeCell ref="V33:X33"/>
    <mergeCell ref="Y33:AA33"/>
    <mergeCell ref="AB33:AD33"/>
    <mergeCell ref="AE33:AG33"/>
    <mergeCell ref="D34:F34"/>
    <mergeCell ref="G34:I34"/>
    <mergeCell ref="J34:L34"/>
    <mergeCell ref="M34:O34"/>
    <mergeCell ref="P34:R34"/>
    <mergeCell ref="V30:W30"/>
    <mergeCell ref="Y30:Z30"/>
    <mergeCell ref="AB30:AC30"/>
    <mergeCell ref="AE30:AF30"/>
    <mergeCell ref="A33:B38"/>
    <mergeCell ref="D33:F33"/>
    <mergeCell ref="G33:I33"/>
    <mergeCell ref="J33:L33"/>
    <mergeCell ref="M33:O33"/>
    <mergeCell ref="P33:R33"/>
    <mergeCell ref="V29:W29"/>
    <mergeCell ref="Y29:Z29"/>
    <mergeCell ref="AB29:AC29"/>
    <mergeCell ref="AE29:AF29"/>
    <mergeCell ref="D30:E30"/>
    <mergeCell ref="G30:H30"/>
    <mergeCell ref="J30:K30"/>
    <mergeCell ref="M30:N30"/>
    <mergeCell ref="P30:Q30"/>
    <mergeCell ref="S30:T30"/>
    <mergeCell ref="V28:W28"/>
    <mergeCell ref="Y28:Z28"/>
    <mergeCell ref="AB28:AC28"/>
    <mergeCell ref="AE28:AF28"/>
    <mergeCell ref="D29:E29"/>
    <mergeCell ref="G29:H29"/>
    <mergeCell ref="J29:K29"/>
    <mergeCell ref="M29:N29"/>
    <mergeCell ref="P29:Q29"/>
    <mergeCell ref="S29:T29"/>
    <mergeCell ref="V27:X27"/>
    <mergeCell ref="Y27:AA27"/>
    <mergeCell ref="AB27:AD27"/>
    <mergeCell ref="AE27:AG27"/>
    <mergeCell ref="D28:E28"/>
    <mergeCell ref="G28:H28"/>
    <mergeCell ref="J28:K28"/>
    <mergeCell ref="M28:N28"/>
    <mergeCell ref="P28:Q28"/>
    <mergeCell ref="S28:T28"/>
    <mergeCell ref="V26:X26"/>
    <mergeCell ref="Y26:AA26"/>
    <mergeCell ref="AB26:AD26"/>
    <mergeCell ref="AE26:AG26"/>
    <mergeCell ref="D27:F27"/>
    <mergeCell ref="G27:I27"/>
    <mergeCell ref="J27:L27"/>
    <mergeCell ref="M27:O27"/>
    <mergeCell ref="P27:R27"/>
    <mergeCell ref="S27:U27"/>
    <mergeCell ref="D26:F26"/>
    <mergeCell ref="G26:I26"/>
    <mergeCell ref="J26:L26"/>
    <mergeCell ref="M26:O26"/>
    <mergeCell ref="P26:R26"/>
    <mergeCell ref="S26:U26"/>
    <mergeCell ref="P25:R25"/>
    <mergeCell ref="S25:U25"/>
    <mergeCell ref="V25:X25"/>
    <mergeCell ref="Y25:AA25"/>
    <mergeCell ref="AB25:AD25"/>
    <mergeCell ref="AE25:AG25"/>
    <mergeCell ref="S22:T22"/>
    <mergeCell ref="V22:W22"/>
    <mergeCell ref="Y22:Z22"/>
    <mergeCell ref="AB22:AC22"/>
    <mergeCell ref="AE22:AF22"/>
    <mergeCell ref="A25:B30"/>
    <mergeCell ref="D25:F25"/>
    <mergeCell ref="G25:I25"/>
    <mergeCell ref="J25:L25"/>
    <mergeCell ref="M25:O25"/>
    <mergeCell ref="S21:T21"/>
    <mergeCell ref="V21:W21"/>
    <mergeCell ref="Y21:Z21"/>
    <mergeCell ref="AB21:AC21"/>
    <mergeCell ref="AE21:AF21"/>
    <mergeCell ref="D22:E22"/>
    <mergeCell ref="G22:H22"/>
    <mergeCell ref="J22:K22"/>
    <mergeCell ref="M22:N22"/>
    <mergeCell ref="P22:Q22"/>
    <mergeCell ref="S20:T20"/>
    <mergeCell ref="V20:W20"/>
    <mergeCell ref="Y20:Z20"/>
    <mergeCell ref="AB20:AC20"/>
    <mergeCell ref="AE20:AF20"/>
    <mergeCell ref="D21:E21"/>
    <mergeCell ref="G21:H21"/>
    <mergeCell ref="J21:K21"/>
    <mergeCell ref="M21:N21"/>
    <mergeCell ref="P21:Q21"/>
    <mergeCell ref="S19:U19"/>
    <mergeCell ref="V19:X19"/>
    <mergeCell ref="Y19:AA19"/>
    <mergeCell ref="AB19:AD19"/>
    <mergeCell ref="AE19:AG19"/>
    <mergeCell ref="D20:E20"/>
    <mergeCell ref="G20:H20"/>
    <mergeCell ref="J20:K20"/>
    <mergeCell ref="M20:N20"/>
    <mergeCell ref="P20:Q20"/>
    <mergeCell ref="S18:U18"/>
    <mergeCell ref="V18:X18"/>
    <mergeCell ref="Y18:AA18"/>
    <mergeCell ref="AB18:AD18"/>
    <mergeCell ref="AE18:AG18"/>
    <mergeCell ref="D19:F19"/>
    <mergeCell ref="G19:I19"/>
    <mergeCell ref="J19:L19"/>
    <mergeCell ref="M19:O19"/>
    <mergeCell ref="P19:R19"/>
    <mergeCell ref="S17:U17"/>
    <mergeCell ref="V17:X17"/>
    <mergeCell ref="Y17:AA17"/>
    <mergeCell ref="AB17:AD17"/>
    <mergeCell ref="AE17:AG17"/>
    <mergeCell ref="D18:F18"/>
    <mergeCell ref="G18:I18"/>
    <mergeCell ref="J18:L18"/>
    <mergeCell ref="M18:O18"/>
    <mergeCell ref="P18:R18"/>
    <mergeCell ref="V14:W14"/>
    <mergeCell ref="Y14:Z14"/>
    <mergeCell ref="AB14:AC14"/>
    <mergeCell ref="AE14:AF14"/>
    <mergeCell ref="A17:B22"/>
    <mergeCell ref="D17:F17"/>
    <mergeCell ref="G17:I17"/>
    <mergeCell ref="J17:L17"/>
    <mergeCell ref="M17:O17"/>
    <mergeCell ref="P17:R17"/>
    <mergeCell ref="V13:W13"/>
    <mergeCell ref="Y13:Z13"/>
    <mergeCell ref="AB13:AC13"/>
    <mergeCell ref="AE13:AF13"/>
    <mergeCell ref="D14:E14"/>
    <mergeCell ref="G14:H14"/>
    <mergeCell ref="J14:K14"/>
    <mergeCell ref="M14:N14"/>
    <mergeCell ref="P14:Q14"/>
    <mergeCell ref="S14:T14"/>
    <mergeCell ref="V12:W12"/>
    <mergeCell ref="Y12:Z12"/>
    <mergeCell ref="AB12:AC12"/>
    <mergeCell ref="AE12:AF12"/>
    <mergeCell ref="D13:E13"/>
    <mergeCell ref="G13:H13"/>
    <mergeCell ref="J13:K13"/>
    <mergeCell ref="M13:N13"/>
    <mergeCell ref="P13:Q13"/>
    <mergeCell ref="S13:T13"/>
    <mergeCell ref="V11:X11"/>
    <mergeCell ref="Y11:AA11"/>
    <mergeCell ref="AB11:AD11"/>
    <mergeCell ref="AE11:AG11"/>
    <mergeCell ref="D12:E12"/>
    <mergeCell ref="G12:H12"/>
    <mergeCell ref="J12:K12"/>
    <mergeCell ref="M12:N12"/>
    <mergeCell ref="P12:Q12"/>
    <mergeCell ref="S12:T12"/>
    <mergeCell ref="V10:X10"/>
    <mergeCell ref="Y10:AA10"/>
    <mergeCell ref="AB10:AD10"/>
    <mergeCell ref="AE10:AG10"/>
    <mergeCell ref="D11:F11"/>
    <mergeCell ref="G11:I11"/>
    <mergeCell ref="J11:L11"/>
    <mergeCell ref="M11:O11"/>
    <mergeCell ref="P11:R11"/>
    <mergeCell ref="S11:U11"/>
    <mergeCell ref="D10:F10"/>
    <mergeCell ref="G10:I10"/>
    <mergeCell ref="J10:L10"/>
    <mergeCell ref="M10:O10"/>
    <mergeCell ref="P10:R10"/>
    <mergeCell ref="S10:U10"/>
    <mergeCell ref="P9:R9"/>
    <mergeCell ref="S9:U9"/>
    <mergeCell ref="V9:X9"/>
    <mergeCell ref="Y9:AA9"/>
    <mergeCell ref="AB9:AD9"/>
    <mergeCell ref="AE9:AG9"/>
    <mergeCell ref="S6:T6"/>
    <mergeCell ref="V6:W6"/>
    <mergeCell ref="Y6:Z6"/>
    <mergeCell ref="AB6:AC6"/>
    <mergeCell ref="AE6:AF6"/>
    <mergeCell ref="A9:B14"/>
    <mergeCell ref="D9:F9"/>
    <mergeCell ref="G9:I9"/>
    <mergeCell ref="J9:L9"/>
    <mergeCell ref="M9:O9"/>
    <mergeCell ref="S5:T5"/>
    <mergeCell ref="V5:W5"/>
    <mergeCell ref="Y5:Z5"/>
    <mergeCell ref="AB5:AC5"/>
    <mergeCell ref="AE5:AF5"/>
    <mergeCell ref="D6:E6"/>
    <mergeCell ref="G6:H6"/>
    <mergeCell ref="J6:K6"/>
    <mergeCell ref="M6:N6"/>
    <mergeCell ref="P6:Q6"/>
    <mergeCell ref="S4:T4"/>
    <mergeCell ref="V4:W4"/>
    <mergeCell ref="Y4:Z4"/>
    <mergeCell ref="AB4:AC4"/>
    <mergeCell ref="AE4:AF4"/>
    <mergeCell ref="D5:E5"/>
    <mergeCell ref="G5:H5"/>
    <mergeCell ref="J5:K5"/>
    <mergeCell ref="M5:N5"/>
    <mergeCell ref="P5:Q5"/>
    <mergeCell ref="S3:U3"/>
    <mergeCell ref="V3:X3"/>
    <mergeCell ref="Y3:AA3"/>
    <mergeCell ref="AB3:AD3"/>
    <mergeCell ref="AE3:AG3"/>
    <mergeCell ref="D4:E4"/>
    <mergeCell ref="G4:H4"/>
    <mergeCell ref="J4:K4"/>
    <mergeCell ref="M4:N4"/>
    <mergeCell ref="P4:Q4"/>
    <mergeCell ref="S2:U2"/>
    <mergeCell ref="V2:X2"/>
    <mergeCell ref="Y2:AA2"/>
    <mergeCell ref="AB2:AD2"/>
    <mergeCell ref="AE2:AG2"/>
    <mergeCell ref="D3:F3"/>
    <mergeCell ref="G3:I3"/>
    <mergeCell ref="J3:L3"/>
    <mergeCell ref="M3:O3"/>
    <mergeCell ref="P3:R3"/>
    <mergeCell ref="S1:U1"/>
    <mergeCell ref="V1:X1"/>
    <mergeCell ref="Y1:AA1"/>
    <mergeCell ref="AB1:AD1"/>
    <mergeCell ref="AE1:AG1"/>
    <mergeCell ref="D2:F2"/>
    <mergeCell ref="G2:I2"/>
    <mergeCell ref="J2:L2"/>
    <mergeCell ref="M2:O2"/>
    <mergeCell ref="P2:R2"/>
    <mergeCell ref="A1:B6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C1B9-478B-4C00-BDC3-405588102212}">
  <dimension ref="A1:AG542"/>
  <sheetViews>
    <sheetView workbookViewId="0">
      <selection sqref="A1:AG542"/>
    </sheetView>
  </sheetViews>
  <sheetFormatPr defaultRowHeight="15" x14ac:dyDescent="0.25"/>
  <sheetData>
    <row r="1" spans="1:33" ht="15.75" thickBot="1" x14ac:dyDescent="0.3">
      <c r="A1" s="68" t="s">
        <v>245</v>
      </c>
      <c r="B1" s="68"/>
      <c r="D1" s="52" t="s">
        <v>27</v>
      </c>
      <c r="E1" s="52"/>
      <c r="F1" s="52"/>
      <c r="G1" s="73" t="s">
        <v>28</v>
      </c>
      <c r="H1" s="73"/>
      <c r="I1" s="73"/>
      <c r="J1" s="52" t="s">
        <v>29</v>
      </c>
      <c r="K1" s="52"/>
      <c r="L1" s="52"/>
      <c r="M1" s="73" t="s">
        <v>30</v>
      </c>
      <c r="N1" s="73"/>
      <c r="O1" s="73"/>
      <c r="P1" s="52" t="s">
        <v>31</v>
      </c>
      <c r="Q1" s="52"/>
      <c r="R1" s="52"/>
      <c r="S1" s="73" t="s">
        <v>32</v>
      </c>
      <c r="T1" s="73"/>
      <c r="U1" s="73"/>
      <c r="V1" s="52" t="s">
        <v>33</v>
      </c>
      <c r="W1" s="52"/>
      <c r="X1" s="52"/>
      <c r="Y1" s="73" t="s">
        <v>34</v>
      </c>
      <c r="Z1" s="73"/>
      <c r="AA1" s="73"/>
      <c r="AB1" s="52" t="s">
        <v>35</v>
      </c>
      <c r="AC1" s="52"/>
      <c r="AD1" s="52"/>
      <c r="AE1" s="73" t="s">
        <v>36</v>
      </c>
      <c r="AF1" s="73"/>
      <c r="AG1" s="73"/>
    </row>
    <row r="2" spans="1:33" ht="15.75" thickBot="1" x14ac:dyDescent="0.3">
      <c r="A2" s="68"/>
      <c r="B2" s="68"/>
      <c r="C2" s="105" t="s">
        <v>243</v>
      </c>
      <c r="D2" s="75">
        <v>0</v>
      </c>
      <c r="E2" s="75"/>
      <c r="F2" s="76"/>
      <c r="G2" s="74">
        <v>0</v>
      </c>
      <c r="H2" s="75"/>
      <c r="I2" s="76"/>
      <c r="J2" s="74">
        <v>0</v>
      </c>
      <c r="K2" s="75"/>
      <c r="L2" s="76"/>
      <c r="M2" s="74">
        <v>0</v>
      </c>
      <c r="N2" s="75"/>
      <c r="O2" s="76"/>
      <c r="P2" s="74">
        <v>0</v>
      </c>
      <c r="Q2" s="75"/>
      <c r="R2" s="76"/>
      <c r="S2" s="74">
        <v>0</v>
      </c>
      <c r="T2" s="75"/>
      <c r="U2" s="76"/>
      <c r="V2" s="74">
        <v>0</v>
      </c>
      <c r="W2" s="75"/>
      <c r="X2" s="76"/>
      <c r="Y2" s="74">
        <v>0</v>
      </c>
      <c r="Z2" s="75"/>
      <c r="AA2" s="76"/>
      <c r="AB2" s="74">
        <v>0</v>
      </c>
      <c r="AC2" s="75"/>
      <c r="AD2" s="76"/>
      <c r="AE2" s="74">
        <v>0</v>
      </c>
      <c r="AF2" s="75"/>
      <c r="AG2" s="76"/>
    </row>
    <row r="3" spans="1:33" ht="15.75" thickBot="1" x14ac:dyDescent="0.3">
      <c r="A3" s="68"/>
      <c r="B3" s="68"/>
      <c r="C3" s="106" t="s">
        <v>244</v>
      </c>
      <c r="D3" s="82">
        <v>0</v>
      </c>
      <c r="E3" s="82"/>
      <c r="F3" s="84"/>
      <c r="G3" s="85">
        <v>0</v>
      </c>
      <c r="H3" s="82"/>
      <c r="I3" s="84"/>
      <c r="J3" s="85">
        <v>0</v>
      </c>
      <c r="K3" s="82"/>
      <c r="L3" s="84"/>
      <c r="M3" s="85">
        <v>0</v>
      </c>
      <c r="N3" s="82"/>
      <c r="O3" s="82"/>
      <c r="P3" s="81">
        <v>0</v>
      </c>
      <c r="Q3" s="82"/>
      <c r="R3" s="83"/>
      <c r="S3" s="82">
        <v>0</v>
      </c>
      <c r="T3" s="82"/>
      <c r="U3" s="84"/>
      <c r="V3" s="85">
        <v>0</v>
      </c>
      <c r="W3" s="82"/>
      <c r="X3" s="84"/>
      <c r="Y3" s="85">
        <v>0</v>
      </c>
      <c r="Z3" s="82"/>
      <c r="AA3" s="84"/>
      <c r="AB3" s="85">
        <v>0</v>
      </c>
      <c r="AC3" s="82"/>
      <c r="AD3" s="84"/>
      <c r="AE3" s="85">
        <v>0</v>
      </c>
      <c r="AF3" s="82"/>
      <c r="AG3" s="84"/>
    </row>
    <row r="4" spans="1:33" ht="15.75" thickBot="1" x14ac:dyDescent="0.3">
      <c r="A4" s="68"/>
      <c r="B4" s="68"/>
      <c r="C4" s="107" t="s">
        <v>37</v>
      </c>
      <c r="D4" s="104"/>
      <c r="E4" s="86"/>
      <c r="F4" s="89"/>
      <c r="G4" s="86"/>
      <c r="H4" s="86"/>
      <c r="I4" s="89"/>
      <c r="J4" s="86"/>
      <c r="K4" s="86"/>
      <c r="L4" s="89"/>
      <c r="M4" s="86"/>
      <c r="N4" s="86"/>
      <c r="O4" s="89"/>
      <c r="P4" s="86"/>
      <c r="Q4" s="86"/>
      <c r="R4" s="89"/>
      <c r="S4" s="86"/>
      <c r="T4" s="86"/>
      <c r="U4" s="89"/>
      <c r="V4" s="86"/>
      <c r="W4" s="86"/>
      <c r="X4" s="89"/>
      <c r="Y4" s="86"/>
      <c r="Z4" s="86"/>
      <c r="AA4" s="89"/>
      <c r="AB4" s="86"/>
      <c r="AC4" s="86"/>
      <c r="AD4" s="89"/>
      <c r="AE4" s="86"/>
      <c r="AF4" s="86"/>
      <c r="AG4" s="89"/>
    </row>
    <row r="5" spans="1:33" ht="15.75" thickBot="1" x14ac:dyDescent="0.3">
      <c r="A5" s="68"/>
      <c r="B5" s="68"/>
      <c r="D5" s="87"/>
      <c r="E5" s="87"/>
      <c r="F5" s="90"/>
      <c r="G5" s="87"/>
      <c r="H5" s="87"/>
      <c r="I5" s="90"/>
      <c r="J5" s="87"/>
      <c r="K5" s="87"/>
      <c r="L5" s="90"/>
      <c r="M5" s="87"/>
      <c r="N5" s="87"/>
      <c r="O5" s="90"/>
      <c r="P5" s="87"/>
      <c r="Q5" s="87"/>
      <c r="R5" s="90"/>
      <c r="S5" s="87"/>
      <c r="T5" s="87"/>
      <c r="U5" s="90"/>
      <c r="V5" s="87"/>
      <c r="W5" s="87"/>
      <c r="X5" s="90"/>
      <c r="Y5" s="87"/>
      <c r="Z5" s="87"/>
      <c r="AA5" s="90"/>
      <c r="AB5" s="87"/>
      <c r="AC5" s="87"/>
      <c r="AD5" s="90"/>
      <c r="AE5" s="87"/>
      <c r="AF5" s="87"/>
      <c r="AG5" s="90"/>
    </row>
    <row r="6" spans="1:33" ht="15.75" thickBot="1" x14ac:dyDescent="0.3">
      <c r="A6" s="68"/>
      <c r="B6" s="68"/>
      <c r="D6" s="88"/>
      <c r="E6" s="88"/>
      <c r="F6" s="91"/>
      <c r="G6" s="88"/>
      <c r="H6" s="88"/>
      <c r="I6" s="91"/>
      <c r="J6" s="88"/>
      <c r="K6" s="88"/>
      <c r="L6" s="91"/>
      <c r="M6" s="88"/>
      <c r="N6" s="88"/>
      <c r="O6" s="91"/>
      <c r="P6" s="88"/>
      <c r="Q6" s="88"/>
      <c r="R6" s="91"/>
      <c r="S6" s="88"/>
      <c r="T6" s="88"/>
      <c r="U6" s="91"/>
      <c r="V6" s="88"/>
      <c r="W6" s="88"/>
      <c r="X6" s="91"/>
      <c r="Y6" s="88"/>
      <c r="Z6" s="88"/>
      <c r="AA6" s="91"/>
      <c r="AB6" s="88"/>
      <c r="AC6" s="88"/>
      <c r="AD6" s="91"/>
      <c r="AE6" s="88"/>
      <c r="AF6" s="88"/>
      <c r="AG6" s="91"/>
    </row>
    <row r="8" spans="1:33" ht="15.75" thickBot="1" x14ac:dyDescent="0.3"/>
    <row r="9" spans="1:33" ht="15.75" thickBot="1" x14ac:dyDescent="0.3">
      <c r="A9" s="68" t="s">
        <v>246</v>
      </c>
      <c r="B9" s="68"/>
      <c r="D9" s="52" t="s">
        <v>27</v>
      </c>
      <c r="E9" s="52"/>
      <c r="F9" s="52"/>
      <c r="G9" s="73" t="s">
        <v>28</v>
      </c>
      <c r="H9" s="73"/>
      <c r="I9" s="73"/>
      <c r="J9" s="52" t="s">
        <v>29</v>
      </c>
      <c r="K9" s="52"/>
      <c r="L9" s="52"/>
      <c r="M9" s="73" t="s">
        <v>30</v>
      </c>
      <c r="N9" s="73"/>
      <c r="O9" s="73"/>
      <c r="P9" s="52" t="s">
        <v>31</v>
      </c>
      <c r="Q9" s="52"/>
      <c r="R9" s="52"/>
      <c r="S9" s="73" t="s">
        <v>32</v>
      </c>
      <c r="T9" s="73"/>
      <c r="U9" s="73"/>
      <c r="V9" s="52" t="s">
        <v>33</v>
      </c>
      <c r="W9" s="52"/>
      <c r="X9" s="52"/>
      <c r="Y9" s="73" t="s">
        <v>34</v>
      </c>
      <c r="Z9" s="73"/>
      <c r="AA9" s="73"/>
      <c r="AB9" s="52" t="s">
        <v>35</v>
      </c>
      <c r="AC9" s="52"/>
      <c r="AD9" s="52"/>
      <c r="AE9" s="73" t="s">
        <v>36</v>
      </c>
      <c r="AF9" s="73"/>
      <c r="AG9" s="73"/>
    </row>
    <row r="10" spans="1:33" ht="15.75" thickBot="1" x14ac:dyDescent="0.3">
      <c r="A10" s="68"/>
      <c r="B10" s="68"/>
      <c r="C10" s="105" t="s">
        <v>243</v>
      </c>
      <c r="D10" s="75">
        <v>0</v>
      </c>
      <c r="E10" s="75"/>
      <c r="F10" s="76"/>
      <c r="G10" s="74">
        <v>0</v>
      </c>
      <c r="H10" s="75"/>
      <c r="I10" s="76"/>
      <c r="J10" s="74">
        <v>0</v>
      </c>
      <c r="K10" s="75"/>
      <c r="L10" s="76"/>
      <c r="M10" s="74">
        <v>0</v>
      </c>
      <c r="N10" s="75"/>
      <c r="O10" s="76"/>
      <c r="P10" s="74">
        <v>0</v>
      </c>
      <c r="Q10" s="75"/>
      <c r="R10" s="76"/>
      <c r="S10" s="74">
        <v>0</v>
      </c>
      <c r="T10" s="75"/>
      <c r="U10" s="76"/>
      <c r="V10" s="74">
        <v>0</v>
      </c>
      <c r="W10" s="75"/>
      <c r="X10" s="76"/>
      <c r="Y10" s="74">
        <v>0</v>
      </c>
      <c r="Z10" s="75"/>
      <c r="AA10" s="76"/>
      <c r="AB10" s="74">
        <v>0</v>
      </c>
      <c r="AC10" s="75"/>
      <c r="AD10" s="76"/>
      <c r="AE10" s="74">
        <v>0</v>
      </c>
      <c r="AF10" s="75"/>
      <c r="AG10" s="76"/>
    </row>
    <row r="11" spans="1:33" ht="15.75" thickBot="1" x14ac:dyDescent="0.3">
      <c r="A11" s="68"/>
      <c r="B11" s="68"/>
      <c r="C11" s="106" t="s">
        <v>244</v>
      </c>
      <c r="D11" s="82">
        <v>0</v>
      </c>
      <c r="E11" s="82"/>
      <c r="F11" s="84"/>
      <c r="G11" s="85">
        <v>0</v>
      </c>
      <c r="H11" s="82"/>
      <c r="I11" s="84"/>
      <c r="J11" s="85">
        <v>0</v>
      </c>
      <c r="K11" s="82"/>
      <c r="L11" s="84"/>
      <c r="M11" s="85">
        <v>0</v>
      </c>
      <c r="N11" s="82"/>
      <c r="O11" s="82"/>
      <c r="P11" s="81">
        <v>0</v>
      </c>
      <c r="Q11" s="82"/>
      <c r="R11" s="83"/>
      <c r="S11" s="82">
        <v>0</v>
      </c>
      <c r="T11" s="82"/>
      <c r="U11" s="84"/>
      <c r="V11" s="85">
        <v>0</v>
      </c>
      <c r="W11" s="82"/>
      <c r="X11" s="84"/>
      <c r="Y11" s="85">
        <v>0</v>
      </c>
      <c r="Z11" s="82"/>
      <c r="AA11" s="84"/>
      <c r="AB11" s="85">
        <v>0</v>
      </c>
      <c r="AC11" s="82"/>
      <c r="AD11" s="84"/>
      <c r="AE11" s="85">
        <v>0</v>
      </c>
      <c r="AF11" s="82"/>
      <c r="AG11" s="84"/>
    </row>
    <row r="12" spans="1:33" ht="15.75" thickBot="1" x14ac:dyDescent="0.3">
      <c r="A12" s="68"/>
      <c r="B12" s="68"/>
      <c r="C12" s="107" t="s">
        <v>37</v>
      </c>
      <c r="D12" s="104"/>
      <c r="E12" s="86"/>
      <c r="F12" s="89"/>
      <c r="G12" s="86"/>
      <c r="H12" s="86"/>
      <c r="I12" s="89"/>
      <c r="J12" s="86"/>
      <c r="K12" s="86"/>
      <c r="L12" s="89"/>
      <c r="M12" s="86"/>
      <c r="N12" s="86"/>
      <c r="O12" s="89"/>
      <c r="P12" s="86"/>
      <c r="Q12" s="86"/>
      <c r="R12" s="89"/>
      <c r="S12" s="86"/>
      <c r="T12" s="86"/>
      <c r="U12" s="89"/>
      <c r="V12" s="86"/>
      <c r="W12" s="86"/>
      <c r="X12" s="89"/>
      <c r="Y12" s="86"/>
      <c r="Z12" s="86"/>
      <c r="AA12" s="89"/>
      <c r="AB12" s="86"/>
      <c r="AC12" s="86"/>
      <c r="AD12" s="89"/>
      <c r="AE12" s="86"/>
      <c r="AF12" s="86"/>
      <c r="AG12" s="89"/>
    </row>
    <row r="13" spans="1:33" ht="15.75" thickBot="1" x14ac:dyDescent="0.3">
      <c r="A13" s="68"/>
      <c r="B13" s="68"/>
      <c r="D13" s="87"/>
      <c r="E13" s="87"/>
      <c r="F13" s="90"/>
      <c r="G13" s="87"/>
      <c r="H13" s="87"/>
      <c r="I13" s="90"/>
      <c r="J13" s="87"/>
      <c r="K13" s="87"/>
      <c r="L13" s="90"/>
      <c r="M13" s="87"/>
      <c r="N13" s="87"/>
      <c r="O13" s="90"/>
      <c r="P13" s="87"/>
      <c r="Q13" s="87"/>
      <c r="R13" s="90"/>
      <c r="S13" s="87"/>
      <c r="T13" s="87"/>
      <c r="U13" s="90"/>
      <c r="V13" s="87"/>
      <c r="W13" s="87"/>
      <c r="X13" s="90"/>
      <c r="Y13" s="87"/>
      <c r="Z13" s="87"/>
      <c r="AA13" s="90"/>
      <c r="AB13" s="87"/>
      <c r="AC13" s="87"/>
      <c r="AD13" s="90"/>
      <c r="AE13" s="87"/>
      <c r="AF13" s="87"/>
      <c r="AG13" s="90"/>
    </row>
    <row r="14" spans="1:33" ht="15.75" thickBot="1" x14ac:dyDescent="0.3">
      <c r="A14" s="68"/>
      <c r="B14" s="68"/>
      <c r="D14" s="88"/>
      <c r="E14" s="88"/>
      <c r="F14" s="91"/>
      <c r="G14" s="88"/>
      <c r="H14" s="88"/>
      <c r="I14" s="91"/>
      <c r="J14" s="88"/>
      <c r="K14" s="88"/>
      <c r="L14" s="91"/>
      <c r="M14" s="88"/>
      <c r="N14" s="88"/>
      <c r="O14" s="91"/>
      <c r="P14" s="88"/>
      <c r="Q14" s="88"/>
      <c r="R14" s="91"/>
      <c r="S14" s="88"/>
      <c r="T14" s="88"/>
      <c r="U14" s="91"/>
      <c r="V14" s="88"/>
      <c r="W14" s="88"/>
      <c r="X14" s="91"/>
      <c r="Y14" s="88"/>
      <c r="Z14" s="88"/>
      <c r="AA14" s="91"/>
      <c r="AB14" s="88"/>
      <c r="AC14" s="88"/>
      <c r="AD14" s="91"/>
      <c r="AE14" s="88"/>
      <c r="AF14" s="88"/>
      <c r="AG14" s="91"/>
    </row>
    <row r="16" spans="1:33" ht="15.75" thickBot="1" x14ac:dyDescent="0.3"/>
    <row r="17" spans="1:33" ht="15.75" thickBot="1" x14ac:dyDescent="0.3">
      <c r="A17" s="68" t="s">
        <v>56</v>
      </c>
      <c r="B17" s="68"/>
      <c r="D17" s="52" t="s">
        <v>27</v>
      </c>
      <c r="E17" s="52"/>
      <c r="F17" s="52"/>
      <c r="G17" s="73" t="s">
        <v>28</v>
      </c>
      <c r="H17" s="73"/>
      <c r="I17" s="73"/>
      <c r="J17" s="52" t="s">
        <v>29</v>
      </c>
      <c r="K17" s="52"/>
      <c r="L17" s="52"/>
      <c r="M17" s="73" t="s">
        <v>30</v>
      </c>
      <c r="N17" s="73"/>
      <c r="O17" s="73"/>
      <c r="P17" s="52" t="s">
        <v>31</v>
      </c>
      <c r="Q17" s="52"/>
      <c r="R17" s="52"/>
      <c r="S17" s="73" t="s">
        <v>32</v>
      </c>
      <c r="T17" s="73"/>
      <c r="U17" s="73"/>
      <c r="V17" s="52" t="s">
        <v>33</v>
      </c>
      <c r="W17" s="52"/>
      <c r="X17" s="52"/>
      <c r="Y17" s="73" t="s">
        <v>34</v>
      </c>
      <c r="Z17" s="73"/>
      <c r="AA17" s="73"/>
      <c r="AB17" s="52" t="s">
        <v>35</v>
      </c>
      <c r="AC17" s="52"/>
      <c r="AD17" s="52"/>
      <c r="AE17" s="73" t="s">
        <v>36</v>
      </c>
      <c r="AF17" s="73"/>
      <c r="AG17" s="73"/>
    </row>
    <row r="18" spans="1:33" ht="15.75" thickBot="1" x14ac:dyDescent="0.3">
      <c r="A18" s="68"/>
      <c r="B18" s="68"/>
      <c r="C18" s="105" t="s">
        <v>243</v>
      </c>
      <c r="D18" s="75">
        <v>0</v>
      </c>
      <c r="E18" s="75"/>
      <c r="F18" s="76"/>
      <c r="G18" s="74">
        <v>0</v>
      </c>
      <c r="H18" s="75"/>
      <c r="I18" s="76"/>
      <c r="J18" s="74">
        <v>0</v>
      </c>
      <c r="K18" s="75"/>
      <c r="L18" s="76"/>
      <c r="M18" s="74">
        <v>0</v>
      </c>
      <c r="N18" s="75"/>
      <c r="O18" s="76"/>
      <c r="P18" s="74">
        <v>0</v>
      </c>
      <c r="Q18" s="75"/>
      <c r="R18" s="76"/>
      <c r="S18" s="74">
        <v>0</v>
      </c>
      <c r="T18" s="75"/>
      <c r="U18" s="76"/>
      <c r="V18" s="74">
        <v>0</v>
      </c>
      <c r="W18" s="75"/>
      <c r="X18" s="76"/>
      <c r="Y18" s="74">
        <v>0</v>
      </c>
      <c r="Z18" s="75"/>
      <c r="AA18" s="76"/>
      <c r="AB18" s="74">
        <v>0</v>
      </c>
      <c r="AC18" s="75"/>
      <c r="AD18" s="76"/>
      <c r="AE18" s="74">
        <v>0</v>
      </c>
      <c r="AF18" s="75"/>
      <c r="AG18" s="76"/>
    </row>
    <row r="19" spans="1:33" ht="15.75" thickBot="1" x14ac:dyDescent="0.3">
      <c r="A19" s="68"/>
      <c r="B19" s="68"/>
      <c r="C19" s="106" t="s">
        <v>244</v>
      </c>
      <c r="D19" s="82">
        <v>0</v>
      </c>
      <c r="E19" s="82"/>
      <c r="F19" s="84"/>
      <c r="G19" s="85">
        <v>0</v>
      </c>
      <c r="H19" s="82"/>
      <c r="I19" s="84"/>
      <c r="J19" s="85">
        <v>0</v>
      </c>
      <c r="K19" s="82"/>
      <c r="L19" s="84"/>
      <c r="M19" s="85">
        <v>0</v>
      </c>
      <c r="N19" s="82"/>
      <c r="O19" s="82"/>
      <c r="P19" s="81">
        <v>0</v>
      </c>
      <c r="Q19" s="82"/>
      <c r="R19" s="83"/>
      <c r="S19" s="82">
        <v>0</v>
      </c>
      <c r="T19" s="82"/>
      <c r="U19" s="84"/>
      <c r="V19" s="85">
        <v>0</v>
      </c>
      <c r="W19" s="82"/>
      <c r="X19" s="84"/>
      <c r="Y19" s="85">
        <v>0</v>
      </c>
      <c r="Z19" s="82"/>
      <c r="AA19" s="84"/>
      <c r="AB19" s="85">
        <v>0</v>
      </c>
      <c r="AC19" s="82"/>
      <c r="AD19" s="84"/>
      <c r="AE19" s="85">
        <v>0</v>
      </c>
      <c r="AF19" s="82"/>
      <c r="AG19" s="84"/>
    </row>
    <row r="20" spans="1:33" ht="15.75" thickBot="1" x14ac:dyDescent="0.3">
      <c r="A20" s="68"/>
      <c r="B20" s="68"/>
      <c r="C20" s="107" t="s">
        <v>37</v>
      </c>
      <c r="D20" s="104"/>
      <c r="E20" s="86"/>
      <c r="F20" s="89"/>
      <c r="G20" s="86"/>
      <c r="H20" s="86"/>
      <c r="I20" s="89"/>
      <c r="J20" s="86"/>
      <c r="K20" s="86"/>
      <c r="L20" s="89"/>
      <c r="M20" s="86"/>
      <c r="N20" s="86"/>
      <c r="O20" s="89"/>
      <c r="P20" s="86"/>
      <c r="Q20" s="86"/>
      <c r="R20" s="89"/>
      <c r="S20" s="86"/>
      <c r="T20" s="86"/>
      <c r="U20" s="89"/>
      <c r="V20" s="86"/>
      <c r="W20" s="86"/>
      <c r="X20" s="89"/>
      <c r="Y20" s="86"/>
      <c r="Z20" s="86"/>
      <c r="AA20" s="89"/>
      <c r="AB20" s="86"/>
      <c r="AC20" s="86"/>
      <c r="AD20" s="89"/>
      <c r="AE20" s="86"/>
      <c r="AF20" s="86"/>
      <c r="AG20" s="89"/>
    </row>
    <row r="21" spans="1:33" ht="15.75" thickBot="1" x14ac:dyDescent="0.3">
      <c r="A21" s="68"/>
      <c r="B21" s="68"/>
      <c r="D21" s="87"/>
      <c r="E21" s="87"/>
      <c r="F21" s="90"/>
      <c r="G21" s="87"/>
      <c r="H21" s="87"/>
      <c r="I21" s="90"/>
      <c r="J21" s="87"/>
      <c r="K21" s="87"/>
      <c r="L21" s="90"/>
      <c r="M21" s="87"/>
      <c r="N21" s="87"/>
      <c r="O21" s="90"/>
      <c r="P21" s="87"/>
      <c r="Q21" s="87"/>
      <c r="R21" s="90"/>
      <c r="S21" s="87"/>
      <c r="T21" s="87"/>
      <c r="U21" s="90"/>
      <c r="V21" s="87"/>
      <c r="W21" s="87"/>
      <c r="X21" s="90"/>
      <c r="Y21" s="87"/>
      <c r="Z21" s="87"/>
      <c r="AA21" s="90"/>
      <c r="AB21" s="87"/>
      <c r="AC21" s="87"/>
      <c r="AD21" s="90"/>
      <c r="AE21" s="87"/>
      <c r="AF21" s="87"/>
      <c r="AG21" s="90"/>
    </row>
    <row r="22" spans="1:33" ht="15.75" thickBot="1" x14ac:dyDescent="0.3">
      <c r="A22" s="68"/>
      <c r="B22" s="68"/>
      <c r="D22" s="88"/>
      <c r="E22" s="88"/>
      <c r="F22" s="91"/>
      <c r="G22" s="88"/>
      <c r="H22" s="88"/>
      <c r="I22" s="91"/>
      <c r="J22" s="88"/>
      <c r="K22" s="88"/>
      <c r="L22" s="91"/>
      <c r="M22" s="88"/>
      <c r="N22" s="88"/>
      <c r="O22" s="91"/>
      <c r="P22" s="88"/>
      <c r="Q22" s="88"/>
      <c r="R22" s="91"/>
      <c r="S22" s="88"/>
      <c r="T22" s="88"/>
      <c r="U22" s="91"/>
      <c r="V22" s="88"/>
      <c r="W22" s="88"/>
      <c r="X22" s="91"/>
      <c r="Y22" s="88"/>
      <c r="Z22" s="88"/>
      <c r="AA22" s="91"/>
      <c r="AB22" s="88"/>
      <c r="AC22" s="88"/>
      <c r="AD22" s="91"/>
      <c r="AE22" s="88"/>
      <c r="AF22" s="88"/>
      <c r="AG22" s="91"/>
    </row>
    <row r="24" spans="1:33" ht="15.75" thickBot="1" x14ac:dyDescent="0.3"/>
    <row r="25" spans="1:33" ht="15.75" thickBot="1" x14ac:dyDescent="0.3">
      <c r="A25" s="68" t="s">
        <v>247</v>
      </c>
      <c r="B25" s="68"/>
      <c r="D25" s="52" t="s">
        <v>27</v>
      </c>
      <c r="E25" s="52"/>
      <c r="F25" s="52"/>
      <c r="G25" s="73" t="s">
        <v>28</v>
      </c>
      <c r="H25" s="73"/>
      <c r="I25" s="73"/>
      <c r="J25" s="52" t="s">
        <v>29</v>
      </c>
      <c r="K25" s="52"/>
      <c r="L25" s="52"/>
      <c r="M25" s="73" t="s">
        <v>30</v>
      </c>
      <c r="N25" s="73"/>
      <c r="O25" s="73"/>
      <c r="P25" s="52" t="s">
        <v>31</v>
      </c>
      <c r="Q25" s="52"/>
      <c r="R25" s="52"/>
      <c r="S25" s="73" t="s">
        <v>32</v>
      </c>
      <c r="T25" s="73"/>
      <c r="U25" s="73"/>
      <c r="V25" s="52" t="s">
        <v>33</v>
      </c>
      <c r="W25" s="52"/>
      <c r="X25" s="52"/>
      <c r="Y25" s="73" t="s">
        <v>34</v>
      </c>
      <c r="Z25" s="73"/>
      <c r="AA25" s="73"/>
      <c r="AB25" s="52" t="s">
        <v>35</v>
      </c>
      <c r="AC25" s="52"/>
      <c r="AD25" s="52"/>
      <c r="AE25" s="73" t="s">
        <v>36</v>
      </c>
      <c r="AF25" s="73"/>
      <c r="AG25" s="73"/>
    </row>
    <row r="26" spans="1:33" ht="15.75" thickBot="1" x14ac:dyDescent="0.3">
      <c r="A26" s="68"/>
      <c r="B26" s="68"/>
      <c r="C26" s="105" t="s">
        <v>243</v>
      </c>
      <c r="D26" s="75">
        <v>0</v>
      </c>
      <c r="E26" s="75"/>
      <c r="F26" s="76"/>
      <c r="G26" s="74">
        <v>0</v>
      </c>
      <c r="H26" s="75"/>
      <c r="I26" s="76"/>
      <c r="J26" s="74">
        <v>0</v>
      </c>
      <c r="K26" s="75"/>
      <c r="L26" s="76"/>
      <c r="M26" s="74">
        <v>0</v>
      </c>
      <c r="N26" s="75"/>
      <c r="O26" s="76"/>
      <c r="P26" s="74">
        <v>0</v>
      </c>
      <c r="Q26" s="75"/>
      <c r="R26" s="76"/>
      <c r="S26" s="74">
        <v>0</v>
      </c>
      <c r="T26" s="75"/>
      <c r="U26" s="76"/>
      <c r="V26" s="74">
        <v>0</v>
      </c>
      <c r="W26" s="75"/>
      <c r="X26" s="76"/>
      <c r="Y26" s="74">
        <v>0</v>
      </c>
      <c r="Z26" s="75"/>
      <c r="AA26" s="76"/>
      <c r="AB26" s="74">
        <v>0</v>
      </c>
      <c r="AC26" s="75"/>
      <c r="AD26" s="76"/>
      <c r="AE26" s="74">
        <v>0</v>
      </c>
      <c r="AF26" s="75"/>
      <c r="AG26" s="76"/>
    </row>
    <row r="27" spans="1:33" ht="15.75" thickBot="1" x14ac:dyDescent="0.3">
      <c r="A27" s="68"/>
      <c r="B27" s="68"/>
      <c r="C27" s="106" t="s">
        <v>244</v>
      </c>
      <c r="D27" s="82">
        <v>0</v>
      </c>
      <c r="E27" s="82"/>
      <c r="F27" s="84"/>
      <c r="G27" s="85">
        <v>0</v>
      </c>
      <c r="H27" s="82"/>
      <c r="I27" s="84"/>
      <c r="J27" s="85">
        <v>0</v>
      </c>
      <c r="K27" s="82"/>
      <c r="L27" s="84"/>
      <c r="M27" s="85">
        <v>0</v>
      </c>
      <c r="N27" s="82"/>
      <c r="O27" s="82"/>
      <c r="P27" s="81">
        <v>0</v>
      </c>
      <c r="Q27" s="82"/>
      <c r="R27" s="83"/>
      <c r="S27" s="82">
        <v>0</v>
      </c>
      <c r="T27" s="82"/>
      <c r="U27" s="84"/>
      <c r="V27" s="85">
        <v>0</v>
      </c>
      <c r="W27" s="82"/>
      <c r="X27" s="84"/>
      <c r="Y27" s="85">
        <v>0</v>
      </c>
      <c r="Z27" s="82"/>
      <c r="AA27" s="84"/>
      <c r="AB27" s="85">
        <v>0</v>
      </c>
      <c r="AC27" s="82"/>
      <c r="AD27" s="84"/>
      <c r="AE27" s="85">
        <v>0</v>
      </c>
      <c r="AF27" s="82"/>
      <c r="AG27" s="84"/>
    </row>
    <row r="28" spans="1:33" ht="15.75" thickBot="1" x14ac:dyDescent="0.3">
      <c r="A28" s="68"/>
      <c r="B28" s="68"/>
      <c r="C28" s="107" t="s">
        <v>37</v>
      </c>
      <c r="D28" s="104"/>
      <c r="E28" s="86"/>
      <c r="F28" s="89"/>
      <c r="G28" s="86"/>
      <c r="H28" s="86"/>
      <c r="I28" s="89"/>
      <c r="J28" s="86"/>
      <c r="K28" s="86"/>
      <c r="L28" s="89"/>
      <c r="M28" s="86"/>
      <c r="N28" s="86"/>
      <c r="O28" s="89"/>
      <c r="P28" s="86"/>
      <c r="Q28" s="86"/>
      <c r="R28" s="89"/>
      <c r="S28" s="86"/>
      <c r="T28" s="86"/>
      <c r="U28" s="89"/>
      <c r="V28" s="86"/>
      <c r="W28" s="86"/>
      <c r="X28" s="89"/>
      <c r="Y28" s="86"/>
      <c r="Z28" s="86"/>
      <c r="AA28" s="89"/>
      <c r="AB28" s="86"/>
      <c r="AC28" s="86"/>
      <c r="AD28" s="89"/>
      <c r="AE28" s="86"/>
      <c r="AF28" s="86"/>
      <c r="AG28" s="89"/>
    </row>
    <row r="29" spans="1:33" ht="15.75" thickBot="1" x14ac:dyDescent="0.3">
      <c r="A29" s="68"/>
      <c r="B29" s="68"/>
      <c r="D29" s="87"/>
      <c r="E29" s="87"/>
      <c r="F29" s="90"/>
      <c r="G29" s="87"/>
      <c r="H29" s="87"/>
      <c r="I29" s="90"/>
      <c r="J29" s="87"/>
      <c r="K29" s="87"/>
      <c r="L29" s="90"/>
      <c r="M29" s="87"/>
      <c r="N29" s="87"/>
      <c r="O29" s="90"/>
      <c r="P29" s="87"/>
      <c r="Q29" s="87"/>
      <c r="R29" s="90"/>
      <c r="S29" s="87"/>
      <c r="T29" s="87"/>
      <c r="U29" s="90"/>
      <c r="V29" s="87"/>
      <c r="W29" s="87"/>
      <c r="X29" s="90"/>
      <c r="Y29" s="87"/>
      <c r="Z29" s="87"/>
      <c r="AA29" s="90"/>
      <c r="AB29" s="87"/>
      <c r="AC29" s="87"/>
      <c r="AD29" s="90"/>
      <c r="AE29" s="87"/>
      <c r="AF29" s="87"/>
      <c r="AG29" s="90"/>
    </row>
    <row r="30" spans="1:33" ht="15.75" thickBot="1" x14ac:dyDescent="0.3">
      <c r="A30" s="68"/>
      <c r="B30" s="68"/>
      <c r="D30" s="88"/>
      <c r="E30" s="88"/>
      <c r="F30" s="91"/>
      <c r="G30" s="88"/>
      <c r="H30" s="88"/>
      <c r="I30" s="91"/>
      <c r="J30" s="88"/>
      <c r="K30" s="88"/>
      <c r="L30" s="91"/>
      <c r="M30" s="88"/>
      <c r="N30" s="88"/>
      <c r="O30" s="91"/>
      <c r="P30" s="88"/>
      <c r="Q30" s="88"/>
      <c r="R30" s="91"/>
      <c r="S30" s="88"/>
      <c r="T30" s="88"/>
      <c r="U30" s="91"/>
      <c r="V30" s="88"/>
      <c r="W30" s="88"/>
      <c r="X30" s="91"/>
      <c r="Y30" s="88"/>
      <c r="Z30" s="88"/>
      <c r="AA30" s="91"/>
      <c r="AB30" s="88"/>
      <c r="AC30" s="88"/>
      <c r="AD30" s="91"/>
      <c r="AE30" s="88"/>
      <c r="AF30" s="88"/>
      <c r="AG30" s="91"/>
    </row>
    <row r="32" spans="1:33" ht="15.75" thickBot="1" x14ac:dyDescent="0.3"/>
    <row r="33" spans="1:33" ht="15.75" thickBot="1" x14ac:dyDescent="0.3">
      <c r="A33" s="68" t="s">
        <v>248</v>
      </c>
      <c r="B33" s="68"/>
      <c r="D33" s="52" t="s">
        <v>27</v>
      </c>
      <c r="E33" s="52"/>
      <c r="F33" s="52"/>
      <c r="G33" s="73" t="s">
        <v>28</v>
      </c>
      <c r="H33" s="73"/>
      <c r="I33" s="73"/>
      <c r="J33" s="52" t="s">
        <v>29</v>
      </c>
      <c r="K33" s="52"/>
      <c r="L33" s="52"/>
      <c r="M33" s="73" t="s">
        <v>30</v>
      </c>
      <c r="N33" s="73"/>
      <c r="O33" s="73"/>
      <c r="P33" s="52" t="s">
        <v>31</v>
      </c>
      <c r="Q33" s="52"/>
      <c r="R33" s="52"/>
      <c r="S33" s="73" t="s">
        <v>32</v>
      </c>
      <c r="T33" s="73"/>
      <c r="U33" s="73"/>
      <c r="V33" s="52" t="s">
        <v>33</v>
      </c>
      <c r="W33" s="52"/>
      <c r="X33" s="52"/>
      <c r="Y33" s="73" t="s">
        <v>34</v>
      </c>
      <c r="Z33" s="73"/>
      <c r="AA33" s="73"/>
      <c r="AB33" s="52" t="s">
        <v>35</v>
      </c>
      <c r="AC33" s="52"/>
      <c r="AD33" s="52"/>
      <c r="AE33" s="73" t="s">
        <v>36</v>
      </c>
      <c r="AF33" s="73"/>
      <c r="AG33" s="73"/>
    </row>
    <row r="34" spans="1:33" ht="15.75" thickBot="1" x14ac:dyDescent="0.3">
      <c r="A34" s="68"/>
      <c r="B34" s="68"/>
      <c r="C34" s="105" t="s">
        <v>243</v>
      </c>
      <c r="D34" s="75">
        <v>0</v>
      </c>
      <c r="E34" s="75"/>
      <c r="F34" s="76"/>
      <c r="G34" s="74">
        <v>0</v>
      </c>
      <c r="H34" s="75"/>
      <c r="I34" s="76"/>
      <c r="J34" s="74">
        <v>0</v>
      </c>
      <c r="K34" s="75"/>
      <c r="L34" s="76"/>
      <c r="M34" s="74">
        <v>0</v>
      </c>
      <c r="N34" s="75"/>
      <c r="O34" s="76"/>
      <c r="P34" s="74">
        <v>0</v>
      </c>
      <c r="Q34" s="75"/>
      <c r="R34" s="76"/>
      <c r="S34" s="74">
        <v>0</v>
      </c>
      <c r="T34" s="75"/>
      <c r="U34" s="76"/>
      <c r="V34" s="74">
        <v>0</v>
      </c>
      <c r="W34" s="75"/>
      <c r="X34" s="76"/>
      <c r="Y34" s="74">
        <v>0</v>
      </c>
      <c r="Z34" s="75"/>
      <c r="AA34" s="76"/>
      <c r="AB34" s="74">
        <v>0</v>
      </c>
      <c r="AC34" s="75"/>
      <c r="AD34" s="76"/>
      <c r="AE34" s="74">
        <v>0</v>
      </c>
      <c r="AF34" s="75"/>
      <c r="AG34" s="76"/>
    </row>
    <row r="35" spans="1:33" ht="15.75" thickBot="1" x14ac:dyDescent="0.3">
      <c r="A35" s="68"/>
      <c r="B35" s="68"/>
      <c r="C35" s="106" t="s">
        <v>244</v>
      </c>
      <c r="D35" s="82">
        <v>0</v>
      </c>
      <c r="E35" s="82"/>
      <c r="F35" s="84"/>
      <c r="G35" s="85">
        <v>0</v>
      </c>
      <c r="H35" s="82"/>
      <c r="I35" s="84"/>
      <c r="J35" s="85">
        <v>0</v>
      </c>
      <c r="K35" s="82"/>
      <c r="L35" s="84"/>
      <c r="M35" s="85">
        <v>0</v>
      </c>
      <c r="N35" s="82"/>
      <c r="O35" s="82"/>
      <c r="P35" s="81">
        <v>0</v>
      </c>
      <c r="Q35" s="82"/>
      <c r="R35" s="83"/>
      <c r="S35" s="82">
        <v>0</v>
      </c>
      <c r="T35" s="82"/>
      <c r="U35" s="84"/>
      <c r="V35" s="85">
        <v>0</v>
      </c>
      <c r="W35" s="82"/>
      <c r="X35" s="84"/>
      <c r="Y35" s="85">
        <v>0</v>
      </c>
      <c r="Z35" s="82"/>
      <c r="AA35" s="84"/>
      <c r="AB35" s="85">
        <v>0</v>
      </c>
      <c r="AC35" s="82"/>
      <c r="AD35" s="84"/>
      <c r="AE35" s="85">
        <v>0</v>
      </c>
      <c r="AF35" s="82"/>
      <c r="AG35" s="84"/>
    </row>
    <row r="36" spans="1:33" ht="15.75" thickBot="1" x14ac:dyDescent="0.3">
      <c r="A36" s="68"/>
      <c r="B36" s="68"/>
      <c r="C36" s="107" t="s">
        <v>37</v>
      </c>
      <c r="D36" s="104"/>
      <c r="E36" s="86"/>
      <c r="F36" s="89"/>
      <c r="G36" s="86"/>
      <c r="H36" s="86"/>
      <c r="I36" s="89"/>
      <c r="J36" s="86"/>
      <c r="K36" s="86"/>
      <c r="L36" s="89"/>
      <c r="M36" s="86"/>
      <c r="N36" s="86"/>
      <c r="O36" s="89"/>
      <c r="P36" s="86"/>
      <c r="Q36" s="86"/>
      <c r="R36" s="89"/>
      <c r="S36" s="86"/>
      <c r="T36" s="86"/>
      <c r="U36" s="89"/>
      <c r="V36" s="86"/>
      <c r="W36" s="86"/>
      <c r="X36" s="89"/>
      <c r="Y36" s="86"/>
      <c r="Z36" s="86"/>
      <c r="AA36" s="89"/>
      <c r="AB36" s="86"/>
      <c r="AC36" s="86"/>
      <c r="AD36" s="89"/>
      <c r="AE36" s="86"/>
      <c r="AF36" s="86"/>
      <c r="AG36" s="89"/>
    </row>
    <row r="37" spans="1:33" ht="15.75" thickBot="1" x14ac:dyDescent="0.3">
      <c r="A37" s="68"/>
      <c r="B37" s="68"/>
      <c r="D37" s="87"/>
      <c r="E37" s="87"/>
      <c r="F37" s="90"/>
      <c r="G37" s="87"/>
      <c r="H37" s="87"/>
      <c r="I37" s="90"/>
      <c r="J37" s="87"/>
      <c r="K37" s="87"/>
      <c r="L37" s="90"/>
      <c r="M37" s="87"/>
      <c r="N37" s="87"/>
      <c r="O37" s="90"/>
      <c r="P37" s="87"/>
      <c r="Q37" s="87"/>
      <c r="R37" s="90"/>
      <c r="S37" s="87"/>
      <c r="T37" s="87"/>
      <c r="U37" s="90"/>
      <c r="V37" s="87"/>
      <c r="W37" s="87"/>
      <c r="X37" s="90"/>
      <c r="Y37" s="87"/>
      <c r="Z37" s="87"/>
      <c r="AA37" s="90"/>
      <c r="AB37" s="87"/>
      <c r="AC37" s="87"/>
      <c r="AD37" s="90"/>
      <c r="AE37" s="87"/>
      <c r="AF37" s="87"/>
      <c r="AG37" s="90"/>
    </row>
    <row r="38" spans="1:33" ht="15.75" thickBot="1" x14ac:dyDescent="0.3">
      <c r="A38" s="68"/>
      <c r="B38" s="68"/>
      <c r="D38" s="88"/>
      <c r="E38" s="88"/>
      <c r="F38" s="91"/>
      <c r="G38" s="88"/>
      <c r="H38" s="88"/>
      <c r="I38" s="91"/>
      <c r="J38" s="88"/>
      <c r="K38" s="88"/>
      <c r="L38" s="91"/>
      <c r="M38" s="88"/>
      <c r="N38" s="88"/>
      <c r="O38" s="91"/>
      <c r="P38" s="88"/>
      <c r="Q38" s="88"/>
      <c r="R38" s="91"/>
      <c r="S38" s="88"/>
      <c r="T38" s="88"/>
      <c r="U38" s="91"/>
      <c r="V38" s="88"/>
      <c r="W38" s="88"/>
      <c r="X38" s="91"/>
      <c r="Y38" s="88"/>
      <c r="Z38" s="88"/>
      <c r="AA38" s="91"/>
      <c r="AB38" s="88"/>
      <c r="AC38" s="88"/>
      <c r="AD38" s="91"/>
      <c r="AE38" s="88"/>
      <c r="AF38" s="88"/>
      <c r="AG38" s="91"/>
    </row>
    <row r="40" spans="1:33" ht="15.75" thickBot="1" x14ac:dyDescent="0.3"/>
    <row r="41" spans="1:33" ht="15.75" thickBot="1" x14ac:dyDescent="0.3">
      <c r="A41" s="68" t="s">
        <v>249</v>
      </c>
      <c r="B41" s="68"/>
      <c r="D41" s="52" t="s">
        <v>27</v>
      </c>
      <c r="E41" s="52"/>
      <c r="F41" s="52"/>
      <c r="G41" s="73" t="s">
        <v>28</v>
      </c>
      <c r="H41" s="73"/>
      <c r="I41" s="73"/>
      <c r="J41" s="52" t="s">
        <v>29</v>
      </c>
      <c r="K41" s="52"/>
      <c r="L41" s="52"/>
      <c r="M41" s="73" t="s">
        <v>30</v>
      </c>
      <c r="N41" s="73"/>
      <c r="O41" s="73"/>
      <c r="P41" s="52" t="s">
        <v>31</v>
      </c>
      <c r="Q41" s="52"/>
      <c r="R41" s="52"/>
      <c r="S41" s="73" t="s">
        <v>32</v>
      </c>
      <c r="T41" s="73"/>
      <c r="U41" s="73"/>
      <c r="V41" s="52" t="s">
        <v>33</v>
      </c>
      <c r="W41" s="52"/>
      <c r="X41" s="52"/>
      <c r="Y41" s="73" t="s">
        <v>34</v>
      </c>
      <c r="Z41" s="73"/>
      <c r="AA41" s="73"/>
      <c r="AB41" s="52" t="s">
        <v>35</v>
      </c>
      <c r="AC41" s="52"/>
      <c r="AD41" s="52"/>
      <c r="AE41" s="73" t="s">
        <v>36</v>
      </c>
      <c r="AF41" s="73"/>
      <c r="AG41" s="73"/>
    </row>
    <row r="42" spans="1:33" ht="15.75" thickBot="1" x14ac:dyDescent="0.3">
      <c r="A42" s="68"/>
      <c r="B42" s="68"/>
      <c r="C42" s="105" t="s">
        <v>243</v>
      </c>
      <c r="D42" s="75">
        <v>0</v>
      </c>
      <c r="E42" s="75"/>
      <c r="F42" s="76"/>
      <c r="G42" s="74">
        <v>0</v>
      </c>
      <c r="H42" s="75"/>
      <c r="I42" s="76"/>
      <c r="J42" s="74">
        <v>0</v>
      </c>
      <c r="K42" s="75"/>
      <c r="L42" s="76"/>
      <c r="M42" s="74">
        <v>0</v>
      </c>
      <c r="N42" s="75"/>
      <c r="O42" s="76"/>
      <c r="P42" s="74">
        <v>0</v>
      </c>
      <c r="Q42" s="75"/>
      <c r="R42" s="76"/>
      <c r="S42" s="74">
        <v>0</v>
      </c>
      <c r="T42" s="75"/>
      <c r="U42" s="76"/>
      <c r="V42" s="74">
        <v>0</v>
      </c>
      <c r="W42" s="75"/>
      <c r="X42" s="76"/>
      <c r="Y42" s="74">
        <v>0</v>
      </c>
      <c r="Z42" s="75"/>
      <c r="AA42" s="76"/>
      <c r="AB42" s="74">
        <v>0</v>
      </c>
      <c r="AC42" s="75"/>
      <c r="AD42" s="76"/>
      <c r="AE42" s="74">
        <v>0</v>
      </c>
      <c r="AF42" s="75"/>
      <c r="AG42" s="76"/>
    </row>
    <row r="43" spans="1:33" ht="15.75" thickBot="1" x14ac:dyDescent="0.3">
      <c r="A43" s="68"/>
      <c r="B43" s="68"/>
      <c r="C43" s="106" t="s">
        <v>244</v>
      </c>
      <c r="D43" s="82">
        <v>0</v>
      </c>
      <c r="E43" s="82"/>
      <c r="F43" s="84"/>
      <c r="G43" s="85">
        <v>0</v>
      </c>
      <c r="H43" s="82"/>
      <c r="I43" s="84"/>
      <c r="J43" s="85">
        <v>0</v>
      </c>
      <c r="K43" s="82"/>
      <c r="L43" s="84"/>
      <c r="M43" s="85">
        <v>0</v>
      </c>
      <c r="N43" s="82"/>
      <c r="O43" s="82"/>
      <c r="P43" s="81">
        <v>0</v>
      </c>
      <c r="Q43" s="82"/>
      <c r="R43" s="83"/>
      <c r="S43" s="82">
        <v>0</v>
      </c>
      <c r="T43" s="82"/>
      <c r="U43" s="84"/>
      <c r="V43" s="85">
        <v>0</v>
      </c>
      <c r="W43" s="82"/>
      <c r="X43" s="84"/>
      <c r="Y43" s="85">
        <v>0</v>
      </c>
      <c r="Z43" s="82"/>
      <c r="AA43" s="84"/>
      <c r="AB43" s="85">
        <v>0</v>
      </c>
      <c r="AC43" s="82"/>
      <c r="AD43" s="84"/>
      <c r="AE43" s="85">
        <v>0</v>
      </c>
      <c r="AF43" s="82"/>
      <c r="AG43" s="84"/>
    </row>
    <row r="44" spans="1:33" ht="15.75" thickBot="1" x14ac:dyDescent="0.3">
      <c r="A44" s="68"/>
      <c r="B44" s="68"/>
      <c r="C44" s="107" t="s">
        <v>37</v>
      </c>
      <c r="D44" s="104"/>
      <c r="E44" s="86"/>
      <c r="F44" s="89"/>
      <c r="G44" s="86"/>
      <c r="H44" s="86"/>
      <c r="I44" s="89"/>
      <c r="J44" s="86"/>
      <c r="K44" s="86"/>
      <c r="L44" s="89"/>
      <c r="M44" s="86"/>
      <c r="N44" s="86"/>
      <c r="O44" s="89"/>
      <c r="P44" s="86"/>
      <c r="Q44" s="86"/>
      <c r="R44" s="89"/>
      <c r="S44" s="86"/>
      <c r="T44" s="86"/>
      <c r="U44" s="89"/>
      <c r="V44" s="86"/>
      <c r="W44" s="86"/>
      <c r="X44" s="89"/>
      <c r="Y44" s="86"/>
      <c r="Z44" s="86"/>
      <c r="AA44" s="89"/>
      <c r="AB44" s="86"/>
      <c r="AC44" s="86"/>
      <c r="AD44" s="89"/>
      <c r="AE44" s="86"/>
      <c r="AF44" s="86"/>
      <c r="AG44" s="89"/>
    </row>
    <row r="45" spans="1:33" ht="15.75" thickBot="1" x14ac:dyDescent="0.3">
      <c r="A45" s="68"/>
      <c r="B45" s="68"/>
      <c r="D45" s="87"/>
      <c r="E45" s="87"/>
      <c r="F45" s="90"/>
      <c r="G45" s="87"/>
      <c r="H45" s="87"/>
      <c r="I45" s="90"/>
      <c r="J45" s="87"/>
      <c r="K45" s="87"/>
      <c r="L45" s="90"/>
      <c r="M45" s="87"/>
      <c r="N45" s="87"/>
      <c r="O45" s="90"/>
      <c r="P45" s="87"/>
      <c r="Q45" s="87"/>
      <c r="R45" s="90"/>
      <c r="S45" s="87"/>
      <c r="T45" s="87"/>
      <c r="U45" s="90"/>
      <c r="V45" s="87"/>
      <c r="W45" s="87"/>
      <c r="X45" s="90"/>
      <c r="Y45" s="87"/>
      <c r="Z45" s="87"/>
      <c r="AA45" s="90"/>
      <c r="AB45" s="87"/>
      <c r="AC45" s="87"/>
      <c r="AD45" s="90"/>
      <c r="AE45" s="87"/>
      <c r="AF45" s="87"/>
      <c r="AG45" s="90"/>
    </row>
    <row r="46" spans="1:33" ht="15.75" thickBot="1" x14ac:dyDescent="0.3">
      <c r="A46" s="68"/>
      <c r="B46" s="68"/>
      <c r="D46" s="88"/>
      <c r="E46" s="88"/>
      <c r="F46" s="91"/>
      <c r="G46" s="88"/>
      <c r="H46" s="88"/>
      <c r="I46" s="91"/>
      <c r="J46" s="88"/>
      <c r="K46" s="88"/>
      <c r="L46" s="91"/>
      <c r="M46" s="88"/>
      <c r="N46" s="88"/>
      <c r="O46" s="91"/>
      <c r="P46" s="88"/>
      <c r="Q46" s="88"/>
      <c r="R46" s="91"/>
      <c r="S46" s="88"/>
      <c r="T46" s="88"/>
      <c r="U46" s="91"/>
      <c r="V46" s="88"/>
      <c r="W46" s="88"/>
      <c r="X46" s="91"/>
      <c r="Y46" s="88"/>
      <c r="Z46" s="88"/>
      <c r="AA46" s="91"/>
      <c r="AB46" s="88"/>
      <c r="AC46" s="88"/>
      <c r="AD46" s="91"/>
      <c r="AE46" s="88"/>
      <c r="AF46" s="88"/>
      <c r="AG46" s="91"/>
    </row>
    <row r="48" spans="1:33" ht="15.75" thickBot="1" x14ac:dyDescent="0.3"/>
    <row r="49" spans="1:33" ht="15.75" thickBot="1" x14ac:dyDescent="0.3">
      <c r="A49" s="68" t="s">
        <v>26</v>
      </c>
      <c r="B49" s="68"/>
      <c r="D49" s="52" t="s">
        <v>27</v>
      </c>
      <c r="E49" s="52"/>
      <c r="F49" s="52"/>
      <c r="G49" s="73" t="s">
        <v>28</v>
      </c>
      <c r="H49" s="73"/>
      <c r="I49" s="73"/>
      <c r="J49" s="52" t="s">
        <v>29</v>
      </c>
      <c r="K49" s="52"/>
      <c r="L49" s="52"/>
      <c r="M49" s="73" t="s">
        <v>30</v>
      </c>
      <c r="N49" s="73"/>
      <c r="O49" s="73"/>
      <c r="P49" s="52" t="s">
        <v>31</v>
      </c>
      <c r="Q49" s="52"/>
      <c r="R49" s="52"/>
      <c r="S49" s="73" t="s">
        <v>32</v>
      </c>
      <c r="T49" s="73"/>
      <c r="U49" s="73"/>
      <c r="V49" s="52" t="s">
        <v>33</v>
      </c>
      <c r="W49" s="52"/>
      <c r="X49" s="52"/>
      <c r="Y49" s="73" t="s">
        <v>34</v>
      </c>
      <c r="Z49" s="73"/>
      <c r="AA49" s="73"/>
      <c r="AB49" s="52" t="s">
        <v>35</v>
      </c>
      <c r="AC49" s="52"/>
      <c r="AD49" s="52"/>
      <c r="AE49" s="73" t="s">
        <v>36</v>
      </c>
      <c r="AF49" s="73"/>
      <c r="AG49" s="73"/>
    </row>
    <row r="50" spans="1:33" ht="15.75" thickBot="1" x14ac:dyDescent="0.3">
      <c r="A50" s="68"/>
      <c r="B50" s="68"/>
      <c r="C50" s="105" t="s">
        <v>243</v>
      </c>
      <c r="D50" s="75">
        <v>0</v>
      </c>
      <c r="E50" s="75"/>
      <c r="F50" s="76"/>
      <c r="G50" s="74">
        <v>0</v>
      </c>
      <c r="H50" s="75"/>
      <c r="I50" s="76"/>
      <c r="J50" s="74">
        <v>0</v>
      </c>
      <c r="K50" s="75"/>
      <c r="L50" s="76"/>
      <c r="M50" s="74">
        <v>0</v>
      </c>
      <c r="N50" s="75"/>
      <c r="O50" s="76"/>
      <c r="P50" s="74">
        <v>0</v>
      </c>
      <c r="Q50" s="75"/>
      <c r="R50" s="76"/>
      <c r="S50" s="74">
        <v>0</v>
      </c>
      <c r="T50" s="75"/>
      <c r="U50" s="76"/>
      <c r="V50" s="74">
        <v>0</v>
      </c>
      <c r="W50" s="75"/>
      <c r="X50" s="76"/>
      <c r="Y50" s="74">
        <v>0</v>
      </c>
      <c r="Z50" s="75"/>
      <c r="AA50" s="76"/>
      <c r="AB50" s="74">
        <v>0</v>
      </c>
      <c r="AC50" s="75"/>
      <c r="AD50" s="76"/>
      <c r="AE50" s="74">
        <v>0</v>
      </c>
      <c r="AF50" s="75"/>
      <c r="AG50" s="76"/>
    </row>
    <row r="51" spans="1:33" ht="15.75" thickBot="1" x14ac:dyDescent="0.3">
      <c r="A51" s="68"/>
      <c r="B51" s="68"/>
      <c r="C51" s="106" t="s">
        <v>244</v>
      </c>
      <c r="D51" s="82">
        <v>0</v>
      </c>
      <c r="E51" s="82"/>
      <c r="F51" s="84"/>
      <c r="G51" s="85">
        <v>0</v>
      </c>
      <c r="H51" s="82"/>
      <c r="I51" s="84"/>
      <c r="J51" s="85">
        <v>0</v>
      </c>
      <c r="K51" s="82"/>
      <c r="L51" s="84"/>
      <c r="M51" s="85">
        <v>0</v>
      </c>
      <c r="N51" s="82"/>
      <c r="O51" s="82"/>
      <c r="P51" s="81">
        <v>0</v>
      </c>
      <c r="Q51" s="82"/>
      <c r="R51" s="83"/>
      <c r="S51" s="82">
        <v>0</v>
      </c>
      <c r="T51" s="82"/>
      <c r="U51" s="84"/>
      <c r="V51" s="85">
        <v>0</v>
      </c>
      <c r="W51" s="82"/>
      <c r="X51" s="84"/>
      <c r="Y51" s="85">
        <v>0</v>
      </c>
      <c r="Z51" s="82"/>
      <c r="AA51" s="84"/>
      <c r="AB51" s="85">
        <v>0</v>
      </c>
      <c r="AC51" s="82"/>
      <c r="AD51" s="84"/>
      <c r="AE51" s="85">
        <v>0</v>
      </c>
      <c r="AF51" s="82"/>
      <c r="AG51" s="84"/>
    </row>
    <row r="52" spans="1:33" ht="15.75" thickBot="1" x14ac:dyDescent="0.3">
      <c r="A52" s="68"/>
      <c r="B52" s="68"/>
      <c r="C52" s="107" t="s">
        <v>37</v>
      </c>
      <c r="D52" s="104"/>
      <c r="E52" s="86"/>
      <c r="F52" s="89"/>
      <c r="G52" s="86"/>
      <c r="H52" s="86"/>
      <c r="I52" s="89"/>
      <c r="J52" s="86"/>
      <c r="K52" s="86"/>
      <c r="L52" s="89"/>
      <c r="M52" s="86"/>
      <c r="N52" s="86"/>
      <c r="O52" s="89"/>
      <c r="P52" s="86"/>
      <c r="Q52" s="86"/>
      <c r="R52" s="89"/>
      <c r="S52" s="86"/>
      <c r="T52" s="86"/>
      <c r="U52" s="89"/>
      <c r="V52" s="86"/>
      <c r="W52" s="86"/>
      <c r="X52" s="89"/>
      <c r="Y52" s="86"/>
      <c r="Z52" s="86"/>
      <c r="AA52" s="89"/>
      <c r="AB52" s="86"/>
      <c r="AC52" s="86"/>
      <c r="AD52" s="89"/>
      <c r="AE52" s="86"/>
      <c r="AF52" s="86"/>
      <c r="AG52" s="89"/>
    </row>
    <row r="53" spans="1:33" ht="15.75" thickBot="1" x14ac:dyDescent="0.3">
      <c r="A53" s="68"/>
      <c r="B53" s="68"/>
      <c r="D53" s="87"/>
      <c r="E53" s="87"/>
      <c r="F53" s="90"/>
      <c r="G53" s="87"/>
      <c r="H53" s="87"/>
      <c r="I53" s="90"/>
      <c r="J53" s="87"/>
      <c r="K53" s="87"/>
      <c r="L53" s="90"/>
      <c r="M53" s="87"/>
      <c r="N53" s="87"/>
      <c r="O53" s="90"/>
      <c r="P53" s="87"/>
      <c r="Q53" s="87"/>
      <c r="R53" s="90"/>
      <c r="S53" s="87"/>
      <c r="T53" s="87"/>
      <c r="U53" s="90"/>
      <c r="V53" s="87"/>
      <c r="W53" s="87"/>
      <c r="X53" s="90"/>
      <c r="Y53" s="87"/>
      <c r="Z53" s="87"/>
      <c r="AA53" s="90"/>
      <c r="AB53" s="87"/>
      <c r="AC53" s="87"/>
      <c r="AD53" s="90"/>
      <c r="AE53" s="87"/>
      <c r="AF53" s="87"/>
      <c r="AG53" s="90"/>
    </row>
    <row r="54" spans="1:33" ht="15.75" thickBot="1" x14ac:dyDescent="0.3">
      <c r="A54" s="68"/>
      <c r="B54" s="68"/>
      <c r="D54" s="88"/>
      <c r="E54" s="88"/>
      <c r="F54" s="91"/>
      <c r="G54" s="88"/>
      <c r="H54" s="88"/>
      <c r="I54" s="91"/>
      <c r="J54" s="88"/>
      <c r="K54" s="88"/>
      <c r="L54" s="91"/>
      <c r="M54" s="88"/>
      <c r="N54" s="88"/>
      <c r="O54" s="91"/>
      <c r="P54" s="88"/>
      <c r="Q54" s="88"/>
      <c r="R54" s="91"/>
      <c r="S54" s="88"/>
      <c r="T54" s="88"/>
      <c r="U54" s="91"/>
      <c r="V54" s="88"/>
      <c r="W54" s="88"/>
      <c r="X54" s="91"/>
      <c r="Y54" s="88"/>
      <c r="Z54" s="88"/>
      <c r="AA54" s="91"/>
      <c r="AB54" s="88"/>
      <c r="AC54" s="88"/>
      <c r="AD54" s="91"/>
      <c r="AE54" s="88"/>
      <c r="AF54" s="88"/>
      <c r="AG54" s="91"/>
    </row>
    <row r="56" spans="1:33" ht="15.75" thickBot="1" x14ac:dyDescent="0.3"/>
    <row r="57" spans="1:33" ht="15.75" thickBot="1" x14ac:dyDescent="0.3">
      <c r="A57" s="68" t="s">
        <v>77</v>
      </c>
      <c r="B57" s="68"/>
      <c r="D57" s="52" t="s">
        <v>27</v>
      </c>
      <c r="E57" s="52"/>
      <c r="F57" s="52"/>
      <c r="G57" s="73" t="s">
        <v>28</v>
      </c>
      <c r="H57" s="73"/>
      <c r="I57" s="73"/>
      <c r="J57" s="52" t="s">
        <v>29</v>
      </c>
      <c r="K57" s="52"/>
      <c r="L57" s="52"/>
      <c r="M57" s="73" t="s">
        <v>30</v>
      </c>
      <c r="N57" s="73"/>
      <c r="O57" s="73"/>
      <c r="P57" s="52" t="s">
        <v>31</v>
      </c>
      <c r="Q57" s="52"/>
      <c r="R57" s="52"/>
      <c r="S57" s="73" t="s">
        <v>32</v>
      </c>
      <c r="T57" s="73"/>
      <c r="U57" s="73"/>
      <c r="V57" s="52" t="s">
        <v>33</v>
      </c>
      <c r="W57" s="52"/>
      <c r="X57" s="52"/>
      <c r="Y57" s="73" t="s">
        <v>34</v>
      </c>
      <c r="Z57" s="73"/>
      <c r="AA57" s="73"/>
      <c r="AB57" s="52" t="s">
        <v>35</v>
      </c>
      <c r="AC57" s="52"/>
      <c r="AD57" s="52"/>
      <c r="AE57" s="73" t="s">
        <v>36</v>
      </c>
      <c r="AF57" s="73"/>
      <c r="AG57" s="73"/>
    </row>
    <row r="58" spans="1:33" ht="15.75" thickBot="1" x14ac:dyDescent="0.3">
      <c r="A58" s="68"/>
      <c r="B58" s="68"/>
      <c r="C58" s="105" t="s">
        <v>243</v>
      </c>
      <c r="D58" s="75">
        <v>0</v>
      </c>
      <c r="E58" s="75"/>
      <c r="F58" s="76"/>
      <c r="G58" s="74">
        <v>0</v>
      </c>
      <c r="H58" s="75"/>
      <c r="I58" s="76"/>
      <c r="J58" s="74">
        <v>0</v>
      </c>
      <c r="K58" s="75"/>
      <c r="L58" s="76"/>
      <c r="M58" s="74">
        <v>0</v>
      </c>
      <c r="N58" s="75"/>
      <c r="O58" s="76"/>
      <c r="P58" s="74">
        <v>0</v>
      </c>
      <c r="Q58" s="75"/>
      <c r="R58" s="76"/>
      <c r="S58" s="74">
        <v>0</v>
      </c>
      <c r="T58" s="75"/>
      <c r="U58" s="76"/>
      <c r="V58" s="74">
        <v>0</v>
      </c>
      <c r="W58" s="75"/>
      <c r="X58" s="76"/>
      <c r="Y58" s="74">
        <v>0</v>
      </c>
      <c r="Z58" s="75"/>
      <c r="AA58" s="76"/>
      <c r="AB58" s="74">
        <v>0</v>
      </c>
      <c r="AC58" s="75"/>
      <c r="AD58" s="76"/>
      <c r="AE58" s="74">
        <v>0</v>
      </c>
      <c r="AF58" s="75"/>
      <c r="AG58" s="76"/>
    </row>
    <row r="59" spans="1:33" ht="15.75" thickBot="1" x14ac:dyDescent="0.3">
      <c r="A59" s="68"/>
      <c r="B59" s="68"/>
      <c r="C59" s="106" t="s">
        <v>244</v>
      </c>
      <c r="D59" s="82">
        <v>0</v>
      </c>
      <c r="E59" s="82"/>
      <c r="F59" s="84"/>
      <c r="G59" s="85">
        <v>0</v>
      </c>
      <c r="H59" s="82"/>
      <c r="I59" s="84"/>
      <c r="J59" s="85">
        <v>0</v>
      </c>
      <c r="K59" s="82"/>
      <c r="L59" s="84"/>
      <c r="M59" s="85">
        <v>0</v>
      </c>
      <c r="N59" s="82"/>
      <c r="O59" s="82"/>
      <c r="P59" s="81">
        <v>0</v>
      </c>
      <c r="Q59" s="82"/>
      <c r="R59" s="83"/>
      <c r="S59" s="82">
        <v>0</v>
      </c>
      <c r="T59" s="82"/>
      <c r="U59" s="84"/>
      <c r="V59" s="85">
        <v>0</v>
      </c>
      <c r="W59" s="82"/>
      <c r="X59" s="84"/>
      <c r="Y59" s="85">
        <v>0</v>
      </c>
      <c r="Z59" s="82"/>
      <c r="AA59" s="84"/>
      <c r="AB59" s="85">
        <v>0</v>
      </c>
      <c r="AC59" s="82"/>
      <c r="AD59" s="84"/>
      <c r="AE59" s="85">
        <v>0</v>
      </c>
      <c r="AF59" s="82"/>
      <c r="AG59" s="84"/>
    </row>
    <row r="60" spans="1:33" ht="15.75" thickBot="1" x14ac:dyDescent="0.3">
      <c r="A60" s="68"/>
      <c r="B60" s="68"/>
      <c r="C60" s="107" t="s">
        <v>37</v>
      </c>
      <c r="D60" s="104"/>
      <c r="E60" s="86"/>
      <c r="F60" s="89"/>
      <c r="G60" s="86"/>
      <c r="H60" s="86"/>
      <c r="I60" s="89"/>
      <c r="J60" s="86"/>
      <c r="K60" s="86"/>
      <c r="L60" s="89"/>
      <c r="M60" s="86"/>
      <c r="N60" s="86"/>
      <c r="O60" s="89"/>
      <c r="P60" s="86"/>
      <c r="Q60" s="86"/>
      <c r="R60" s="89"/>
      <c r="S60" s="86"/>
      <c r="T60" s="86"/>
      <c r="U60" s="89"/>
      <c r="V60" s="86"/>
      <c r="W60" s="86"/>
      <c r="X60" s="89"/>
      <c r="Y60" s="86"/>
      <c r="Z60" s="86"/>
      <c r="AA60" s="89"/>
      <c r="AB60" s="86"/>
      <c r="AC60" s="86"/>
      <c r="AD60" s="89"/>
      <c r="AE60" s="86"/>
      <c r="AF60" s="86"/>
      <c r="AG60" s="89"/>
    </row>
    <row r="61" spans="1:33" ht="15.75" thickBot="1" x14ac:dyDescent="0.3">
      <c r="A61" s="68"/>
      <c r="B61" s="68"/>
      <c r="D61" s="87"/>
      <c r="E61" s="87"/>
      <c r="F61" s="90"/>
      <c r="G61" s="87"/>
      <c r="H61" s="87"/>
      <c r="I61" s="90"/>
      <c r="J61" s="87"/>
      <c r="K61" s="87"/>
      <c r="L61" s="90"/>
      <c r="M61" s="87"/>
      <c r="N61" s="87"/>
      <c r="O61" s="90"/>
      <c r="P61" s="87"/>
      <c r="Q61" s="87"/>
      <c r="R61" s="90"/>
      <c r="S61" s="87"/>
      <c r="T61" s="87"/>
      <c r="U61" s="90"/>
      <c r="V61" s="87"/>
      <c r="W61" s="87"/>
      <c r="X61" s="90"/>
      <c r="Y61" s="87"/>
      <c r="Z61" s="87"/>
      <c r="AA61" s="90"/>
      <c r="AB61" s="87"/>
      <c r="AC61" s="87"/>
      <c r="AD61" s="90"/>
      <c r="AE61" s="87"/>
      <c r="AF61" s="87"/>
      <c r="AG61" s="90"/>
    </row>
    <row r="62" spans="1:33" ht="15.75" thickBot="1" x14ac:dyDescent="0.3">
      <c r="A62" s="68"/>
      <c r="B62" s="68"/>
      <c r="D62" s="88"/>
      <c r="E62" s="88"/>
      <c r="F62" s="91"/>
      <c r="G62" s="88"/>
      <c r="H62" s="88"/>
      <c r="I62" s="91"/>
      <c r="J62" s="88"/>
      <c r="K62" s="88"/>
      <c r="L62" s="91"/>
      <c r="M62" s="88"/>
      <c r="N62" s="88"/>
      <c r="O62" s="91"/>
      <c r="P62" s="88"/>
      <c r="Q62" s="88"/>
      <c r="R62" s="91"/>
      <c r="S62" s="88"/>
      <c r="T62" s="88"/>
      <c r="U62" s="91"/>
      <c r="V62" s="88"/>
      <c r="W62" s="88"/>
      <c r="X62" s="91"/>
      <c r="Y62" s="88"/>
      <c r="Z62" s="88"/>
      <c r="AA62" s="91"/>
      <c r="AB62" s="88"/>
      <c r="AC62" s="88"/>
      <c r="AD62" s="91"/>
      <c r="AE62" s="88"/>
      <c r="AF62" s="88"/>
      <c r="AG62" s="91"/>
    </row>
    <row r="64" spans="1:33" ht="15.75" thickBot="1" x14ac:dyDescent="0.3"/>
    <row r="65" spans="1:33" ht="15.75" thickBot="1" x14ac:dyDescent="0.3">
      <c r="A65" s="68" t="s">
        <v>78</v>
      </c>
      <c r="B65" s="68"/>
      <c r="D65" s="52" t="s">
        <v>27</v>
      </c>
      <c r="E65" s="52"/>
      <c r="F65" s="52"/>
      <c r="G65" s="73" t="s">
        <v>28</v>
      </c>
      <c r="H65" s="73"/>
      <c r="I65" s="73"/>
      <c r="J65" s="52" t="s">
        <v>29</v>
      </c>
      <c r="K65" s="52"/>
      <c r="L65" s="52"/>
      <c r="M65" s="73" t="s">
        <v>30</v>
      </c>
      <c r="N65" s="73"/>
      <c r="O65" s="73"/>
      <c r="P65" s="52" t="s">
        <v>31</v>
      </c>
      <c r="Q65" s="52"/>
      <c r="R65" s="52"/>
      <c r="S65" s="73" t="s">
        <v>32</v>
      </c>
      <c r="T65" s="73"/>
      <c r="U65" s="73"/>
      <c r="V65" s="52" t="s">
        <v>33</v>
      </c>
      <c r="W65" s="52"/>
      <c r="X65" s="52"/>
      <c r="Y65" s="73" t="s">
        <v>34</v>
      </c>
      <c r="Z65" s="73"/>
      <c r="AA65" s="73"/>
      <c r="AB65" s="52" t="s">
        <v>35</v>
      </c>
      <c r="AC65" s="52"/>
      <c r="AD65" s="52"/>
      <c r="AE65" s="73" t="s">
        <v>36</v>
      </c>
      <c r="AF65" s="73"/>
      <c r="AG65" s="73"/>
    </row>
    <row r="66" spans="1:33" ht="15.75" thickBot="1" x14ac:dyDescent="0.3">
      <c r="A66" s="68"/>
      <c r="B66" s="68"/>
      <c r="C66" s="105" t="s">
        <v>243</v>
      </c>
      <c r="D66" s="75">
        <v>0</v>
      </c>
      <c r="E66" s="75"/>
      <c r="F66" s="76"/>
      <c r="G66" s="74">
        <v>0</v>
      </c>
      <c r="H66" s="75"/>
      <c r="I66" s="76"/>
      <c r="J66" s="74">
        <v>0</v>
      </c>
      <c r="K66" s="75"/>
      <c r="L66" s="76"/>
      <c r="M66" s="74">
        <v>0</v>
      </c>
      <c r="N66" s="75"/>
      <c r="O66" s="76"/>
      <c r="P66" s="74">
        <v>0</v>
      </c>
      <c r="Q66" s="75"/>
      <c r="R66" s="76"/>
      <c r="S66" s="74">
        <v>0</v>
      </c>
      <c r="T66" s="75"/>
      <c r="U66" s="76"/>
      <c r="V66" s="74">
        <v>0</v>
      </c>
      <c r="W66" s="75"/>
      <c r="X66" s="76"/>
      <c r="Y66" s="74">
        <v>0</v>
      </c>
      <c r="Z66" s="75"/>
      <c r="AA66" s="76"/>
      <c r="AB66" s="74">
        <v>0</v>
      </c>
      <c r="AC66" s="75"/>
      <c r="AD66" s="76"/>
      <c r="AE66" s="74">
        <v>0</v>
      </c>
      <c r="AF66" s="75"/>
      <c r="AG66" s="76"/>
    </row>
    <row r="67" spans="1:33" ht="15.75" thickBot="1" x14ac:dyDescent="0.3">
      <c r="A67" s="68"/>
      <c r="B67" s="68"/>
      <c r="C67" s="106" t="s">
        <v>244</v>
      </c>
      <c r="D67" s="82">
        <v>0</v>
      </c>
      <c r="E67" s="82"/>
      <c r="F67" s="84"/>
      <c r="G67" s="85">
        <v>0</v>
      </c>
      <c r="H67" s="82"/>
      <c r="I67" s="84"/>
      <c r="J67" s="85">
        <v>0</v>
      </c>
      <c r="K67" s="82"/>
      <c r="L67" s="84"/>
      <c r="M67" s="85">
        <v>0</v>
      </c>
      <c r="N67" s="82"/>
      <c r="O67" s="82"/>
      <c r="P67" s="81">
        <v>0</v>
      </c>
      <c r="Q67" s="82"/>
      <c r="R67" s="83"/>
      <c r="S67" s="82">
        <v>0</v>
      </c>
      <c r="T67" s="82"/>
      <c r="U67" s="84"/>
      <c r="V67" s="85">
        <v>0</v>
      </c>
      <c r="W67" s="82"/>
      <c r="X67" s="84"/>
      <c r="Y67" s="85">
        <v>0</v>
      </c>
      <c r="Z67" s="82"/>
      <c r="AA67" s="84"/>
      <c r="AB67" s="85">
        <v>0</v>
      </c>
      <c r="AC67" s="82"/>
      <c r="AD67" s="84"/>
      <c r="AE67" s="85">
        <v>0</v>
      </c>
      <c r="AF67" s="82"/>
      <c r="AG67" s="84"/>
    </row>
    <row r="68" spans="1:33" ht="15.75" thickBot="1" x14ac:dyDescent="0.3">
      <c r="A68" s="68"/>
      <c r="B68" s="68"/>
      <c r="C68" s="107" t="s">
        <v>37</v>
      </c>
      <c r="D68" s="104"/>
      <c r="E68" s="86"/>
      <c r="F68" s="89"/>
      <c r="G68" s="86"/>
      <c r="H68" s="86"/>
      <c r="I68" s="89"/>
      <c r="J68" s="86"/>
      <c r="K68" s="86"/>
      <c r="L68" s="89"/>
      <c r="M68" s="86"/>
      <c r="N68" s="86"/>
      <c r="O68" s="89"/>
      <c r="P68" s="86"/>
      <c r="Q68" s="86"/>
      <c r="R68" s="89"/>
      <c r="S68" s="86"/>
      <c r="T68" s="86"/>
      <c r="U68" s="89"/>
      <c r="V68" s="86"/>
      <c r="W68" s="86"/>
      <c r="X68" s="89"/>
      <c r="Y68" s="86"/>
      <c r="Z68" s="86"/>
      <c r="AA68" s="89"/>
      <c r="AB68" s="86"/>
      <c r="AC68" s="86"/>
      <c r="AD68" s="89"/>
      <c r="AE68" s="86"/>
      <c r="AF68" s="86"/>
      <c r="AG68" s="89"/>
    </row>
    <row r="69" spans="1:33" ht="15.75" thickBot="1" x14ac:dyDescent="0.3">
      <c r="A69" s="68"/>
      <c r="B69" s="68"/>
      <c r="D69" s="87"/>
      <c r="E69" s="87"/>
      <c r="F69" s="90"/>
      <c r="G69" s="87"/>
      <c r="H69" s="87"/>
      <c r="I69" s="90"/>
      <c r="J69" s="87"/>
      <c r="K69" s="87"/>
      <c r="L69" s="90"/>
      <c r="M69" s="87"/>
      <c r="N69" s="87"/>
      <c r="O69" s="90"/>
      <c r="P69" s="87"/>
      <c r="Q69" s="87"/>
      <c r="R69" s="90"/>
      <c r="S69" s="87"/>
      <c r="T69" s="87"/>
      <c r="U69" s="90"/>
      <c r="V69" s="87"/>
      <c r="W69" s="87"/>
      <c r="X69" s="90"/>
      <c r="Y69" s="87"/>
      <c r="Z69" s="87"/>
      <c r="AA69" s="90"/>
      <c r="AB69" s="87"/>
      <c r="AC69" s="87"/>
      <c r="AD69" s="90"/>
      <c r="AE69" s="87"/>
      <c r="AF69" s="87"/>
      <c r="AG69" s="90"/>
    </row>
    <row r="70" spans="1:33" ht="15.75" thickBot="1" x14ac:dyDescent="0.3">
      <c r="A70" s="68"/>
      <c r="B70" s="68"/>
      <c r="D70" s="88"/>
      <c r="E70" s="88"/>
      <c r="F70" s="91"/>
      <c r="G70" s="88"/>
      <c r="H70" s="88"/>
      <c r="I70" s="91"/>
      <c r="J70" s="88"/>
      <c r="K70" s="88"/>
      <c r="L70" s="91"/>
      <c r="M70" s="88"/>
      <c r="N70" s="88"/>
      <c r="O70" s="91"/>
      <c r="P70" s="88"/>
      <c r="Q70" s="88"/>
      <c r="R70" s="91"/>
      <c r="S70" s="88"/>
      <c r="T70" s="88"/>
      <c r="U70" s="91"/>
      <c r="V70" s="88"/>
      <c r="W70" s="88"/>
      <c r="X70" s="91"/>
      <c r="Y70" s="88"/>
      <c r="Z70" s="88"/>
      <c r="AA70" s="91"/>
      <c r="AB70" s="88"/>
      <c r="AC70" s="88"/>
      <c r="AD70" s="91"/>
      <c r="AE70" s="88"/>
      <c r="AF70" s="88"/>
      <c r="AG70" s="91"/>
    </row>
    <row r="72" spans="1:33" ht="15.75" thickBot="1" x14ac:dyDescent="0.3"/>
    <row r="73" spans="1:33" ht="15.75" thickBot="1" x14ac:dyDescent="0.3">
      <c r="A73" s="68" t="s">
        <v>250</v>
      </c>
      <c r="B73" s="68"/>
      <c r="D73" s="52" t="s">
        <v>27</v>
      </c>
      <c r="E73" s="52"/>
      <c r="F73" s="52"/>
      <c r="G73" s="73" t="s">
        <v>28</v>
      </c>
      <c r="H73" s="73"/>
      <c r="I73" s="73"/>
      <c r="J73" s="52" t="s">
        <v>29</v>
      </c>
      <c r="K73" s="52"/>
      <c r="L73" s="52"/>
      <c r="M73" s="73" t="s">
        <v>30</v>
      </c>
      <c r="N73" s="73"/>
      <c r="O73" s="73"/>
      <c r="P73" s="52" t="s">
        <v>31</v>
      </c>
      <c r="Q73" s="52"/>
      <c r="R73" s="52"/>
      <c r="S73" s="73" t="s">
        <v>32</v>
      </c>
      <c r="T73" s="73"/>
      <c r="U73" s="73"/>
      <c r="V73" s="52" t="s">
        <v>33</v>
      </c>
      <c r="W73" s="52"/>
      <c r="X73" s="52"/>
      <c r="Y73" s="73" t="s">
        <v>34</v>
      </c>
      <c r="Z73" s="73"/>
      <c r="AA73" s="73"/>
      <c r="AB73" s="52" t="s">
        <v>35</v>
      </c>
      <c r="AC73" s="52"/>
      <c r="AD73" s="52"/>
      <c r="AE73" s="73" t="s">
        <v>36</v>
      </c>
      <c r="AF73" s="73"/>
      <c r="AG73" s="73"/>
    </row>
    <row r="74" spans="1:33" ht="15.75" thickBot="1" x14ac:dyDescent="0.3">
      <c r="A74" s="68"/>
      <c r="B74" s="68"/>
      <c r="C74" s="105" t="s">
        <v>243</v>
      </c>
      <c r="D74" s="75">
        <v>0</v>
      </c>
      <c r="E74" s="75"/>
      <c r="F74" s="76"/>
      <c r="G74" s="74">
        <v>0</v>
      </c>
      <c r="H74" s="75"/>
      <c r="I74" s="76"/>
      <c r="J74" s="74">
        <v>0</v>
      </c>
      <c r="K74" s="75"/>
      <c r="L74" s="76"/>
      <c r="M74" s="74">
        <v>0</v>
      </c>
      <c r="N74" s="75"/>
      <c r="O74" s="76"/>
      <c r="P74" s="74">
        <v>0</v>
      </c>
      <c r="Q74" s="75"/>
      <c r="R74" s="76"/>
      <c r="S74" s="74">
        <v>0</v>
      </c>
      <c r="T74" s="75"/>
      <c r="U74" s="76"/>
      <c r="V74" s="74">
        <v>0</v>
      </c>
      <c r="W74" s="75"/>
      <c r="X74" s="76"/>
      <c r="Y74" s="74">
        <v>0</v>
      </c>
      <c r="Z74" s="75"/>
      <c r="AA74" s="76"/>
      <c r="AB74" s="74">
        <v>0</v>
      </c>
      <c r="AC74" s="75"/>
      <c r="AD74" s="76"/>
      <c r="AE74" s="74">
        <v>0</v>
      </c>
      <c r="AF74" s="75"/>
      <c r="AG74" s="76"/>
    </row>
    <row r="75" spans="1:33" ht="15.75" thickBot="1" x14ac:dyDescent="0.3">
      <c r="A75" s="68"/>
      <c r="B75" s="68"/>
      <c r="C75" s="106" t="s">
        <v>244</v>
      </c>
      <c r="D75" s="82">
        <v>0</v>
      </c>
      <c r="E75" s="82"/>
      <c r="F75" s="84"/>
      <c r="G75" s="85">
        <v>0</v>
      </c>
      <c r="H75" s="82"/>
      <c r="I75" s="84"/>
      <c r="J75" s="85">
        <v>0</v>
      </c>
      <c r="K75" s="82"/>
      <c r="L75" s="84"/>
      <c r="M75" s="85">
        <v>0</v>
      </c>
      <c r="N75" s="82"/>
      <c r="O75" s="82"/>
      <c r="P75" s="81">
        <v>0</v>
      </c>
      <c r="Q75" s="82"/>
      <c r="R75" s="83"/>
      <c r="S75" s="82">
        <v>0</v>
      </c>
      <c r="T75" s="82"/>
      <c r="U75" s="84"/>
      <c r="V75" s="85">
        <v>0</v>
      </c>
      <c r="W75" s="82"/>
      <c r="X75" s="84"/>
      <c r="Y75" s="85">
        <v>0</v>
      </c>
      <c r="Z75" s="82"/>
      <c r="AA75" s="84"/>
      <c r="AB75" s="85">
        <v>0</v>
      </c>
      <c r="AC75" s="82"/>
      <c r="AD75" s="84"/>
      <c r="AE75" s="85">
        <v>0</v>
      </c>
      <c r="AF75" s="82"/>
      <c r="AG75" s="84"/>
    </row>
    <row r="76" spans="1:33" ht="15.75" thickBot="1" x14ac:dyDescent="0.3">
      <c r="A76" s="68"/>
      <c r="B76" s="68"/>
      <c r="C76" s="107" t="s">
        <v>37</v>
      </c>
      <c r="D76" s="104"/>
      <c r="E76" s="86"/>
      <c r="F76" s="89"/>
      <c r="G76" s="86"/>
      <c r="H76" s="86"/>
      <c r="I76" s="89"/>
      <c r="J76" s="86"/>
      <c r="K76" s="86"/>
      <c r="L76" s="89"/>
      <c r="M76" s="86"/>
      <c r="N76" s="86"/>
      <c r="O76" s="89"/>
      <c r="P76" s="86"/>
      <c r="Q76" s="86"/>
      <c r="R76" s="89"/>
      <c r="S76" s="86"/>
      <c r="T76" s="86"/>
      <c r="U76" s="89"/>
      <c r="V76" s="86"/>
      <c r="W76" s="86"/>
      <c r="X76" s="89"/>
      <c r="Y76" s="86"/>
      <c r="Z76" s="86"/>
      <c r="AA76" s="89"/>
      <c r="AB76" s="86"/>
      <c r="AC76" s="86"/>
      <c r="AD76" s="89"/>
      <c r="AE76" s="86"/>
      <c r="AF76" s="86"/>
      <c r="AG76" s="89"/>
    </row>
    <row r="77" spans="1:33" ht="15.75" thickBot="1" x14ac:dyDescent="0.3">
      <c r="A77" s="68"/>
      <c r="B77" s="68"/>
      <c r="D77" s="87"/>
      <c r="E77" s="87"/>
      <c r="F77" s="90"/>
      <c r="G77" s="87"/>
      <c r="H77" s="87"/>
      <c r="I77" s="90"/>
      <c r="J77" s="87"/>
      <c r="K77" s="87"/>
      <c r="L77" s="90"/>
      <c r="M77" s="87"/>
      <c r="N77" s="87"/>
      <c r="O77" s="90"/>
      <c r="P77" s="87"/>
      <c r="Q77" s="87"/>
      <c r="R77" s="90"/>
      <c r="S77" s="87"/>
      <c r="T77" s="87"/>
      <c r="U77" s="90"/>
      <c r="V77" s="87"/>
      <c r="W77" s="87"/>
      <c r="X77" s="90"/>
      <c r="Y77" s="87"/>
      <c r="Z77" s="87"/>
      <c r="AA77" s="90"/>
      <c r="AB77" s="87"/>
      <c r="AC77" s="87"/>
      <c r="AD77" s="90"/>
      <c r="AE77" s="87"/>
      <c r="AF77" s="87"/>
      <c r="AG77" s="90"/>
    </row>
    <row r="78" spans="1:33" ht="15.75" thickBot="1" x14ac:dyDescent="0.3">
      <c r="A78" s="68"/>
      <c r="B78" s="68"/>
      <c r="D78" s="88"/>
      <c r="E78" s="88"/>
      <c r="F78" s="91"/>
      <c r="G78" s="88"/>
      <c r="H78" s="88"/>
      <c r="I78" s="91"/>
      <c r="J78" s="88"/>
      <c r="K78" s="88"/>
      <c r="L78" s="91"/>
      <c r="M78" s="88"/>
      <c r="N78" s="88"/>
      <c r="O78" s="91"/>
      <c r="P78" s="88"/>
      <c r="Q78" s="88"/>
      <c r="R78" s="91"/>
      <c r="S78" s="88"/>
      <c r="T78" s="88"/>
      <c r="U78" s="91"/>
      <c r="V78" s="88"/>
      <c r="W78" s="88"/>
      <c r="X78" s="91"/>
      <c r="Y78" s="88"/>
      <c r="Z78" s="88"/>
      <c r="AA78" s="91"/>
      <c r="AB78" s="88"/>
      <c r="AC78" s="88"/>
      <c r="AD78" s="91"/>
      <c r="AE78" s="88"/>
      <c r="AF78" s="88"/>
      <c r="AG78" s="91"/>
    </row>
    <row r="80" spans="1:33" ht="15.75" thickBot="1" x14ac:dyDescent="0.3"/>
    <row r="81" spans="1:33" ht="15.75" thickBot="1" x14ac:dyDescent="0.3">
      <c r="A81" s="68" t="s">
        <v>251</v>
      </c>
      <c r="B81" s="68"/>
      <c r="D81" s="52" t="s">
        <v>27</v>
      </c>
      <c r="E81" s="52"/>
      <c r="F81" s="52"/>
      <c r="G81" s="73" t="s">
        <v>28</v>
      </c>
      <c r="H81" s="73"/>
      <c r="I81" s="73"/>
      <c r="J81" s="52" t="s">
        <v>29</v>
      </c>
      <c r="K81" s="52"/>
      <c r="L81" s="52"/>
      <c r="M81" s="73" t="s">
        <v>30</v>
      </c>
      <c r="N81" s="73"/>
      <c r="O81" s="73"/>
      <c r="P81" s="52" t="s">
        <v>31</v>
      </c>
      <c r="Q81" s="52"/>
      <c r="R81" s="52"/>
      <c r="S81" s="73" t="s">
        <v>32</v>
      </c>
      <c r="T81" s="73"/>
      <c r="U81" s="73"/>
      <c r="V81" s="52" t="s">
        <v>33</v>
      </c>
      <c r="W81" s="52"/>
      <c r="X81" s="52"/>
      <c r="Y81" s="73" t="s">
        <v>34</v>
      </c>
      <c r="Z81" s="73"/>
      <c r="AA81" s="73"/>
      <c r="AB81" s="52" t="s">
        <v>35</v>
      </c>
      <c r="AC81" s="52"/>
      <c r="AD81" s="52"/>
      <c r="AE81" s="73" t="s">
        <v>36</v>
      </c>
      <c r="AF81" s="73"/>
      <c r="AG81" s="73"/>
    </row>
    <row r="82" spans="1:33" ht="15.75" thickBot="1" x14ac:dyDescent="0.3">
      <c r="A82" s="68"/>
      <c r="B82" s="68"/>
      <c r="C82" s="105" t="s">
        <v>243</v>
      </c>
      <c r="D82" s="75">
        <v>0</v>
      </c>
      <c r="E82" s="75"/>
      <c r="F82" s="76"/>
      <c r="G82" s="74">
        <v>0</v>
      </c>
      <c r="H82" s="75"/>
      <c r="I82" s="76"/>
      <c r="J82" s="74">
        <v>0</v>
      </c>
      <c r="K82" s="75"/>
      <c r="L82" s="76"/>
      <c r="M82" s="74">
        <v>0</v>
      </c>
      <c r="N82" s="75"/>
      <c r="O82" s="76"/>
      <c r="P82" s="74">
        <v>0</v>
      </c>
      <c r="Q82" s="75"/>
      <c r="R82" s="76"/>
      <c r="S82" s="74">
        <v>0</v>
      </c>
      <c r="T82" s="75"/>
      <c r="U82" s="76"/>
      <c r="V82" s="74">
        <v>0</v>
      </c>
      <c r="W82" s="75"/>
      <c r="X82" s="76"/>
      <c r="Y82" s="74">
        <v>0</v>
      </c>
      <c r="Z82" s="75"/>
      <c r="AA82" s="76"/>
      <c r="AB82" s="74">
        <v>0</v>
      </c>
      <c r="AC82" s="75"/>
      <c r="AD82" s="76"/>
      <c r="AE82" s="74">
        <v>0</v>
      </c>
      <c r="AF82" s="75"/>
      <c r="AG82" s="76"/>
    </row>
    <row r="83" spans="1:33" ht="15.75" thickBot="1" x14ac:dyDescent="0.3">
      <c r="A83" s="68"/>
      <c r="B83" s="68"/>
      <c r="C83" s="106" t="s">
        <v>244</v>
      </c>
      <c r="D83" s="82">
        <v>0</v>
      </c>
      <c r="E83" s="82"/>
      <c r="F83" s="84"/>
      <c r="G83" s="85">
        <v>0</v>
      </c>
      <c r="H83" s="82"/>
      <c r="I83" s="84"/>
      <c r="J83" s="85">
        <v>0</v>
      </c>
      <c r="K83" s="82"/>
      <c r="L83" s="84"/>
      <c r="M83" s="85">
        <v>0</v>
      </c>
      <c r="N83" s="82"/>
      <c r="O83" s="82"/>
      <c r="P83" s="81">
        <v>0</v>
      </c>
      <c r="Q83" s="82"/>
      <c r="R83" s="83"/>
      <c r="S83" s="82">
        <v>0</v>
      </c>
      <c r="T83" s="82"/>
      <c r="U83" s="84"/>
      <c r="V83" s="85">
        <v>0</v>
      </c>
      <c r="W83" s="82"/>
      <c r="X83" s="84"/>
      <c r="Y83" s="85">
        <v>0</v>
      </c>
      <c r="Z83" s="82"/>
      <c r="AA83" s="84"/>
      <c r="AB83" s="85">
        <v>0</v>
      </c>
      <c r="AC83" s="82"/>
      <c r="AD83" s="84"/>
      <c r="AE83" s="85">
        <v>0</v>
      </c>
      <c r="AF83" s="82"/>
      <c r="AG83" s="84"/>
    </row>
    <row r="84" spans="1:33" ht="15.75" thickBot="1" x14ac:dyDescent="0.3">
      <c r="A84" s="68"/>
      <c r="B84" s="68"/>
      <c r="C84" s="107" t="s">
        <v>37</v>
      </c>
      <c r="D84" s="104"/>
      <c r="E84" s="86"/>
      <c r="F84" s="89"/>
      <c r="G84" s="86"/>
      <c r="H84" s="86"/>
      <c r="I84" s="89"/>
      <c r="J84" s="86"/>
      <c r="K84" s="86"/>
      <c r="L84" s="89"/>
      <c r="M84" s="86"/>
      <c r="N84" s="86"/>
      <c r="O84" s="89"/>
      <c r="P84" s="86"/>
      <c r="Q84" s="86"/>
      <c r="R84" s="89"/>
      <c r="S84" s="86"/>
      <c r="T84" s="86"/>
      <c r="U84" s="89"/>
      <c r="V84" s="86"/>
      <c r="W84" s="86"/>
      <c r="X84" s="89"/>
      <c r="Y84" s="86"/>
      <c r="Z84" s="86"/>
      <c r="AA84" s="89"/>
      <c r="AB84" s="86"/>
      <c r="AC84" s="86"/>
      <c r="AD84" s="89"/>
      <c r="AE84" s="86"/>
      <c r="AF84" s="86"/>
      <c r="AG84" s="89"/>
    </row>
    <row r="85" spans="1:33" ht="15.75" thickBot="1" x14ac:dyDescent="0.3">
      <c r="A85" s="68"/>
      <c r="B85" s="68"/>
      <c r="D85" s="87"/>
      <c r="E85" s="87"/>
      <c r="F85" s="90"/>
      <c r="G85" s="87"/>
      <c r="H85" s="87"/>
      <c r="I85" s="90"/>
      <c r="J85" s="87"/>
      <c r="K85" s="87"/>
      <c r="L85" s="90"/>
      <c r="M85" s="87"/>
      <c r="N85" s="87"/>
      <c r="O85" s="90"/>
      <c r="P85" s="87"/>
      <c r="Q85" s="87"/>
      <c r="R85" s="90"/>
      <c r="S85" s="87"/>
      <c r="T85" s="87"/>
      <c r="U85" s="90"/>
      <c r="V85" s="87"/>
      <c r="W85" s="87"/>
      <c r="X85" s="90"/>
      <c r="Y85" s="87"/>
      <c r="Z85" s="87"/>
      <c r="AA85" s="90"/>
      <c r="AB85" s="87"/>
      <c r="AC85" s="87"/>
      <c r="AD85" s="90"/>
      <c r="AE85" s="87"/>
      <c r="AF85" s="87"/>
      <c r="AG85" s="90"/>
    </row>
    <row r="86" spans="1:33" ht="15.75" thickBot="1" x14ac:dyDescent="0.3">
      <c r="A86" s="68"/>
      <c r="B86" s="68"/>
      <c r="D86" s="88"/>
      <c r="E86" s="88"/>
      <c r="F86" s="91"/>
      <c r="G86" s="88"/>
      <c r="H86" s="88"/>
      <c r="I86" s="91"/>
      <c r="J86" s="88"/>
      <c r="K86" s="88"/>
      <c r="L86" s="91"/>
      <c r="M86" s="88"/>
      <c r="N86" s="88"/>
      <c r="O86" s="91"/>
      <c r="P86" s="88"/>
      <c r="Q86" s="88"/>
      <c r="R86" s="91"/>
      <c r="S86" s="88"/>
      <c r="T86" s="88"/>
      <c r="U86" s="91"/>
      <c r="V86" s="88"/>
      <c r="W86" s="88"/>
      <c r="X86" s="91"/>
      <c r="Y86" s="88"/>
      <c r="Z86" s="88"/>
      <c r="AA86" s="91"/>
      <c r="AB86" s="88"/>
      <c r="AC86" s="88"/>
      <c r="AD86" s="91"/>
      <c r="AE86" s="88"/>
      <c r="AF86" s="88"/>
      <c r="AG86" s="91"/>
    </row>
    <row r="88" spans="1:33" ht="15.75" thickBot="1" x14ac:dyDescent="0.3"/>
    <row r="89" spans="1:33" ht="15.75" thickBot="1" x14ac:dyDescent="0.3">
      <c r="A89" s="68" t="s">
        <v>252</v>
      </c>
      <c r="B89" s="68"/>
      <c r="D89" s="52" t="s">
        <v>27</v>
      </c>
      <c r="E89" s="52"/>
      <c r="F89" s="52"/>
      <c r="G89" s="73" t="s">
        <v>28</v>
      </c>
      <c r="H89" s="73"/>
      <c r="I89" s="73"/>
      <c r="J89" s="52" t="s">
        <v>29</v>
      </c>
      <c r="K89" s="52"/>
      <c r="L89" s="52"/>
      <c r="M89" s="73" t="s">
        <v>30</v>
      </c>
      <c r="N89" s="73"/>
      <c r="O89" s="73"/>
      <c r="P89" s="52" t="s">
        <v>31</v>
      </c>
      <c r="Q89" s="52"/>
      <c r="R89" s="52"/>
      <c r="S89" s="73" t="s">
        <v>32</v>
      </c>
      <c r="T89" s="73"/>
      <c r="U89" s="73"/>
      <c r="V89" s="52" t="s">
        <v>33</v>
      </c>
      <c r="W89" s="52"/>
      <c r="X89" s="52"/>
      <c r="Y89" s="73" t="s">
        <v>34</v>
      </c>
      <c r="Z89" s="73"/>
      <c r="AA89" s="73"/>
      <c r="AB89" s="52" t="s">
        <v>35</v>
      </c>
      <c r="AC89" s="52"/>
      <c r="AD89" s="52"/>
      <c r="AE89" s="73" t="s">
        <v>36</v>
      </c>
      <c r="AF89" s="73"/>
      <c r="AG89" s="73"/>
    </row>
    <row r="90" spans="1:33" ht="15.75" thickBot="1" x14ac:dyDescent="0.3">
      <c r="A90" s="68"/>
      <c r="B90" s="68"/>
      <c r="C90" s="105" t="s">
        <v>243</v>
      </c>
      <c r="D90" s="75">
        <v>0</v>
      </c>
      <c r="E90" s="75"/>
      <c r="F90" s="76"/>
      <c r="G90" s="74">
        <v>0</v>
      </c>
      <c r="H90" s="75"/>
      <c r="I90" s="76"/>
      <c r="J90" s="74">
        <v>0</v>
      </c>
      <c r="K90" s="75"/>
      <c r="L90" s="76"/>
      <c r="M90" s="74">
        <v>0</v>
      </c>
      <c r="N90" s="75"/>
      <c r="O90" s="76"/>
      <c r="P90" s="74">
        <v>0</v>
      </c>
      <c r="Q90" s="75"/>
      <c r="R90" s="76"/>
      <c r="S90" s="74">
        <v>0</v>
      </c>
      <c r="T90" s="75"/>
      <c r="U90" s="76"/>
      <c r="V90" s="74">
        <v>0</v>
      </c>
      <c r="W90" s="75"/>
      <c r="X90" s="76"/>
      <c r="Y90" s="74">
        <v>0</v>
      </c>
      <c r="Z90" s="75"/>
      <c r="AA90" s="76"/>
      <c r="AB90" s="74">
        <v>0</v>
      </c>
      <c r="AC90" s="75"/>
      <c r="AD90" s="76"/>
      <c r="AE90" s="74">
        <v>0</v>
      </c>
      <c r="AF90" s="75"/>
      <c r="AG90" s="76"/>
    </row>
    <row r="91" spans="1:33" ht="15.75" thickBot="1" x14ac:dyDescent="0.3">
      <c r="A91" s="68"/>
      <c r="B91" s="68"/>
      <c r="C91" s="106" t="s">
        <v>244</v>
      </c>
      <c r="D91" s="82">
        <v>0</v>
      </c>
      <c r="E91" s="82"/>
      <c r="F91" s="84"/>
      <c r="G91" s="85">
        <v>0</v>
      </c>
      <c r="H91" s="82"/>
      <c r="I91" s="84"/>
      <c r="J91" s="85">
        <v>0</v>
      </c>
      <c r="K91" s="82"/>
      <c r="L91" s="84"/>
      <c r="M91" s="85">
        <v>0</v>
      </c>
      <c r="N91" s="82"/>
      <c r="O91" s="82"/>
      <c r="P91" s="81">
        <v>0</v>
      </c>
      <c r="Q91" s="82"/>
      <c r="R91" s="83"/>
      <c r="S91" s="82">
        <v>0</v>
      </c>
      <c r="T91" s="82"/>
      <c r="U91" s="84"/>
      <c r="V91" s="85">
        <v>0</v>
      </c>
      <c r="W91" s="82"/>
      <c r="X91" s="84"/>
      <c r="Y91" s="85">
        <v>0</v>
      </c>
      <c r="Z91" s="82"/>
      <c r="AA91" s="84"/>
      <c r="AB91" s="85">
        <v>0</v>
      </c>
      <c r="AC91" s="82"/>
      <c r="AD91" s="84"/>
      <c r="AE91" s="85">
        <v>0</v>
      </c>
      <c r="AF91" s="82"/>
      <c r="AG91" s="84"/>
    </row>
    <row r="92" spans="1:33" ht="15.75" thickBot="1" x14ac:dyDescent="0.3">
      <c r="A92" s="68"/>
      <c r="B92" s="68"/>
      <c r="C92" s="107" t="s">
        <v>37</v>
      </c>
      <c r="D92" s="104"/>
      <c r="E92" s="86"/>
      <c r="F92" s="89"/>
      <c r="G92" s="86"/>
      <c r="H92" s="86"/>
      <c r="I92" s="89"/>
      <c r="J92" s="86"/>
      <c r="K92" s="86"/>
      <c r="L92" s="89"/>
      <c r="M92" s="86"/>
      <c r="N92" s="86"/>
      <c r="O92" s="89"/>
      <c r="P92" s="86"/>
      <c r="Q92" s="86"/>
      <c r="R92" s="89"/>
      <c r="S92" s="86"/>
      <c r="T92" s="86"/>
      <c r="U92" s="89"/>
      <c r="V92" s="86"/>
      <c r="W92" s="86"/>
      <c r="X92" s="89"/>
      <c r="Y92" s="86"/>
      <c r="Z92" s="86"/>
      <c r="AA92" s="89"/>
      <c r="AB92" s="86"/>
      <c r="AC92" s="86"/>
      <c r="AD92" s="89"/>
      <c r="AE92" s="86"/>
      <c r="AF92" s="86"/>
      <c r="AG92" s="89"/>
    </row>
    <row r="93" spans="1:33" ht="15.75" thickBot="1" x14ac:dyDescent="0.3">
      <c r="A93" s="68"/>
      <c r="B93" s="68"/>
      <c r="D93" s="87"/>
      <c r="E93" s="87"/>
      <c r="F93" s="90"/>
      <c r="G93" s="87"/>
      <c r="H93" s="87"/>
      <c r="I93" s="90"/>
      <c r="J93" s="87"/>
      <c r="K93" s="87"/>
      <c r="L93" s="90"/>
      <c r="M93" s="87"/>
      <c r="N93" s="87"/>
      <c r="O93" s="90"/>
      <c r="P93" s="87"/>
      <c r="Q93" s="87"/>
      <c r="R93" s="90"/>
      <c r="S93" s="87"/>
      <c r="T93" s="87"/>
      <c r="U93" s="90"/>
      <c r="V93" s="87"/>
      <c r="W93" s="87"/>
      <c r="X93" s="90"/>
      <c r="Y93" s="87"/>
      <c r="Z93" s="87"/>
      <c r="AA93" s="90"/>
      <c r="AB93" s="87"/>
      <c r="AC93" s="87"/>
      <c r="AD93" s="90"/>
      <c r="AE93" s="87"/>
      <c r="AF93" s="87"/>
      <c r="AG93" s="90"/>
    </row>
    <row r="94" spans="1:33" ht="15.75" thickBot="1" x14ac:dyDescent="0.3">
      <c r="A94" s="68"/>
      <c r="B94" s="68"/>
      <c r="D94" s="88"/>
      <c r="E94" s="88"/>
      <c r="F94" s="91"/>
      <c r="G94" s="88"/>
      <c r="H94" s="88"/>
      <c r="I94" s="91"/>
      <c r="J94" s="88"/>
      <c r="K94" s="88"/>
      <c r="L94" s="91"/>
      <c r="M94" s="88"/>
      <c r="N94" s="88"/>
      <c r="O94" s="91"/>
      <c r="P94" s="88"/>
      <c r="Q94" s="88"/>
      <c r="R94" s="91"/>
      <c r="S94" s="88"/>
      <c r="T94" s="88"/>
      <c r="U94" s="91"/>
      <c r="V94" s="88"/>
      <c r="W94" s="88"/>
      <c r="X94" s="91"/>
      <c r="Y94" s="88"/>
      <c r="Z94" s="88"/>
      <c r="AA94" s="91"/>
      <c r="AB94" s="88"/>
      <c r="AC94" s="88"/>
      <c r="AD94" s="91"/>
      <c r="AE94" s="88"/>
      <c r="AF94" s="88"/>
      <c r="AG94" s="91"/>
    </row>
    <row r="96" spans="1:33" ht="15.75" thickBot="1" x14ac:dyDescent="0.3"/>
    <row r="97" spans="1:33" ht="15.75" thickBot="1" x14ac:dyDescent="0.3">
      <c r="A97" s="68" t="s">
        <v>80</v>
      </c>
      <c r="B97" s="68"/>
      <c r="D97" s="52" t="s">
        <v>27</v>
      </c>
      <c r="E97" s="52"/>
      <c r="F97" s="52"/>
      <c r="G97" s="73" t="s">
        <v>28</v>
      </c>
      <c r="H97" s="73"/>
      <c r="I97" s="73"/>
      <c r="J97" s="52" t="s">
        <v>29</v>
      </c>
      <c r="K97" s="52"/>
      <c r="L97" s="52"/>
      <c r="M97" s="73" t="s">
        <v>30</v>
      </c>
      <c r="N97" s="73"/>
      <c r="O97" s="73"/>
      <c r="P97" s="52" t="s">
        <v>31</v>
      </c>
      <c r="Q97" s="52"/>
      <c r="R97" s="52"/>
      <c r="S97" s="73" t="s">
        <v>32</v>
      </c>
      <c r="T97" s="73"/>
      <c r="U97" s="73"/>
      <c r="V97" s="52" t="s">
        <v>33</v>
      </c>
      <c r="W97" s="52"/>
      <c r="X97" s="52"/>
      <c r="Y97" s="73" t="s">
        <v>34</v>
      </c>
      <c r="Z97" s="73"/>
      <c r="AA97" s="73"/>
      <c r="AB97" s="52" t="s">
        <v>35</v>
      </c>
      <c r="AC97" s="52"/>
      <c r="AD97" s="52"/>
      <c r="AE97" s="73" t="s">
        <v>36</v>
      </c>
      <c r="AF97" s="73"/>
      <c r="AG97" s="73"/>
    </row>
    <row r="98" spans="1:33" ht="15.75" thickBot="1" x14ac:dyDescent="0.3">
      <c r="A98" s="68"/>
      <c r="B98" s="68"/>
      <c r="C98" s="105" t="s">
        <v>243</v>
      </c>
      <c r="D98" s="75">
        <v>0</v>
      </c>
      <c r="E98" s="75"/>
      <c r="F98" s="76"/>
      <c r="G98" s="74">
        <v>0</v>
      </c>
      <c r="H98" s="75"/>
      <c r="I98" s="76"/>
      <c r="J98" s="74">
        <v>0</v>
      </c>
      <c r="K98" s="75"/>
      <c r="L98" s="76"/>
      <c r="M98" s="74">
        <v>0</v>
      </c>
      <c r="N98" s="75"/>
      <c r="O98" s="76"/>
      <c r="P98" s="74">
        <v>0</v>
      </c>
      <c r="Q98" s="75"/>
      <c r="R98" s="76"/>
      <c r="S98" s="74">
        <v>0</v>
      </c>
      <c r="T98" s="75"/>
      <c r="U98" s="76"/>
      <c r="V98" s="74">
        <v>0</v>
      </c>
      <c r="W98" s="75"/>
      <c r="X98" s="76"/>
      <c r="Y98" s="74">
        <v>0</v>
      </c>
      <c r="Z98" s="75"/>
      <c r="AA98" s="76"/>
      <c r="AB98" s="74">
        <v>0</v>
      </c>
      <c r="AC98" s="75"/>
      <c r="AD98" s="76"/>
      <c r="AE98" s="74">
        <v>0</v>
      </c>
      <c r="AF98" s="75"/>
      <c r="AG98" s="76"/>
    </row>
    <row r="99" spans="1:33" ht="15.75" thickBot="1" x14ac:dyDescent="0.3">
      <c r="A99" s="68"/>
      <c r="B99" s="68"/>
      <c r="C99" s="106" t="s">
        <v>244</v>
      </c>
      <c r="D99" s="82">
        <v>0</v>
      </c>
      <c r="E99" s="82"/>
      <c r="F99" s="84"/>
      <c r="G99" s="85">
        <v>0</v>
      </c>
      <c r="H99" s="82"/>
      <c r="I99" s="84"/>
      <c r="J99" s="85">
        <v>0</v>
      </c>
      <c r="K99" s="82"/>
      <c r="L99" s="84"/>
      <c r="M99" s="85">
        <v>0</v>
      </c>
      <c r="N99" s="82"/>
      <c r="O99" s="82"/>
      <c r="P99" s="81">
        <v>0</v>
      </c>
      <c r="Q99" s="82"/>
      <c r="R99" s="83"/>
      <c r="S99" s="82">
        <v>0</v>
      </c>
      <c r="T99" s="82"/>
      <c r="U99" s="84"/>
      <c r="V99" s="85">
        <v>0</v>
      </c>
      <c r="W99" s="82"/>
      <c r="X99" s="84"/>
      <c r="Y99" s="85">
        <v>0</v>
      </c>
      <c r="Z99" s="82"/>
      <c r="AA99" s="84"/>
      <c r="AB99" s="85">
        <v>0</v>
      </c>
      <c r="AC99" s="82"/>
      <c r="AD99" s="84"/>
      <c r="AE99" s="85">
        <v>0</v>
      </c>
      <c r="AF99" s="82"/>
      <c r="AG99" s="84"/>
    </row>
    <row r="100" spans="1:33" ht="15.75" thickBot="1" x14ac:dyDescent="0.3">
      <c r="A100" s="68"/>
      <c r="B100" s="68"/>
      <c r="C100" s="107" t="s">
        <v>37</v>
      </c>
      <c r="D100" s="104"/>
      <c r="E100" s="86"/>
      <c r="F100" s="89"/>
      <c r="G100" s="86"/>
      <c r="H100" s="86"/>
      <c r="I100" s="89"/>
      <c r="J100" s="86"/>
      <c r="K100" s="86"/>
      <c r="L100" s="89"/>
      <c r="M100" s="86"/>
      <c r="N100" s="86"/>
      <c r="O100" s="89"/>
      <c r="P100" s="86"/>
      <c r="Q100" s="86"/>
      <c r="R100" s="89"/>
      <c r="S100" s="86"/>
      <c r="T100" s="86"/>
      <c r="U100" s="89"/>
      <c r="V100" s="86"/>
      <c r="W100" s="86"/>
      <c r="X100" s="89"/>
      <c r="Y100" s="86"/>
      <c r="Z100" s="86"/>
      <c r="AA100" s="89"/>
      <c r="AB100" s="86"/>
      <c r="AC100" s="86"/>
      <c r="AD100" s="89"/>
      <c r="AE100" s="86"/>
      <c r="AF100" s="86"/>
      <c r="AG100" s="89"/>
    </row>
    <row r="101" spans="1:33" ht="15.75" thickBot="1" x14ac:dyDescent="0.3">
      <c r="A101" s="68"/>
      <c r="B101" s="68"/>
      <c r="D101" s="87"/>
      <c r="E101" s="87"/>
      <c r="F101" s="90"/>
      <c r="G101" s="87"/>
      <c r="H101" s="87"/>
      <c r="I101" s="90"/>
      <c r="J101" s="87"/>
      <c r="K101" s="87"/>
      <c r="L101" s="90"/>
      <c r="M101" s="87"/>
      <c r="N101" s="87"/>
      <c r="O101" s="90"/>
      <c r="P101" s="87"/>
      <c r="Q101" s="87"/>
      <c r="R101" s="90"/>
      <c r="S101" s="87"/>
      <c r="T101" s="87"/>
      <c r="U101" s="90"/>
      <c r="V101" s="87"/>
      <c r="W101" s="87"/>
      <c r="X101" s="90"/>
      <c r="Y101" s="87"/>
      <c r="Z101" s="87"/>
      <c r="AA101" s="90"/>
      <c r="AB101" s="87"/>
      <c r="AC101" s="87"/>
      <c r="AD101" s="90"/>
      <c r="AE101" s="87"/>
      <c r="AF101" s="87"/>
      <c r="AG101" s="90"/>
    </row>
    <row r="102" spans="1:33" ht="15.75" thickBot="1" x14ac:dyDescent="0.3">
      <c r="A102" s="68"/>
      <c r="B102" s="68"/>
      <c r="D102" s="88"/>
      <c r="E102" s="88"/>
      <c r="F102" s="91"/>
      <c r="G102" s="88"/>
      <c r="H102" s="88"/>
      <c r="I102" s="91"/>
      <c r="J102" s="88"/>
      <c r="K102" s="88"/>
      <c r="L102" s="91"/>
      <c r="M102" s="88"/>
      <c r="N102" s="88"/>
      <c r="O102" s="91"/>
      <c r="P102" s="88"/>
      <c r="Q102" s="88"/>
      <c r="R102" s="91"/>
      <c r="S102" s="88"/>
      <c r="T102" s="88"/>
      <c r="U102" s="91"/>
      <c r="V102" s="88"/>
      <c r="W102" s="88"/>
      <c r="X102" s="91"/>
      <c r="Y102" s="88"/>
      <c r="Z102" s="88"/>
      <c r="AA102" s="91"/>
      <c r="AB102" s="88"/>
      <c r="AC102" s="88"/>
      <c r="AD102" s="91"/>
      <c r="AE102" s="88"/>
      <c r="AF102" s="88"/>
      <c r="AG102" s="91"/>
    </row>
    <row r="104" spans="1:33" ht="15.75" thickBot="1" x14ac:dyDescent="0.3"/>
    <row r="105" spans="1:33" ht="15.75" thickBot="1" x14ac:dyDescent="0.3">
      <c r="A105" s="68" t="s">
        <v>81</v>
      </c>
      <c r="B105" s="68"/>
      <c r="D105" s="52" t="s">
        <v>27</v>
      </c>
      <c r="E105" s="52"/>
      <c r="F105" s="52"/>
      <c r="G105" s="73" t="s">
        <v>28</v>
      </c>
      <c r="H105" s="73"/>
      <c r="I105" s="73"/>
      <c r="J105" s="52" t="s">
        <v>29</v>
      </c>
      <c r="K105" s="52"/>
      <c r="L105" s="52"/>
      <c r="M105" s="73" t="s">
        <v>30</v>
      </c>
      <c r="N105" s="73"/>
      <c r="O105" s="73"/>
      <c r="P105" s="52" t="s">
        <v>31</v>
      </c>
      <c r="Q105" s="52"/>
      <c r="R105" s="52"/>
      <c r="S105" s="73" t="s">
        <v>32</v>
      </c>
      <c r="T105" s="73"/>
      <c r="U105" s="73"/>
      <c r="V105" s="52" t="s">
        <v>33</v>
      </c>
      <c r="W105" s="52"/>
      <c r="X105" s="52"/>
      <c r="Y105" s="73" t="s">
        <v>34</v>
      </c>
      <c r="Z105" s="73"/>
      <c r="AA105" s="73"/>
      <c r="AB105" s="52" t="s">
        <v>35</v>
      </c>
      <c r="AC105" s="52"/>
      <c r="AD105" s="52"/>
      <c r="AE105" s="73" t="s">
        <v>36</v>
      </c>
      <c r="AF105" s="73"/>
      <c r="AG105" s="73"/>
    </row>
    <row r="106" spans="1:33" ht="15.75" thickBot="1" x14ac:dyDescent="0.3">
      <c r="A106" s="68"/>
      <c r="B106" s="68"/>
      <c r="C106" s="105" t="s">
        <v>243</v>
      </c>
      <c r="D106" s="75">
        <v>0</v>
      </c>
      <c r="E106" s="75"/>
      <c r="F106" s="76"/>
      <c r="G106" s="74">
        <v>0</v>
      </c>
      <c r="H106" s="75"/>
      <c r="I106" s="76"/>
      <c r="J106" s="74">
        <v>0</v>
      </c>
      <c r="K106" s="75"/>
      <c r="L106" s="76"/>
      <c r="M106" s="74">
        <v>0</v>
      </c>
      <c r="N106" s="75"/>
      <c r="O106" s="76"/>
      <c r="P106" s="74">
        <v>0</v>
      </c>
      <c r="Q106" s="75"/>
      <c r="R106" s="76"/>
      <c r="S106" s="74">
        <v>0</v>
      </c>
      <c r="T106" s="75"/>
      <c r="U106" s="76"/>
      <c r="V106" s="74">
        <v>0</v>
      </c>
      <c r="W106" s="75"/>
      <c r="X106" s="76"/>
      <c r="Y106" s="74">
        <v>0</v>
      </c>
      <c r="Z106" s="75"/>
      <c r="AA106" s="76"/>
      <c r="AB106" s="74">
        <v>0</v>
      </c>
      <c r="AC106" s="75"/>
      <c r="AD106" s="76"/>
      <c r="AE106" s="74">
        <v>0</v>
      </c>
      <c r="AF106" s="75"/>
      <c r="AG106" s="76"/>
    </row>
    <row r="107" spans="1:33" ht="15.75" thickBot="1" x14ac:dyDescent="0.3">
      <c r="A107" s="68"/>
      <c r="B107" s="68"/>
      <c r="C107" s="106" t="s">
        <v>244</v>
      </c>
      <c r="D107" s="82">
        <v>0</v>
      </c>
      <c r="E107" s="82"/>
      <c r="F107" s="84"/>
      <c r="G107" s="85">
        <v>0</v>
      </c>
      <c r="H107" s="82"/>
      <c r="I107" s="84"/>
      <c r="J107" s="85">
        <v>0</v>
      </c>
      <c r="K107" s="82"/>
      <c r="L107" s="84"/>
      <c r="M107" s="85">
        <v>0</v>
      </c>
      <c r="N107" s="82"/>
      <c r="O107" s="82"/>
      <c r="P107" s="81">
        <v>0</v>
      </c>
      <c r="Q107" s="82"/>
      <c r="R107" s="83"/>
      <c r="S107" s="82">
        <v>0</v>
      </c>
      <c r="T107" s="82"/>
      <c r="U107" s="84"/>
      <c r="V107" s="85">
        <v>0</v>
      </c>
      <c r="W107" s="82"/>
      <c r="X107" s="84"/>
      <c r="Y107" s="85">
        <v>0</v>
      </c>
      <c r="Z107" s="82"/>
      <c r="AA107" s="84"/>
      <c r="AB107" s="85">
        <v>0</v>
      </c>
      <c r="AC107" s="82"/>
      <c r="AD107" s="84"/>
      <c r="AE107" s="85">
        <v>0</v>
      </c>
      <c r="AF107" s="82"/>
      <c r="AG107" s="84"/>
    </row>
    <row r="108" spans="1:33" ht="15.75" thickBot="1" x14ac:dyDescent="0.3">
      <c r="A108" s="68"/>
      <c r="B108" s="68"/>
      <c r="C108" s="107" t="s">
        <v>37</v>
      </c>
      <c r="D108" s="104"/>
      <c r="E108" s="86"/>
      <c r="F108" s="89"/>
      <c r="G108" s="86"/>
      <c r="H108" s="86"/>
      <c r="I108" s="89"/>
      <c r="J108" s="86"/>
      <c r="K108" s="86"/>
      <c r="L108" s="89"/>
      <c r="M108" s="86"/>
      <c r="N108" s="86"/>
      <c r="O108" s="89"/>
      <c r="P108" s="86"/>
      <c r="Q108" s="86"/>
      <c r="R108" s="89"/>
      <c r="S108" s="86"/>
      <c r="T108" s="86"/>
      <c r="U108" s="89"/>
      <c r="V108" s="86"/>
      <c r="W108" s="86"/>
      <c r="X108" s="89"/>
      <c r="Y108" s="86"/>
      <c r="Z108" s="86"/>
      <c r="AA108" s="89"/>
      <c r="AB108" s="86"/>
      <c r="AC108" s="86"/>
      <c r="AD108" s="89"/>
      <c r="AE108" s="86"/>
      <c r="AF108" s="86"/>
      <c r="AG108" s="89"/>
    </row>
    <row r="109" spans="1:33" ht="15.75" thickBot="1" x14ac:dyDescent="0.3">
      <c r="A109" s="68"/>
      <c r="B109" s="68"/>
      <c r="D109" s="87"/>
      <c r="E109" s="87"/>
      <c r="F109" s="90"/>
      <c r="G109" s="87"/>
      <c r="H109" s="87"/>
      <c r="I109" s="90"/>
      <c r="J109" s="87"/>
      <c r="K109" s="87"/>
      <c r="L109" s="90"/>
      <c r="M109" s="87"/>
      <c r="N109" s="87"/>
      <c r="O109" s="90"/>
      <c r="P109" s="87"/>
      <c r="Q109" s="87"/>
      <c r="R109" s="90"/>
      <c r="S109" s="87"/>
      <c r="T109" s="87"/>
      <c r="U109" s="90"/>
      <c r="V109" s="87"/>
      <c r="W109" s="87"/>
      <c r="X109" s="90"/>
      <c r="Y109" s="87"/>
      <c r="Z109" s="87"/>
      <c r="AA109" s="90"/>
      <c r="AB109" s="87"/>
      <c r="AC109" s="87"/>
      <c r="AD109" s="90"/>
      <c r="AE109" s="87"/>
      <c r="AF109" s="87"/>
      <c r="AG109" s="90"/>
    </row>
    <row r="110" spans="1:33" ht="15.75" thickBot="1" x14ac:dyDescent="0.3">
      <c r="A110" s="68"/>
      <c r="B110" s="68"/>
      <c r="D110" s="88"/>
      <c r="E110" s="88"/>
      <c r="F110" s="91"/>
      <c r="G110" s="88"/>
      <c r="H110" s="88"/>
      <c r="I110" s="91"/>
      <c r="J110" s="88"/>
      <c r="K110" s="88"/>
      <c r="L110" s="91"/>
      <c r="M110" s="88"/>
      <c r="N110" s="88"/>
      <c r="O110" s="91"/>
      <c r="P110" s="88"/>
      <c r="Q110" s="88"/>
      <c r="R110" s="91"/>
      <c r="S110" s="88"/>
      <c r="T110" s="88"/>
      <c r="U110" s="91"/>
      <c r="V110" s="88"/>
      <c r="W110" s="88"/>
      <c r="X110" s="91"/>
      <c r="Y110" s="88"/>
      <c r="Z110" s="88"/>
      <c r="AA110" s="91"/>
      <c r="AB110" s="88"/>
      <c r="AC110" s="88"/>
      <c r="AD110" s="91"/>
      <c r="AE110" s="88"/>
      <c r="AF110" s="88"/>
      <c r="AG110" s="91"/>
    </row>
    <row r="112" spans="1:33" ht="15.75" thickBot="1" x14ac:dyDescent="0.3"/>
    <row r="113" spans="1:33" ht="15.75" thickBot="1" x14ac:dyDescent="0.3">
      <c r="A113" s="68" t="s">
        <v>82</v>
      </c>
      <c r="B113" s="68"/>
      <c r="D113" s="52" t="s">
        <v>27</v>
      </c>
      <c r="E113" s="52"/>
      <c r="F113" s="52"/>
      <c r="G113" s="73" t="s">
        <v>28</v>
      </c>
      <c r="H113" s="73"/>
      <c r="I113" s="73"/>
      <c r="J113" s="52" t="s">
        <v>29</v>
      </c>
      <c r="K113" s="52"/>
      <c r="L113" s="52"/>
      <c r="M113" s="73" t="s">
        <v>30</v>
      </c>
      <c r="N113" s="73"/>
      <c r="O113" s="73"/>
      <c r="P113" s="52" t="s">
        <v>31</v>
      </c>
      <c r="Q113" s="52"/>
      <c r="R113" s="52"/>
      <c r="S113" s="73" t="s">
        <v>32</v>
      </c>
      <c r="T113" s="73"/>
      <c r="U113" s="73"/>
      <c r="V113" s="52" t="s">
        <v>33</v>
      </c>
      <c r="W113" s="52"/>
      <c r="X113" s="52"/>
      <c r="Y113" s="73" t="s">
        <v>34</v>
      </c>
      <c r="Z113" s="73"/>
      <c r="AA113" s="73"/>
      <c r="AB113" s="52" t="s">
        <v>35</v>
      </c>
      <c r="AC113" s="52"/>
      <c r="AD113" s="52"/>
      <c r="AE113" s="73" t="s">
        <v>36</v>
      </c>
      <c r="AF113" s="73"/>
      <c r="AG113" s="73"/>
    </row>
    <row r="114" spans="1:33" ht="15.75" thickBot="1" x14ac:dyDescent="0.3">
      <c r="A114" s="68"/>
      <c r="B114" s="68"/>
      <c r="C114" s="105" t="s">
        <v>243</v>
      </c>
      <c r="D114" s="75">
        <v>0</v>
      </c>
      <c r="E114" s="75"/>
      <c r="F114" s="76"/>
      <c r="G114" s="74">
        <v>0</v>
      </c>
      <c r="H114" s="75"/>
      <c r="I114" s="76"/>
      <c r="J114" s="74">
        <v>0</v>
      </c>
      <c r="K114" s="75"/>
      <c r="L114" s="76"/>
      <c r="M114" s="74">
        <v>0</v>
      </c>
      <c r="N114" s="75"/>
      <c r="O114" s="76"/>
      <c r="P114" s="74">
        <v>0</v>
      </c>
      <c r="Q114" s="75"/>
      <c r="R114" s="76"/>
      <c r="S114" s="74">
        <v>0</v>
      </c>
      <c r="T114" s="75"/>
      <c r="U114" s="76"/>
      <c r="V114" s="74">
        <v>0</v>
      </c>
      <c r="W114" s="75"/>
      <c r="X114" s="76"/>
      <c r="Y114" s="74">
        <v>0</v>
      </c>
      <c r="Z114" s="75"/>
      <c r="AA114" s="76"/>
      <c r="AB114" s="74">
        <v>0</v>
      </c>
      <c r="AC114" s="75"/>
      <c r="AD114" s="76"/>
      <c r="AE114" s="74">
        <v>0</v>
      </c>
      <c r="AF114" s="75"/>
      <c r="AG114" s="76"/>
    </row>
    <row r="115" spans="1:33" ht="15.75" thickBot="1" x14ac:dyDescent="0.3">
      <c r="A115" s="68"/>
      <c r="B115" s="68"/>
      <c r="C115" s="106" t="s">
        <v>244</v>
      </c>
      <c r="D115" s="82">
        <v>0</v>
      </c>
      <c r="E115" s="82"/>
      <c r="F115" s="84"/>
      <c r="G115" s="85">
        <v>0</v>
      </c>
      <c r="H115" s="82"/>
      <c r="I115" s="84"/>
      <c r="J115" s="85">
        <v>0</v>
      </c>
      <c r="K115" s="82"/>
      <c r="L115" s="84"/>
      <c r="M115" s="85">
        <v>0</v>
      </c>
      <c r="N115" s="82"/>
      <c r="O115" s="82"/>
      <c r="P115" s="81">
        <v>0</v>
      </c>
      <c r="Q115" s="82"/>
      <c r="R115" s="83"/>
      <c r="S115" s="82">
        <v>0</v>
      </c>
      <c r="T115" s="82"/>
      <c r="U115" s="84"/>
      <c r="V115" s="85">
        <v>0</v>
      </c>
      <c r="W115" s="82"/>
      <c r="X115" s="84"/>
      <c r="Y115" s="85">
        <v>0</v>
      </c>
      <c r="Z115" s="82"/>
      <c r="AA115" s="84"/>
      <c r="AB115" s="85">
        <v>0</v>
      </c>
      <c r="AC115" s="82"/>
      <c r="AD115" s="84"/>
      <c r="AE115" s="85">
        <v>0</v>
      </c>
      <c r="AF115" s="82"/>
      <c r="AG115" s="84"/>
    </row>
    <row r="116" spans="1:33" ht="15.75" thickBot="1" x14ac:dyDescent="0.3">
      <c r="A116" s="68"/>
      <c r="B116" s="68"/>
      <c r="C116" s="107" t="s">
        <v>37</v>
      </c>
      <c r="D116" s="104"/>
      <c r="E116" s="86"/>
      <c r="F116" s="89"/>
      <c r="G116" s="86"/>
      <c r="H116" s="86"/>
      <c r="I116" s="89"/>
      <c r="J116" s="86"/>
      <c r="K116" s="86"/>
      <c r="L116" s="89"/>
      <c r="M116" s="86"/>
      <c r="N116" s="86"/>
      <c r="O116" s="89"/>
      <c r="P116" s="86"/>
      <c r="Q116" s="86"/>
      <c r="R116" s="89"/>
      <c r="S116" s="86"/>
      <c r="T116" s="86"/>
      <c r="U116" s="89"/>
      <c r="V116" s="86"/>
      <c r="W116" s="86"/>
      <c r="X116" s="89"/>
      <c r="Y116" s="86"/>
      <c r="Z116" s="86"/>
      <c r="AA116" s="89"/>
      <c r="AB116" s="86"/>
      <c r="AC116" s="86"/>
      <c r="AD116" s="89"/>
      <c r="AE116" s="86"/>
      <c r="AF116" s="86"/>
      <c r="AG116" s="89"/>
    </row>
    <row r="117" spans="1:33" ht="15.75" thickBot="1" x14ac:dyDescent="0.3">
      <c r="A117" s="68"/>
      <c r="B117" s="68"/>
      <c r="D117" s="87"/>
      <c r="E117" s="87"/>
      <c r="F117" s="90"/>
      <c r="G117" s="87"/>
      <c r="H117" s="87"/>
      <c r="I117" s="90"/>
      <c r="J117" s="87"/>
      <c r="K117" s="87"/>
      <c r="L117" s="90"/>
      <c r="M117" s="87"/>
      <c r="N117" s="87"/>
      <c r="O117" s="90"/>
      <c r="P117" s="87"/>
      <c r="Q117" s="87"/>
      <c r="R117" s="90"/>
      <c r="S117" s="87"/>
      <c r="T117" s="87"/>
      <c r="U117" s="90"/>
      <c r="V117" s="87"/>
      <c r="W117" s="87"/>
      <c r="X117" s="90"/>
      <c r="Y117" s="87"/>
      <c r="Z117" s="87"/>
      <c r="AA117" s="90"/>
      <c r="AB117" s="87"/>
      <c r="AC117" s="87"/>
      <c r="AD117" s="90"/>
      <c r="AE117" s="87"/>
      <c r="AF117" s="87"/>
      <c r="AG117" s="90"/>
    </row>
    <row r="118" spans="1:33" ht="15.75" thickBot="1" x14ac:dyDescent="0.3">
      <c r="A118" s="68"/>
      <c r="B118" s="68"/>
      <c r="D118" s="88"/>
      <c r="E118" s="88"/>
      <c r="F118" s="91"/>
      <c r="G118" s="88"/>
      <c r="H118" s="88"/>
      <c r="I118" s="91"/>
      <c r="J118" s="88"/>
      <c r="K118" s="88"/>
      <c r="L118" s="91"/>
      <c r="M118" s="88"/>
      <c r="N118" s="88"/>
      <c r="O118" s="91"/>
      <c r="P118" s="88"/>
      <c r="Q118" s="88"/>
      <c r="R118" s="91"/>
      <c r="S118" s="88"/>
      <c r="T118" s="88"/>
      <c r="U118" s="91"/>
      <c r="V118" s="88"/>
      <c r="W118" s="88"/>
      <c r="X118" s="91"/>
      <c r="Y118" s="88"/>
      <c r="Z118" s="88"/>
      <c r="AA118" s="91"/>
      <c r="AB118" s="88"/>
      <c r="AC118" s="88"/>
      <c r="AD118" s="91"/>
      <c r="AE118" s="88"/>
      <c r="AF118" s="88"/>
      <c r="AG118" s="91"/>
    </row>
    <row r="120" spans="1:33" ht="15.75" thickBot="1" x14ac:dyDescent="0.3"/>
    <row r="121" spans="1:33" ht="15.75" thickBot="1" x14ac:dyDescent="0.3">
      <c r="A121" s="68" t="s">
        <v>86</v>
      </c>
      <c r="B121" s="68"/>
      <c r="D121" s="52" t="s">
        <v>27</v>
      </c>
      <c r="E121" s="52"/>
      <c r="F121" s="52"/>
      <c r="G121" s="73" t="s">
        <v>28</v>
      </c>
      <c r="H121" s="73"/>
      <c r="I121" s="73"/>
      <c r="J121" s="52" t="s">
        <v>29</v>
      </c>
      <c r="K121" s="52"/>
      <c r="L121" s="52"/>
      <c r="M121" s="73" t="s">
        <v>30</v>
      </c>
      <c r="N121" s="73"/>
      <c r="O121" s="73"/>
      <c r="P121" s="52" t="s">
        <v>31</v>
      </c>
      <c r="Q121" s="52"/>
      <c r="R121" s="52"/>
      <c r="S121" s="73" t="s">
        <v>32</v>
      </c>
      <c r="T121" s="73"/>
      <c r="U121" s="73"/>
      <c r="V121" s="52" t="s">
        <v>33</v>
      </c>
      <c r="W121" s="52"/>
      <c r="X121" s="52"/>
      <c r="Y121" s="73" t="s">
        <v>34</v>
      </c>
      <c r="Z121" s="73"/>
      <c r="AA121" s="73"/>
      <c r="AB121" s="52" t="s">
        <v>35</v>
      </c>
      <c r="AC121" s="52"/>
      <c r="AD121" s="52"/>
      <c r="AE121" s="73" t="s">
        <v>36</v>
      </c>
      <c r="AF121" s="73"/>
      <c r="AG121" s="73"/>
    </row>
    <row r="122" spans="1:33" ht="15.75" thickBot="1" x14ac:dyDescent="0.3">
      <c r="A122" s="68"/>
      <c r="B122" s="68"/>
      <c r="C122" s="105" t="s">
        <v>243</v>
      </c>
      <c r="D122" s="75">
        <v>0</v>
      </c>
      <c r="E122" s="75"/>
      <c r="F122" s="76"/>
      <c r="G122" s="74">
        <v>0</v>
      </c>
      <c r="H122" s="75"/>
      <c r="I122" s="76"/>
      <c r="J122" s="74">
        <v>0</v>
      </c>
      <c r="K122" s="75"/>
      <c r="L122" s="76"/>
      <c r="M122" s="74">
        <v>0</v>
      </c>
      <c r="N122" s="75"/>
      <c r="O122" s="76"/>
      <c r="P122" s="74">
        <v>0</v>
      </c>
      <c r="Q122" s="75"/>
      <c r="R122" s="76"/>
      <c r="S122" s="74">
        <v>0</v>
      </c>
      <c r="T122" s="75"/>
      <c r="U122" s="76"/>
      <c r="V122" s="74">
        <v>0</v>
      </c>
      <c r="W122" s="75"/>
      <c r="X122" s="76"/>
      <c r="Y122" s="74">
        <v>0</v>
      </c>
      <c r="Z122" s="75"/>
      <c r="AA122" s="76"/>
      <c r="AB122" s="74">
        <v>0</v>
      </c>
      <c r="AC122" s="75"/>
      <c r="AD122" s="76"/>
      <c r="AE122" s="74">
        <v>0</v>
      </c>
      <c r="AF122" s="75"/>
      <c r="AG122" s="76"/>
    </row>
    <row r="123" spans="1:33" ht="15.75" thickBot="1" x14ac:dyDescent="0.3">
      <c r="A123" s="68"/>
      <c r="B123" s="68"/>
      <c r="C123" s="106" t="s">
        <v>244</v>
      </c>
      <c r="D123" s="82">
        <v>0</v>
      </c>
      <c r="E123" s="82"/>
      <c r="F123" s="84"/>
      <c r="G123" s="85">
        <v>0</v>
      </c>
      <c r="H123" s="82"/>
      <c r="I123" s="84"/>
      <c r="J123" s="85">
        <v>0</v>
      </c>
      <c r="K123" s="82"/>
      <c r="L123" s="84"/>
      <c r="M123" s="85">
        <v>0</v>
      </c>
      <c r="N123" s="82"/>
      <c r="O123" s="82"/>
      <c r="P123" s="81">
        <v>0</v>
      </c>
      <c r="Q123" s="82"/>
      <c r="R123" s="83"/>
      <c r="S123" s="82">
        <v>0</v>
      </c>
      <c r="T123" s="82"/>
      <c r="U123" s="84"/>
      <c r="V123" s="85">
        <v>0</v>
      </c>
      <c r="W123" s="82"/>
      <c r="X123" s="84"/>
      <c r="Y123" s="85">
        <v>0</v>
      </c>
      <c r="Z123" s="82"/>
      <c r="AA123" s="84"/>
      <c r="AB123" s="85">
        <v>0</v>
      </c>
      <c r="AC123" s="82"/>
      <c r="AD123" s="84"/>
      <c r="AE123" s="85">
        <v>0</v>
      </c>
      <c r="AF123" s="82"/>
      <c r="AG123" s="84"/>
    </row>
    <row r="124" spans="1:33" ht="15.75" thickBot="1" x14ac:dyDescent="0.3">
      <c r="A124" s="68"/>
      <c r="B124" s="68"/>
      <c r="C124" s="107" t="s">
        <v>37</v>
      </c>
      <c r="D124" s="104"/>
      <c r="E124" s="86"/>
      <c r="F124" s="89"/>
      <c r="G124" s="86"/>
      <c r="H124" s="86"/>
      <c r="I124" s="89"/>
      <c r="J124" s="86"/>
      <c r="K124" s="86"/>
      <c r="L124" s="89"/>
      <c r="M124" s="86"/>
      <c r="N124" s="86"/>
      <c r="O124" s="89"/>
      <c r="P124" s="86"/>
      <c r="Q124" s="86"/>
      <c r="R124" s="89"/>
      <c r="S124" s="86"/>
      <c r="T124" s="86"/>
      <c r="U124" s="89"/>
      <c r="V124" s="86"/>
      <c r="W124" s="86"/>
      <c r="X124" s="89"/>
      <c r="Y124" s="86"/>
      <c r="Z124" s="86"/>
      <c r="AA124" s="89"/>
      <c r="AB124" s="86"/>
      <c r="AC124" s="86"/>
      <c r="AD124" s="89"/>
      <c r="AE124" s="86"/>
      <c r="AF124" s="86"/>
      <c r="AG124" s="89"/>
    </row>
    <row r="125" spans="1:33" ht="15.75" thickBot="1" x14ac:dyDescent="0.3">
      <c r="A125" s="68"/>
      <c r="B125" s="68"/>
      <c r="D125" s="87"/>
      <c r="E125" s="87"/>
      <c r="F125" s="90"/>
      <c r="G125" s="87"/>
      <c r="H125" s="87"/>
      <c r="I125" s="90"/>
      <c r="J125" s="87"/>
      <c r="K125" s="87"/>
      <c r="L125" s="90"/>
      <c r="M125" s="87"/>
      <c r="N125" s="87"/>
      <c r="O125" s="90"/>
      <c r="P125" s="87"/>
      <c r="Q125" s="87"/>
      <c r="R125" s="90"/>
      <c r="S125" s="87"/>
      <c r="T125" s="87"/>
      <c r="U125" s="90"/>
      <c r="V125" s="87"/>
      <c r="W125" s="87"/>
      <c r="X125" s="90"/>
      <c r="Y125" s="87"/>
      <c r="Z125" s="87"/>
      <c r="AA125" s="90"/>
      <c r="AB125" s="87"/>
      <c r="AC125" s="87"/>
      <c r="AD125" s="90"/>
      <c r="AE125" s="87"/>
      <c r="AF125" s="87"/>
      <c r="AG125" s="90"/>
    </row>
    <row r="126" spans="1:33" ht="15.75" thickBot="1" x14ac:dyDescent="0.3">
      <c r="A126" s="68"/>
      <c r="B126" s="68"/>
      <c r="D126" s="88"/>
      <c r="E126" s="88"/>
      <c r="F126" s="91"/>
      <c r="G126" s="88"/>
      <c r="H126" s="88"/>
      <c r="I126" s="91"/>
      <c r="J126" s="88"/>
      <c r="K126" s="88"/>
      <c r="L126" s="91"/>
      <c r="M126" s="88"/>
      <c r="N126" s="88"/>
      <c r="O126" s="91"/>
      <c r="P126" s="88"/>
      <c r="Q126" s="88"/>
      <c r="R126" s="91"/>
      <c r="S126" s="88"/>
      <c r="T126" s="88"/>
      <c r="U126" s="91"/>
      <c r="V126" s="88"/>
      <c r="W126" s="88"/>
      <c r="X126" s="91"/>
      <c r="Y126" s="88"/>
      <c r="Z126" s="88"/>
      <c r="AA126" s="91"/>
      <c r="AB126" s="88"/>
      <c r="AC126" s="88"/>
      <c r="AD126" s="91"/>
      <c r="AE126" s="88"/>
      <c r="AF126" s="88"/>
      <c r="AG126" s="91"/>
    </row>
    <row r="128" spans="1:33" ht="15.75" thickBot="1" x14ac:dyDescent="0.3"/>
    <row r="129" spans="1:33" ht="15.75" thickBot="1" x14ac:dyDescent="0.3">
      <c r="A129" s="68" t="s">
        <v>84</v>
      </c>
      <c r="B129" s="68"/>
      <c r="D129" s="52" t="s">
        <v>27</v>
      </c>
      <c r="E129" s="52"/>
      <c r="F129" s="52"/>
      <c r="G129" s="73" t="s">
        <v>28</v>
      </c>
      <c r="H129" s="73"/>
      <c r="I129" s="73"/>
      <c r="J129" s="52" t="s">
        <v>29</v>
      </c>
      <c r="K129" s="52"/>
      <c r="L129" s="52"/>
      <c r="M129" s="73" t="s">
        <v>30</v>
      </c>
      <c r="N129" s="73"/>
      <c r="O129" s="73"/>
      <c r="P129" s="52" t="s">
        <v>31</v>
      </c>
      <c r="Q129" s="52"/>
      <c r="R129" s="52"/>
      <c r="S129" s="73" t="s">
        <v>32</v>
      </c>
      <c r="T129" s="73"/>
      <c r="U129" s="73"/>
      <c r="V129" s="52" t="s">
        <v>33</v>
      </c>
      <c r="W129" s="52"/>
      <c r="X129" s="52"/>
      <c r="Y129" s="73" t="s">
        <v>34</v>
      </c>
      <c r="Z129" s="73"/>
      <c r="AA129" s="73"/>
      <c r="AB129" s="52" t="s">
        <v>35</v>
      </c>
      <c r="AC129" s="52"/>
      <c r="AD129" s="52"/>
      <c r="AE129" s="73" t="s">
        <v>36</v>
      </c>
      <c r="AF129" s="73"/>
      <c r="AG129" s="73"/>
    </row>
    <row r="130" spans="1:33" ht="15.75" thickBot="1" x14ac:dyDescent="0.3">
      <c r="A130" s="68"/>
      <c r="B130" s="68"/>
      <c r="C130" s="105" t="s">
        <v>243</v>
      </c>
      <c r="D130" s="75">
        <v>0</v>
      </c>
      <c r="E130" s="75"/>
      <c r="F130" s="76"/>
      <c r="G130" s="74">
        <v>0</v>
      </c>
      <c r="H130" s="75"/>
      <c r="I130" s="76"/>
      <c r="J130" s="74">
        <v>0</v>
      </c>
      <c r="K130" s="75"/>
      <c r="L130" s="76"/>
      <c r="M130" s="74">
        <v>0</v>
      </c>
      <c r="N130" s="75"/>
      <c r="O130" s="76"/>
      <c r="P130" s="74">
        <v>0</v>
      </c>
      <c r="Q130" s="75"/>
      <c r="R130" s="76"/>
      <c r="S130" s="74">
        <v>0</v>
      </c>
      <c r="T130" s="75"/>
      <c r="U130" s="76"/>
      <c r="V130" s="74">
        <v>0</v>
      </c>
      <c r="W130" s="75"/>
      <c r="X130" s="76"/>
      <c r="Y130" s="74">
        <v>0</v>
      </c>
      <c r="Z130" s="75"/>
      <c r="AA130" s="76"/>
      <c r="AB130" s="74">
        <v>0</v>
      </c>
      <c r="AC130" s="75"/>
      <c r="AD130" s="76"/>
      <c r="AE130" s="74">
        <v>0</v>
      </c>
      <c r="AF130" s="75"/>
      <c r="AG130" s="76"/>
    </row>
    <row r="131" spans="1:33" ht="15.75" thickBot="1" x14ac:dyDescent="0.3">
      <c r="A131" s="68"/>
      <c r="B131" s="68"/>
      <c r="C131" s="106" t="s">
        <v>244</v>
      </c>
      <c r="D131" s="82">
        <v>0</v>
      </c>
      <c r="E131" s="82"/>
      <c r="F131" s="84"/>
      <c r="G131" s="85">
        <v>0</v>
      </c>
      <c r="H131" s="82"/>
      <c r="I131" s="84"/>
      <c r="J131" s="85">
        <v>0</v>
      </c>
      <c r="K131" s="82"/>
      <c r="L131" s="84"/>
      <c r="M131" s="85">
        <v>0</v>
      </c>
      <c r="N131" s="82"/>
      <c r="O131" s="82"/>
      <c r="P131" s="81">
        <v>0</v>
      </c>
      <c r="Q131" s="82"/>
      <c r="R131" s="83"/>
      <c r="S131" s="82">
        <v>0</v>
      </c>
      <c r="T131" s="82"/>
      <c r="U131" s="84"/>
      <c r="V131" s="85">
        <v>0</v>
      </c>
      <c r="W131" s="82"/>
      <c r="X131" s="84"/>
      <c r="Y131" s="85">
        <v>0</v>
      </c>
      <c r="Z131" s="82"/>
      <c r="AA131" s="84"/>
      <c r="AB131" s="85">
        <v>0</v>
      </c>
      <c r="AC131" s="82"/>
      <c r="AD131" s="84"/>
      <c r="AE131" s="85">
        <v>0</v>
      </c>
      <c r="AF131" s="82"/>
      <c r="AG131" s="84"/>
    </row>
    <row r="132" spans="1:33" ht="15.75" thickBot="1" x14ac:dyDescent="0.3">
      <c r="A132" s="68"/>
      <c r="B132" s="68"/>
      <c r="C132" s="107" t="s">
        <v>37</v>
      </c>
      <c r="D132" s="104"/>
      <c r="E132" s="86"/>
      <c r="F132" s="89"/>
      <c r="G132" s="86"/>
      <c r="H132" s="86"/>
      <c r="I132" s="89"/>
      <c r="J132" s="86"/>
      <c r="K132" s="86"/>
      <c r="L132" s="89"/>
      <c r="M132" s="86"/>
      <c r="N132" s="86"/>
      <c r="O132" s="89"/>
      <c r="P132" s="86"/>
      <c r="Q132" s="86"/>
      <c r="R132" s="89"/>
      <c r="S132" s="86"/>
      <c r="T132" s="86"/>
      <c r="U132" s="89"/>
      <c r="V132" s="86"/>
      <c r="W132" s="86"/>
      <c r="X132" s="89"/>
      <c r="Y132" s="86"/>
      <c r="Z132" s="86"/>
      <c r="AA132" s="89"/>
      <c r="AB132" s="86"/>
      <c r="AC132" s="86"/>
      <c r="AD132" s="89"/>
      <c r="AE132" s="86"/>
      <c r="AF132" s="86"/>
      <c r="AG132" s="89"/>
    </row>
    <row r="133" spans="1:33" ht="15.75" thickBot="1" x14ac:dyDescent="0.3">
      <c r="A133" s="68"/>
      <c r="B133" s="68"/>
      <c r="D133" s="87"/>
      <c r="E133" s="87"/>
      <c r="F133" s="90"/>
      <c r="G133" s="87"/>
      <c r="H133" s="87"/>
      <c r="I133" s="90"/>
      <c r="J133" s="87"/>
      <c r="K133" s="87"/>
      <c r="L133" s="90"/>
      <c r="M133" s="87"/>
      <c r="N133" s="87"/>
      <c r="O133" s="90"/>
      <c r="P133" s="87"/>
      <c r="Q133" s="87"/>
      <c r="R133" s="90"/>
      <c r="S133" s="87"/>
      <c r="T133" s="87"/>
      <c r="U133" s="90"/>
      <c r="V133" s="87"/>
      <c r="W133" s="87"/>
      <c r="X133" s="90"/>
      <c r="Y133" s="87"/>
      <c r="Z133" s="87"/>
      <c r="AA133" s="90"/>
      <c r="AB133" s="87"/>
      <c r="AC133" s="87"/>
      <c r="AD133" s="90"/>
      <c r="AE133" s="87"/>
      <c r="AF133" s="87"/>
      <c r="AG133" s="90"/>
    </row>
    <row r="134" spans="1:33" ht="15.75" thickBot="1" x14ac:dyDescent="0.3">
      <c r="A134" s="68"/>
      <c r="B134" s="68"/>
      <c r="D134" s="88"/>
      <c r="E134" s="88"/>
      <c r="F134" s="91"/>
      <c r="G134" s="88"/>
      <c r="H134" s="88"/>
      <c r="I134" s="91"/>
      <c r="J134" s="88"/>
      <c r="K134" s="88"/>
      <c r="L134" s="91"/>
      <c r="M134" s="88"/>
      <c r="N134" s="88"/>
      <c r="O134" s="91"/>
      <c r="P134" s="88"/>
      <c r="Q134" s="88"/>
      <c r="R134" s="91"/>
      <c r="S134" s="88"/>
      <c r="T134" s="88"/>
      <c r="U134" s="91"/>
      <c r="V134" s="88"/>
      <c r="W134" s="88"/>
      <c r="X134" s="91"/>
      <c r="Y134" s="88"/>
      <c r="Z134" s="88"/>
      <c r="AA134" s="91"/>
      <c r="AB134" s="88"/>
      <c r="AC134" s="88"/>
      <c r="AD134" s="91"/>
      <c r="AE134" s="88"/>
      <c r="AF134" s="88"/>
      <c r="AG134" s="91"/>
    </row>
    <row r="136" spans="1:33" ht="15.75" thickBot="1" x14ac:dyDescent="0.3"/>
    <row r="137" spans="1:33" ht="15.75" thickBot="1" x14ac:dyDescent="0.3">
      <c r="A137" s="68" t="s">
        <v>85</v>
      </c>
      <c r="B137" s="68"/>
      <c r="D137" s="52" t="s">
        <v>27</v>
      </c>
      <c r="E137" s="52"/>
      <c r="F137" s="52"/>
      <c r="G137" s="73" t="s">
        <v>28</v>
      </c>
      <c r="H137" s="73"/>
      <c r="I137" s="73"/>
      <c r="J137" s="52" t="s">
        <v>29</v>
      </c>
      <c r="K137" s="52"/>
      <c r="L137" s="52"/>
      <c r="M137" s="73" t="s">
        <v>30</v>
      </c>
      <c r="N137" s="73"/>
      <c r="O137" s="73"/>
      <c r="P137" s="52" t="s">
        <v>31</v>
      </c>
      <c r="Q137" s="52"/>
      <c r="R137" s="52"/>
      <c r="S137" s="73" t="s">
        <v>32</v>
      </c>
      <c r="T137" s="73"/>
      <c r="U137" s="73"/>
      <c r="V137" s="52" t="s">
        <v>33</v>
      </c>
      <c r="W137" s="52"/>
      <c r="X137" s="52"/>
      <c r="Y137" s="73" t="s">
        <v>34</v>
      </c>
      <c r="Z137" s="73"/>
      <c r="AA137" s="73"/>
      <c r="AB137" s="52" t="s">
        <v>35</v>
      </c>
      <c r="AC137" s="52"/>
      <c r="AD137" s="52"/>
      <c r="AE137" s="73" t="s">
        <v>36</v>
      </c>
      <c r="AF137" s="73"/>
      <c r="AG137" s="73"/>
    </row>
    <row r="138" spans="1:33" ht="15.75" thickBot="1" x14ac:dyDescent="0.3">
      <c r="A138" s="68"/>
      <c r="B138" s="68"/>
      <c r="C138" s="105" t="s">
        <v>243</v>
      </c>
      <c r="D138" s="75">
        <v>0</v>
      </c>
      <c r="E138" s="75"/>
      <c r="F138" s="76"/>
      <c r="G138" s="74">
        <v>0</v>
      </c>
      <c r="H138" s="75"/>
      <c r="I138" s="76"/>
      <c r="J138" s="74">
        <v>0</v>
      </c>
      <c r="K138" s="75"/>
      <c r="L138" s="76"/>
      <c r="M138" s="74">
        <v>0</v>
      </c>
      <c r="N138" s="75"/>
      <c r="O138" s="76"/>
      <c r="P138" s="74">
        <v>0</v>
      </c>
      <c r="Q138" s="75"/>
      <c r="R138" s="76"/>
      <c r="S138" s="74">
        <v>0</v>
      </c>
      <c r="T138" s="75"/>
      <c r="U138" s="76"/>
      <c r="V138" s="74">
        <v>0</v>
      </c>
      <c r="W138" s="75"/>
      <c r="X138" s="76"/>
      <c r="Y138" s="74">
        <v>0</v>
      </c>
      <c r="Z138" s="75"/>
      <c r="AA138" s="76"/>
      <c r="AB138" s="74">
        <v>0</v>
      </c>
      <c r="AC138" s="75"/>
      <c r="AD138" s="76"/>
      <c r="AE138" s="74">
        <v>0</v>
      </c>
      <c r="AF138" s="75"/>
      <c r="AG138" s="76"/>
    </row>
    <row r="139" spans="1:33" ht="15.75" thickBot="1" x14ac:dyDescent="0.3">
      <c r="A139" s="68"/>
      <c r="B139" s="68"/>
      <c r="C139" s="106" t="s">
        <v>244</v>
      </c>
      <c r="D139" s="82">
        <v>0</v>
      </c>
      <c r="E139" s="82"/>
      <c r="F139" s="84"/>
      <c r="G139" s="85">
        <v>0</v>
      </c>
      <c r="H139" s="82"/>
      <c r="I139" s="84"/>
      <c r="J139" s="85">
        <v>0</v>
      </c>
      <c r="K139" s="82"/>
      <c r="L139" s="84"/>
      <c r="M139" s="85">
        <v>0</v>
      </c>
      <c r="N139" s="82"/>
      <c r="O139" s="82"/>
      <c r="P139" s="81">
        <v>0</v>
      </c>
      <c r="Q139" s="82"/>
      <c r="R139" s="83"/>
      <c r="S139" s="82">
        <v>0</v>
      </c>
      <c r="T139" s="82"/>
      <c r="U139" s="84"/>
      <c r="V139" s="85">
        <v>0</v>
      </c>
      <c r="W139" s="82"/>
      <c r="X139" s="84"/>
      <c r="Y139" s="85">
        <v>0</v>
      </c>
      <c r="Z139" s="82"/>
      <c r="AA139" s="84"/>
      <c r="AB139" s="85">
        <v>0</v>
      </c>
      <c r="AC139" s="82"/>
      <c r="AD139" s="84"/>
      <c r="AE139" s="85">
        <v>0</v>
      </c>
      <c r="AF139" s="82"/>
      <c r="AG139" s="84"/>
    </row>
    <row r="140" spans="1:33" ht="15.75" thickBot="1" x14ac:dyDescent="0.3">
      <c r="A140" s="68"/>
      <c r="B140" s="68"/>
      <c r="C140" s="107" t="s">
        <v>37</v>
      </c>
      <c r="D140" s="104"/>
      <c r="E140" s="86"/>
      <c r="F140" s="89"/>
      <c r="G140" s="86"/>
      <c r="H140" s="86"/>
      <c r="I140" s="89"/>
      <c r="J140" s="86"/>
      <c r="K140" s="86"/>
      <c r="L140" s="89"/>
      <c r="M140" s="86"/>
      <c r="N140" s="86"/>
      <c r="O140" s="89"/>
      <c r="P140" s="86"/>
      <c r="Q140" s="86"/>
      <c r="R140" s="89"/>
      <c r="S140" s="86"/>
      <c r="T140" s="86"/>
      <c r="U140" s="89"/>
      <c r="V140" s="86"/>
      <c r="W140" s="86"/>
      <c r="X140" s="89"/>
      <c r="Y140" s="86"/>
      <c r="Z140" s="86"/>
      <c r="AA140" s="89"/>
      <c r="AB140" s="86"/>
      <c r="AC140" s="86"/>
      <c r="AD140" s="89"/>
      <c r="AE140" s="86"/>
      <c r="AF140" s="86"/>
      <c r="AG140" s="89"/>
    </row>
    <row r="141" spans="1:33" ht="15.75" thickBot="1" x14ac:dyDescent="0.3">
      <c r="A141" s="68"/>
      <c r="B141" s="68"/>
      <c r="D141" s="87"/>
      <c r="E141" s="87"/>
      <c r="F141" s="90"/>
      <c r="G141" s="87"/>
      <c r="H141" s="87"/>
      <c r="I141" s="90"/>
      <c r="J141" s="87"/>
      <c r="K141" s="87"/>
      <c r="L141" s="90"/>
      <c r="M141" s="87"/>
      <c r="N141" s="87"/>
      <c r="O141" s="90"/>
      <c r="P141" s="87"/>
      <c r="Q141" s="87"/>
      <c r="R141" s="90"/>
      <c r="S141" s="87"/>
      <c r="T141" s="87"/>
      <c r="U141" s="90"/>
      <c r="V141" s="87"/>
      <c r="W141" s="87"/>
      <c r="X141" s="90"/>
      <c r="Y141" s="87"/>
      <c r="Z141" s="87"/>
      <c r="AA141" s="90"/>
      <c r="AB141" s="87"/>
      <c r="AC141" s="87"/>
      <c r="AD141" s="90"/>
      <c r="AE141" s="87"/>
      <c r="AF141" s="87"/>
      <c r="AG141" s="90"/>
    </row>
    <row r="142" spans="1:33" ht="15.75" thickBot="1" x14ac:dyDescent="0.3">
      <c r="A142" s="68"/>
      <c r="B142" s="68"/>
      <c r="D142" s="88"/>
      <c r="E142" s="88"/>
      <c r="F142" s="91"/>
      <c r="G142" s="88"/>
      <c r="H142" s="88"/>
      <c r="I142" s="91"/>
      <c r="J142" s="88"/>
      <c r="K142" s="88"/>
      <c r="L142" s="91"/>
      <c r="M142" s="88"/>
      <c r="N142" s="88"/>
      <c r="O142" s="91"/>
      <c r="P142" s="88"/>
      <c r="Q142" s="88"/>
      <c r="R142" s="91"/>
      <c r="S142" s="88"/>
      <c r="T142" s="88"/>
      <c r="U142" s="91"/>
      <c r="V142" s="88"/>
      <c r="W142" s="88"/>
      <c r="X142" s="91"/>
      <c r="Y142" s="88"/>
      <c r="Z142" s="88"/>
      <c r="AA142" s="91"/>
      <c r="AB142" s="88"/>
      <c r="AC142" s="88"/>
      <c r="AD142" s="91"/>
      <c r="AE142" s="88"/>
      <c r="AF142" s="88"/>
      <c r="AG142" s="91"/>
    </row>
    <row r="144" spans="1:33" ht="15.75" thickBot="1" x14ac:dyDescent="0.3"/>
    <row r="145" spans="1:33" ht="15.75" thickBot="1" x14ac:dyDescent="0.3">
      <c r="A145" s="68" t="s">
        <v>253</v>
      </c>
      <c r="B145" s="68"/>
      <c r="D145" s="52" t="s">
        <v>27</v>
      </c>
      <c r="E145" s="52"/>
      <c r="F145" s="52"/>
      <c r="G145" s="73" t="s">
        <v>28</v>
      </c>
      <c r="H145" s="73"/>
      <c r="I145" s="73"/>
      <c r="J145" s="52" t="s">
        <v>29</v>
      </c>
      <c r="K145" s="52"/>
      <c r="L145" s="52"/>
      <c r="M145" s="73" t="s">
        <v>30</v>
      </c>
      <c r="N145" s="73"/>
      <c r="O145" s="73"/>
      <c r="P145" s="52" t="s">
        <v>31</v>
      </c>
      <c r="Q145" s="52"/>
      <c r="R145" s="52"/>
      <c r="S145" s="73" t="s">
        <v>32</v>
      </c>
      <c r="T145" s="73"/>
      <c r="U145" s="73"/>
      <c r="V145" s="52" t="s">
        <v>33</v>
      </c>
      <c r="W145" s="52"/>
      <c r="X145" s="52"/>
      <c r="Y145" s="73" t="s">
        <v>34</v>
      </c>
      <c r="Z145" s="73"/>
      <c r="AA145" s="73"/>
      <c r="AB145" s="52" t="s">
        <v>35</v>
      </c>
      <c r="AC145" s="52"/>
      <c r="AD145" s="52"/>
      <c r="AE145" s="73" t="s">
        <v>36</v>
      </c>
      <c r="AF145" s="73"/>
      <c r="AG145" s="73"/>
    </row>
    <row r="146" spans="1:33" ht="15.75" thickBot="1" x14ac:dyDescent="0.3">
      <c r="A146" s="68"/>
      <c r="B146" s="68"/>
      <c r="C146" s="105" t="s">
        <v>243</v>
      </c>
      <c r="D146" s="75">
        <v>0</v>
      </c>
      <c r="E146" s="75"/>
      <c r="F146" s="76"/>
      <c r="G146" s="74">
        <v>0</v>
      </c>
      <c r="H146" s="75"/>
      <c r="I146" s="76"/>
      <c r="J146" s="74">
        <v>0</v>
      </c>
      <c r="K146" s="75"/>
      <c r="L146" s="76"/>
      <c r="M146" s="74">
        <v>0</v>
      </c>
      <c r="N146" s="75"/>
      <c r="O146" s="76"/>
      <c r="P146" s="74">
        <v>0</v>
      </c>
      <c r="Q146" s="75"/>
      <c r="R146" s="76"/>
      <c r="S146" s="74">
        <v>0</v>
      </c>
      <c r="T146" s="75"/>
      <c r="U146" s="76"/>
      <c r="V146" s="74">
        <v>0</v>
      </c>
      <c r="W146" s="75"/>
      <c r="X146" s="76"/>
      <c r="Y146" s="74">
        <v>0</v>
      </c>
      <c r="Z146" s="75"/>
      <c r="AA146" s="76"/>
      <c r="AB146" s="74">
        <v>0</v>
      </c>
      <c r="AC146" s="75"/>
      <c r="AD146" s="76"/>
      <c r="AE146" s="74">
        <v>0</v>
      </c>
      <c r="AF146" s="75"/>
      <c r="AG146" s="76"/>
    </row>
    <row r="147" spans="1:33" ht="15.75" thickBot="1" x14ac:dyDescent="0.3">
      <c r="A147" s="68"/>
      <c r="B147" s="68"/>
      <c r="C147" s="106" t="s">
        <v>244</v>
      </c>
      <c r="D147" s="82">
        <v>0</v>
      </c>
      <c r="E147" s="82"/>
      <c r="F147" s="84"/>
      <c r="G147" s="85">
        <v>0</v>
      </c>
      <c r="H147" s="82"/>
      <c r="I147" s="84"/>
      <c r="J147" s="85">
        <v>0</v>
      </c>
      <c r="K147" s="82"/>
      <c r="L147" s="84"/>
      <c r="M147" s="85">
        <v>0</v>
      </c>
      <c r="N147" s="82"/>
      <c r="O147" s="82"/>
      <c r="P147" s="81">
        <v>0</v>
      </c>
      <c r="Q147" s="82"/>
      <c r="R147" s="83"/>
      <c r="S147" s="82">
        <v>0</v>
      </c>
      <c r="T147" s="82"/>
      <c r="U147" s="84"/>
      <c r="V147" s="85">
        <v>0</v>
      </c>
      <c r="W147" s="82"/>
      <c r="X147" s="84"/>
      <c r="Y147" s="85">
        <v>0</v>
      </c>
      <c r="Z147" s="82"/>
      <c r="AA147" s="84"/>
      <c r="AB147" s="85">
        <v>0</v>
      </c>
      <c r="AC147" s="82"/>
      <c r="AD147" s="84"/>
      <c r="AE147" s="85">
        <v>0</v>
      </c>
      <c r="AF147" s="82"/>
      <c r="AG147" s="84"/>
    </row>
    <row r="148" spans="1:33" ht="15.75" thickBot="1" x14ac:dyDescent="0.3">
      <c r="A148" s="68"/>
      <c r="B148" s="68"/>
      <c r="C148" s="107" t="s">
        <v>37</v>
      </c>
      <c r="D148" s="104"/>
      <c r="E148" s="86"/>
      <c r="F148" s="89"/>
      <c r="G148" s="86"/>
      <c r="H148" s="86"/>
      <c r="I148" s="89"/>
      <c r="J148" s="86"/>
      <c r="K148" s="86"/>
      <c r="L148" s="89"/>
      <c r="M148" s="86"/>
      <c r="N148" s="86"/>
      <c r="O148" s="89"/>
      <c r="P148" s="86"/>
      <c r="Q148" s="86"/>
      <c r="R148" s="89"/>
      <c r="S148" s="86"/>
      <c r="T148" s="86"/>
      <c r="U148" s="89"/>
      <c r="V148" s="86"/>
      <c r="W148" s="86"/>
      <c r="X148" s="89"/>
      <c r="Y148" s="86"/>
      <c r="Z148" s="86"/>
      <c r="AA148" s="89"/>
      <c r="AB148" s="86"/>
      <c r="AC148" s="86"/>
      <c r="AD148" s="89"/>
      <c r="AE148" s="86"/>
      <c r="AF148" s="86"/>
      <c r="AG148" s="89"/>
    </row>
    <row r="149" spans="1:33" ht="15.75" thickBot="1" x14ac:dyDescent="0.3">
      <c r="A149" s="68"/>
      <c r="B149" s="68"/>
      <c r="D149" s="87"/>
      <c r="E149" s="87"/>
      <c r="F149" s="90"/>
      <c r="G149" s="87"/>
      <c r="H149" s="87"/>
      <c r="I149" s="90"/>
      <c r="J149" s="87"/>
      <c r="K149" s="87"/>
      <c r="L149" s="90"/>
      <c r="M149" s="87"/>
      <c r="N149" s="87"/>
      <c r="O149" s="90"/>
      <c r="P149" s="87"/>
      <c r="Q149" s="87"/>
      <c r="R149" s="90"/>
      <c r="S149" s="87"/>
      <c r="T149" s="87"/>
      <c r="U149" s="90"/>
      <c r="V149" s="87"/>
      <c r="W149" s="87"/>
      <c r="X149" s="90"/>
      <c r="Y149" s="87"/>
      <c r="Z149" s="87"/>
      <c r="AA149" s="90"/>
      <c r="AB149" s="87"/>
      <c r="AC149" s="87"/>
      <c r="AD149" s="90"/>
      <c r="AE149" s="87"/>
      <c r="AF149" s="87"/>
      <c r="AG149" s="90"/>
    </row>
    <row r="150" spans="1:33" ht="15.75" thickBot="1" x14ac:dyDescent="0.3">
      <c r="A150" s="68"/>
      <c r="B150" s="68"/>
      <c r="D150" s="88"/>
      <c r="E150" s="88"/>
      <c r="F150" s="91"/>
      <c r="G150" s="88"/>
      <c r="H150" s="88"/>
      <c r="I150" s="91"/>
      <c r="J150" s="88"/>
      <c r="K150" s="88"/>
      <c r="L150" s="91"/>
      <c r="M150" s="88"/>
      <c r="N150" s="88"/>
      <c r="O150" s="91"/>
      <c r="P150" s="88"/>
      <c r="Q150" s="88"/>
      <c r="R150" s="91"/>
      <c r="S150" s="88"/>
      <c r="T150" s="88"/>
      <c r="U150" s="91"/>
      <c r="V150" s="88"/>
      <c r="W150" s="88"/>
      <c r="X150" s="91"/>
      <c r="Y150" s="88"/>
      <c r="Z150" s="88"/>
      <c r="AA150" s="91"/>
      <c r="AB150" s="88"/>
      <c r="AC150" s="88"/>
      <c r="AD150" s="91"/>
      <c r="AE150" s="88"/>
      <c r="AF150" s="88"/>
      <c r="AG150" s="91"/>
    </row>
    <row r="152" spans="1:33" ht="15.75" thickBot="1" x14ac:dyDescent="0.3"/>
    <row r="153" spans="1:33" ht="15.75" thickBot="1" x14ac:dyDescent="0.3">
      <c r="A153" s="68" t="s">
        <v>254</v>
      </c>
      <c r="B153" s="68"/>
      <c r="D153" s="52" t="s">
        <v>27</v>
      </c>
      <c r="E153" s="52"/>
      <c r="F153" s="52"/>
      <c r="G153" s="73" t="s">
        <v>28</v>
      </c>
      <c r="H153" s="73"/>
      <c r="I153" s="73"/>
      <c r="J153" s="52" t="s">
        <v>29</v>
      </c>
      <c r="K153" s="52"/>
      <c r="L153" s="52"/>
      <c r="M153" s="73" t="s">
        <v>30</v>
      </c>
      <c r="N153" s="73"/>
      <c r="O153" s="73"/>
      <c r="P153" s="52" t="s">
        <v>31</v>
      </c>
      <c r="Q153" s="52"/>
      <c r="R153" s="52"/>
      <c r="S153" s="73" t="s">
        <v>32</v>
      </c>
      <c r="T153" s="73"/>
      <c r="U153" s="73"/>
      <c r="V153" s="52" t="s">
        <v>33</v>
      </c>
      <c r="W153" s="52"/>
      <c r="X153" s="52"/>
      <c r="Y153" s="73" t="s">
        <v>34</v>
      </c>
      <c r="Z153" s="73"/>
      <c r="AA153" s="73"/>
      <c r="AB153" s="52" t="s">
        <v>35</v>
      </c>
      <c r="AC153" s="52"/>
      <c r="AD153" s="52"/>
      <c r="AE153" s="73" t="s">
        <v>36</v>
      </c>
      <c r="AF153" s="73"/>
      <c r="AG153" s="73"/>
    </row>
    <row r="154" spans="1:33" ht="15.75" thickBot="1" x14ac:dyDescent="0.3">
      <c r="A154" s="68"/>
      <c r="B154" s="68"/>
      <c r="C154" s="105" t="s">
        <v>243</v>
      </c>
      <c r="D154" s="75">
        <v>0</v>
      </c>
      <c r="E154" s="75"/>
      <c r="F154" s="76"/>
      <c r="G154" s="74">
        <v>0</v>
      </c>
      <c r="H154" s="75"/>
      <c r="I154" s="76"/>
      <c r="J154" s="74">
        <v>0</v>
      </c>
      <c r="K154" s="75"/>
      <c r="L154" s="76"/>
      <c r="M154" s="74">
        <v>0</v>
      </c>
      <c r="N154" s="75"/>
      <c r="O154" s="76"/>
      <c r="P154" s="74">
        <v>0</v>
      </c>
      <c r="Q154" s="75"/>
      <c r="R154" s="76"/>
      <c r="S154" s="74">
        <v>0</v>
      </c>
      <c r="T154" s="75"/>
      <c r="U154" s="76"/>
      <c r="V154" s="74">
        <v>0</v>
      </c>
      <c r="W154" s="75"/>
      <c r="X154" s="76"/>
      <c r="Y154" s="74">
        <v>0</v>
      </c>
      <c r="Z154" s="75"/>
      <c r="AA154" s="76"/>
      <c r="AB154" s="74">
        <v>0</v>
      </c>
      <c r="AC154" s="75"/>
      <c r="AD154" s="76"/>
      <c r="AE154" s="74">
        <v>0</v>
      </c>
      <c r="AF154" s="75"/>
      <c r="AG154" s="76"/>
    </row>
    <row r="155" spans="1:33" ht="15.75" thickBot="1" x14ac:dyDescent="0.3">
      <c r="A155" s="68"/>
      <c r="B155" s="68"/>
      <c r="C155" s="106" t="s">
        <v>244</v>
      </c>
      <c r="D155" s="82">
        <v>0</v>
      </c>
      <c r="E155" s="82"/>
      <c r="F155" s="84"/>
      <c r="G155" s="85">
        <v>0</v>
      </c>
      <c r="H155" s="82"/>
      <c r="I155" s="84"/>
      <c r="J155" s="85">
        <v>0</v>
      </c>
      <c r="K155" s="82"/>
      <c r="L155" s="84"/>
      <c r="M155" s="85">
        <v>0</v>
      </c>
      <c r="N155" s="82"/>
      <c r="O155" s="82"/>
      <c r="P155" s="81">
        <v>0</v>
      </c>
      <c r="Q155" s="82"/>
      <c r="R155" s="83"/>
      <c r="S155" s="82">
        <v>0</v>
      </c>
      <c r="T155" s="82"/>
      <c r="U155" s="84"/>
      <c r="V155" s="85">
        <v>0</v>
      </c>
      <c r="W155" s="82"/>
      <c r="X155" s="84"/>
      <c r="Y155" s="85">
        <v>0</v>
      </c>
      <c r="Z155" s="82"/>
      <c r="AA155" s="84"/>
      <c r="AB155" s="85">
        <v>0</v>
      </c>
      <c r="AC155" s="82"/>
      <c r="AD155" s="84"/>
      <c r="AE155" s="85">
        <v>0</v>
      </c>
      <c r="AF155" s="82"/>
      <c r="AG155" s="84"/>
    </row>
    <row r="156" spans="1:33" ht="15.75" thickBot="1" x14ac:dyDescent="0.3">
      <c r="A156" s="68"/>
      <c r="B156" s="68"/>
      <c r="C156" s="107" t="s">
        <v>37</v>
      </c>
      <c r="D156" s="104"/>
      <c r="E156" s="86"/>
      <c r="F156" s="89"/>
      <c r="G156" s="86"/>
      <c r="H156" s="86"/>
      <c r="I156" s="89"/>
      <c r="J156" s="86"/>
      <c r="K156" s="86"/>
      <c r="L156" s="89"/>
      <c r="M156" s="86"/>
      <c r="N156" s="86"/>
      <c r="O156" s="89"/>
      <c r="P156" s="86"/>
      <c r="Q156" s="86"/>
      <c r="R156" s="89"/>
      <c r="S156" s="86"/>
      <c r="T156" s="86"/>
      <c r="U156" s="89"/>
      <c r="V156" s="86"/>
      <c r="W156" s="86"/>
      <c r="X156" s="89"/>
      <c r="Y156" s="86"/>
      <c r="Z156" s="86"/>
      <c r="AA156" s="89"/>
      <c r="AB156" s="86"/>
      <c r="AC156" s="86"/>
      <c r="AD156" s="89"/>
      <c r="AE156" s="86"/>
      <c r="AF156" s="86"/>
      <c r="AG156" s="89"/>
    </row>
    <row r="157" spans="1:33" ht="15.75" thickBot="1" x14ac:dyDescent="0.3">
      <c r="A157" s="68"/>
      <c r="B157" s="68"/>
      <c r="D157" s="87"/>
      <c r="E157" s="87"/>
      <c r="F157" s="90"/>
      <c r="G157" s="87"/>
      <c r="H157" s="87"/>
      <c r="I157" s="90"/>
      <c r="J157" s="87"/>
      <c r="K157" s="87"/>
      <c r="L157" s="90"/>
      <c r="M157" s="87"/>
      <c r="N157" s="87"/>
      <c r="O157" s="90"/>
      <c r="P157" s="87"/>
      <c r="Q157" s="87"/>
      <c r="R157" s="90"/>
      <c r="S157" s="87"/>
      <c r="T157" s="87"/>
      <c r="U157" s="90"/>
      <c r="V157" s="87"/>
      <c r="W157" s="87"/>
      <c r="X157" s="90"/>
      <c r="Y157" s="87"/>
      <c r="Z157" s="87"/>
      <c r="AA157" s="90"/>
      <c r="AB157" s="87"/>
      <c r="AC157" s="87"/>
      <c r="AD157" s="90"/>
      <c r="AE157" s="87"/>
      <c r="AF157" s="87"/>
      <c r="AG157" s="90"/>
    </row>
    <row r="158" spans="1:33" ht="15.75" thickBot="1" x14ac:dyDescent="0.3">
      <c r="A158" s="68"/>
      <c r="B158" s="68"/>
      <c r="D158" s="88"/>
      <c r="E158" s="88"/>
      <c r="F158" s="91"/>
      <c r="G158" s="88"/>
      <c r="H158" s="88"/>
      <c r="I158" s="91"/>
      <c r="J158" s="88"/>
      <c r="K158" s="88"/>
      <c r="L158" s="91"/>
      <c r="M158" s="88"/>
      <c r="N158" s="88"/>
      <c r="O158" s="91"/>
      <c r="P158" s="88"/>
      <c r="Q158" s="88"/>
      <c r="R158" s="91"/>
      <c r="S158" s="88"/>
      <c r="T158" s="88"/>
      <c r="U158" s="91"/>
      <c r="V158" s="88"/>
      <c r="W158" s="88"/>
      <c r="X158" s="91"/>
      <c r="Y158" s="88"/>
      <c r="Z158" s="88"/>
      <c r="AA158" s="91"/>
      <c r="AB158" s="88"/>
      <c r="AC158" s="88"/>
      <c r="AD158" s="91"/>
      <c r="AE158" s="88"/>
      <c r="AF158" s="88"/>
      <c r="AG158" s="91"/>
    </row>
    <row r="160" spans="1:33" ht="15.75" thickBot="1" x14ac:dyDescent="0.3"/>
    <row r="161" spans="1:33" ht="15.75" thickBot="1" x14ac:dyDescent="0.3">
      <c r="A161" s="68" t="s">
        <v>255</v>
      </c>
      <c r="B161" s="68"/>
      <c r="D161" s="52" t="s">
        <v>27</v>
      </c>
      <c r="E161" s="52"/>
      <c r="F161" s="52"/>
      <c r="G161" s="73" t="s">
        <v>28</v>
      </c>
      <c r="H161" s="73"/>
      <c r="I161" s="73"/>
      <c r="J161" s="52" t="s">
        <v>29</v>
      </c>
      <c r="K161" s="52"/>
      <c r="L161" s="52"/>
      <c r="M161" s="73" t="s">
        <v>30</v>
      </c>
      <c r="N161" s="73"/>
      <c r="O161" s="73"/>
      <c r="P161" s="52" t="s">
        <v>31</v>
      </c>
      <c r="Q161" s="52"/>
      <c r="R161" s="52"/>
      <c r="S161" s="73" t="s">
        <v>32</v>
      </c>
      <c r="T161" s="73"/>
      <c r="U161" s="73"/>
      <c r="V161" s="52" t="s">
        <v>33</v>
      </c>
      <c r="W161" s="52"/>
      <c r="X161" s="52"/>
      <c r="Y161" s="73" t="s">
        <v>34</v>
      </c>
      <c r="Z161" s="73"/>
      <c r="AA161" s="73"/>
      <c r="AB161" s="52" t="s">
        <v>35</v>
      </c>
      <c r="AC161" s="52"/>
      <c r="AD161" s="52"/>
      <c r="AE161" s="73" t="s">
        <v>36</v>
      </c>
      <c r="AF161" s="73"/>
      <c r="AG161" s="73"/>
    </row>
    <row r="162" spans="1:33" ht="15.75" thickBot="1" x14ac:dyDescent="0.3">
      <c r="A162" s="68"/>
      <c r="B162" s="68"/>
      <c r="C162" s="105" t="s">
        <v>243</v>
      </c>
      <c r="D162" s="75">
        <v>0</v>
      </c>
      <c r="E162" s="75"/>
      <c r="F162" s="76"/>
      <c r="G162" s="74">
        <v>0</v>
      </c>
      <c r="H162" s="75"/>
      <c r="I162" s="76"/>
      <c r="J162" s="74">
        <v>0</v>
      </c>
      <c r="K162" s="75"/>
      <c r="L162" s="76"/>
      <c r="M162" s="74">
        <v>0</v>
      </c>
      <c r="N162" s="75"/>
      <c r="O162" s="76"/>
      <c r="P162" s="74">
        <v>0</v>
      </c>
      <c r="Q162" s="75"/>
      <c r="R162" s="76"/>
      <c r="S162" s="74">
        <v>0</v>
      </c>
      <c r="T162" s="75"/>
      <c r="U162" s="76"/>
      <c r="V162" s="74">
        <v>0</v>
      </c>
      <c r="W162" s="75"/>
      <c r="X162" s="76"/>
      <c r="Y162" s="74">
        <v>0</v>
      </c>
      <c r="Z162" s="75"/>
      <c r="AA162" s="76"/>
      <c r="AB162" s="74">
        <v>0</v>
      </c>
      <c r="AC162" s="75"/>
      <c r="AD162" s="76"/>
      <c r="AE162" s="74">
        <v>0</v>
      </c>
      <c r="AF162" s="75"/>
      <c r="AG162" s="76"/>
    </row>
    <row r="163" spans="1:33" ht="15.75" thickBot="1" x14ac:dyDescent="0.3">
      <c r="A163" s="68"/>
      <c r="B163" s="68"/>
      <c r="C163" s="106" t="s">
        <v>244</v>
      </c>
      <c r="D163" s="82">
        <v>0</v>
      </c>
      <c r="E163" s="82"/>
      <c r="F163" s="84"/>
      <c r="G163" s="85">
        <v>0</v>
      </c>
      <c r="H163" s="82"/>
      <c r="I163" s="84"/>
      <c r="J163" s="85">
        <v>0</v>
      </c>
      <c r="K163" s="82"/>
      <c r="L163" s="84"/>
      <c r="M163" s="85">
        <v>0</v>
      </c>
      <c r="N163" s="82"/>
      <c r="O163" s="82"/>
      <c r="P163" s="81">
        <v>0</v>
      </c>
      <c r="Q163" s="82"/>
      <c r="R163" s="83"/>
      <c r="S163" s="82">
        <v>0</v>
      </c>
      <c r="T163" s="82"/>
      <c r="U163" s="84"/>
      <c r="V163" s="85">
        <v>0</v>
      </c>
      <c r="W163" s="82"/>
      <c r="X163" s="84"/>
      <c r="Y163" s="85">
        <v>0</v>
      </c>
      <c r="Z163" s="82"/>
      <c r="AA163" s="84"/>
      <c r="AB163" s="85">
        <v>0</v>
      </c>
      <c r="AC163" s="82"/>
      <c r="AD163" s="84"/>
      <c r="AE163" s="85">
        <v>0</v>
      </c>
      <c r="AF163" s="82"/>
      <c r="AG163" s="84"/>
    </row>
    <row r="164" spans="1:33" ht="15.75" thickBot="1" x14ac:dyDescent="0.3">
      <c r="A164" s="68"/>
      <c r="B164" s="68"/>
      <c r="C164" s="107" t="s">
        <v>37</v>
      </c>
      <c r="D164" s="104"/>
      <c r="E164" s="86"/>
      <c r="F164" s="89"/>
      <c r="G164" s="86"/>
      <c r="H164" s="86"/>
      <c r="I164" s="89"/>
      <c r="J164" s="86"/>
      <c r="K164" s="86"/>
      <c r="L164" s="89"/>
      <c r="M164" s="86"/>
      <c r="N164" s="86"/>
      <c r="O164" s="89"/>
      <c r="P164" s="86"/>
      <c r="Q164" s="86"/>
      <c r="R164" s="89"/>
      <c r="S164" s="86"/>
      <c r="T164" s="86"/>
      <c r="U164" s="89"/>
      <c r="V164" s="86"/>
      <c r="W164" s="86"/>
      <c r="X164" s="89"/>
      <c r="Y164" s="86"/>
      <c r="Z164" s="86"/>
      <c r="AA164" s="89"/>
      <c r="AB164" s="86"/>
      <c r="AC164" s="86"/>
      <c r="AD164" s="89"/>
      <c r="AE164" s="86"/>
      <c r="AF164" s="86"/>
      <c r="AG164" s="89"/>
    </row>
    <row r="165" spans="1:33" ht="15.75" thickBot="1" x14ac:dyDescent="0.3">
      <c r="A165" s="68"/>
      <c r="B165" s="68"/>
      <c r="D165" s="87"/>
      <c r="E165" s="87"/>
      <c r="F165" s="90"/>
      <c r="G165" s="87"/>
      <c r="H165" s="87"/>
      <c r="I165" s="90"/>
      <c r="J165" s="87"/>
      <c r="K165" s="87"/>
      <c r="L165" s="90"/>
      <c r="M165" s="87"/>
      <c r="N165" s="87"/>
      <c r="O165" s="90"/>
      <c r="P165" s="87"/>
      <c r="Q165" s="87"/>
      <c r="R165" s="90"/>
      <c r="S165" s="87"/>
      <c r="T165" s="87"/>
      <c r="U165" s="90"/>
      <c r="V165" s="87"/>
      <c r="W165" s="87"/>
      <c r="X165" s="90"/>
      <c r="Y165" s="87"/>
      <c r="Z165" s="87"/>
      <c r="AA165" s="90"/>
      <c r="AB165" s="87"/>
      <c r="AC165" s="87"/>
      <c r="AD165" s="90"/>
      <c r="AE165" s="87"/>
      <c r="AF165" s="87"/>
      <c r="AG165" s="90"/>
    </row>
    <row r="166" spans="1:33" ht="15.75" thickBot="1" x14ac:dyDescent="0.3">
      <c r="A166" s="68"/>
      <c r="B166" s="68"/>
      <c r="D166" s="88"/>
      <c r="E166" s="88"/>
      <c r="F166" s="91"/>
      <c r="G166" s="88"/>
      <c r="H166" s="88"/>
      <c r="I166" s="91"/>
      <c r="J166" s="88"/>
      <c r="K166" s="88"/>
      <c r="L166" s="91"/>
      <c r="M166" s="88"/>
      <c r="N166" s="88"/>
      <c r="O166" s="91"/>
      <c r="P166" s="88"/>
      <c r="Q166" s="88"/>
      <c r="R166" s="91"/>
      <c r="S166" s="88"/>
      <c r="T166" s="88"/>
      <c r="U166" s="91"/>
      <c r="V166" s="88"/>
      <c r="W166" s="88"/>
      <c r="X166" s="91"/>
      <c r="Y166" s="88"/>
      <c r="Z166" s="88"/>
      <c r="AA166" s="91"/>
      <c r="AB166" s="88"/>
      <c r="AC166" s="88"/>
      <c r="AD166" s="91"/>
      <c r="AE166" s="88"/>
      <c r="AF166" s="88"/>
      <c r="AG166" s="91"/>
    </row>
    <row r="168" spans="1:33" ht="15.75" thickBot="1" x14ac:dyDescent="0.3"/>
    <row r="169" spans="1:33" ht="15.75" thickBot="1" x14ac:dyDescent="0.3">
      <c r="A169" s="68" t="s">
        <v>87</v>
      </c>
      <c r="B169" s="68"/>
      <c r="D169" s="52" t="s">
        <v>27</v>
      </c>
      <c r="E169" s="52"/>
      <c r="F169" s="52"/>
      <c r="G169" s="73" t="s">
        <v>28</v>
      </c>
      <c r="H169" s="73"/>
      <c r="I169" s="73"/>
      <c r="J169" s="52" t="s">
        <v>29</v>
      </c>
      <c r="K169" s="52"/>
      <c r="L169" s="52"/>
      <c r="M169" s="73" t="s">
        <v>30</v>
      </c>
      <c r="N169" s="73"/>
      <c r="O169" s="73"/>
      <c r="P169" s="52" t="s">
        <v>31</v>
      </c>
      <c r="Q169" s="52"/>
      <c r="R169" s="52"/>
      <c r="S169" s="73" t="s">
        <v>32</v>
      </c>
      <c r="T169" s="73"/>
      <c r="U169" s="73"/>
      <c r="V169" s="52" t="s">
        <v>33</v>
      </c>
      <c r="W169" s="52"/>
      <c r="X169" s="52"/>
      <c r="Y169" s="73" t="s">
        <v>34</v>
      </c>
      <c r="Z169" s="73"/>
      <c r="AA169" s="73"/>
      <c r="AB169" s="52" t="s">
        <v>35</v>
      </c>
      <c r="AC169" s="52"/>
      <c r="AD169" s="52"/>
      <c r="AE169" s="73" t="s">
        <v>36</v>
      </c>
      <c r="AF169" s="73"/>
      <c r="AG169" s="73"/>
    </row>
    <row r="170" spans="1:33" ht="15.75" thickBot="1" x14ac:dyDescent="0.3">
      <c r="A170" s="68"/>
      <c r="B170" s="68"/>
      <c r="C170" s="105" t="s">
        <v>243</v>
      </c>
      <c r="D170" s="75">
        <v>0</v>
      </c>
      <c r="E170" s="75"/>
      <c r="F170" s="76"/>
      <c r="G170" s="74">
        <v>0</v>
      </c>
      <c r="H170" s="75"/>
      <c r="I170" s="76"/>
      <c r="J170" s="74">
        <v>0</v>
      </c>
      <c r="K170" s="75"/>
      <c r="L170" s="76"/>
      <c r="M170" s="74">
        <v>0</v>
      </c>
      <c r="N170" s="75"/>
      <c r="O170" s="76"/>
      <c r="P170" s="74">
        <v>0</v>
      </c>
      <c r="Q170" s="75"/>
      <c r="R170" s="76"/>
      <c r="S170" s="74">
        <v>0</v>
      </c>
      <c r="T170" s="75"/>
      <c r="U170" s="76"/>
      <c r="V170" s="74">
        <v>0</v>
      </c>
      <c r="W170" s="75"/>
      <c r="X170" s="76"/>
      <c r="Y170" s="74">
        <v>0</v>
      </c>
      <c r="Z170" s="75"/>
      <c r="AA170" s="76"/>
      <c r="AB170" s="74">
        <v>0</v>
      </c>
      <c r="AC170" s="75"/>
      <c r="AD170" s="76"/>
      <c r="AE170" s="74">
        <v>0</v>
      </c>
      <c r="AF170" s="75"/>
      <c r="AG170" s="76"/>
    </row>
    <row r="171" spans="1:33" ht="15.75" thickBot="1" x14ac:dyDescent="0.3">
      <c r="A171" s="68"/>
      <c r="B171" s="68"/>
      <c r="C171" s="106" t="s">
        <v>244</v>
      </c>
      <c r="D171" s="82">
        <v>0</v>
      </c>
      <c r="E171" s="82"/>
      <c r="F171" s="84"/>
      <c r="G171" s="85">
        <v>0</v>
      </c>
      <c r="H171" s="82"/>
      <c r="I171" s="84"/>
      <c r="J171" s="85">
        <v>0</v>
      </c>
      <c r="K171" s="82"/>
      <c r="L171" s="84"/>
      <c r="M171" s="85">
        <v>0</v>
      </c>
      <c r="N171" s="82"/>
      <c r="O171" s="82"/>
      <c r="P171" s="81">
        <v>0</v>
      </c>
      <c r="Q171" s="82"/>
      <c r="R171" s="83"/>
      <c r="S171" s="82">
        <v>0</v>
      </c>
      <c r="T171" s="82"/>
      <c r="U171" s="84"/>
      <c r="V171" s="85">
        <v>0</v>
      </c>
      <c r="W171" s="82"/>
      <c r="X171" s="84"/>
      <c r="Y171" s="85">
        <v>0</v>
      </c>
      <c r="Z171" s="82"/>
      <c r="AA171" s="84"/>
      <c r="AB171" s="85">
        <v>0</v>
      </c>
      <c r="AC171" s="82"/>
      <c r="AD171" s="84"/>
      <c r="AE171" s="85">
        <v>0</v>
      </c>
      <c r="AF171" s="82"/>
      <c r="AG171" s="84"/>
    </row>
    <row r="172" spans="1:33" ht="15.75" thickBot="1" x14ac:dyDescent="0.3">
      <c r="A172" s="68"/>
      <c r="B172" s="68"/>
      <c r="C172" s="107" t="s">
        <v>37</v>
      </c>
      <c r="D172" s="104"/>
      <c r="E172" s="86"/>
      <c r="F172" s="89"/>
      <c r="G172" s="86"/>
      <c r="H172" s="86"/>
      <c r="I172" s="89"/>
      <c r="J172" s="86"/>
      <c r="K172" s="86"/>
      <c r="L172" s="89"/>
      <c r="M172" s="86"/>
      <c r="N172" s="86"/>
      <c r="O172" s="89"/>
      <c r="P172" s="86"/>
      <c r="Q172" s="86"/>
      <c r="R172" s="89"/>
      <c r="S172" s="86"/>
      <c r="T172" s="86"/>
      <c r="U172" s="89"/>
      <c r="V172" s="86"/>
      <c r="W172" s="86"/>
      <c r="X172" s="89"/>
      <c r="Y172" s="86"/>
      <c r="Z172" s="86"/>
      <c r="AA172" s="89"/>
      <c r="AB172" s="86"/>
      <c r="AC172" s="86"/>
      <c r="AD172" s="89"/>
      <c r="AE172" s="86"/>
      <c r="AF172" s="86"/>
      <c r="AG172" s="89"/>
    </row>
    <row r="173" spans="1:33" ht="15.75" thickBot="1" x14ac:dyDescent="0.3">
      <c r="A173" s="68"/>
      <c r="B173" s="68"/>
      <c r="D173" s="87"/>
      <c r="E173" s="87"/>
      <c r="F173" s="90"/>
      <c r="G173" s="87"/>
      <c r="H173" s="87"/>
      <c r="I173" s="90"/>
      <c r="J173" s="87"/>
      <c r="K173" s="87"/>
      <c r="L173" s="90"/>
      <c r="M173" s="87"/>
      <c r="N173" s="87"/>
      <c r="O173" s="90"/>
      <c r="P173" s="87"/>
      <c r="Q173" s="87"/>
      <c r="R173" s="90"/>
      <c r="S173" s="87"/>
      <c r="T173" s="87"/>
      <c r="U173" s="90"/>
      <c r="V173" s="87"/>
      <c r="W173" s="87"/>
      <c r="X173" s="90"/>
      <c r="Y173" s="87"/>
      <c r="Z173" s="87"/>
      <c r="AA173" s="90"/>
      <c r="AB173" s="87"/>
      <c r="AC173" s="87"/>
      <c r="AD173" s="90"/>
      <c r="AE173" s="87"/>
      <c r="AF173" s="87"/>
      <c r="AG173" s="90"/>
    </row>
    <row r="174" spans="1:33" ht="15.75" thickBot="1" x14ac:dyDescent="0.3">
      <c r="A174" s="68"/>
      <c r="B174" s="68"/>
      <c r="D174" s="88"/>
      <c r="E174" s="88"/>
      <c r="F174" s="91"/>
      <c r="G174" s="88"/>
      <c r="H174" s="88"/>
      <c r="I174" s="91"/>
      <c r="J174" s="88"/>
      <c r="K174" s="88"/>
      <c r="L174" s="91"/>
      <c r="M174" s="88"/>
      <c r="N174" s="88"/>
      <c r="O174" s="91"/>
      <c r="P174" s="88"/>
      <c r="Q174" s="88"/>
      <c r="R174" s="91"/>
      <c r="S174" s="88"/>
      <c r="T174" s="88"/>
      <c r="U174" s="91"/>
      <c r="V174" s="88"/>
      <c r="W174" s="88"/>
      <c r="X174" s="91"/>
      <c r="Y174" s="88"/>
      <c r="Z174" s="88"/>
      <c r="AA174" s="91"/>
      <c r="AB174" s="88"/>
      <c r="AC174" s="88"/>
      <c r="AD174" s="91"/>
      <c r="AE174" s="88"/>
      <c r="AF174" s="88"/>
      <c r="AG174" s="91"/>
    </row>
    <row r="176" spans="1:33" ht="15.75" thickBot="1" x14ac:dyDescent="0.3"/>
    <row r="177" spans="1:33" ht="15.75" thickBot="1" x14ac:dyDescent="0.3">
      <c r="A177" s="68" t="s">
        <v>88</v>
      </c>
      <c r="B177" s="68"/>
      <c r="D177" s="52" t="s">
        <v>27</v>
      </c>
      <c r="E177" s="52"/>
      <c r="F177" s="52"/>
      <c r="G177" s="73" t="s">
        <v>28</v>
      </c>
      <c r="H177" s="73"/>
      <c r="I177" s="73"/>
      <c r="J177" s="52" t="s">
        <v>29</v>
      </c>
      <c r="K177" s="52"/>
      <c r="L177" s="52"/>
      <c r="M177" s="73" t="s">
        <v>30</v>
      </c>
      <c r="N177" s="73"/>
      <c r="O177" s="73"/>
      <c r="P177" s="52" t="s">
        <v>31</v>
      </c>
      <c r="Q177" s="52"/>
      <c r="R177" s="52"/>
      <c r="S177" s="73" t="s">
        <v>32</v>
      </c>
      <c r="T177" s="73"/>
      <c r="U177" s="73"/>
      <c r="V177" s="52" t="s">
        <v>33</v>
      </c>
      <c r="W177" s="52"/>
      <c r="X177" s="52"/>
      <c r="Y177" s="73" t="s">
        <v>34</v>
      </c>
      <c r="Z177" s="73"/>
      <c r="AA177" s="73"/>
      <c r="AB177" s="52" t="s">
        <v>35</v>
      </c>
      <c r="AC177" s="52"/>
      <c r="AD177" s="52"/>
      <c r="AE177" s="73" t="s">
        <v>36</v>
      </c>
      <c r="AF177" s="73"/>
      <c r="AG177" s="73"/>
    </row>
    <row r="178" spans="1:33" ht="15.75" thickBot="1" x14ac:dyDescent="0.3">
      <c r="A178" s="68"/>
      <c r="B178" s="68"/>
      <c r="C178" s="105" t="s">
        <v>243</v>
      </c>
      <c r="D178" s="75">
        <v>0</v>
      </c>
      <c r="E178" s="75"/>
      <c r="F178" s="76"/>
      <c r="G178" s="74">
        <v>0</v>
      </c>
      <c r="H178" s="75"/>
      <c r="I178" s="76"/>
      <c r="J178" s="74">
        <v>0</v>
      </c>
      <c r="K178" s="75"/>
      <c r="L178" s="76"/>
      <c r="M178" s="74">
        <v>0</v>
      </c>
      <c r="N178" s="75"/>
      <c r="O178" s="76"/>
      <c r="P178" s="74">
        <v>0</v>
      </c>
      <c r="Q178" s="75"/>
      <c r="R178" s="76"/>
      <c r="S178" s="74">
        <v>0</v>
      </c>
      <c r="T178" s="75"/>
      <c r="U178" s="76"/>
      <c r="V178" s="74">
        <v>0</v>
      </c>
      <c r="W178" s="75"/>
      <c r="X178" s="76"/>
      <c r="Y178" s="74">
        <v>0</v>
      </c>
      <c r="Z178" s="75"/>
      <c r="AA178" s="76"/>
      <c r="AB178" s="74">
        <v>0</v>
      </c>
      <c r="AC178" s="75"/>
      <c r="AD178" s="76"/>
      <c r="AE178" s="74">
        <v>0</v>
      </c>
      <c r="AF178" s="75"/>
      <c r="AG178" s="76"/>
    </row>
    <row r="179" spans="1:33" ht="15.75" thickBot="1" x14ac:dyDescent="0.3">
      <c r="A179" s="68"/>
      <c r="B179" s="68"/>
      <c r="C179" s="106" t="s">
        <v>244</v>
      </c>
      <c r="D179" s="82">
        <v>0</v>
      </c>
      <c r="E179" s="82"/>
      <c r="F179" s="84"/>
      <c r="G179" s="85">
        <v>0</v>
      </c>
      <c r="H179" s="82"/>
      <c r="I179" s="84"/>
      <c r="J179" s="85">
        <v>0</v>
      </c>
      <c r="K179" s="82"/>
      <c r="L179" s="84"/>
      <c r="M179" s="85">
        <v>0</v>
      </c>
      <c r="N179" s="82"/>
      <c r="O179" s="82"/>
      <c r="P179" s="81">
        <v>0</v>
      </c>
      <c r="Q179" s="82"/>
      <c r="R179" s="83"/>
      <c r="S179" s="82">
        <v>0</v>
      </c>
      <c r="T179" s="82"/>
      <c r="U179" s="84"/>
      <c r="V179" s="85">
        <v>0</v>
      </c>
      <c r="W179" s="82"/>
      <c r="X179" s="84"/>
      <c r="Y179" s="85">
        <v>0</v>
      </c>
      <c r="Z179" s="82"/>
      <c r="AA179" s="84"/>
      <c r="AB179" s="85">
        <v>0</v>
      </c>
      <c r="AC179" s="82"/>
      <c r="AD179" s="84"/>
      <c r="AE179" s="85">
        <v>0</v>
      </c>
      <c r="AF179" s="82"/>
      <c r="AG179" s="84"/>
    </row>
    <row r="180" spans="1:33" ht="15.75" thickBot="1" x14ac:dyDescent="0.3">
      <c r="A180" s="68"/>
      <c r="B180" s="68"/>
      <c r="C180" s="107" t="s">
        <v>37</v>
      </c>
      <c r="D180" s="104"/>
      <c r="E180" s="86"/>
      <c r="F180" s="89"/>
      <c r="G180" s="86"/>
      <c r="H180" s="86"/>
      <c r="I180" s="89"/>
      <c r="J180" s="86"/>
      <c r="K180" s="86"/>
      <c r="L180" s="89"/>
      <c r="M180" s="86"/>
      <c r="N180" s="86"/>
      <c r="O180" s="89"/>
      <c r="P180" s="86"/>
      <c r="Q180" s="86"/>
      <c r="R180" s="89"/>
      <c r="S180" s="86"/>
      <c r="T180" s="86"/>
      <c r="U180" s="89"/>
      <c r="V180" s="86"/>
      <c r="W180" s="86"/>
      <c r="X180" s="89"/>
      <c r="Y180" s="86"/>
      <c r="Z180" s="86"/>
      <c r="AA180" s="89"/>
      <c r="AB180" s="86"/>
      <c r="AC180" s="86"/>
      <c r="AD180" s="89"/>
      <c r="AE180" s="86"/>
      <c r="AF180" s="86"/>
      <c r="AG180" s="89"/>
    </row>
    <row r="181" spans="1:33" ht="15.75" thickBot="1" x14ac:dyDescent="0.3">
      <c r="A181" s="68"/>
      <c r="B181" s="68"/>
      <c r="D181" s="87"/>
      <c r="E181" s="87"/>
      <c r="F181" s="90"/>
      <c r="G181" s="87"/>
      <c r="H181" s="87"/>
      <c r="I181" s="90"/>
      <c r="J181" s="87"/>
      <c r="K181" s="87"/>
      <c r="L181" s="90"/>
      <c r="M181" s="87"/>
      <c r="N181" s="87"/>
      <c r="O181" s="90"/>
      <c r="P181" s="87"/>
      <c r="Q181" s="87"/>
      <c r="R181" s="90"/>
      <c r="S181" s="87"/>
      <c r="T181" s="87"/>
      <c r="U181" s="90"/>
      <c r="V181" s="87"/>
      <c r="W181" s="87"/>
      <c r="X181" s="90"/>
      <c r="Y181" s="87"/>
      <c r="Z181" s="87"/>
      <c r="AA181" s="90"/>
      <c r="AB181" s="87"/>
      <c r="AC181" s="87"/>
      <c r="AD181" s="90"/>
      <c r="AE181" s="87"/>
      <c r="AF181" s="87"/>
      <c r="AG181" s="90"/>
    </row>
    <row r="182" spans="1:33" ht="15.75" thickBot="1" x14ac:dyDescent="0.3">
      <c r="A182" s="68"/>
      <c r="B182" s="68"/>
      <c r="D182" s="88"/>
      <c r="E182" s="88"/>
      <c r="F182" s="91"/>
      <c r="G182" s="88"/>
      <c r="H182" s="88"/>
      <c r="I182" s="91"/>
      <c r="J182" s="88"/>
      <c r="K182" s="88"/>
      <c r="L182" s="91"/>
      <c r="M182" s="88"/>
      <c r="N182" s="88"/>
      <c r="O182" s="91"/>
      <c r="P182" s="88"/>
      <c r="Q182" s="88"/>
      <c r="R182" s="91"/>
      <c r="S182" s="88"/>
      <c r="T182" s="88"/>
      <c r="U182" s="91"/>
      <c r="V182" s="88"/>
      <c r="W182" s="88"/>
      <c r="X182" s="91"/>
      <c r="Y182" s="88"/>
      <c r="Z182" s="88"/>
      <c r="AA182" s="91"/>
      <c r="AB182" s="88"/>
      <c r="AC182" s="88"/>
      <c r="AD182" s="91"/>
      <c r="AE182" s="88"/>
      <c r="AF182" s="88"/>
      <c r="AG182" s="91"/>
    </row>
    <row r="184" spans="1:33" ht="15.75" thickBot="1" x14ac:dyDescent="0.3"/>
    <row r="185" spans="1:33" ht="15.75" thickBot="1" x14ac:dyDescent="0.3">
      <c r="A185" s="68" t="s">
        <v>256</v>
      </c>
      <c r="B185" s="68"/>
      <c r="D185" s="52" t="s">
        <v>27</v>
      </c>
      <c r="E185" s="52"/>
      <c r="F185" s="52"/>
      <c r="G185" s="73" t="s">
        <v>28</v>
      </c>
      <c r="H185" s="73"/>
      <c r="I185" s="73"/>
      <c r="J185" s="52" t="s">
        <v>29</v>
      </c>
      <c r="K185" s="52"/>
      <c r="L185" s="52"/>
      <c r="M185" s="73" t="s">
        <v>30</v>
      </c>
      <c r="N185" s="73"/>
      <c r="O185" s="73"/>
      <c r="P185" s="52" t="s">
        <v>31</v>
      </c>
      <c r="Q185" s="52"/>
      <c r="R185" s="52"/>
      <c r="S185" s="73" t="s">
        <v>32</v>
      </c>
      <c r="T185" s="73"/>
      <c r="U185" s="73"/>
      <c r="V185" s="52" t="s">
        <v>33</v>
      </c>
      <c r="W185" s="52"/>
      <c r="X185" s="52"/>
      <c r="Y185" s="73" t="s">
        <v>34</v>
      </c>
      <c r="Z185" s="73"/>
      <c r="AA185" s="73"/>
      <c r="AB185" s="52" t="s">
        <v>35</v>
      </c>
      <c r="AC185" s="52"/>
      <c r="AD185" s="52"/>
      <c r="AE185" s="73" t="s">
        <v>36</v>
      </c>
      <c r="AF185" s="73"/>
      <c r="AG185" s="73"/>
    </row>
    <row r="186" spans="1:33" ht="15.75" thickBot="1" x14ac:dyDescent="0.3">
      <c r="A186" s="68"/>
      <c r="B186" s="68"/>
      <c r="C186" s="105" t="s">
        <v>243</v>
      </c>
      <c r="D186" s="75">
        <v>0</v>
      </c>
      <c r="E186" s="75"/>
      <c r="F186" s="76"/>
      <c r="G186" s="74">
        <v>0</v>
      </c>
      <c r="H186" s="75"/>
      <c r="I186" s="76"/>
      <c r="J186" s="74">
        <v>0</v>
      </c>
      <c r="K186" s="75"/>
      <c r="L186" s="76"/>
      <c r="M186" s="74">
        <v>0</v>
      </c>
      <c r="N186" s="75"/>
      <c r="O186" s="76"/>
      <c r="P186" s="74">
        <v>0</v>
      </c>
      <c r="Q186" s="75"/>
      <c r="R186" s="76"/>
      <c r="S186" s="74">
        <v>0</v>
      </c>
      <c r="T186" s="75"/>
      <c r="U186" s="76"/>
      <c r="V186" s="74">
        <v>0</v>
      </c>
      <c r="W186" s="75"/>
      <c r="X186" s="76"/>
      <c r="Y186" s="74">
        <v>0</v>
      </c>
      <c r="Z186" s="75"/>
      <c r="AA186" s="76"/>
      <c r="AB186" s="74">
        <v>0</v>
      </c>
      <c r="AC186" s="75"/>
      <c r="AD186" s="76"/>
      <c r="AE186" s="74">
        <v>0</v>
      </c>
      <c r="AF186" s="75"/>
      <c r="AG186" s="76"/>
    </row>
    <row r="187" spans="1:33" ht="15.75" thickBot="1" x14ac:dyDescent="0.3">
      <c r="A187" s="68"/>
      <c r="B187" s="68"/>
      <c r="C187" s="106" t="s">
        <v>244</v>
      </c>
      <c r="D187" s="82">
        <v>0</v>
      </c>
      <c r="E187" s="82"/>
      <c r="F187" s="84"/>
      <c r="G187" s="85">
        <v>0</v>
      </c>
      <c r="H187" s="82"/>
      <c r="I187" s="84"/>
      <c r="J187" s="85">
        <v>0</v>
      </c>
      <c r="K187" s="82"/>
      <c r="L187" s="84"/>
      <c r="M187" s="85">
        <v>0</v>
      </c>
      <c r="N187" s="82"/>
      <c r="O187" s="82"/>
      <c r="P187" s="81">
        <v>0</v>
      </c>
      <c r="Q187" s="82"/>
      <c r="R187" s="83"/>
      <c r="S187" s="82">
        <v>0</v>
      </c>
      <c r="T187" s="82"/>
      <c r="U187" s="84"/>
      <c r="V187" s="85">
        <v>0</v>
      </c>
      <c r="W187" s="82"/>
      <c r="X187" s="84"/>
      <c r="Y187" s="85">
        <v>0</v>
      </c>
      <c r="Z187" s="82"/>
      <c r="AA187" s="84"/>
      <c r="AB187" s="85">
        <v>0</v>
      </c>
      <c r="AC187" s="82"/>
      <c r="AD187" s="84"/>
      <c r="AE187" s="85">
        <v>0</v>
      </c>
      <c r="AF187" s="82"/>
      <c r="AG187" s="84"/>
    </row>
    <row r="188" spans="1:33" ht="15.75" thickBot="1" x14ac:dyDescent="0.3">
      <c r="A188" s="68"/>
      <c r="B188" s="68"/>
      <c r="C188" s="107" t="s">
        <v>37</v>
      </c>
      <c r="D188" s="104"/>
      <c r="E188" s="86"/>
      <c r="F188" s="89"/>
      <c r="G188" s="86"/>
      <c r="H188" s="86"/>
      <c r="I188" s="89"/>
      <c r="J188" s="86"/>
      <c r="K188" s="86"/>
      <c r="L188" s="89"/>
      <c r="M188" s="86"/>
      <c r="N188" s="86"/>
      <c r="O188" s="89"/>
      <c r="P188" s="86"/>
      <c r="Q188" s="86"/>
      <c r="R188" s="89"/>
      <c r="S188" s="86"/>
      <c r="T188" s="86"/>
      <c r="U188" s="89"/>
      <c r="V188" s="86"/>
      <c r="W188" s="86"/>
      <c r="X188" s="89"/>
      <c r="Y188" s="86"/>
      <c r="Z188" s="86"/>
      <c r="AA188" s="89"/>
      <c r="AB188" s="86"/>
      <c r="AC188" s="86"/>
      <c r="AD188" s="89"/>
      <c r="AE188" s="86"/>
      <c r="AF188" s="86"/>
      <c r="AG188" s="89"/>
    </row>
    <row r="189" spans="1:33" ht="15.75" thickBot="1" x14ac:dyDescent="0.3">
      <c r="A189" s="68"/>
      <c r="B189" s="68"/>
      <c r="D189" s="87"/>
      <c r="E189" s="87"/>
      <c r="F189" s="90"/>
      <c r="G189" s="87"/>
      <c r="H189" s="87"/>
      <c r="I189" s="90"/>
      <c r="J189" s="87"/>
      <c r="K189" s="87"/>
      <c r="L189" s="90"/>
      <c r="M189" s="87"/>
      <c r="N189" s="87"/>
      <c r="O189" s="90"/>
      <c r="P189" s="87"/>
      <c r="Q189" s="87"/>
      <c r="R189" s="90"/>
      <c r="S189" s="87"/>
      <c r="T189" s="87"/>
      <c r="U189" s="90"/>
      <c r="V189" s="87"/>
      <c r="W189" s="87"/>
      <c r="X189" s="90"/>
      <c r="Y189" s="87"/>
      <c r="Z189" s="87"/>
      <c r="AA189" s="90"/>
      <c r="AB189" s="87"/>
      <c r="AC189" s="87"/>
      <c r="AD189" s="90"/>
      <c r="AE189" s="87"/>
      <c r="AF189" s="87"/>
      <c r="AG189" s="90"/>
    </row>
    <row r="190" spans="1:33" ht="15.75" thickBot="1" x14ac:dyDescent="0.3">
      <c r="A190" s="68"/>
      <c r="B190" s="68"/>
      <c r="D190" s="88"/>
      <c r="E190" s="88"/>
      <c r="F190" s="91"/>
      <c r="G190" s="88"/>
      <c r="H190" s="88"/>
      <c r="I190" s="91"/>
      <c r="J190" s="88"/>
      <c r="K190" s="88"/>
      <c r="L190" s="91"/>
      <c r="M190" s="88"/>
      <c r="N190" s="88"/>
      <c r="O190" s="91"/>
      <c r="P190" s="88"/>
      <c r="Q190" s="88"/>
      <c r="R190" s="91"/>
      <c r="S190" s="88"/>
      <c r="T190" s="88"/>
      <c r="U190" s="91"/>
      <c r="V190" s="88"/>
      <c r="W190" s="88"/>
      <c r="X190" s="91"/>
      <c r="Y190" s="88"/>
      <c r="Z190" s="88"/>
      <c r="AA190" s="91"/>
      <c r="AB190" s="88"/>
      <c r="AC190" s="88"/>
      <c r="AD190" s="91"/>
      <c r="AE190" s="88"/>
      <c r="AF190" s="88"/>
      <c r="AG190" s="91"/>
    </row>
    <row r="192" spans="1:33" ht="15.75" thickBot="1" x14ac:dyDescent="0.3"/>
    <row r="193" spans="1:33" ht="15.75" thickBot="1" x14ac:dyDescent="0.3">
      <c r="A193" s="68" t="s">
        <v>89</v>
      </c>
      <c r="B193" s="68"/>
      <c r="D193" s="52" t="s">
        <v>27</v>
      </c>
      <c r="E193" s="52"/>
      <c r="F193" s="52"/>
      <c r="G193" s="73" t="s">
        <v>28</v>
      </c>
      <c r="H193" s="73"/>
      <c r="I193" s="73"/>
      <c r="J193" s="52" t="s">
        <v>29</v>
      </c>
      <c r="K193" s="52"/>
      <c r="L193" s="52"/>
      <c r="M193" s="73" t="s">
        <v>30</v>
      </c>
      <c r="N193" s="73"/>
      <c r="O193" s="73"/>
      <c r="P193" s="52" t="s">
        <v>31</v>
      </c>
      <c r="Q193" s="52"/>
      <c r="R193" s="52"/>
      <c r="S193" s="73" t="s">
        <v>32</v>
      </c>
      <c r="T193" s="73"/>
      <c r="U193" s="73"/>
      <c r="V193" s="52" t="s">
        <v>33</v>
      </c>
      <c r="W193" s="52"/>
      <c r="X193" s="52"/>
      <c r="Y193" s="73" t="s">
        <v>34</v>
      </c>
      <c r="Z193" s="73"/>
      <c r="AA193" s="73"/>
      <c r="AB193" s="52" t="s">
        <v>35</v>
      </c>
      <c r="AC193" s="52"/>
      <c r="AD193" s="52"/>
      <c r="AE193" s="73" t="s">
        <v>36</v>
      </c>
      <c r="AF193" s="73"/>
      <c r="AG193" s="73"/>
    </row>
    <row r="194" spans="1:33" ht="15.75" thickBot="1" x14ac:dyDescent="0.3">
      <c r="A194" s="68"/>
      <c r="B194" s="68"/>
      <c r="C194" s="105" t="s">
        <v>243</v>
      </c>
      <c r="D194" s="75">
        <v>0</v>
      </c>
      <c r="E194" s="75"/>
      <c r="F194" s="76"/>
      <c r="G194" s="74">
        <v>0</v>
      </c>
      <c r="H194" s="75"/>
      <c r="I194" s="76"/>
      <c r="J194" s="74">
        <v>0</v>
      </c>
      <c r="K194" s="75"/>
      <c r="L194" s="76"/>
      <c r="M194" s="74">
        <v>0</v>
      </c>
      <c r="N194" s="75"/>
      <c r="O194" s="76"/>
      <c r="P194" s="74">
        <v>0</v>
      </c>
      <c r="Q194" s="75"/>
      <c r="R194" s="76"/>
      <c r="S194" s="74">
        <v>0</v>
      </c>
      <c r="T194" s="75"/>
      <c r="U194" s="76"/>
      <c r="V194" s="74">
        <v>0</v>
      </c>
      <c r="W194" s="75"/>
      <c r="X194" s="76"/>
      <c r="Y194" s="74">
        <v>0</v>
      </c>
      <c r="Z194" s="75"/>
      <c r="AA194" s="76"/>
      <c r="AB194" s="74">
        <v>0</v>
      </c>
      <c r="AC194" s="75"/>
      <c r="AD194" s="76"/>
      <c r="AE194" s="74">
        <v>0</v>
      </c>
      <c r="AF194" s="75"/>
      <c r="AG194" s="76"/>
    </row>
    <row r="195" spans="1:33" ht="15.75" thickBot="1" x14ac:dyDescent="0.3">
      <c r="A195" s="68"/>
      <c r="B195" s="68"/>
      <c r="C195" s="106" t="s">
        <v>244</v>
      </c>
      <c r="D195" s="82">
        <v>0</v>
      </c>
      <c r="E195" s="82"/>
      <c r="F195" s="84"/>
      <c r="G195" s="85">
        <v>0</v>
      </c>
      <c r="H195" s="82"/>
      <c r="I195" s="84"/>
      <c r="J195" s="85">
        <v>0</v>
      </c>
      <c r="K195" s="82"/>
      <c r="L195" s="84"/>
      <c r="M195" s="85">
        <v>0</v>
      </c>
      <c r="N195" s="82"/>
      <c r="O195" s="82"/>
      <c r="P195" s="81">
        <v>0</v>
      </c>
      <c r="Q195" s="82"/>
      <c r="R195" s="83"/>
      <c r="S195" s="82">
        <v>0</v>
      </c>
      <c r="T195" s="82"/>
      <c r="U195" s="84"/>
      <c r="V195" s="85">
        <v>0</v>
      </c>
      <c r="W195" s="82"/>
      <c r="X195" s="84"/>
      <c r="Y195" s="85">
        <v>0</v>
      </c>
      <c r="Z195" s="82"/>
      <c r="AA195" s="84"/>
      <c r="AB195" s="85">
        <v>0</v>
      </c>
      <c r="AC195" s="82"/>
      <c r="AD195" s="84"/>
      <c r="AE195" s="85">
        <v>0</v>
      </c>
      <c r="AF195" s="82"/>
      <c r="AG195" s="84"/>
    </row>
    <row r="196" spans="1:33" ht="15.75" thickBot="1" x14ac:dyDescent="0.3">
      <c r="A196" s="68"/>
      <c r="B196" s="68"/>
      <c r="C196" s="107" t="s">
        <v>37</v>
      </c>
      <c r="D196" s="104"/>
      <c r="E196" s="86"/>
      <c r="F196" s="89"/>
      <c r="G196" s="86"/>
      <c r="H196" s="86"/>
      <c r="I196" s="89"/>
      <c r="J196" s="86"/>
      <c r="K196" s="86"/>
      <c r="L196" s="89"/>
      <c r="M196" s="86"/>
      <c r="N196" s="86"/>
      <c r="O196" s="89"/>
      <c r="P196" s="86"/>
      <c r="Q196" s="86"/>
      <c r="R196" s="89"/>
      <c r="S196" s="86"/>
      <c r="T196" s="86"/>
      <c r="U196" s="89"/>
      <c r="V196" s="86"/>
      <c r="W196" s="86"/>
      <c r="X196" s="89"/>
      <c r="Y196" s="86"/>
      <c r="Z196" s="86"/>
      <c r="AA196" s="89"/>
      <c r="AB196" s="86"/>
      <c r="AC196" s="86"/>
      <c r="AD196" s="89"/>
      <c r="AE196" s="86"/>
      <c r="AF196" s="86"/>
      <c r="AG196" s="89"/>
    </row>
    <row r="197" spans="1:33" ht="15.75" thickBot="1" x14ac:dyDescent="0.3">
      <c r="A197" s="68"/>
      <c r="B197" s="68"/>
      <c r="D197" s="87"/>
      <c r="E197" s="87"/>
      <c r="F197" s="90"/>
      <c r="G197" s="87"/>
      <c r="H197" s="87"/>
      <c r="I197" s="90"/>
      <c r="J197" s="87"/>
      <c r="K197" s="87"/>
      <c r="L197" s="90"/>
      <c r="M197" s="87"/>
      <c r="N197" s="87"/>
      <c r="O197" s="90"/>
      <c r="P197" s="87"/>
      <c r="Q197" s="87"/>
      <c r="R197" s="90"/>
      <c r="S197" s="87"/>
      <c r="T197" s="87"/>
      <c r="U197" s="90"/>
      <c r="V197" s="87"/>
      <c r="W197" s="87"/>
      <c r="X197" s="90"/>
      <c r="Y197" s="87"/>
      <c r="Z197" s="87"/>
      <c r="AA197" s="90"/>
      <c r="AB197" s="87"/>
      <c r="AC197" s="87"/>
      <c r="AD197" s="90"/>
      <c r="AE197" s="87"/>
      <c r="AF197" s="87"/>
      <c r="AG197" s="90"/>
    </row>
    <row r="198" spans="1:33" ht="15.75" thickBot="1" x14ac:dyDescent="0.3">
      <c r="A198" s="68"/>
      <c r="B198" s="68"/>
      <c r="D198" s="88"/>
      <c r="E198" s="88"/>
      <c r="F198" s="91"/>
      <c r="G198" s="88"/>
      <c r="H198" s="88"/>
      <c r="I198" s="91"/>
      <c r="J198" s="88"/>
      <c r="K198" s="88"/>
      <c r="L198" s="91"/>
      <c r="M198" s="88"/>
      <c r="N198" s="88"/>
      <c r="O198" s="91"/>
      <c r="P198" s="88"/>
      <c r="Q198" s="88"/>
      <c r="R198" s="91"/>
      <c r="S198" s="88"/>
      <c r="T198" s="88"/>
      <c r="U198" s="91"/>
      <c r="V198" s="88"/>
      <c r="W198" s="88"/>
      <c r="X198" s="91"/>
      <c r="Y198" s="88"/>
      <c r="Z198" s="88"/>
      <c r="AA198" s="91"/>
      <c r="AB198" s="88"/>
      <c r="AC198" s="88"/>
      <c r="AD198" s="91"/>
      <c r="AE198" s="88"/>
      <c r="AF198" s="88"/>
      <c r="AG198" s="91"/>
    </row>
    <row r="200" spans="1:33" ht="15.75" thickBot="1" x14ac:dyDescent="0.3"/>
    <row r="201" spans="1:33" ht="15.75" thickBot="1" x14ac:dyDescent="0.3">
      <c r="A201" s="68" t="s">
        <v>90</v>
      </c>
      <c r="B201" s="68"/>
      <c r="D201" s="52" t="s">
        <v>27</v>
      </c>
      <c r="E201" s="52"/>
      <c r="F201" s="52"/>
      <c r="G201" s="73" t="s">
        <v>28</v>
      </c>
      <c r="H201" s="73"/>
      <c r="I201" s="73"/>
      <c r="J201" s="52" t="s">
        <v>29</v>
      </c>
      <c r="K201" s="52"/>
      <c r="L201" s="52"/>
      <c r="M201" s="73" t="s">
        <v>30</v>
      </c>
      <c r="N201" s="73"/>
      <c r="O201" s="73"/>
      <c r="P201" s="52" t="s">
        <v>31</v>
      </c>
      <c r="Q201" s="52"/>
      <c r="R201" s="52"/>
      <c r="S201" s="73" t="s">
        <v>32</v>
      </c>
      <c r="T201" s="73"/>
      <c r="U201" s="73"/>
      <c r="V201" s="52" t="s">
        <v>33</v>
      </c>
      <c r="W201" s="52"/>
      <c r="X201" s="52"/>
      <c r="Y201" s="73" t="s">
        <v>34</v>
      </c>
      <c r="Z201" s="73"/>
      <c r="AA201" s="73"/>
      <c r="AB201" s="52" t="s">
        <v>35</v>
      </c>
      <c r="AC201" s="52"/>
      <c r="AD201" s="52"/>
      <c r="AE201" s="73" t="s">
        <v>36</v>
      </c>
      <c r="AF201" s="73"/>
      <c r="AG201" s="73"/>
    </row>
    <row r="202" spans="1:33" ht="15.75" thickBot="1" x14ac:dyDescent="0.3">
      <c r="A202" s="68"/>
      <c r="B202" s="68"/>
      <c r="C202" s="105" t="s">
        <v>243</v>
      </c>
      <c r="D202" s="75">
        <v>0</v>
      </c>
      <c r="E202" s="75"/>
      <c r="F202" s="76"/>
      <c r="G202" s="74">
        <v>0</v>
      </c>
      <c r="H202" s="75"/>
      <c r="I202" s="76"/>
      <c r="J202" s="74">
        <v>0</v>
      </c>
      <c r="K202" s="75"/>
      <c r="L202" s="76"/>
      <c r="M202" s="74">
        <v>0</v>
      </c>
      <c r="N202" s="75"/>
      <c r="O202" s="76"/>
      <c r="P202" s="74">
        <v>0</v>
      </c>
      <c r="Q202" s="75"/>
      <c r="R202" s="76"/>
      <c r="S202" s="74">
        <v>0</v>
      </c>
      <c r="T202" s="75"/>
      <c r="U202" s="76"/>
      <c r="V202" s="74">
        <v>0</v>
      </c>
      <c r="W202" s="75"/>
      <c r="X202" s="76"/>
      <c r="Y202" s="74">
        <v>0</v>
      </c>
      <c r="Z202" s="75"/>
      <c r="AA202" s="76"/>
      <c r="AB202" s="74">
        <v>0</v>
      </c>
      <c r="AC202" s="75"/>
      <c r="AD202" s="76"/>
      <c r="AE202" s="74">
        <v>0</v>
      </c>
      <c r="AF202" s="75"/>
      <c r="AG202" s="76"/>
    </row>
    <row r="203" spans="1:33" ht="15.75" thickBot="1" x14ac:dyDescent="0.3">
      <c r="A203" s="68"/>
      <c r="B203" s="68"/>
      <c r="C203" s="106" t="s">
        <v>244</v>
      </c>
      <c r="D203" s="82">
        <v>0</v>
      </c>
      <c r="E203" s="82"/>
      <c r="F203" s="84"/>
      <c r="G203" s="85">
        <v>0</v>
      </c>
      <c r="H203" s="82"/>
      <c r="I203" s="84"/>
      <c r="J203" s="85">
        <v>0</v>
      </c>
      <c r="K203" s="82"/>
      <c r="L203" s="84"/>
      <c r="M203" s="85">
        <v>0</v>
      </c>
      <c r="N203" s="82"/>
      <c r="O203" s="82"/>
      <c r="P203" s="81">
        <v>0</v>
      </c>
      <c r="Q203" s="82"/>
      <c r="R203" s="83"/>
      <c r="S203" s="82">
        <v>0</v>
      </c>
      <c r="T203" s="82"/>
      <c r="U203" s="84"/>
      <c r="V203" s="85">
        <v>0</v>
      </c>
      <c r="W203" s="82"/>
      <c r="X203" s="84"/>
      <c r="Y203" s="85">
        <v>0</v>
      </c>
      <c r="Z203" s="82"/>
      <c r="AA203" s="84"/>
      <c r="AB203" s="85">
        <v>0</v>
      </c>
      <c r="AC203" s="82"/>
      <c r="AD203" s="84"/>
      <c r="AE203" s="85">
        <v>0</v>
      </c>
      <c r="AF203" s="82"/>
      <c r="AG203" s="84"/>
    </row>
    <row r="204" spans="1:33" ht="15.75" thickBot="1" x14ac:dyDescent="0.3">
      <c r="A204" s="68"/>
      <c r="B204" s="68"/>
      <c r="C204" s="107" t="s">
        <v>37</v>
      </c>
      <c r="D204" s="104"/>
      <c r="E204" s="86"/>
      <c r="F204" s="89"/>
      <c r="G204" s="86"/>
      <c r="H204" s="86"/>
      <c r="I204" s="89"/>
      <c r="J204" s="86"/>
      <c r="K204" s="86"/>
      <c r="L204" s="89"/>
      <c r="M204" s="86"/>
      <c r="N204" s="86"/>
      <c r="O204" s="89"/>
      <c r="P204" s="86"/>
      <c r="Q204" s="86"/>
      <c r="R204" s="89"/>
      <c r="S204" s="86"/>
      <c r="T204" s="86"/>
      <c r="U204" s="89"/>
      <c r="V204" s="86"/>
      <c r="W204" s="86"/>
      <c r="X204" s="89"/>
      <c r="Y204" s="86"/>
      <c r="Z204" s="86"/>
      <c r="AA204" s="89"/>
      <c r="AB204" s="86"/>
      <c r="AC204" s="86"/>
      <c r="AD204" s="89"/>
      <c r="AE204" s="86"/>
      <c r="AF204" s="86"/>
      <c r="AG204" s="89"/>
    </row>
    <row r="205" spans="1:33" ht="15.75" thickBot="1" x14ac:dyDescent="0.3">
      <c r="A205" s="68"/>
      <c r="B205" s="68"/>
      <c r="D205" s="87"/>
      <c r="E205" s="87"/>
      <c r="F205" s="90"/>
      <c r="G205" s="87"/>
      <c r="H205" s="87"/>
      <c r="I205" s="90"/>
      <c r="J205" s="87"/>
      <c r="K205" s="87"/>
      <c r="L205" s="90"/>
      <c r="M205" s="87"/>
      <c r="N205" s="87"/>
      <c r="O205" s="90"/>
      <c r="P205" s="87"/>
      <c r="Q205" s="87"/>
      <c r="R205" s="90"/>
      <c r="S205" s="87"/>
      <c r="T205" s="87"/>
      <c r="U205" s="90"/>
      <c r="V205" s="87"/>
      <c r="W205" s="87"/>
      <c r="X205" s="90"/>
      <c r="Y205" s="87"/>
      <c r="Z205" s="87"/>
      <c r="AA205" s="90"/>
      <c r="AB205" s="87"/>
      <c r="AC205" s="87"/>
      <c r="AD205" s="90"/>
      <c r="AE205" s="87"/>
      <c r="AF205" s="87"/>
      <c r="AG205" s="90"/>
    </row>
    <row r="206" spans="1:33" ht="15.75" thickBot="1" x14ac:dyDescent="0.3">
      <c r="A206" s="68"/>
      <c r="B206" s="68"/>
      <c r="D206" s="88"/>
      <c r="E206" s="88"/>
      <c r="F206" s="91"/>
      <c r="G206" s="88"/>
      <c r="H206" s="88"/>
      <c r="I206" s="91"/>
      <c r="J206" s="88"/>
      <c r="K206" s="88"/>
      <c r="L206" s="91"/>
      <c r="M206" s="88"/>
      <c r="N206" s="88"/>
      <c r="O206" s="91"/>
      <c r="P206" s="88"/>
      <c r="Q206" s="88"/>
      <c r="R206" s="91"/>
      <c r="S206" s="88"/>
      <c r="T206" s="88"/>
      <c r="U206" s="91"/>
      <c r="V206" s="88"/>
      <c r="W206" s="88"/>
      <c r="X206" s="91"/>
      <c r="Y206" s="88"/>
      <c r="Z206" s="88"/>
      <c r="AA206" s="91"/>
      <c r="AB206" s="88"/>
      <c r="AC206" s="88"/>
      <c r="AD206" s="91"/>
      <c r="AE206" s="88"/>
      <c r="AF206" s="88"/>
      <c r="AG206" s="91"/>
    </row>
    <row r="208" spans="1:33" ht="15.75" thickBot="1" x14ac:dyDescent="0.3"/>
    <row r="209" spans="1:33" ht="15.75" thickBot="1" x14ac:dyDescent="0.3">
      <c r="A209" s="68" t="s">
        <v>91</v>
      </c>
      <c r="B209" s="68"/>
      <c r="D209" s="52" t="s">
        <v>27</v>
      </c>
      <c r="E209" s="52"/>
      <c r="F209" s="52"/>
      <c r="G209" s="73" t="s">
        <v>28</v>
      </c>
      <c r="H209" s="73"/>
      <c r="I209" s="73"/>
      <c r="J209" s="52" t="s">
        <v>29</v>
      </c>
      <c r="K209" s="52"/>
      <c r="L209" s="52"/>
      <c r="M209" s="73" t="s">
        <v>30</v>
      </c>
      <c r="N209" s="73"/>
      <c r="O209" s="73"/>
      <c r="P209" s="52" t="s">
        <v>31</v>
      </c>
      <c r="Q209" s="52"/>
      <c r="R209" s="52"/>
      <c r="S209" s="73" t="s">
        <v>32</v>
      </c>
      <c r="T209" s="73"/>
      <c r="U209" s="73"/>
      <c r="V209" s="52" t="s">
        <v>33</v>
      </c>
      <c r="W209" s="52"/>
      <c r="X209" s="52"/>
      <c r="Y209" s="73" t="s">
        <v>34</v>
      </c>
      <c r="Z209" s="73"/>
      <c r="AA209" s="73"/>
      <c r="AB209" s="52" t="s">
        <v>35</v>
      </c>
      <c r="AC209" s="52"/>
      <c r="AD209" s="52"/>
      <c r="AE209" s="73" t="s">
        <v>36</v>
      </c>
      <c r="AF209" s="73"/>
      <c r="AG209" s="73"/>
    </row>
    <row r="210" spans="1:33" ht="15.75" thickBot="1" x14ac:dyDescent="0.3">
      <c r="A210" s="68"/>
      <c r="B210" s="68"/>
      <c r="C210" s="105" t="s">
        <v>243</v>
      </c>
      <c r="D210" s="75">
        <v>0</v>
      </c>
      <c r="E210" s="75"/>
      <c r="F210" s="76"/>
      <c r="G210" s="74">
        <v>0</v>
      </c>
      <c r="H210" s="75"/>
      <c r="I210" s="76"/>
      <c r="J210" s="74">
        <v>0</v>
      </c>
      <c r="K210" s="75"/>
      <c r="L210" s="76"/>
      <c r="M210" s="74">
        <v>0</v>
      </c>
      <c r="N210" s="75"/>
      <c r="O210" s="76"/>
      <c r="P210" s="74">
        <v>0</v>
      </c>
      <c r="Q210" s="75"/>
      <c r="R210" s="76"/>
      <c r="S210" s="74">
        <v>0</v>
      </c>
      <c r="T210" s="75"/>
      <c r="U210" s="76"/>
      <c r="V210" s="74">
        <v>0</v>
      </c>
      <c r="W210" s="75"/>
      <c r="X210" s="76"/>
      <c r="Y210" s="74">
        <v>0</v>
      </c>
      <c r="Z210" s="75"/>
      <c r="AA210" s="76"/>
      <c r="AB210" s="74">
        <v>0</v>
      </c>
      <c r="AC210" s="75"/>
      <c r="AD210" s="76"/>
      <c r="AE210" s="74">
        <v>0</v>
      </c>
      <c r="AF210" s="75"/>
      <c r="AG210" s="76"/>
    </row>
    <row r="211" spans="1:33" ht="15.75" thickBot="1" x14ac:dyDescent="0.3">
      <c r="A211" s="68"/>
      <c r="B211" s="68"/>
      <c r="C211" s="106" t="s">
        <v>244</v>
      </c>
      <c r="D211" s="82">
        <v>0</v>
      </c>
      <c r="E211" s="82"/>
      <c r="F211" s="84"/>
      <c r="G211" s="85">
        <v>0</v>
      </c>
      <c r="H211" s="82"/>
      <c r="I211" s="84"/>
      <c r="J211" s="85">
        <v>0</v>
      </c>
      <c r="K211" s="82"/>
      <c r="L211" s="84"/>
      <c r="M211" s="85">
        <v>0</v>
      </c>
      <c r="N211" s="82"/>
      <c r="O211" s="82"/>
      <c r="P211" s="81">
        <v>0</v>
      </c>
      <c r="Q211" s="82"/>
      <c r="R211" s="83"/>
      <c r="S211" s="82">
        <v>0</v>
      </c>
      <c r="T211" s="82"/>
      <c r="U211" s="84"/>
      <c r="V211" s="85">
        <v>0</v>
      </c>
      <c r="W211" s="82"/>
      <c r="X211" s="84"/>
      <c r="Y211" s="85">
        <v>0</v>
      </c>
      <c r="Z211" s="82"/>
      <c r="AA211" s="84"/>
      <c r="AB211" s="85">
        <v>0</v>
      </c>
      <c r="AC211" s="82"/>
      <c r="AD211" s="84"/>
      <c r="AE211" s="85">
        <v>0</v>
      </c>
      <c r="AF211" s="82"/>
      <c r="AG211" s="84"/>
    </row>
    <row r="212" spans="1:33" ht="15.75" thickBot="1" x14ac:dyDescent="0.3">
      <c r="A212" s="68"/>
      <c r="B212" s="68"/>
      <c r="C212" s="107" t="s">
        <v>37</v>
      </c>
      <c r="D212" s="104"/>
      <c r="E212" s="86"/>
      <c r="F212" s="89"/>
      <c r="G212" s="86"/>
      <c r="H212" s="86"/>
      <c r="I212" s="89"/>
      <c r="J212" s="86"/>
      <c r="K212" s="86"/>
      <c r="L212" s="89"/>
      <c r="M212" s="86"/>
      <c r="N212" s="86"/>
      <c r="O212" s="89"/>
      <c r="P212" s="86"/>
      <c r="Q212" s="86"/>
      <c r="R212" s="89"/>
      <c r="S212" s="86"/>
      <c r="T212" s="86"/>
      <c r="U212" s="89"/>
      <c r="V212" s="86"/>
      <c r="W212" s="86"/>
      <c r="X212" s="89"/>
      <c r="Y212" s="86"/>
      <c r="Z212" s="86"/>
      <c r="AA212" s="89"/>
      <c r="AB212" s="86"/>
      <c r="AC212" s="86"/>
      <c r="AD212" s="89"/>
      <c r="AE212" s="86"/>
      <c r="AF212" s="86"/>
      <c r="AG212" s="89"/>
    </row>
    <row r="213" spans="1:33" ht="15.75" thickBot="1" x14ac:dyDescent="0.3">
      <c r="A213" s="68"/>
      <c r="B213" s="68"/>
      <c r="D213" s="87"/>
      <c r="E213" s="87"/>
      <c r="F213" s="90"/>
      <c r="G213" s="87"/>
      <c r="H213" s="87"/>
      <c r="I213" s="90"/>
      <c r="J213" s="87"/>
      <c r="K213" s="87"/>
      <c r="L213" s="90"/>
      <c r="M213" s="87"/>
      <c r="N213" s="87"/>
      <c r="O213" s="90"/>
      <c r="P213" s="87"/>
      <c r="Q213" s="87"/>
      <c r="R213" s="90"/>
      <c r="S213" s="87"/>
      <c r="T213" s="87"/>
      <c r="U213" s="90"/>
      <c r="V213" s="87"/>
      <c r="W213" s="87"/>
      <c r="X213" s="90"/>
      <c r="Y213" s="87"/>
      <c r="Z213" s="87"/>
      <c r="AA213" s="90"/>
      <c r="AB213" s="87"/>
      <c r="AC213" s="87"/>
      <c r="AD213" s="90"/>
      <c r="AE213" s="87"/>
      <c r="AF213" s="87"/>
      <c r="AG213" s="90"/>
    </row>
    <row r="214" spans="1:33" ht="15.75" thickBot="1" x14ac:dyDescent="0.3">
      <c r="A214" s="68"/>
      <c r="B214" s="68"/>
      <c r="D214" s="88"/>
      <c r="E214" s="88"/>
      <c r="F214" s="91"/>
      <c r="G214" s="88"/>
      <c r="H214" s="88"/>
      <c r="I214" s="91"/>
      <c r="J214" s="88"/>
      <c r="K214" s="88"/>
      <c r="L214" s="91"/>
      <c r="M214" s="88"/>
      <c r="N214" s="88"/>
      <c r="O214" s="91"/>
      <c r="P214" s="88"/>
      <c r="Q214" s="88"/>
      <c r="R214" s="91"/>
      <c r="S214" s="88"/>
      <c r="T214" s="88"/>
      <c r="U214" s="91"/>
      <c r="V214" s="88"/>
      <c r="W214" s="88"/>
      <c r="X214" s="91"/>
      <c r="Y214" s="88"/>
      <c r="Z214" s="88"/>
      <c r="AA214" s="91"/>
      <c r="AB214" s="88"/>
      <c r="AC214" s="88"/>
      <c r="AD214" s="91"/>
      <c r="AE214" s="88"/>
      <c r="AF214" s="88"/>
      <c r="AG214" s="91"/>
    </row>
    <row r="216" spans="1:33" ht="15.75" thickBot="1" x14ac:dyDescent="0.3"/>
    <row r="217" spans="1:33" ht="15.75" thickBot="1" x14ac:dyDescent="0.3">
      <c r="A217" s="68" t="s">
        <v>257</v>
      </c>
      <c r="B217" s="68"/>
      <c r="D217" s="52" t="s">
        <v>27</v>
      </c>
      <c r="E217" s="52"/>
      <c r="F217" s="52"/>
      <c r="G217" s="73" t="s">
        <v>28</v>
      </c>
      <c r="H217" s="73"/>
      <c r="I217" s="73"/>
      <c r="J217" s="52" t="s">
        <v>29</v>
      </c>
      <c r="K217" s="52"/>
      <c r="L217" s="52"/>
      <c r="M217" s="73" t="s">
        <v>30</v>
      </c>
      <c r="N217" s="73"/>
      <c r="O217" s="73"/>
      <c r="P217" s="52" t="s">
        <v>31</v>
      </c>
      <c r="Q217" s="52"/>
      <c r="R217" s="52"/>
      <c r="S217" s="73" t="s">
        <v>32</v>
      </c>
      <c r="T217" s="73"/>
      <c r="U217" s="73"/>
      <c r="V217" s="52" t="s">
        <v>33</v>
      </c>
      <c r="W217" s="52"/>
      <c r="X217" s="52"/>
      <c r="Y217" s="73" t="s">
        <v>34</v>
      </c>
      <c r="Z217" s="73"/>
      <c r="AA217" s="73"/>
      <c r="AB217" s="52" t="s">
        <v>35</v>
      </c>
      <c r="AC217" s="52"/>
      <c r="AD217" s="52"/>
      <c r="AE217" s="73" t="s">
        <v>36</v>
      </c>
      <c r="AF217" s="73"/>
      <c r="AG217" s="73"/>
    </row>
    <row r="218" spans="1:33" ht="15.75" thickBot="1" x14ac:dyDescent="0.3">
      <c r="A218" s="68"/>
      <c r="B218" s="68"/>
      <c r="C218" s="105" t="s">
        <v>243</v>
      </c>
      <c r="D218" s="75">
        <v>0</v>
      </c>
      <c r="E218" s="75"/>
      <c r="F218" s="76"/>
      <c r="G218" s="74">
        <v>0</v>
      </c>
      <c r="H218" s="75"/>
      <c r="I218" s="76"/>
      <c r="J218" s="74">
        <v>0</v>
      </c>
      <c r="K218" s="75"/>
      <c r="L218" s="76"/>
      <c r="M218" s="74">
        <v>0</v>
      </c>
      <c r="N218" s="75"/>
      <c r="O218" s="76"/>
      <c r="P218" s="74">
        <v>0</v>
      </c>
      <c r="Q218" s="75"/>
      <c r="R218" s="76"/>
      <c r="S218" s="74">
        <v>0</v>
      </c>
      <c r="T218" s="75"/>
      <c r="U218" s="76"/>
      <c r="V218" s="74">
        <v>0</v>
      </c>
      <c r="W218" s="75"/>
      <c r="X218" s="76"/>
      <c r="Y218" s="74">
        <v>0</v>
      </c>
      <c r="Z218" s="75"/>
      <c r="AA218" s="76"/>
      <c r="AB218" s="74">
        <v>0</v>
      </c>
      <c r="AC218" s="75"/>
      <c r="AD218" s="76"/>
      <c r="AE218" s="74">
        <v>0</v>
      </c>
      <c r="AF218" s="75"/>
      <c r="AG218" s="76"/>
    </row>
    <row r="219" spans="1:33" ht="15.75" thickBot="1" x14ac:dyDescent="0.3">
      <c r="A219" s="68"/>
      <c r="B219" s="68"/>
      <c r="C219" s="106" t="s">
        <v>244</v>
      </c>
      <c r="D219" s="82">
        <v>0</v>
      </c>
      <c r="E219" s="82"/>
      <c r="F219" s="84"/>
      <c r="G219" s="85">
        <v>0</v>
      </c>
      <c r="H219" s="82"/>
      <c r="I219" s="84"/>
      <c r="J219" s="85">
        <v>0</v>
      </c>
      <c r="K219" s="82"/>
      <c r="L219" s="84"/>
      <c r="M219" s="85">
        <v>0</v>
      </c>
      <c r="N219" s="82"/>
      <c r="O219" s="82"/>
      <c r="P219" s="81">
        <v>0</v>
      </c>
      <c r="Q219" s="82"/>
      <c r="R219" s="83"/>
      <c r="S219" s="82">
        <v>0</v>
      </c>
      <c r="T219" s="82"/>
      <c r="U219" s="84"/>
      <c r="V219" s="85">
        <v>0</v>
      </c>
      <c r="W219" s="82"/>
      <c r="X219" s="84"/>
      <c r="Y219" s="85">
        <v>0</v>
      </c>
      <c r="Z219" s="82"/>
      <c r="AA219" s="84"/>
      <c r="AB219" s="85">
        <v>0</v>
      </c>
      <c r="AC219" s="82"/>
      <c r="AD219" s="84"/>
      <c r="AE219" s="85">
        <v>0</v>
      </c>
      <c r="AF219" s="82"/>
      <c r="AG219" s="84"/>
    </row>
    <row r="220" spans="1:33" ht="15.75" thickBot="1" x14ac:dyDescent="0.3">
      <c r="A220" s="68"/>
      <c r="B220" s="68"/>
      <c r="C220" s="107" t="s">
        <v>37</v>
      </c>
      <c r="D220" s="104"/>
      <c r="E220" s="86"/>
      <c r="F220" s="89"/>
      <c r="G220" s="86"/>
      <c r="H220" s="86"/>
      <c r="I220" s="89"/>
      <c r="J220" s="86"/>
      <c r="K220" s="86"/>
      <c r="L220" s="89"/>
      <c r="M220" s="86"/>
      <c r="N220" s="86"/>
      <c r="O220" s="89"/>
      <c r="P220" s="86"/>
      <c r="Q220" s="86"/>
      <c r="R220" s="89"/>
      <c r="S220" s="86"/>
      <c r="T220" s="86"/>
      <c r="U220" s="89"/>
      <c r="V220" s="86"/>
      <c r="W220" s="86"/>
      <c r="X220" s="89"/>
      <c r="Y220" s="86"/>
      <c r="Z220" s="86"/>
      <c r="AA220" s="89"/>
      <c r="AB220" s="86"/>
      <c r="AC220" s="86"/>
      <c r="AD220" s="89"/>
      <c r="AE220" s="86"/>
      <c r="AF220" s="86"/>
      <c r="AG220" s="89"/>
    </row>
    <row r="221" spans="1:33" ht="15.75" thickBot="1" x14ac:dyDescent="0.3">
      <c r="A221" s="68"/>
      <c r="B221" s="68"/>
      <c r="D221" s="87"/>
      <c r="E221" s="87"/>
      <c r="F221" s="90"/>
      <c r="G221" s="87"/>
      <c r="H221" s="87"/>
      <c r="I221" s="90"/>
      <c r="J221" s="87"/>
      <c r="K221" s="87"/>
      <c r="L221" s="90"/>
      <c r="M221" s="87"/>
      <c r="N221" s="87"/>
      <c r="O221" s="90"/>
      <c r="P221" s="87"/>
      <c r="Q221" s="87"/>
      <c r="R221" s="90"/>
      <c r="S221" s="87"/>
      <c r="T221" s="87"/>
      <c r="U221" s="90"/>
      <c r="V221" s="87"/>
      <c r="W221" s="87"/>
      <c r="X221" s="90"/>
      <c r="Y221" s="87"/>
      <c r="Z221" s="87"/>
      <c r="AA221" s="90"/>
      <c r="AB221" s="87"/>
      <c r="AC221" s="87"/>
      <c r="AD221" s="90"/>
      <c r="AE221" s="87"/>
      <c r="AF221" s="87"/>
      <c r="AG221" s="90"/>
    </row>
    <row r="222" spans="1:33" ht="15.75" thickBot="1" x14ac:dyDescent="0.3">
      <c r="A222" s="68"/>
      <c r="B222" s="68"/>
      <c r="D222" s="88"/>
      <c r="E222" s="88"/>
      <c r="F222" s="91"/>
      <c r="G222" s="88"/>
      <c r="H222" s="88"/>
      <c r="I222" s="91"/>
      <c r="J222" s="88"/>
      <c r="K222" s="88"/>
      <c r="L222" s="91"/>
      <c r="M222" s="88"/>
      <c r="N222" s="88"/>
      <c r="O222" s="91"/>
      <c r="P222" s="88"/>
      <c r="Q222" s="88"/>
      <c r="R222" s="91"/>
      <c r="S222" s="88"/>
      <c r="T222" s="88"/>
      <c r="U222" s="91"/>
      <c r="V222" s="88"/>
      <c r="W222" s="88"/>
      <c r="X222" s="91"/>
      <c r="Y222" s="88"/>
      <c r="Z222" s="88"/>
      <c r="AA222" s="91"/>
      <c r="AB222" s="88"/>
      <c r="AC222" s="88"/>
      <c r="AD222" s="91"/>
      <c r="AE222" s="88"/>
      <c r="AF222" s="88"/>
      <c r="AG222" s="91"/>
    </row>
    <row r="224" spans="1:33" ht="15.75" thickBot="1" x14ac:dyDescent="0.3"/>
    <row r="225" spans="1:33" ht="15.75" thickBot="1" x14ac:dyDescent="0.3">
      <c r="A225" s="68" t="s">
        <v>258</v>
      </c>
      <c r="B225" s="68"/>
      <c r="D225" s="52" t="s">
        <v>27</v>
      </c>
      <c r="E225" s="52"/>
      <c r="F225" s="52"/>
      <c r="G225" s="73" t="s">
        <v>28</v>
      </c>
      <c r="H225" s="73"/>
      <c r="I225" s="73"/>
      <c r="J225" s="52" t="s">
        <v>29</v>
      </c>
      <c r="K225" s="52"/>
      <c r="L225" s="52"/>
      <c r="M225" s="73" t="s">
        <v>30</v>
      </c>
      <c r="N225" s="73"/>
      <c r="O225" s="73"/>
      <c r="P225" s="52" t="s">
        <v>31</v>
      </c>
      <c r="Q225" s="52"/>
      <c r="R225" s="52"/>
      <c r="S225" s="73" t="s">
        <v>32</v>
      </c>
      <c r="T225" s="73"/>
      <c r="U225" s="73"/>
      <c r="V225" s="52" t="s">
        <v>33</v>
      </c>
      <c r="W225" s="52"/>
      <c r="X225" s="52"/>
      <c r="Y225" s="73" t="s">
        <v>34</v>
      </c>
      <c r="Z225" s="73"/>
      <c r="AA225" s="73"/>
      <c r="AB225" s="52" t="s">
        <v>35</v>
      </c>
      <c r="AC225" s="52"/>
      <c r="AD225" s="52"/>
      <c r="AE225" s="73" t="s">
        <v>36</v>
      </c>
      <c r="AF225" s="73"/>
      <c r="AG225" s="73"/>
    </row>
    <row r="226" spans="1:33" ht="15.75" thickBot="1" x14ac:dyDescent="0.3">
      <c r="A226" s="68"/>
      <c r="B226" s="68"/>
      <c r="C226" s="105" t="s">
        <v>243</v>
      </c>
      <c r="D226" s="75">
        <v>0</v>
      </c>
      <c r="E226" s="75"/>
      <c r="F226" s="76"/>
      <c r="G226" s="74">
        <v>0</v>
      </c>
      <c r="H226" s="75"/>
      <c r="I226" s="76"/>
      <c r="J226" s="74">
        <v>0</v>
      </c>
      <c r="K226" s="75"/>
      <c r="L226" s="76"/>
      <c r="M226" s="74">
        <v>0</v>
      </c>
      <c r="N226" s="75"/>
      <c r="O226" s="76"/>
      <c r="P226" s="74">
        <v>0</v>
      </c>
      <c r="Q226" s="75"/>
      <c r="R226" s="76"/>
      <c r="S226" s="74">
        <v>0</v>
      </c>
      <c r="T226" s="75"/>
      <c r="U226" s="76"/>
      <c r="V226" s="74">
        <v>0</v>
      </c>
      <c r="W226" s="75"/>
      <c r="X226" s="76"/>
      <c r="Y226" s="74">
        <v>0</v>
      </c>
      <c r="Z226" s="75"/>
      <c r="AA226" s="76"/>
      <c r="AB226" s="74">
        <v>0</v>
      </c>
      <c r="AC226" s="75"/>
      <c r="AD226" s="76"/>
      <c r="AE226" s="74">
        <v>0</v>
      </c>
      <c r="AF226" s="75"/>
      <c r="AG226" s="76"/>
    </row>
    <row r="227" spans="1:33" ht="15.75" thickBot="1" x14ac:dyDescent="0.3">
      <c r="A227" s="68"/>
      <c r="B227" s="68"/>
      <c r="C227" s="106" t="s">
        <v>244</v>
      </c>
      <c r="D227" s="82">
        <v>0</v>
      </c>
      <c r="E227" s="82"/>
      <c r="F227" s="84"/>
      <c r="G227" s="85">
        <v>0</v>
      </c>
      <c r="H227" s="82"/>
      <c r="I227" s="84"/>
      <c r="J227" s="85">
        <v>0</v>
      </c>
      <c r="K227" s="82"/>
      <c r="L227" s="84"/>
      <c r="M227" s="85">
        <v>0</v>
      </c>
      <c r="N227" s="82"/>
      <c r="O227" s="82"/>
      <c r="P227" s="81">
        <v>0</v>
      </c>
      <c r="Q227" s="82"/>
      <c r="R227" s="83"/>
      <c r="S227" s="82">
        <v>0</v>
      </c>
      <c r="T227" s="82"/>
      <c r="U227" s="84"/>
      <c r="V227" s="85">
        <v>0</v>
      </c>
      <c r="W227" s="82"/>
      <c r="X227" s="84"/>
      <c r="Y227" s="85">
        <v>0</v>
      </c>
      <c r="Z227" s="82"/>
      <c r="AA227" s="84"/>
      <c r="AB227" s="85">
        <v>0</v>
      </c>
      <c r="AC227" s="82"/>
      <c r="AD227" s="84"/>
      <c r="AE227" s="85">
        <v>0</v>
      </c>
      <c r="AF227" s="82"/>
      <c r="AG227" s="84"/>
    </row>
    <row r="228" spans="1:33" ht="15.75" thickBot="1" x14ac:dyDescent="0.3">
      <c r="A228" s="68"/>
      <c r="B228" s="68"/>
      <c r="C228" s="107" t="s">
        <v>37</v>
      </c>
      <c r="D228" s="104"/>
      <c r="E228" s="86"/>
      <c r="F228" s="89"/>
      <c r="G228" s="86"/>
      <c r="H228" s="86"/>
      <c r="I228" s="89"/>
      <c r="J228" s="86"/>
      <c r="K228" s="86"/>
      <c r="L228" s="89"/>
      <c r="M228" s="86"/>
      <c r="N228" s="86"/>
      <c r="O228" s="89"/>
      <c r="P228" s="86"/>
      <c r="Q228" s="86"/>
      <c r="R228" s="89"/>
      <c r="S228" s="86"/>
      <c r="T228" s="86"/>
      <c r="U228" s="89"/>
      <c r="V228" s="86"/>
      <c r="W228" s="86"/>
      <c r="X228" s="89"/>
      <c r="Y228" s="86"/>
      <c r="Z228" s="86"/>
      <c r="AA228" s="89"/>
      <c r="AB228" s="86"/>
      <c r="AC228" s="86"/>
      <c r="AD228" s="89"/>
      <c r="AE228" s="86"/>
      <c r="AF228" s="86"/>
      <c r="AG228" s="89"/>
    </row>
    <row r="229" spans="1:33" ht="15.75" thickBot="1" x14ac:dyDescent="0.3">
      <c r="A229" s="68"/>
      <c r="B229" s="68"/>
      <c r="D229" s="87"/>
      <c r="E229" s="87"/>
      <c r="F229" s="90"/>
      <c r="G229" s="87"/>
      <c r="H229" s="87"/>
      <c r="I229" s="90"/>
      <c r="J229" s="87"/>
      <c r="K229" s="87"/>
      <c r="L229" s="90"/>
      <c r="M229" s="87"/>
      <c r="N229" s="87"/>
      <c r="O229" s="90"/>
      <c r="P229" s="87"/>
      <c r="Q229" s="87"/>
      <c r="R229" s="90"/>
      <c r="S229" s="87"/>
      <c r="T229" s="87"/>
      <c r="U229" s="90"/>
      <c r="V229" s="87"/>
      <c r="W229" s="87"/>
      <c r="X229" s="90"/>
      <c r="Y229" s="87"/>
      <c r="Z229" s="87"/>
      <c r="AA229" s="90"/>
      <c r="AB229" s="87"/>
      <c r="AC229" s="87"/>
      <c r="AD229" s="90"/>
      <c r="AE229" s="87"/>
      <c r="AF229" s="87"/>
      <c r="AG229" s="90"/>
    </row>
    <row r="230" spans="1:33" ht="15.75" thickBot="1" x14ac:dyDescent="0.3">
      <c r="A230" s="68"/>
      <c r="B230" s="68"/>
      <c r="D230" s="88"/>
      <c r="E230" s="88"/>
      <c r="F230" s="91"/>
      <c r="G230" s="88"/>
      <c r="H230" s="88"/>
      <c r="I230" s="91"/>
      <c r="J230" s="88"/>
      <c r="K230" s="88"/>
      <c r="L230" s="91"/>
      <c r="M230" s="88"/>
      <c r="N230" s="88"/>
      <c r="O230" s="91"/>
      <c r="P230" s="88"/>
      <c r="Q230" s="88"/>
      <c r="R230" s="91"/>
      <c r="S230" s="88"/>
      <c r="T230" s="88"/>
      <c r="U230" s="91"/>
      <c r="V230" s="88"/>
      <c r="W230" s="88"/>
      <c r="X230" s="91"/>
      <c r="Y230" s="88"/>
      <c r="Z230" s="88"/>
      <c r="AA230" s="91"/>
      <c r="AB230" s="88"/>
      <c r="AC230" s="88"/>
      <c r="AD230" s="91"/>
      <c r="AE230" s="88"/>
      <c r="AF230" s="88"/>
      <c r="AG230" s="91"/>
    </row>
    <row r="232" spans="1:33" ht="15.75" thickBot="1" x14ac:dyDescent="0.3"/>
    <row r="233" spans="1:33" ht="15.75" thickBot="1" x14ac:dyDescent="0.3">
      <c r="A233" s="68" t="s">
        <v>259</v>
      </c>
      <c r="B233" s="68"/>
      <c r="D233" s="52" t="s">
        <v>27</v>
      </c>
      <c r="E233" s="52"/>
      <c r="F233" s="52"/>
      <c r="G233" s="73" t="s">
        <v>28</v>
      </c>
      <c r="H233" s="73"/>
      <c r="I233" s="73"/>
      <c r="J233" s="52" t="s">
        <v>29</v>
      </c>
      <c r="K233" s="52"/>
      <c r="L233" s="52"/>
      <c r="M233" s="73" t="s">
        <v>30</v>
      </c>
      <c r="N233" s="73"/>
      <c r="O233" s="73"/>
      <c r="P233" s="52" t="s">
        <v>31</v>
      </c>
      <c r="Q233" s="52"/>
      <c r="R233" s="52"/>
      <c r="S233" s="73" t="s">
        <v>32</v>
      </c>
      <c r="T233" s="73"/>
      <c r="U233" s="73"/>
      <c r="V233" s="52" t="s">
        <v>33</v>
      </c>
      <c r="W233" s="52"/>
      <c r="X233" s="52"/>
      <c r="Y233" s="73" t="s">
        <v>34</v>
      </c>
      <c r="Z233" s="73"/>
      <c r="AA233" s="73"/>
      <c r="AB233" s="52" t="s">
        <v>35</v>
      </c>
      <c r="AC233" s="52"/>
      <c r="AD233" s="52"/>
      <c r="AE233" s="73" t="s">
        <v>36</v>
      </c>
      <c r="AF233" s="73"/>
      <c r="AG233" s="73"/>
    </row>
    <row r="234" spans="1:33" ht="15.75" thickBot="1" x14ac:dyDescent="0.3">
      <c r="A234" s="68"/>
      <c r="B234" s="68"/>
      <c r="C234" s="105" t="s">
        <v>243</v>
      </c>
      <c r="D234" s="75">
        <v>0</v>
      </c>
      <c r="E234" s="75"/>
      <c r="F234" s="76"/>
      <c r="G234" s="74">
        <v>0</v>
      </c>
      <c r="H234" s="75"/>
      <c r="I234" s="76"/>
      <c r="J234" s="74">
        <v>0</v>
      </c>
      <c r="K234" s="75"/>
      <c r="L234" s="76"/>
      <c r="M234" s="74">
        <v>0</v>
      </c>
      <c r="N234" s="75"/>
      <c r="O234" s="76"/>
      <c r="P234" s="74">
        <v>0</v>
      </c>
      <c r="Q234" s="75"/>
      <c r="R234" s="76"/>
      <c r="S234" s="74">
        <v>0</v>
      </c>
      <c r="T234" s="75"/>
      <c r="U234" s="76"/>
      <c r="V234" s="74">
        <v>0</v>
      </c>
      <c r="W234" s="75"/>
      <c r="X234" s="76"/>
      <c r="Y234" s="74">
        <v>0</v>
      </c>
      <c r="Z234" s="75"/>
      <c r="AA234" s="76"/>
      <c r="AB234" s="74">
        <v>0</v>
      </c>
      <c r="AC234" s="75"/>
      <c r="AD234" s="76"/>
      <c r="AE234" s="74">
        <v>0</v>
      </c>
      <c r="AF234" s="75"/>
      <c r="AG234" s="76"/>
    </row>
    <row r="235" spans="1:33" ht="15.75" thickBot="1" x14ac:dyDescent="0.3">
      <c r="A235" s="68"/>
      <c r="B235" s="68"/>
      <c r="C235" s="106" t="s">
        <v>244</v>
      </c>
      <c r="D235" s="82">
        <v>0</v>
      </c>
      <c r="E235" s="82"/>
      <c r="F235" s="84"/>
      <c r="G235" s="85">
        <v>0</v>
      </c>
      <c r="H235" s="82"/>
      <c r="I235" s="84"/>
      <c r="J235" s="85">
        <v>0</v>
      </c>
      <c r="K235" s="82"/>
      <c r="L235" s="84"/>
      <c r="M235" s="85">
        <v>0</v>
      </c>
      <c r="N235" s="82"/>
      <c r="O235" s="82"/>
      <c r="P235" s="81">
        <v>0</v>
      </c>
      <c r="Q235" s="82"/>
      <c r="R235" s="83"/>
      <c r="S235" s="82">
        <v>0</v>
      </c>
      <c r="T235" s="82"/>
      <c r="U235" s="84"/>
      <c r="V235" s="85">
        <v>0</v>
      </c>
      <c r="W235" s="82"/>
      <c r="X235" s="84"/>
      <c r="Y235" s="85">
        <v>0</v>
      </c>
      <c r="Z235" s="82"/>
      <c r="AA235" s="84"/>
      <c r="AB235" s="85">
        <v>0</v>
      </c>
      <c r="AC235" s="82"/>
      <c r="AD235" s="84"/>
      <c r="AE235" s="85">
        <v>0</v>
      </c>
      <c r="AF235" s="82"/>
      <c r="AG235" s="84"/>
    </row>
    <row r="236" spans="1:33" ht="15.75" thickBot="1" x14ac:dyDescent="0.3">
      <c r="A236" s="68"/>
      <c r="B236" s="68"/>
      <c r="C236" s="107" t="s">
        <v>37</v>
      </c>
      <c r="D236" s="104"/>
      <c r="E236" s="86"/>
      <c r="F236" s="89"/>
      <c r="G236" s="86"/>
      <c r="H236" s="86"/>
      <c r="I236" s="89"/>
      <c r="J236" s="86"/>
      <c r="K236" s="86"/>
      <c r="L236" s="89"/>
      <c r="M236" s="86"/>
      <c r="N236" s="86"/>
      <c r="O236" s="89"/>
      <c r="P236" s="86"/>
      <c r="Q236" s="86"/>
      <c r="R236" s="89"/>
      <c r="S236" s="86"/>
      <c r="T236" s="86"/>
      <c r="U236" s="89"/>
      <c r="V236" s="86"/>
      <c r="W236" s="86"/>
      <c r="X236" s="89"/>
      <c r="Y236" s="86"/>
      <c r="Z236" s="86"/>
      <c r="AA236" s="89"/>
      <c r="AB236" s="86"/>
      <c r="AC236" s="86"/>
      <c r="AD236" s="89"/>
      <c r="AE236" s="86"/>
      <c r="AF236" s="86"/>
      <c r="AG236" s="89"/>
    </row>
    <row r="237" spans="1:33" ht="15.75" thickBot="1" x14ac:dyDescent="0.3">
      <c r="A237" s="68"/>
      <c r="B237" s="68"/>
      <c r="D237" s="87"/>
      <c r="E237" s="87"/>
      <c r="F237" s="90"/>
      <c r="G237" s="87"/>
      <c r="H237" s="87"/>
      <c r="I237" s="90"/>
      <c r="J237" s="87"/>
      <c r="K237" s="87"/>
      <c r="L237" s="90"/>
      <c r="M237" s="87"/>
      <c r="N237" s="87"/>
      <c r="O237" s="90"/>
      <c r="P237" s="87"/>
      <c r="Q237" s="87"/>
      <c r="R237" s="90"/>
      <c r="S237" s="87"/>
      <c r="T237" s="87"/>
      <c r="U237" s="90"/>
      <c r="V237" s="87"/>
      <c r="W237" s="87"/>
      <c r="X237" s="90"/>
      <c r="Y237" s="87"/>
      <c r="Z237" s="87"/>
      <c r="AA237" s="90"/>
      <c r="AB237" s="87"/>
      <c r="AC237" s="87"/>
      <c r="AD237" s="90"/>
      <c r="AE237" s="87"/>
      <c r="AF237" s="87"/>
      <c r="AG237" s="90"/>
    </row>
    <row r="238" spans="1:33" ht="15.75" thickBot="1" x14ac:dyDescent="0.3">
      <c r="A238" s="68"/>
      <c r="B238" s="68"/>
      <c r="D238" s="88"/>
      <c r="E238" s="88"/>
      <c r="F238" s="91"/>
      <c r="G238" s="88"/>
      <c r="H238" s="88"/>
      <c r="I238" s="91"/>
      <c r="J238" s="88"/>
      <c r="K238" s="88"/>
      <c r="L238" s="91"/>
      <c r="M238" s="88"/>
      <c r="N238" s="88"/>
      <c r="O238" s="91"/>
      <c r="P238" s="88"/>
      <c r="Q238" s="88"/>
      <c r="R238" s="91"/>
      <c r="S238" s="88"/>
      <c r="T238" s="88"/>
      <c r="U238" s="91"/>
      <c r="V238" s="88"/>
      <c r="W238" s="88"/>
      <c r="X238" s="91"/>
      <c r="Y238" s="88"/>
      <c r="Z238" s="88"/>
      <c r="AA238" s="91"/>
      <c r="AB238" s="88"/>
      <c r="AC238" s="88"/>
      <c r="AD238" s="91"/>
      <c r="AE238" s="88"/>
      <c r="AF238" s="88"/>
      <c r="AG238" s="91"/>
    </row>
    <row r="240" spans="1:33" ht="15.75" thickBot="1" x14ac:dyDescent="0.3"/>
    <row r="241" spans="1:33" ht="15.75" thickBot="1" x14ac:dyDescent="0.3">
      <c r="A241" s="68" t="s">
        <v>92</v>
      </c>
      <c r="B241" s="68"/>
      <c r="D241" s="52" t="s">
        <v>27</v>
      </c>
      <c r="E241" s="52"/>
      <c r="F241" s="52"/>
      <c r="G241" s="73" t="s">
        <v>28</v>
      </c>
      <c r="H241" s="73"/>
      <c r="I241" s="73"/>
      <c r="J241" s="52" t="s">
        <v>29</v>
      </c>
      <c r="K241" s="52"/>
      <c r="L241" s="52"/>
      <c r="M241" s="73" t="s">
        <v>30</v>
      </c>
      <c r="N241" s="73"/>
      <c r="O241" s="73"/>
      <c r="P241" s="52" t="s">
        <v>31</v>
      </c>
      <c r="Q241" s="52"/>
      <c r="R241" s="52"/>
      <c r="S241" s="73" t="s">
        <v>32</v>
      </c>
      <c r="T241" s="73"/>
      <c r="U241" s="73"/>
      <c r="V241" s="52" t="s">
        <v>33</v>
      </c>
      <c r="W241" s="52"/>
      <c r="X241" s="52"/>
      <c r="Y241" s="73" t="s">
        <v>34</v>
      </c>
      <c r="Z241" s="73"/>
      <c r="AA241" s="73"/>
      <c r="AB241" s="52" t="s">
        <v>35</v>
      </c>
      <c r="AC241" s="52"/>
      <c r="AD241" s="52"/>
      <c r="AE241" s="73" t="s">
        <v>36</v>
      </c>
      <c r="AF241" s="73"/>
      <c r="AG241" s="73"/>
    </row>
    <row r="242" spans="1:33" ht="15.75" thickBot="1" x14ac:dyDescent="0.3">
      <c r="A242" s="68"/>
      <c r="B242" s="68"/>
      <c r="C242" s="105" t="s">
        <v>243</v>
      </c>
      <c r="D242" s="75">
        <v>0</v>
      </c>
      <c r="E242" s="75"/>
      <c r="F242" s="76"/>
      <c r="G242" s="74">
        <v>0</v>
      </c>
      <c r="H242" s="75"/>
      <c r="I242" s="76"/>
      <c r="J242" s="74">
        <v>0</v>
      </c>
      <c r="K242" s="75"/>
      <c r="L242" s="76"/>
      <c r="M242" s="74">
        <v>0</v>
      </c>
      <c r="N242" s="75"/>
      <c r="O242" s="76"/>
      <c r="P242" s="74">
        <v>0</v>
      </c>
      <c r="Q242" s="75"/>
      <c r="R242" s="76"/>
      <c r="S242" s="74">
        <v>0</v>
      </c>
      <c r="T242" s="75"/>
      <c r="U242" s="76"/>
      <c r="V242" s="74">
        <v>0</v>
      </c>
      <c r="W242" s="75"/>
      <c r="X242" s="76"/>
      <c r="Y242" s="74">
        <v>0</v>
      </c>
      <c r="Z242" s="75"/>
      <c r="AA242" s="76"/>
      <c r="AB242" s="74">
        <v>0</v>
      </c>
      <c r="AC242" s="75"/>
      <c r="AD242" s="76"/>
      <c r="AE242" s="74">
        <v>0</v>
      </c>
      <c r="AF242" s="75"/>
      <c r="AG242" s="76"/>
    </row>
    <row r="243" spans="1:33" ht="15.75" thickBot="1" x14ac:dyDescent="0.3">
      <c r="A243" s="68"/>
      <c r="B243" s="68"/>
      <c r="C243" s="106" t="s">
        <v>244</v>
      </c>
      <c r="D243" s="82">
        <v>0</v>
      </c>
      <c r="E243" s="82"/>
      <c r="F243" s="84"/>
      <c r="G243" s="85">
        <v>0</v>
      </c>
      <c r="H243" s="82"/>
      <c r="I243" s="84"/>
      <c r="J243" s="85">
        <v>0</v>
      </c>
      <c r="K243" s="82"/>
      <c r="L243" s="84"/>
      <c r="M243" s="85">
        <v>0</v>
      </c>
      <c r="N243" s="82"/>
      <c r="O243" s="82"/>
      <c r="P243" s="81">
        <v>0</v>
      </c>
      <c r="Q243" s="82"/>
      <c r="R243" s="83"/>
      <c r="S243" s="82">
        <v>0</v>
      </c>
      <c r="T243" s="82"/>
      <c r="U243" s="84"/>
      <c r="V243" s="85">
        <v>0</v>
      </c>
      <c r="W243" s="82"/>
      <c r="X243" s="84"/>
      <c r="Y243" s="85">
        <v>0</v>
      </c>
      <c r="Z243" s="82"/>
      <c r="AA243" s="84"/>
      <c r="AB243" s="85">
        <v>0</v>
      </c>
      <c r="AC243" s="82"/>
      <c r="AD243" s="84"/>
      <c r="AE243" s="85">
        <v>0</v>
      </c>
      <c r="AF243" s="82"/>
      <c r="AG243" s="84"/>
    </row>
    <row r="244" spans="1:33" ht="15.75" thickBot="1" x14ac:dyDescent="0.3">
      <c r="A244" s="68"/>
      <c r="B244" s="68"/>
      <c r="C244" s="107" t="s">
        <v>37</v>
      </c>
      <c r="D244" s="104"/>
      <c r="E244" s="86"/>
      <c r="F244" s="89"/>
      <c r="G244" s="86"/>
      <c r="H244" s="86"/>
      <c r="I244" s="89"/>
      <c r="J244" s="86"/>
      <c r="K244" s="86"/>
      <c r="L244" s="89"/>
      <c r="M244" s="86"/>
      <c r="N244" s="86"/>
      <c r="O244" s="89"/>
      <c r="P244" s="86"/>
      <c r="Q244" s="86"/>
      <c r="R244" s="89"/>
      <c r="S244" s="86"/>
      <c r="T244" s="86"/>
      <c r="U244" s="89"/>
      <c r="V244" s="86"/>
      <c r="W244" s="86"/>
      <c r="X244" s="89"/>
      <c r="Y244" s="86"/>
      <c r="Z244" s="86"/>
      <c r="AA244" s="89"/>
      <c r="AB244" s="86"/>
      <c r="AC244" s="86"/>
      <c r="AD244" s="89"/>
      <c r="AE244" s="86"/>
      <c r="AF244" s="86"/>
      <c r="AG244" s="89"/>
    </row>
    <row r="245" spans="1:33" ht="15.75" thickBot="1" x14ac:dyDescent="0.3">
      <c r="A245" s="68"/>
      <c r="B245" s="68"/>
      <c r="D245" s="87"/>
      <c r="E245" s="87"/>
      <c r="F245" s="90"/>
      <c r="G245" s="87"/>
      <c r="H245" s="87"/>
      <c r="I245" s="90"/>
      <c r="J245" s="87"/>
      <c r="K245" s="87"/>
      <c r="L245" s="90"/>
      <c r="M245" s="87"/>
      <c r="N245" s="87"/>
      <c r="O245" s="90"/>
      <c r="P245" s="87"/>
      <c r="Q245" s="87"/>
      <c r="R245" s="90"/>
      <c r="S245" s="87"/>
      <c r="T245" s="87"/>
      <c r="U245" s="90"/>
      <c r="V245" s="87"/>
      <c r="W245" s="87"/>
      <c r="X245" s="90"/>
      <c r="Y245" s="87"/>
      <c r="Z245" s="87"/>
      <c r="AA245" s="90"/>
      <c r="AB245" s="87"/>
      <c r="AC245" s="87"/>
      <c r="AD245" s="90"/>
      <c r="AE245" s="87"/>
      <c r="AF245" s="87"/>
      <c r="AG245" s="90"/>
    </row>
    <row r="246" spans="1:33" ht="15.75" thickBot="1" x14ac:dyDescent="0.3">
      <c r="A246" s="68"/>
      <c r="B246" s="68"/>
      <c r="D246" s="88"/>
      <c r="E246" s="88"/>
      <c r="F246" s="91"/>
      <c r="G246" s="88"/>
      <c r="H246" s="88"/>
      <c r="I246" s="91"/>
      <c r="J246" s="88"/>
      <c r="K246" s="88"/>
      <c r="L246" s="91"/>
      <c r="M246" s="88"/>
      <c r="N246" s="88"/>
      <c r="O246" s="91"/>
      <c r="P246" s="88"/>
      <c r="Q246" s="88"/>
      <c r="R246" s="91"/>
      <c r="S246" s="88"/>
      <c r="T246" s="88"/>
      <c r="U246" s="91"/>
      <c r="V246" s="88"/>
      <c r="W246" s="88"/>
      <c r="X246" s="91"/>
      <c r="Y246" s="88"/>
      <c r="Z246" s="88"/>
      <c r="AA246" s="91"/>
      <c r="AB246" s="88"/>
      <c r="AC246" s="88"/>
      <c r="AD246" s="91"/>
      <c r="AE246" s="88"/>
      <c r="AF246" s="88"/>
      <c r="AG246" s="91"/>
    </row>
    <row r="248" spans="1:33" ht="15.75" thickBot="1" x14ac:dyDescent="0.3"/>
    <row r="249" spans="1:33" ht="15.75" thickBot="1" x14ac:dyDescent="0.3">
      <c r="A249" s="68" t="s">
        <v>260</v>
      </c>
      <c r="B249" s="68"/>
      <c r="D249" s="52" t="s">
        <v>27</v>
      </c>
      <c r="E249" s="52"/>
      <c r="F249" s="52"/>
      <c r="G249" s="73" t="s">
        <v>28</v>
      </c>
      <c r="H249" s="73"/>
      <c r="I249" s="73"/>
      <c r="J249" s="52" t="s">
        <v>29</v>
      </c>
      <c r="K249" s="52"/>
      <c r="L249" s="52"/>
      <c r="M249" s="73" t="s">
        <v>30</v>
      </c>
      <c r="N249" s="73"/>
      <c r="O249" s="73"/>
      <c r="P249" s="52" t="s">
        <v>31</v>
      </c>
      <c r="Q249" s="52"/>
      <c r="R249" s="52"/>
      <c r="S249" s="73" t="s">
        <v>32</v>
      </c>
      <c r="T249" s="73"/>
      <c r="U249" s="73"/>
      <c r="V249" s="52" t="s">
        <v>33</v>
      </c>
      <c r="W249" s="52"/>
      <c r="X249" s="52"/>
      <c r="Y249" s="73" t="s">
        <v>34</v>
      </c>
      <c r="Z249" s="73"/>
      <c r="AA249" s="73"/>
      <c r="AB249" s="52" t="s">
        <v>35</v>
      </c>
      <c r="AC249" s="52"/>
      <c r="AD249" s="52"/>
      <c r="AE249" s="73" t="s">
        <v>36</v>
      </c>
      <c r="AF249" s="73"/>
      <c r="AG249" s="73"/>
    </row>
    <row r="250" spans="1:33" ht="15.75" thickBot="1" x14ac:dyDescent="0.3">
      <c r="A250" s="68"/>
      <c r="B250" s="68"/>
      <c r="C250" s="105" t="s">
        <v>243</v>
      </c>
      <c r="D250" s="75">
        <v>0</v>
      </c>
      <c r="E250" s="75"/>
      <c r="F250" s="76"/>
      <c r="G250" s="74">
        <v>0</v>
      </c>
      <c r="H250" s="75"/>
      <c r="I250" s="76"/>
      <c r="J250" s="74">
        <v>0</v>
      </c>
      <c r="K250" s="75"/>
      <c r="L250" s="76"/>
      <c r="M250" s="74">
        <v>0</v>
      </c>
      <c r="N250" s="75"/>
      <c r="O250" s="76"/>
      <c r="P250" s="74">
        <v>0</v>
      </c>
      <c r="Q250" s="75"/>
      <c r="R250" s="76"/>
      <c r="S250" s="74">
        <v>0</v>
      </c>
      <c r="T250" s="75"/>
      <c r="U250" s="76"/>
      <c r="V250" s="74">
        <v>0</v>
      </c>
      <c r="W250" s="75"/>
      <c r="X250" s="76"/>
      <c r="Y250" s="74">
        <v>0</v>
      </c>
      <c r="Z250" s="75"/>
      <c r="AA250" s="76"/>
      <c r="AB250" s="74">
        <v>0</v>
      </c>
      <c r="AC250" s="75"/>
      <c r="AD250" s="76"/>
      <c r="AE250" s="74">
        <v>0</v>
      </c>
      <c r="AF250" s="75"/>
      <c r="AG250" s="76"/>
    </row>
    <row r="251" spans="1:33" ht="15.75" thickBot="1" x14ac:dyDescent="0.3">
      <c r="A251" s="68"/>
      <c r="B251" s="68"/>
      <c r="C251" s="106" t="s">
        <v>244</v>
      </c>
      <c r="D251" s="82">
        <v>0</v>
      </c>
      <c r="E251" s="82"/>
      <c r="F251" s="84"/>
      <c r="G251" s="85">
        <v>0</v>
      </c>
      <c r="H251" s="82"/>
      <c r="I251" s="84"/>
      <c r="J251" s="85">
        <v>0</v>
      </c>
      <c r="K251" s="82"/>
      <c r="L251" s="84"/>
      <c r="M251" s="85">
        <v>0</v>
      </c>
      <c r="N251" s="82"/>
      <c r="O251" s="82"/>
      <c r="P251" s="81">
        <v>0</v>
      </c>
      <c r="Q251" s="82"/>
      <c r="R251" s="83"/>
      <c r="S251" s="82">
        <v>0</v>
      </c>
      <c r="T251" s="82"/>
      <c r="U251" s="84"/>
      <c r="V251" s="85">
        <v>0</v>
      </c>
      <c r="W251" s="82"/>
      <c r="X251" s="84"/>
      <c r="Y251" s="85">
        <v>0</v>
      </c>
      <c r="Z251" s="82"/>
      <c r="AA251" s="84"/>
      <c r="AB251" s="85">
        <v>0</v>
      </c>
      <c r="AC251" s="82"/>
      <c r="AD251" s="84"/>
      <c r="AE251" s="85">
        <v>0</v>
      </c>
      <c r="AF251" s="82"/>
      <c r="AG251" s="84"/>
    </row>
    <row r="252" spans="1:33" ht="15.75" thickBot="1" x14ac:dyDescent="0.3">
      <c r="A252" s="68"/>
      <c r="B252" s="68"/>
      <c r="C252" s="107" t="s">
        <v>37</v>
      </c>
      <c r="D252" s="104"/>
      <c r="E252" s="86"/>
      <c r="F252" s="89"/>
      <c r="G252" s="86"/>
      <c r="H252" s="86"/>
      <c r="I252" s="89"/>
      <c r="J252" s="86"/>
      <c r="K252" s="86"/>
      <c r="L252" s="89"/>
      <c r="M252" s="86"/>
      <c r="N252" s="86"/>
      <c r="O252" s="89"/>
      <c r="P252" s="86"/>
      <c r="Q252" s="86"/>
      <c r="R252" s="89"/>
      <c r="S252" s="86"/>
      <c r="T252" s="86"/>
      <c r="U252" s="89"/>
      <c r="V252" s="86"/>
      <c r="W252" s="86"/>
      <c r="X252" s="89"/>
      <c r="Y252" s="86"/>
      <c r="Z252" s="86"/>
      <c r="AA252" s="89"/>
      <c r="AB252" s="86"/>
      <c r="AC252" s="86"/>
      <c r="AD252" s="89"/>
      <c r="AE252" s="86"/>
      <c r="AF252" s="86"/>
      <c r="AG252" s="89"/>
    </row>
    <row r="253" spans="1:33" ht="15.75" thickBot="1" x14ac:dyDescent="0.3">
      <c r="A253" s="68"/>
      <c r="B253" s="68"/>
      <c r="D253" s="87"/>
      <c r="E253" s="87"/>
      <c r="F253" s="90"/>
      <c r="G253" s="87"/>
      <c r="H253" s="87"/>
      <c r="I253" s="90"/>
      <c r="J253" s="87"/>
      <c r="K253" s="87"/>
      <c r="L253" s="90"/>
      <c r="M253" s="87"/>
      <c r="N253" s="87"/>
      <c r="O253" s="90"/>
      <c r="P253" s="87"/>
      <c r="Q253" s="87"/>
      <c r="R253" s="90"/>
      <c r="S253" s="87"/>
      <c r="T253" s="87"/>
      <c r="U253" s="90"/>
      <c r="V253" s="87"/>
      <c r="W253" s="87"/>
      <c r="X253" s="90"/>
      <c r="Y253" s="87"/>
      <c r="Z253" s="87"/>
      <c r="AA253" s="90"/>
      <c r="AB253" s="87"/>
      <c r="AC253" s="87"/>
      <c r="AD253" s="90"/>
      <c r="AE253" s="87"/>
      <c r="AF253" s="87"/>
      <c r="AG253" s="90"/>
    </row>
    <row r="254" spans="1:33" ht="15.75" thickBot="1" x14ac:dyDescent="0.3">
      <c r="A254" s="68"/>
      <c r="B254" s="68"/>
      <c r="D254" s="88"/>
      <c r="E254" s="88"/>
      <c r="F254" s="91"/>
      <c r="G254" s="88"/>
      <c r="H254" s="88"/>
      <c r="I254" s="91"/>
      <c r="J254" s="88"/>
      <c r="K254" s="88"/>
      <c r="L254" s="91"/>
      <c r="M254" s="88"/>
      <c r="N254" s="88"/>
      <c r="O254" s="91"/>
      <c r="P254" s="88"/>
      <c r="Q254" s="88"/>
      <c r="R254" s="91"/>
      <c r="S254" s="88"/>
      <c r="T254" s="88"/>
      <c r="U254" s="91"/>
      <c r="V254" s="88"/>
      <c r="W254" s="88"/>
      <c r="X254" s="91"/>
      <c r="Y254" s="88"/>
      <c r="Z254" s="88"/>
      <c r="AA254" s="91"/>
      <c r="AB254" s="88"/>
      <c r="AC254" s="88"/>
      <c r="AD254" s="91"/>
      <c r="AE254" s="88"/>
      <c r="AF254" s="88"/>
      <c r="AG254" s="91"/>
    </row>
    <row r="256" spans="1:33" ht="15.75" thickBot="1" x14ac:dyDescent="0.3"/>
    <row r="257" spans="1:33" ht="15.75" thickBot="1" x14ac:dyDescent="0.3">
      <c r="A257" s="68" t="s">
        <v>93</v>
      </c>
      <c r="B257" s="68"/>
      <c r="D257" s="52" t="s">
        <v>27</v>
      </c>
      <c r="E257" s="52"/>
      <c r="F257" s="52"/>
      <c r="G257" s="73" t="s">
        <v>28</v>
      </c>
      <c r="H257" s="73"/>
      <c r="I257" s="73"/>
      <c r="J257" s="52" t="s">
        <v>29</v>
      </c>
      <c r="K257" s="52"/>
      <c r="L257" s="52"/>
      <c r="M257" s="73" t="s">
        <v>30</v>
      </c>
      <c r="N257" s="73"/>
      <c r="O257" s="73"/>
      <c r="P257" s="52" t="s">
        <v>31</v>
      </c>
      <c r="Q257" s="52"/>
      <c r="R257" s="52"/>
      <c r="S257" s="73" t="s">
        <v>32</v>
      </c>
      <c r="T257" s="73"/>
      <c r="U257" s="73"/>
      <c r="V257" s="52" t="s">
        <v>33</v>
      </c>
      <c r="W257" s="52"/>
      <c r="X257" s="52"/>
      <c r="Y257" s="73" t="s">
        <v>34</v>
      </c>
      <c r="Z257" s="73"/>
      <c r="AA257" s="73"/>
      <c r="AB257" s="52" t="s">
        <v>35</v>
      </c>
      <c r="AC257" s="52"/>
      <c r="AD257" s="52"/>
      <c r="AE257" s="73" t="s">
        <v>36</v>
      </c>
      <c r="AF257" s="73"/>
      <c r="AG257" s="73"/>
    </row>
    <row r="258" spans="1:33" ht="15.75" thickBot="1" x14ac:dyDescent="0.3">
      <c r="A258" s="68"/>
      <c r="B258" s="68"/>
      <c r="C258" s="105" t="s">
        <v>243</v>
      </c>
      <c r="D258" s="75">
        <v>0</v>
      </c>
      <c r="E258" s="75"/>
      <c r="F258" s="76"/>
      <c r="G258" s="74">
        <v>0</v>
      </c>
      <c r="H258" s="75"/>
      <c r="I258" s="76"/>
      <c r="J258" s="74">
        <v>0</v>
      </c>
      <c r="K258" s="75"/>
      <c r="L258" s="76"/>
      <c r="M258" s="74">
        <v>0</v>
      </c>
      <c r="N258" s="75"/>
      <c r="O258" s="76"/>
      <c r="P258" s="74">
        <v>0</v>
      </c>
      <c r="Q258" s="75"/>
      <c r="R258" s="76"/>
      <c r="S258" s="74">
        <v>0</v>
      </c>
      <c r="T258" s="75"/>
      <c r="U258" s="76"/>
      <c r="V258" s="74">
        <v>0</v>
      </c>
      <c r="W258" s="75"/>
      <c r="X258" s="76"/>
      <c r="Y258" s="74">
        <v>0</v>
      </c>
      <c r="Z258" s="75"/>
      <c r="AA258" s="76"/>
      <c r="AB258" s="74">
        <v>0</v>
      </c>
      <c r="AC258" s="75"/>
      <c r="AD258" s="76"/>
      <c r="AE258" s="74">
        <v>0</v>
      </c>
      <c r="AF258" s="75"/>
      <c r="AG258" s="76"/>
    </row>
    <row r="259" spans="1:33" ht="15.75" thickBot="1" x14ac:dyDescent="0.3">
      <c r="A259" s="68"/>
      <c r="B259" s="68"/>
      <c r="C259" s="106" t="s">
        <v>244</v>
      </c>
      <c r="D259" s="82">
        <v>0</v>
      </c>
      <c r="E259" s="82"/>
      <c r="F259" s="84"/>
      <c r="G259" s="85">
        <v>0</v>
      </c>
      <c r="H259" s="82"/>
      <c r="I259" s="84"/>
      <c r="J259" s="85">
        <v>0</v>
      </c>
      <c r="K259" s="82"/>
      <c r="L259" s="84"/>
      <c r="M259" s="85">
        <v>0</v>
      </c>
      <c r="N259" s="82"/>
      <c r="O259" s="82"/>
      <c r="P259" s="81">
        <v>0</v>
      </c>
      <c r="Q259" s="82"/>
      <c r="R259" s="83"/>
      <c r="S259" s="82">
        <v>0</v>
      </c>
      <c r="T259" s="82"/>
      <c r="U259" s="84"/>
      <c r="V259" s="85">
        <v>0</v>
      </c>
      <c r="W259" s="82"/>
      <c r="X259" s="84"/>
      <c r="Y259" s="85">
        <v>0</v>
      </c>
      <c r="Z259" s="82"/>
      <c r="AA259" s="84"/>
      <c r="AB259" s="85">
        <v>0</v>
      </c>
      <c r="AC259" s="82"/>
      <c r="AD259" s="84"/>
      <c r="AE259" s="85">
        <v>0</v>
      </c>
      <c r="AF259" s="82"/>
      <c r="AG259" s="84"/>
    </row>
    <row r="260" spans="1:33" ht="15.75" thickBot="1" x14ac:dyDescent="0.3">
      <c r="A260" s="68"/>
      <c r="B260" s="68"/>
      <c r="C260" s="107" t="s">
        <v>37</v>
      </c>
      <c r="D260" s="104"/>
      <c r="E260" s="86"/>
      <c r="F260" s="89"/>
      <c r="G260" s="86"/>
      <c r="H260" s="86"/>
      <c r="I260" s="89"/>
      <c r="J260" s="86"/>
      <c r="K260" s="86"/>
      <c r="L260" s="89"/>
      <c r="M260" s="86"/>
      <c r="N260" s="86"/>
      <c r="O260" s="89"/>
      <c r="P260" s="86"/>
      <c r="Q260" s="86"/>
      <c r="R260" s="89"/>
      <c r="S260" s="86"/>
      <c r="T260" s="86"/>
      <c r="U260" s="89"/>
      <c r="V260" s="86"/>
      <c r="W260" s="86"/>
      <c r="X260" s="89"/>
      <c r="Y260" s="86"/>
      <c r="Z260" s="86"/>
      <c r="AA260" s="89"/>
      <c r="AB260" s="86"/>
      <c r="AC260" s="86"/>
      <c r="AD260" s="89"/>
      <c r="AE260" s="86"/>
      <c r="AF260" s="86"/>
      <c r="AG260" s="89"/>
    </row>
    <row r="261" spans="1:33" ht="15.75" thickBot="1" x14ac:dyDescent="0.3">
      <c r="A261" s="68"/>
      <c r="B261" s="68"/>
      <c r="D261" s="87"/>
      <c r="E261" s="87"/>
      <c r="F261" s="90"/>
      <c r="G261" s="87"/>
      <c r="H261" s="87"/>
      <c r="I261" s="90"/>
      <c r="J261" s="87"/>
      <c r="K261" s="87"/>
      <c r="L261" s="90"/>
      <c r="M261" s="87"/>
      <c r="N261" s="87"/>
      <c r="O261" s="90"/>
      <c r="P261" s="87"/>
      <c r="Q261" s="87"/>
      <c r="R261" s="90"/>
      <c r="S261" s="87"/>
      <c r="T261" s="87"/>
      <c r="U261" s="90"/>
      <c r="V261" s="87"/>
      <c r="W261" s="87"/>
      <c r="X261" s="90"/>
      <c r="Y261" s="87"/>
      <c r="Z261" s="87"/>
      <c r="AA261" s="90"/>
      <c r="AB261" s="87"/>
      <c r="AC261" s="87"/>
      <c r="AD261" s="90"/>
      <c r="AE261" s="87"/>
      <c r="AF261" s="87"/>
      <c r="AG261" s="90"/>
    </row>
    <row r="262" spans="1:33" ht="15.75" thickBot="1" x14ac:dyDescent="0.3">
      <c r="A262" s="68"/>
      <c r="B262" s="68"/>
      <c r="D262" s="88"/>
      <c r="E262" s="88"/>
      <c r="F262" s="91"/>
      <c r="G262" s="88"/>
      <c r="H262" s="88"/>
      <c r="I262" s="91"/>
      <c r="J262" s="88"/>
      <c r="K262" s="88"/>
      <c r="L262" s="91"/>
      <c r="M262" s="88"/>
      <c r="N262" s="88"/>
      <c r="O262" s="91"/>
      <c r="P262" s="88"/>
      <c r="Q262" s="88"/>
      <c r="R262" s="91"/>
      <c r="S262" s="88"/>
      <c r="T262" s="88"/>
      <c r="U262" s="91"/>
      <c r="V262" s="88"/>
      <c r="W262" s="88"/>
      <c r="X262" s="91"/>
      <c r="Y262" s="88"/>
      <c r="Z262" s="88"/>
      <c r="AA262" s="91"/>
      <c r="AB262" s="88"/>
      <c r="AC262" s="88"/>
      <c r="AD262" s="91"/>
      <c r="AE262" s="88"/>
      <c r="AF262" s="88"/>
      <c r="AG262" s="91"/>
    </row>
    <row r="264" spans="1:33" ht="15.75" thickBot="1" x14ac:dyDescent="0.3"/>
    <row r="265" spans="1:33" ht="15.75" thickBot="1" x14ac:dyDescent="0.3">
      <c r="A265" s="68" t="s">
        <v>94</v>
      </c>
      <c r="B265" s="68"/>
      <c r="D265" s="52" t="s">
        <v>27</v>
      </c>
      <c r="E265" s="52"/>
      <c r="F265" s="52"/>
      <c r="G265" s="73" t="s">
        <v>28</v>
      </c>
      <c r="H265" s="73"/>
      <c r="I265" s="73"/>
      <c r="J265" s="52" t="s">
        <v>29</v>
      </c>
      <c r="K265" s="52"/>
      <c r="L265" s="52"/>
      <c r="M265" s="73" t="s">
        <v>30</v>
      </c>
      <c r="N265" s="73"/>
      <c r="O265" s="73"/>
      <c r="P265" s="52" t="s">
        <v>31</v>
      </c>
      <c r="Q265" s="52"/>
      <c r="R265" s="52"/>
      <c r="S265" s="73" t="s">
        <v>32</v>
      </c>
      <c r="T265" s="73"/>
      <c r="U265" s="73"/>
      <c r="V265" s="52" t="s">
        <v>33</v>
      </c>
      <c r="W265" s="52"/>
      <c r="X265" s="52"/>
      <c r="Y265" s="73" t="s">
        <v>34</v>
      </c>
      <c r="Z265" s="73"/>
      <c r="AA265" s="73"/>
      <c r="AB265" s="52" t="s">
        <v>35</v>
      </c>
      <c r="AC265" s="52"/>
      <c r="AD265" s="52"/>
      <c r="AE265" s="73" t="s">
        <v>36</v>
      </c>
      <c r="AF265" s="73"/>
      <c r="AG265" s="73"/>
    </row>
    <row r="266" spans="1:33" ht="15.75" thickBot="1" x14ac:dyDescent="0.3">
      <c r="A266" s="68"/>
      <c r="B266" s="68"/>
      <c r="C266" s="105" t="s">
        <v>243</v>
      </c>
      <c r="D266" s="75">
        <v>0</v>
      </c>
      <c r="E266" s="75"/>
      <c r="F266" s="76"/>
      <c r="G266" s="74">
        <v>0</v>
      </c>
      <c r="H266" s="75"/>
      <c r="I266" s="76"/>
      <c r="J266" s="74">
        <v>0</v>
      </c>
      <c r="K266" s="75"/>
      <c r="L266" s="76"/>
      <c r="M266" s="74">
        <v>0</v>
      </c>
      <c r="N266" s="75"/>
      <c r="O266" s="76"/>
      <c r="P266" s="74">
        <v>0</v>
      </c>
      <c r="Q266" s="75"/>
      <c r="R266" s="76"/>
      <c r="S266" s="74">
        <v>0</v>
      </c>
      <c r="T266" s="75"/>
      <c r="U266" s="76"/>
      <c r="V266" s="74">
        <v>0</v>
      </c>
      <c r="W266" s="75"/>
      <c r="X266" s="76"/>
      <c r="Y266" s="74">
        <v>0</v>
      </c>
      <c r="Z266" s="75"/>
      <c r="AA266" s="76"/>
      <c r="AB266" s="74">
        <v>0</v>
      </c>
      <c r="AC266" s="75"/>
      <c r="AD266" s="76"/>
      <c r="AE266" s="74">
        <v>0</v>
      </c>
      <c r="AF266" s="75"/>
      <c r="AG266" s="76"/>
    </row>
    <row r="267" spans="1:33" ht="15.75" thickBot="1" x14ac:dyDescent="0.3">
      <c r="A267" s="68"/>
      <c r="B267" s="68"/>
      <c r="C267" s="106" t="s">
        <v>244</v>
      </c>
      <c r="D267" s="82">
        <v>0</v>
      </c>
      <c r="E267" s="82"/>
      <c r="F267" s="84"/>
      <c r="G267" s="85">
        <v>0</v>
      </c>
      <c r="H267" s="82"/>
      <c r="I267" s="84"/>
      <c r="J267" s="85">
        <v>0</v>
      </c>
      <c r="K267" s="82"/>
      <c r="L267" s="84"/>
      <c r="M267" s="85">
        <v>0</v>
      </c>
      <c r="N267" s="82"/>
      <c r="O267" s="82"/>
      <c r="P267" s="81">
        <v>0</v>
      </c>
      <c r="Q267" s="82"/>
      <c r="R267" s="83"/>
      <c r="S267" s="82">
        <v>0</v>
      </c>
      <c r="T267" s="82"/>
      <c r="U267" s="84"/>
      <c r="V267" s="85">
        <v>0</v>
      </c>
      <c r="W267" s="82"/>
      <c r="X267" s="84"/>
      <c r="Y267" s="85">
        <v>0</v>
      </c>
      <c r="Z267" s="82"/>
      <c r="AA267" s="84"/>
      <c r="AB267" s="85">
        <v>0</v>
      </c>
      <c r="AC267" s="82"/>
      <c r="AD267" s="84"/>
      <c r="AE267" s="85">
        <v>0</v>
      </c>
      <c r="AF267" s="82"/>
      <c r="AG267" s="84"/>
    </row>
    <row r="268" spans="1:33" ht="15.75" thickBot="1" x14ac:dyDescent="0.3">
      <c r="A268" s="68"/>
      <c r="B268" s="68"/>
      <c r="C268" s="107" t="s">
        <v>37</v>
      </c>
      <c r="D268" s="104"/>
      <c r="E268" s="86"/>
      <c r="F268" s="89"/>
      <c r="G268" s="86"/>
      <c r="H268" s="86"/>
      <c r="I268" s="89"/>
      <c r="J268" s="86"/>
      <c r="K268" s="86"/>
      <c r="L268" s="89"/>
      <c r="M268" s="86"/>
      <c r="N268" s="86"/>
      <c r="O268" s="89"/>
      <c r="P268" s="86"/>
      <c r="Q268" s="86"/>
      <c r="R268" s="89"/>
      <c r="S268" s="86"/>
      <c r="T268" s="86"/>
      <c r="U268" s="89"/>
      <c r="V268" s="86"/>
      <c r="W268" s="86"/>
      <c r="X268" s="89"/>
      <c r="Y268" s="86"/>
      <c r="Z268" s="86"/>
      <c r="AA268" s="89"/>
      <c r="AB268" s="86"/>
      <c r="AC268" s="86"/>
      <c r="AD268" s="89"/>
      <c r="AE268" s="86"/>
      <c r="AF268" s="86"/>
      <c r="AG268" s="89"/>
    </row>
    <row r="269" spans="1:33" ht="15.75" thickBot="1" x14ac:dyDescent="0.3">
      <c r="A269" s="68"/>
      <c r="B269" s="68"/>
      <c r="D269" s="87"/>
      <c r="E269" s="87"/>
      <c r="F269" s="90"/>
      <c r="G269" s="87"/>
      <c r="H269" s="87"/>
      <c r="I269" s="90"/>
      <c r="J269" s="87"/>
      <c r="K269" s="87"/>
      <c r="L269" s="90"/>
      <c r="M269" s="87"/>
      <c r="N269" s="87"/>
      <c r="O269" s="90"/>
      <c r="P269" s="87"/>
      <c r="Q269" s="87"/>
      <c r="R269" s="90"/>
      <c r="S269" s="87"/>
      <c r="T269" s="87"/>
      <c r="U269" s="90"/>
      <c r="V269" s="87"/>
      <c r="W269" s="87"/>
      <c r="X269" s="90"/>
      <c r="Y269" s="87"/>
      <c r="Z269" s="87"/>
      <c r="AA269" s="90"/>
      <c r="AB269" s="87"/>
      <c r="AC269" s="87"/>
      <c r="AD269" s="90"/>
      <c r="AE269" s="87"/>
      <c r="AF269" s="87"/>
      <c r="AG269" s="90"/>
    </row>
    <row r="270" spans="1:33" ht="15.75" thickBot="1" x14ac:dyDescent="0.3">
      <c r="A270" s="68"/>
      <c r="B270" s="68"/>
      <c r="D270" s="88"/>
      <c r="E270" s="88"/>
      <c r="F270" s="91"/>
      <c r="G270" s="88"/>
      <c r="H270" s="88"/>
      <c r="I270" s="91"/>
      <c r="J270" s="88"/>
      <c r="K270" s="88"/>
      <c r="L270" s="91"/>
      <c r="M270" s="88"/>
      <c r="N270" s="88"/>
      <c r="O270" s="91"/>
      <c r="P270" s="88"/>
      <c r="Q270" s="88"/>
      <c r="R270" s="91"/>
      <c r="S270" s="88"/>
      <c r="T270" s="88"/>
      <c r="U270" s="91"/>
      <c r="V270" s="88"/>
      <c r="W270" s="88"/>
      <c r="X270" s="91"/>
      <c r="Y270" s="88"/>
      <c r="Z270" s="88"/>
      <c r="AA270" s="91"/>
      <c r="AB270" s="88"/>
      <c r="AC270" s="88"/>
      <c r="AD270" s="91"/>
      <c r="AE270" s="88"/>
      <c r="AF270" s="88"/>
      <c r="AG270" s="91"/>
    </row>
    <row r="272" spans="1:33" ht="15.75" thickBot="1" x14ac:dyDescent="0.3"/>
    <row r="273" spans="1:33" ht="15.75" thickBot="1" x14ac:dyDescent="0.3">
      <c r="A273" s="68" t="s">
        <v>95</v>
      </c>
      <c r="B273" s="68"/>
      <c r="D273" s="52" t="s">
        <v>27</v>
      </c>
      <c r="E273" s="52"/>
      <c r="F273" s="52"/>
      <c r="G273" s="73" t="s">
        <v>28</v>
      </c>
      <c r="H273" s="73"/>
      <c r="I273" s="73"/>
      <c r="J273" s="52" t="s">
        <v>29</v>
      </c>
      <c r="K273" s="52"/>
      <c r="L273" s="52"/>
      <c r="M273" s="73" t="s">
        <v>30</v>
      </c>
      <c r="N273" s="73"/>
      <c r="O273" s="73"/>
      <c r="P273" s="52" t="s">
        <v>31</v>
      </c>
      <c r="Q273" s="52"/>
      <c r="R273" s="52"/>
      <c r="S273" s="73" t="s">
        <v>32</v>
      </c>
      <c r="T273" s="73"/>
      <c r="U273" s="73"/>
      <c r="V273" s="52" t="s">
        <v>33</v>
      </c>
      <c r="W273" s="52"/>
      <c r="X273" s="52"/>
      <c r="Y273" s="73" t="s">
        <v>34</v>
      </c>
      <c r="Z273" s="73"/>
      <c r="AA273" s="73"/>
      <c r="AB273" s="52" t="s">
        <v>35</v>
      </c>
      <c r="AC273" s="52"/>
      <c r="AD273" s="52"/>
      <c r="AE273" s="73" t="s">
        <v>36</v>
      </c>
      <c r="AF273" s="73"/>
      <c r="AG273" s="73"/>
    </row>
    <row r="274" spans="1:33" ht="15.75" thickBot="1" x14ac:dyDescent="0.3">
      <c r="A274" s="68"/>
      <c r="B274" s="68"/>
      <c r="C274" s="105" t="s">
        <v>243</v>
      </c>
      <c r="D274" s="75">
        <v>0</v>
      </c>
      <c r="E274" s="75"/>
      <c r="F274" s="76"/>
      <c r="G274" s="74">
        <v>0</v>
      </c>
      <c r="H274" s="75"/>
      <c r="I274" s="76"/>
      <c r="J274" s="74">
        <v>0</v>
      </c>
      <c r="K274" s="75"/>
      <c r="L274" s="76"/>
      <c r="M274" s="74">
        <v>0</v>
      </c>
      <c r="N274" s="75"/>
      <c r="O274" s="76"/>
      <c r="P274" s="74">
        <v>0</v>
      </c>
      <c r="Q274" s="75"/>
      <c r="R274" s="76"/>
      <c r="S274" s="74">
        <v>0</v>
      </c>
      <c r="T274" s="75"/>
      <c r="U274" s="76"/>
      <c r="V274" s="74">
        <v>0</v>
      </c>
      <c r="W274" s="75"/>
      <c r="X274" s="76"/>
      <c r="Y274" s="74">
        <v>0</v>
      </c>
      <c r="Z274" s="75"/>
      <c r="AA274" s="76"/>
      <c r="AB274" s="74">
        <v>0</v>
      </c>
      <c r="AC274" s="75"/>
      <c r="AD274" s="76"/>
      <c r="AE274" s="74">
        <v>0</v>
      </c>
      <c r="AF274" s="75"/>
      <c r="AG274" s="76"/>
    </row>
    <row r="275" spans="1:33" ht="15.75" thickBot="1" x14ac:dyDescent="0.3">
      <c r="A275" s="68"/>
      <c r="B275" s="68"/>
      <c r="C275" s="106" t="s">
        <v>244</v>
      </c>
      <c r="D275" s="82">
        <v>0</v>
      </c>
      <c r="E275" s="82"/>
      <c r="F275" s="84"/>
      <c r="G275" s="85">
        <v>0</v>
      </c>
      <c r="H275" s="82"/>
      <c r="I275" s="84"/>
      <c r="J275" s="85">
        <v>0</v>
      </c>
      <c r="K275" s="82"/>
      <c r="L275" s="84"/>
      <c r="M275" s="85">
        <v>0</v>
      </c>
      <c r="N275" s="82"/>
      <c r="O275" s="82"/>
      <c r="P275" s="81">
        <v>0</v>
      </c>
      <c r="Q275" s="82"/>
      <c r="R275" s="83"/>
      <c r="S275" s="82">
        <v>0</v>
      </c>
      <c r="T275" s="82"/>
      <c r="U275" s="84"/>
      <c r="V275" s="85">
        <v>0</v>
      </c>
      <c r="W275" s="82"/>
      <c r="X275" s="84"/>
      <c r="Y275" s="85">
        <v>0</v>
      </c>
      <c r="Z275" s="82"/>
      <c r="AA275" s="84"/>
      <c r="AB275" s="85">
        <v>0</v>
      </c>
      <c r="AC275" s="82"/>
      <c r="AD275" s="84"/>
      <c r="AE275" s="85">
        <v>0</v>
      </c>
      <c r="AF275" s="82"/>
      <c r="AG275" s="84"/>
    </row>
    <row r="276" spans="1:33" ht="15.75" thickBot="1" x14ac:dyDescent="0.3">
      <c r="A276" s="68"/>
      <c r="B276" s="68"/>
      <c r="C276" s="107" t="s">
        <v>37</v>
      </c>
      <c r="D276" s="104"/>
      <c r="E276" s="86"/>
      <c r="F276" s="89"/>
      <c r="G276" s="86"/>
      <c r="H276" s="86"/>
      <c r="I276" s="89"/>
      <c r="J276" s="86"/>
      <c r="K276" s="86"/>
      <c r="L276" s="89"/>
      <c r="M276" s="86"/>
      <c r="N276" s="86"/>
      <c r="O276" s="89"/>
      <c r="P276" s="86"/>
      <c r="Q276" s="86"/>
      <c r="R276" s="89"/>
      <c r="S276" s="86"/>
      <c r="T276" s="86"/>
      <c r="U276" s="89"/>
      <c r="V276" s="86"/>
      <c r="W276" s="86"/>
      <c r="X276" s="89"/>
      <c r="Y276" s="86"/>
      <c r="Z276" s="86"/>
      <c r="AA276" s="89"/>
      <c r="AB276" s="86"/>
      <c r="AC276" s="86"/>
      <c r="AD276" s="89"/>
      <c r="AE276" s="86"/>
      <c r="AF276" s="86"/>
      <c r="AG276" s="89"/>
    </row>
    <row r="277" spans="1:33" ht="15.75" thickBot="1" x14ac:dyDescent="0.3">
      <c r="A277" s="68"/>
      <c r="B277" s="68"/>
      <c r="D277" s="87"/>
      <c r="E277" s="87"/>
      <c r="F277" s="90"/>
      <c r="G277" s="87"/>
      <c r="H277" s="87"/>
      <c r="I277" s="90"/>
      <c r="J277" s="87"/>
      <c r="K277" s="87"/>
      <c r="L277" s="90"/>
      <c r="M277" s="87"/>
      <c r="N277" s="87"/>
      <c r="O277" s="90"/>
      <c r="P277" s="87"/>
      <c r="Q277" s="87"/>
      <c r="R277" s="90"/>
      <c r="S277" s="87"/>
      <c r="T277" s="87"/>
      <c r="U277" s="90"/>
      <c r="V277" s="87"/>
      <c r="W277" s="87"/>
      <c r="X277" s="90"/>
      <c r="Y277" s="87"/>
      <c r="Z277" s="87"/>
      <c r="AA277" s="90"/>
      <c r="AB277" s="87"/>
      <c r="AC277" s="87"/>
      <c r="AD277" s="90"/>
      <c r="AE277" s="87"/>
      <c r="AF277" s="87"/>
      <c r="AG277" s="90"/>
    </row>
    <row r="278" spans="1:33" ht="15.75" thickBot="1" x14ac:dyDescent="0.3">
      <c r="A278" s="68"/>
      <c r="B278" s="68"/>
      <c r="D278" s="88"/>
      <c r="E278" s="88"/>
      <c r="F278" s="91"/>
      <c r="G278" s="88"/>
      <c r="H278" s="88"/>
      <c r="I278" s="91"/>
      <c r="J278" s="88"/>
      <c r="K278" s="88"/>
      <c r="L278" s="91"/>
      <c r="M278" s="88"/>
      <c r="N278" s="88"/>
      <c r="O278" s="91"/>
      <c r="P278" s="88"/>
      <c r="Q278" s="88"/>
      <c r="R278" s="91"/>
      <c r="S278" s="88"/>
      <c r="T278" s="88"/>
      <c r="U278" s="91"/>
      <c r="V278" s="88"/>
      <c r="W278" s="88"/>
      <c r="X278" s="91"/>
      <c r="Y278" s="88"/>
      <c r="Z278" s="88"/>
      <c r="AA278" s="91"/>
      <c r="AB278" s="88"/>
      <c r="AC278" s="88"/>
      <c r="AD278" s="91"/>
      <c r="AE278" s="88"/>
      <c r="AF278" s="88"/>
      <c r="AG278" s="91"/>
    </row>
    <row r="280" spans="1:33" ht="15.75" thickBot="1" x14ac:dyDescent="0.3"/>
    <row r="281" spans="1:33" ht="15.75" thickBot="1" x14ac:dyDescent="0.3">
      <c r="A281" s="68" t="s">
        <v>261</v>
      </c>
      <c r="B281" s="68"/>
      <c r="D281" s="52" t="s">
        <v>27</v>
      </c>
      <c r="E281" s="52"/>
      <c r="F281" s="52"/>
      <c r="G281" s="73" t="s">
        <v>28</v>
      </c>
      <c r="H281" s="73"/>
      <c r="I281" s="73"/>
      <c r="J281" s="52" t="s">
        <v>29</v>
      </c>
      <c r="K281" s="52"/>
      <c r="L281" s="52"/>
      <c r="M281" s="73" t="s">
        <v>30</v>
      </c>
      <c r="N281" s="73"/>
      <c r="O281" s="73"/>
      <c r="P281" s="52" t="s">
        <v>31</v>
      </c>
      <c r="Q281" s="52"/>
      <c r="R281" s="52"/>
      <c r="S281" s="73" t="s">
        <v>32</v>
      </c>
      <c r="T281" s="73"/>
      <c r="U281" s="73"/>
      <c r="V281" s="52" t="s">
        <v>33</v>
      </c>
      <c r="W281" s="52"/>
      <c r="X281" s="52"/>
      <c r="Y281" s="73" t="s">
        <v>34</v>
      </c>
      <c r="Z281" s="73"/>
      <c r="AA281" s="73"/>
      <c r="AB281" s="52" t="s">
        <v>35</v>
      </c>
      <c r="AC281" s="52"/>
      <c r="AD281" s="52"/>
      <c r="AE281" s="73" t="s">
        <v>36</v>
      </c>
      <c r="AF281" s="73"/>
      <c r="AG281" s="73"/>
    </row>
    <row r="282" spans="1:33" ht="15.75" thickBot="1" x14ac:dyDescent="0.3">
      <c r="A282" s="68"/>
      <c r="B282" s="68"/>
      <c r="C282" s="105" t="s">
        <v>243</v>
      </c>
      <c r="D282" s="75">
        <v>0</v>
      </c>
      <c r="E282" s="75"/>
      <c r="F282" s="76"/>
      <c r="G282" s="74">
        <v>0</v>
      </c>
      <c r="H282" s="75"/>
      <c r="I282" s="76"/>
      <c r="J282" s="74">
        <v>0</v>
      </c>
      <c r="K282" s="75"/>
      <c r="L282" s="76"/>
      <c r="M282" s="74">
        <v>0</v>
      </c>
      <c r="N282" s="75"/>
      <c r="O282" s="76"/>
      <c r="P282" s="74">
        <v>0</v>
      </c>
      <c r="Q282" s="75"/>
      <c r="R282" s="76"/>
      <c r="S282" s="74">
        <v>0</v>
      </c>
      <c r="T282" s="75"/>
      <c r="U282" s="76"/>
      <c r="V282" s="74">
        <v>0</v>
      </c>
      <c r="W282" s="75"/>
      <c r="X282" s="76"/>
      <c r="Y282" s="74">
        <v>0</v>
      </c>
      <c r="Z282" s="75"/>
      <c r="AA282" s="76"/>
      <c r="AB282" s="74">
        <v>0</v>
      </c>
      <c r="AC282" s="75"/>
      <c r="AD282" s="76"/>
      <c r="AE282" s="74">
        <v>0</v>
      </c>
      <c r="AF282" s="75"/>
      <c r="AG282" s="76"/>
    </row>
    <row r="283" spans="1:33" ht="15.75" thickBot="1" x14ac:dyDescent="0.3">
      <c r="A283" s="68"/>
      <c r="B283" s="68"/>
      <c r="C283" s="106" t="s">
        <v>244</v>
      </c>
      <c r="D283" s="82">
        <v>0</v>
      </c>
      <c r="E283" s="82"/>
      <c r="F283" s="84"/>
      <c r="G283" s="85">
        <v>0</v>
      </c>
      <c r="H283" s="82"/>
      <c r="I283" s="84"/>
      <c r="J283" s="85">
        <v>0</v>
      </c>
      <c r="K283" s="82"/>
      <c r="L283" s="84"/>
      <c r="M283" s="85">
        <v>0</v>
      </c>
      <c r="N283" s="82"/>
      <c r="O283" s="82"/>
      <c r="P283" s="81">
        <v>0</v>
      </c>
      <c r="Q283" s="82"/>
      <c r="R283" s="83"/>
      <c r="S283" s="82">
        <v>0</v>
      </c>
      <c r="T283" s="82"/>
      <c r="U283" s="84"/>
      <c r="V283" s="85">
        <v>0</v>
      </c>
      <c r="W283" s="82"/>
      <c r="X283" s="84"/>
      <c r="Y283" s="85">
        <v>0</v>
      </c>
      <c r="Z283" s="82"/>
      <c r="AA283" s="84"/>
      <c r="AB283" s="85">
        <v>0</v>
      </c>
      <c r="AC283" s="82"/>
      <c r="AD283" s="84"/>
      <c r="AE283" s="85">
        <v>0</v>
      </c>
      <c r="AF283" s="82"/>
      <c r="AG283" s="84"/>
    </row>
    <row r="284" spans="1:33" ht="15.75" thickBot="1" x14ac:dyDescent="0.3">
      <c r="A284" s="68"/>
      <c r="B284" s="68"/>
      <c r="C284" s="107" t="s">
        <v>37</v>
      </c>
      <c r="D284" s="104"/>
      <c r="E284" s="86"/>
      <c r="F284" s="89"/>
      <c r="G284" s="86"/>
      <c r="H284" s="86"/>
      <c r="I284" s="89"/>
      <c r="J284" s="86"/>
      <c r="K284" s="86"/>
      <c r="L284" s="89"/>
      <c r="M284" s="86"/>
      <c r="N284" s="86"/>
      <c r="O284" s="89"/>
      <c r="P284" s="86"/>
      <c r="Q284" s="86"/>
      <c r="R284" s="89"/>
      <c r="S284" s="86"/>
      <c r="T284" s="86"/>
      <c r="U284" s="89"/>
      <c r="V284" s="86"/>
      <c r="W284" s="86"/>
      <c r="X284" s="89"/>
      <c r="Y284" s="86"/>
      <c r="Z284" s="86"/>
      <c r="AA284" s="89"/>
      <c r="AB284" s="86"/>
      <c r="AC284" s="86"/>
      <c r="AD284" s="89"/>
      <c r="AE284" s="86"/>
      <c r="AF284" s="86"/>
      <c r="AG284" s="89"/>
    </row>
    <row r="285" spans="1:33" ht="15.75" thickBot="1" x14ac:dyDescent="0.3">
      <c r="A285" s="68"/>
      <c r="B285" s="68"/>
      <c r="D285" s="87"/>
      <c r="E285" s="87"/>
      <c r="F285" s="90"/>
      <c r="G285" s="87"/>
      <c r="H285" s="87"/>
      <c r="I285" s="90"/>
      <c r="J285" s="87"/>
      <c r="K285" s="87"/>
      <c r="L285" s="90"/>
      <c r="M285" s="87"/>
      <c r="N285" s="87"/>
      <c r="O285" s="90"/>
      <c r="P285" s="87"/>
      <c r="Q285" s="87"/>
      <c r="R285" s="90"/>
      <c r="S285" s="87"/>
      <c r="T285" s="87"/>
      <c r="U285" s="90"/>
      <c r="V285" s="87"/>
      <c r="W285" s="87"/>
      <c r="X285" s="90"/>
      <c r="Y285" s="87"/>
      <c r="Z285" s="87"/>
      <c r="AA285" s="90"/>
      <c r="AB285" s="87"/>
      <c r="AC285" s="87"/>
      <c r="AD285" s="90"/>
      <c r="AE285" s="87"/>
      <c r="AF285" s="87"/>
      <c r="AG285" s="90"/>
    </row>
    <row r="286" spans="1:33" ht="15.75" thickBot="1" x14ac:dyDescent="0.3">
      <c r="A286" s="68"/>
      <c r="B286" s="68"/>
      <c r="D286" s="88"/>
      <c r="E286" s="88"/>
      <c r="F286" s="91"/>
      <c r="G286" s="88"/>
      <c r="H286" s="88"/>
      <c r="I286" s="91"/>
      <c r="J286" s="88"/>
      <c r="K286" s="88"/>
      <c r="L286" s="91"/>
      <c r="M286" s="88"/>
      <c r="N286" s="88"/>
      <c r="O286" s="91"/>
      <c r="P286" s="88"/>
      <c r="Q286" s="88"/>
      <c r="R286" s="91"/>
      <c r="S286" s="88"/>
      <c r="T286" s="88"/>
      <c r="U286" s="91"/>
      <c r="V286" s="88"/>
      <c r="W286" s="88"/>
      <c r="X286" s="91"/>
      <c r="Y286" s="88"/>
      <c r="Z286" s="88"/>
      <c r="AA286" s="91"/>
      <c r="AB286" s="88"/>
      <c r="AC286" s="88"/>
      <c r="AD286" s="91"/>
      <c r="AE286" s="88"/>
      <c r="AF286" s="88"/>
      <c r="AG286" s="91"/>
    </row>
    <row r="288" spans="1:33" ht="15.75" thickBot="1" x14ac:dyDescent="0.3"/>
    <row r="289" spans="1:33" ht="15.75" thickBot="1" x14ac:dyDescent="0.3">
      <c r="A289" s="68" t="s">
        <v>96</v>
      </c>
      <c r="B289" s="68"/>
      <c r="D289" s="52" t="s">
        <v>27</v>
      </c>
      <c r="E289" s="52"/>
      <c r="F289" s="52"/>
      <c r="G289" s="73" t="s">
        <v>28</v>
      </c>
      <c r="H289" s="73"/>
      <c r="I289" s="73"/>
      <c r="J289" s="52" t="s">
        <v>29</v>
      </c>
      <c r="K289" s="52"/>
      <c r="L289" s="52"/>
      <c r="M289" s="73" t="s">
        <v>30</v>
      </c>
      <c r="N289" s="73"/>
      <c r="O289" s="73"/>
      <c r="P289" s="52" t="s">
        <v>31</v>
      </c>
      <c r="Q289" s="52"/>
      <c r="R289" s="52"/>
      <c r="S289" s="73" t="s">
        <v>32</v>
      </c>
      <c r="T289" s="73"/>
      <c r="U289" s="73"/>
      <c r="V289" s="52" t="s">
        <v>33</v>
      </c>
      <c r="W289" s="52"/>
      <c r="X289" s="52"/>
      <c r="Y289" s="73" t="s">
        <v>34</v>
      </c>
      <c r="Z289" s="73"/>
      <c r="AA289" s="73"/>
      <c r="AB289" s="52" t="s">
        <v>35</v>
      </c>
      <c r="AC289" s="52"/>
      <c r="AD289" s="52"/>
      <c r="AE289" s="73" t="s">
        <v>36</v>
      </c>
      <c r="AF289" s="73"/>
      <c r="AG289" s="73"/>
    </row>
    <row r="290" spans="1:33" ht="15.75" thickBot="1" x14ac:dyDescent="0.3">
      <c r="A290" s="68"/>
      <c r="B290" s="68"/>
      <c r="C290" s="105" t="s">
        <v>243</v>
      </c>
      <c r="D290" s="75">
        <v>0</v>
      </c>
      <c r="E290" s="75"/>
      <c r="F290" s="76"/>
      <c r="G290" s="74">
        <v>0</v>
      </c>
      <c r="H290" s="75"/>
      <c r="I290" s="76"/>
      <c r="J290" s="74">
        <v>0</v>
      </c>
      <c r="K290" s="75"/>
      <c r="L290" s="76"/>
      <c r="M290" s="74">
        <v>0</v>
      </c>
      <c r="N290" s="75"/>
      <c r="O290" s="76"/>
      <c r="P290" s="74">
        <v>0</v>
      </c>
      <c r="Q290" s="75"/>
      <c r="R290" s="76"/>
      <c r="S290" s="74">
        <v>0</v>
      </c>
      <c r="T290" s="75"/>
      <c r="U290" s="76"/>
      <c r="V290" s="74">
        <v>0</v>
      </c>
      <c r="W290" s="75"/>
      <c r="X290" s="76"/>
      <c r="Y290" s="74">
        <v>0</v>
      </c>
      <c r="Z290" s="75"/>
      <c r="AA290" s="76"/>
      <c r="AB290" s="74">
        <v>0</v>
      </c>
      <c r="AC290" s="75"/>
      <c r="AD290" s="76"/>
      <c r="AE290" s="74">
        <v>0</v>
      </c>
      <c r="AF290" s="75"/>
      <c r="AG290" s="76"/>
    </row>
    <row r="291" spans="1:33" ht="15.75" thickBot="1" x14ac:dyDescent="0.3">
      <c r="A291" s="68"/>
      <c r="B291" s="68"/>
      <c r="C291" s="106" t="s">
        <v>244</v>
      </c>
      <c r="D291" s="82">
        <v>0</v>
      </c>
      <c r="E291" s="82"/>
      <c r="F291" s="84"/>
      <c r="G291" s="85">
        <v>0</v>
      </c>
      <c r="H291" s="82"/>
      <c r="I291" s="84"/>
      <c r="J291" s="85">
        <v>0</v>
      </c>
      <c r="K291" s="82"/>
      <c r="L291" s="84"/>
      <c r="M291" s="85">
        <v>0</v>
      </c>
      <c r="N291" s="82"/>
      <c r="O291" s="82"/>
      <c r="P291" s="81">
        <v>0</v>
      </c>
      <c r="Q291" s="82"/>
      <c r="R291" s="83"/>
      <c r="S291" s="82">
        <v>0</v>
      </c>
      <c r="T291" s="82"/>
      <c r="U291" s="84"/>
      <c r="V291" s="85">
        <v>0</v>
      </c>
      <c r="W291" s="82"/>
      <c r="X291" s="84"/>
      <c r="Y291" s="85">
        <v>0</v>
      </c>
      <c r="Z291" s="82"/>
      <c r="AA291" s="84"/>
      <c r="AB291" s="85">
        <v>0</v>
      </c>
      <c r="AC291" s="82"/>
      <c r="AD291" s="84"/>
      <c r="AE291" s="85">
        <v>0</v>
      </c>
      <c r="AF291" s="82"/>
      <c r="AG291" s="84"/>
    </row>
    <row r="292" spans="1:33" ht="15.75" thickBot="1" x14ac:dyDescent="0.3">
      <c r="A292" s="68"/>
      <c r="B292" s="68"/>
      <c r="C292" s="107" t="s">
        <v>37</v>
      </c>
      <c r="D292" s="104"/>
      <c r="E292" s="86"/>
      <c r="F292" s="89"/>
      <c r="G292" s="86"/>
      <c r="H292" s="86"/>
      <c r="I292" s="89"/>
      <c r="J292" s="86"/>
      <c r="K292" s="86"/>
      <c r="L292" s="89"/>
      <c r="M292" s="86"/>
      <c r="N292" s="86"/>
      <c r="O292" s="89"/>
      <c r="P292" s="86"/>
      <c r="Q292" s="86"/>
      <c r="R292" s="89"/>
      <c r="S292" s="86"/>
      <c r="T292" s="86"/>
      <c r="U292" s="89"/>
      <c r="V292" s="86"/>
      <c r="W292" s="86"/>
      <c r="X292" s="89"/>
      <c r="Y292" s="86"/>
      <c r="Z292" s="86"/>
      <c r="AA292" s="89"/>
      <c r="AB292" s="86"/>
      <c r="AC292" s="86"/>
      <c r="AD292" s="89"/>
      <c r="AE292" s="86"/>
      <c r="AF292" s="86"/>
      <c r="AG292" s="89"/>
    </row>
    <row r="293" spans="1:33" ht="15.75" thickBot="1" x14ac:dyDescent="0.3">
      <c r="A293" s="68"/>
      <c r="B293" s="68"/>
      <c r="D293" s="87"/>
      <c r="E293" s="87"/>
      <c r="F293" s="90"/>
      <c r="G293" s="87"/>
      <c r="H293" s="87"/>
      <c r="I293" s="90"/>
      <c r="J293" s="87"/>
      <c r="K293" s="87"/>
      <c r="L293" s="90"/>
      <c r="M293" s="87"/>
      <c r="N293" s="87"/>
      <c r="O293" s="90"/>
      <c r="P293" s="87"/>
      <c r="Q293" s="87"/>
      <c r="R293" s="90"/>
      <c r="S293" s="87"/>
      <c r="T293" s="87"/>
      <c r="U293" s="90"/>
      <c r="V293" s="87"/>
      <c r="W293" s="87"/>
      <c r="X293" s="90"/>
      <c r="Y293" s="87"/>
      <c r="Z293" s="87"/>
      <c r="AA293" s="90"/>
      <c r="AB293" s="87"/>
      <c r="AC293" s="87"/>
      <c r="AD293" s="90"/>
      <c r="AE293" s="87"/>
      <c r="AF293" s="87"/>
      <c r="AG293" s="90"/>
    </row>
    <row r="294" spans="1:33" ht="15.75" thickBot="1" x14ac:dyDescent="0.3">
      <c r="A294" s="68"/>
      <c r="B294" s="68"/>
      <c r="D294" s="88"/>
      <c r="E294" s="88"/>
      <c r="F294" s="91"/>
      <c r="G294" s="88"/>
      <c r="H294" s="88"/>
      <c r="I294" s="91"/>
      <c r="J294" s="88"/>
      <c r="K294" s="88"/>
      <c r="L294" s="91"/>
      <c r="M294" s="88"/>
      <c r="N294" s="88"/>
      <c r="O294" s="91"/>
      <c r="P294" s="88"/>
      <c r="Q294" s="88"/>
      <c r="R294" s="91"/>
      <c r="S294" s="88"/>
      <c r="T294" s="88"/>
      <c r="U294" s="91"/>
      <c r="V294" s="88"/>
      <c r="W294" s="88"/>
      <c r="X294" s="91"/>
      <c r="Y294" s="88"/>
      <c r="Z294" s="88"/>
      <c r="AA294" s="91"/>
      <c r="AB294" s="88"/>
      <c r="AC294" s="88"/>
      <c r="AD294" s="91"/>
      <c r="AE294" s="88"/>
      <c r="AF294" s="88"/>
      <c r="AG294" s="91"/>
    </row>
    <row r="296" spans="1:33" ht="15.75" thickBot="1" x14ac:dyDescent="0.3"/>
    <row r="297" spans="1:33" ht="15.75" thickBot="1" x14ac:dyDescent="0.3">
      <c r="A297" s="68" t="s">
        <v>97</v>
      </c>
      <c r="B297" s="68"/>
      <c r="D297" s="52" t="s">
        <v>27</v>
      </c>
      <c r="E297" s="52"/>
      <c r="F297" s="52"/>
      <c r="G297" s="73" t="s">
        <v>28</v>
      </c>
      <c r="H297" s="73"/>
      <c r="I297" s="73"/>
      <c r="J297" s="52" t="s">
        <v>29</v>
      </c>
      <c r="K297" s="52"/>
      <c r="L297" s="52"/>
      <c r="M297" s="73" t="s">
        <v>30</v>
      </c>
      <c r="N297" s="73"/>
      <c r="O297" s="73"/>
      <c r="P297" s="52" t="s">
        <v>31</v>
      </c>
      <c r="Q297" s="52"/>
      <c r="R297" s="52"/>
      <c r="S297" s="73" t="s">
        <v>32</v>
      </c>
      <c r="T297" s="73"/>
      <c r="U297" s="73"/>
      <c r="V297" s="52" t="s">
        <v>33</v>
      </c>
      <c r="W297" s="52"/>
      <c r="X297" s="52"/>
      <c r="Y297" s="73" t="s">
        <v>34</v>
      </c>
      <c r="Z297" s="73"/>
      <c r="AA297" s="73"/>
      <c r="AB297" s="52" t="s">
        <v>35</v>
      </c>
      <c r="AC297" s="52"/>
      <c r="AD297" s="52"/>
      <c r="AE297" s="73" t="s">
        <v>36</v>
      </c>
      <c r="AF297" s="73"/>
      <c r="AG297" s="73"/>
    </row>
    <row r="298" spans="1:33" ht="15.75" thickBot="1" x14ac:dyDescent="0.3">
      <c r="A298" s="68"/>
      <c r="B298" s="68"/>
      <c r="C298" s="105" t="s">
        <v>243</v>
      </c>
      <c r="D298" s="75">
        <v>0</v>
      </c>
      <c r="E298" s="75"/>
      <c r="F298" s="76"/>
      <c r="G298" s="74">
        <v>0</v>
      </c>
      <c r="H298" s="75"/>
      <c r="I298" s="76"/>
      <c r="J298" s="74">
        <v>0</v>
      </c>
      <c r="K298" s="75"/>
      <c r="L298" s="76"/>
      <c r="M298" s="74">
        <v>0</v>
      </c>
      <c r="N298" s="75"/>
      <c r="O298" s="76"/>
      <c r="P298" s="74">
        <v>0</v>
      </c>
      <c r="Q298" s="75"/>
      <c r="R298" s="76"/>
      <c r="S298" s="74">
        <v>0</v>
      </c>
      <c r="T298" s="75"/>
      <c r="U298" s="76"/>
      <c r="V298" s="74">
        <v>0</v>
      </c>
      <c r="W298" s="75"/>
      <c r="X298" s="76"/>
      <c r="Y298" s="74">
        <v>0</v>
      </c>
      <c r="Z298" s="75"/>
      <c r="AA298" s="76"/>
      <c r="AB298" s="74">
        <v>0</v>
      </c>
      <c r="AC298" s="75"/>
      <c r="AD298" s="76"/>
      <c r="AE298" s="74">
        <v>0</v>
      </c>
      <c r="AF298" s="75"/>
      <c r="AG298" s="76"/>
    </row>
    <row r="299" spans="1:33" ht="15.75" thickBot="1" x14ac:dyDescent="0.3">
      <c r="A299" s="68"/>
      <c r="B299" s="68"/>
      <c r="C299" s="106" t="s">
        <v>244</v>
      </c>
      <c r="D299" s="82">
        <v>0</v>
      </c>
      <c r="E299" s="82"/>
      <c r="F299" s="84"/>
      <c r="G299" s="85">
        <v>0</v>
      </c>
      <c r="H299" s="82"/>
      <c r="I299" s="84"/>
      <c r="J299" s="85">
        <v>0</v>
      </c>
      <c r="K299" s="82"/>
      <c r="L299" s="84"/>
      <c r="M299" s="85">
        <v>0</v>
      </c>
      <c r="N299" s="82"/>
      <c r="O299" s="82"/>
      <c r="P299" s="81">
        <v>0</v>
      </c>
      <c r="Q299" s="82"/>
      <c r="R299" s="83"/>
      <c r="S299" s="82">
        <v>0</v>
      </c>
      <c r="T299" s="82"/>
      <c r="U299" s="84"/>
      <c r="V299" s="85">
        <v>0</v>
      </c>
      <c r="W299" s="82"/>
      <c r="X299" s="84"/>
      <c r="Y299" s="85">
        <v>0</v>
      </c>
      <c r="Z299" s="82"/>
      <c r="AA299" s="84"/>
      <c r="AB299" s="85">
        <v>0</v>
      </c>
      <c r="AC299" s="82"/>
      <c r="AD299" s="84"/>
      <c r="AE299" s="85">
        <v>0</v>
      </c>
      <c r="AF299" s="82"/>
      <c r="AG299" s="84"/>
    </row>
    <row r="300" spans="1:33" ht="15.75" thickBot="1" x14ac:dyDescent="0.3">
      <c r="A300" s="68"/>
      <c r="B300" s="68"/>
      <c r="C300" s="107" t="s">
        <v>37</v>
      </c>
      <c r="D300" s="104"/>
      <c r="E300" s="86"/>
      <c r="F300" s="89"/>
      <c r="G300" s="86"/>
      <c r="H300" s="86"/>
      <c r="I300" s="89"/>
      <c r="J300" s="86"/>
      <c r="K300" s="86"/>
      <c r="L300" s="89"/>
      <c r="M300" s="86"/>
      <c r="N300" s="86"/>
      <c r="O300" s="89"/>
      <c r="P300" s="86"/>
      <c r="Q300" s="86"/>
      <c r="R300" s="89"/>
      <c r="S300" s="86"/>
      <c r="T300" s="86"/>
      <c r="U300" s="89"/>
      <c r="V300" s="86"/>
      <c r="W300" s="86"/>
      <c r="X300" s="89"/>
      <c r="Y300" s="86"/>
      <c r="Z300" s="86"/>
      <c r="AA300" s="89"/>
      <c r="AB300" s="86"/>
      <c r="AC300" s="86"/>
      <c r="AD300" s="89"/>
      <c r="AE300" s="86"/>
      <c r="AF300" s="86"/>
      <c r="AG300" s="89"/>
    </row>
    <row r="301" spans="1:33" ht="15.75" thickBot="1" x14ac:dyDescent="0.3">
      <c r="A301" s="68"/>
      <c r="B301" s="68"/>
      <c r="D301" s="87"/>
      <c r="E301" s="87"/>
      <c r="F301" s="90"/>
      <c r="G301" s="87"/>
      <c r="H301" s="87"/>
      <c r="I301" s="90"/>
      <c r="J301" s="87"/>
      <c r="K301" s="87"/>
      <c r="L301" s="90"/>
      <c r="M301" s="87"/>
      <c r="N301" s="87"/>
      <c r="O301" s="90"/>
      <c r="P301" s="87"/>
      <c r="Q301" s="87"/>
      <c r="R301" s="90"/>
      <c r="S301" s="87"/>
      <c r="T301" s="87"/>
      <c r="U301" s="90"/>
      <c r="V301" s="87"/>
      <c r="W301" s="87"/>
      <c r="X301" s="90"/>
      <c r="Y301" s="87"/>
      <c r="Z301" s="87"/>
      <c r="AA301" s="90"/>
      <c r="AB301" s="87"/>
      <c r="AC301" s="87"/>
      <c r="AD301" s="90"/>
      <c r="AE301" s="87"/>
      <c r="AF301" s="87"/>
      <c r="AG301" s="90"/>
    </row>
    <row r="302" spans="1:33" ht="15.75" thickBot="1" x14ac:dyDescent="0.3">
      <c r="A302" s="68"/>
      <c r="B302" s="68"/>
      <c r="D302" s="88"/>
      <c r="E302" s="88"/>
      <c r="F302" s="91"/>
      <c r="G302" s="88"/>
      <c r="H302" s="88"/>
      <c r="I302" s="91"/>
      <c r="J302" s="88"/>
      <c r="K302" s="88"/>
      <c r="L302" s="91"/>
      <c r="M302" s="88"/>
      <c r="N302" s="88"/>
      <c r="O302" s="91"/>
      <c r="P302" s="88"/>
      <c r="Q302" s="88"/>
      <c r="R302" s="91"/>
      <c r="S302" s="88"/>
      <c r="T302" s="88"/>
      <c r="U302" s="91"/>
      <c r="V302" s="88"/>
      <c r="W302" s="88"/>
      <c r="X302" s="91"/>
      <c r="Y302" s="88"/>
      <c r="Z302" s="88"/>
      <c r="AA302" s="91"/>
      <c r="AB302" s="88"/>
      <c r="AC302" s="88"/>
      <c r="AD302" s="91"/>
      <c r="AE302" s="88"/>
      <c r="AF302" s="88"/>
      <c r="AG302" s="91"/>
    </row>
    <row r="304" spans="1:33" ht="15.75" thickBot="1" x14ac:dyDescent="0.3"/>
    <row r="305" spans="1:33" ht="15.75" thickBot="1" x14ac:dyDescent="0.3">
      <c r="A305" s="68" t="s">
        <v>98</v>
      </c>
      <c r="B305" s="68"/>
      <c r="D305" s="52" t="s">
        <v>27</v>
      </c>
      <c r="E305" s="52"/>
      <c r="F305" s="52"/>
      <c r="G305" s="73" t="s">
        <v>28</v>
      </c>
      <c r="H305" s="73"/>
      <c r="I305" s="73"/>
      <c r="J305" s="52" t="s">
        <v>29</v>
      </c>
      <c r="K305" s="52"/>
      <c r="L305" s="52"/>
      <c r="M305" s="73" t="s">
        <v>30</v>
      </c>
      <c r="N305" s="73"/>
      <c r="O305" s="73"/>
      <c r="P305" s="52" t="s">
        <v>31</v>
      </c>
      <c r="Q305" s="52"/>
      <c r="R305" s="52"/>
      <c r="S305" s="73" t="s">
        <v>32</v>
      </c>
      <c r="T305" s="73"/>
      <c r="U305" s="73"/>
      <c r="V305" s="52" t="s">
        <v>33</v>
      </c>
      <c r="W305" s="52"/>
      <c r="X305" s="52"/>
      <c r="Y305" s="73" t="s">
        <v>34</v>
      </c>
      <c r="Z305" s="73"/>
      <c r="AA305" s="73"/>
      <c r="AB305" s="52" t="s">
        <v>35</v>
      </c>
      <c r="AC305" s="52"/>
      <c r="AD305" s="52"/>
      <c r="AE305" s="73" t="s">
        <v>36</v>
      </c>
      <c r="AF305" s="73"/>
      <c r="AG305" s="73"/>
    </row>
    <row r="306" spans="1:33" ht="15.75" thickBot="1" x14ac:dyDescent="0.3">
      <c r="A306" s="68"/>
      <c r="B306" s="68"/>
      <c r="C306" s="105" t="s">
        <v>243</v>
      </c>
      <c r="D306" s="75">
        <v>0</v>
      </c>
      <c r="E306" s="75"/>
      <c r="F306" s="76"/>
      <c r="G306" s="74">
        <v>0</v>
      </c>
      <c r="H306" s="75"/>
      <c r="I306" s="76"/>
      <c r="J306" s="74">
        <v>0</v>
      </c>
      <c r="K306" s="75"/>
      <c r="L306" s="76"/>
      <c r="M306" s="74">
        <v>0</v>
      </c>
      <c r="N306" s="75"/>
      <c r="O306" s="76"/>
      <c r="P306" s="74">
        <v>0</v>
      </c>
      <c r="Q306" s="75"/>
      <c r="R306" s="76"/>
      <c r="S306" s="74">
        <v>0</v>
      </c>
      <c r="T306" s="75"/>
      <c r="U306" s="76"/>
      <c r="V306" s="74">
        <v>0</v>
      </c>
      <c r="W306" s="75"/>
      <c r="X306" s="76"/>
      <c r="Y306" s="74">
        <v>0</v>
      </c>
      <c r="Z306" s="75"/>
      <c r="AA306" s="76"/>
      <c r="AB306" s="74">
        <v>0</v>
      </c>
      <c r="AC306" s="75"/>
      <c r="AD306" s="76"/>
      <c r="AE306" s="74">
        <v>0</v>
      </c>
      <c r="AF306" s="75"/>
      <c r="AG306" s="76"/>
    </row>
    <row r="307" spans="1:33" ht="15.75" thickBot="1" x14ac:dyDescent="0.3">
      <c r="A307" s="68"/>
      <c r="B307" s="68"/>
      <c r="C307" s="106" t="s">
        <v>244</v>
      </c>
      <c r="D307" s="82">
        <v>0</v>
      </c>
      <c r="E307" s="82"/>
      <c r="F307" s="84"/>
      <c r="G307" s="85">
        <v>0</v>
      </c>
      <c r="H307" s="82"/>
      <c r="I307" s="84"/>
      <c r="J307" s="85">
        <v>0</v>
      </c>
      <c r="K307" s="82"/>
      <c r="L307" s="84"/>
      <c r="M307" s="85">
        <v>0</v>
      </c>
      <c r="N307" s="82"/>
      <c r="O307" s="82"/>
      <c r="P307" s="81">
        <v>0</v>
      </c>
      <c r="Q307" s="82"/>
      <c r="R307" s="83"/>
      <c r="S307" s="82">
        <v>0</v>
      </c>
      <c r="T307" s="82"/>
      <c r="U307" s="84"/>
      <c r="V307" s="85">
        <v>0</v>
      </c>
      <c r="W307" s="82"/>
      <c r="X307" s="84"/>
      <c r="Y307" s="85">
        <v>0</v>
      </c>
      <c r="Z307" s="82"/>
      <c r="AA307" s="84"/>
      <c r="AB307" s="85">
        <v>0</v>
      </c>
      <c r="AC307" s="82"/>
      <c r="AD307" s="84"/>
      <c r="AE307" s="85">
        <v>0</v>
      </c>
      <c r="AF307" s="82"/>
      <c r="AG307" s="84"/>
    </row>
    <row r="308" spans="1:33" ht="15.75" thickBot="1" x14ac:dyDescent="0.3">
      <c r="A308" s="68"/>
      <c r="B308" s="68"/>
      <c r="C308" s="107" t="s">
        <v>37</v>
      </c>
      <c r="D308" s="104"/>
      <c r="E308" s="86"/>
      <c r="F308" s="89"/>
      <c r="G308" s="86"/>
      <c r="H308" s="86"/>
      <c r="I308" s="89"/>
      <c r="J308" s="86"/>
      <c r="K308" s="86"/>
      <c r="L308" s="89"/>
      <c r="M308" s="86"/>
      <c r="N308" s="86"/>
      <c r="O308" s="89"/>
      <c r="P308" s="86"/>
      <c r="Q308" s="86"/>
      <c r="R308" s="89"/>
      <c r="S308" s="86"/>
      <c r="T308" s="86"/>
      <c r="U308" s="89"/>
      <c r="V308" s="86"/>
      <c r="W308" s="86"/>
      <c r="X308" s="89"/>
      <c r="Y308" s="86"/>
      <c r="Z308" s="86"/>
      <c r="AA308" s="89"/>
      <c r="AB308" s="86"/>
      <c r="AC308" s="86"/>
      <c r="AD308" s="89"/>
      <c r="AE308" s="86"/>
      <c r="AF308" s="86"/>
      <c r="AG308" s="89"/>
    </row>
    <row r="309" spans="1:33" ht="15.75" thickBot="1" x14ac:dyDescent="0.3">
      <c r="A309" s="68"/>
      <c r="B309" s="68"/>
      <c r="D309" s="87"/>
      <c r="E309" s="87"/>
      <c r="F309" s="90"/>
      <c r="G309" s="87"/>
      <c r="H309" s="87"/>
      <c r="I309" s="90"/>
      <c r="J309" s="87"/>
      <c r="K309" s="87"/>
      <c r="L309" s="90"/>
      <c r="M309" s="87"/>
      <c r="N309" s="87"/>
      <c r="O309" s="90"/>
      <c r="P309" s="87"/>
      <c r="Q309" s="87"/>
      <c r="R309" s="90"/>
      <c r="S309" s="87"/>
      <c r="T309" s="87"/>
      <c r="U309" s="90"/>
      <c r="V309" s="87"/>
      <c r="W309" s="87"/>
      <c r="X309" s="90"/>
      <c r="Y309" s="87"/>
      <c r="Z309" s="87"/>
      <c r="AA309" s="90"/>
      <c r="AB309" s="87"/>
      <c r="AC309" s="87"/>
      <c r="AD309" s="90"/>
      <c r="AE309" s="87"/>
      <c r="AF309" s="87"/>
      <c r="AG309" s="90"/>
    </row>
    <row r="310" spans="1:33" ht="15.75" thickBot="1" x14ac:dyDescent="0.3">
      <c r="A310" s="68"/>
      <c r="B310" s="68"/>
      <c r="D310" s="88"/>
      <c r="E310" s="88"/>
      <c r="F310" s="91"/>
      <c r="G310" s="88"/>
      <c r="H310" s="88"/>
      <c r="I310" s="91"/>
      <c r="J310" s="88"/>
      <c r="K310" s="88"/>
      <c r="L310" s="91"/>
      <c r="M310" s="88"/>
      <c r="N310" s="88"/>
      <c r="O310" s="91"/>
      <c r="P310" s="88"/>
      <c r="Q310" s="88"/>
      <c r="R310" s="91"/>
      <c r="S310" s="88"/>
      <c r="T310" s="88"/>
      <c r="U310" s="91"/>
      <c r="V310" s="88"/>
      <c r="W310" s="88"/>
      <c r="X310" s="91"/>
      <c r="Y310" s="88"/>
      <c r="Z310" s="88"/>
      <c r="AA310" s="91"/>
      <c r="AB310" s="88"/>
      <c r="AC310" s="88"/>
      <c r="AD310" s="91"/>
      <c r="AE310" s="88"/>
      <c r="AF310" s="88"/>
      <c r="AG310" s="91"/>
    </row>
    <row r="312" spans="1:33" ht="15.75" thickBot="1" x14ac:dyDescent="0.3"/>
    <row r="313" spans="1:33" ht="15.75" thickBot="1" x14ac:dyDescent="0.3">
      <c r="A313" s="68" t="s">
        <v>100</v>
      </c>
      <c r="B313" s="68"/>
      <c r="D313" s="52" t="s">
        <v>27</v>
      </c>
      <c r="E313" s="52"/>
      <c r="F313" s="52"/>
      <c r="G313" s="73" t="s">
        <v>28</v>
      </c>
      <c r="H313" s="73"/>
      <c r="I313" s="73"/>
      <c r="J313" s="52" t="s">
        <v>29</v>
      </c>
      <c r="K313" s="52"/>
      <c r="L313" s="52"/>
      <c r="M313" s="73" t="s">
        <v>30</v>
      </c>
      <c r="N313" s="73"/>
      <c r="O313" s="73"/>
      <c r="P313" s="52" t="s">
        <v>31</v>
      </c>
      <c r="Q313" s="52"/>
      <c r="R313" s="52"/>
      <c r="S313" s="73" t="s">
        <v>32</v>
      </c>
      <c r="T313" s="73"/>
      <c r="U313" s="73"/>
      <c r="V313" s="52" t="s">
        <v>33</v>
      </c>
      <c r="W313" s="52"/>
      <c r="X313" s="52"/>
      <c r="Y313" s="73" t="s">
        <v>34</v>
      </c>
      <c r="Z313" s="73"/>
      <c r="AA313" s="73"/>
      <c r="AB313" s="52" t="s">
        <v>35</v>
      </c>
      <c r="AC313" s="52"/>
      <c r="AD313" s="52"/>
      <c r="AE313" s="73" t="s">
        <v>36</v>
      </c>
      <c r="AF313" s="73"/>
      <c r="AG313" s="73"/>
    </row>
    <row r="314" spans="1:33" ht="15.75" thickBot="1" x14ac:dyDescent="0.3">
      <c r="A314" s="68"/>
      <c r="B314" s="68"/>
      <c r="C314" s="105" t="s">
        <v>243</v>
      </c>
      <c r="D314" s="75">
        <v>0</v>
      </c>
      <c r="E314" s="75"/>
      <c r="F314" s="76"/>
      <c r="G314" s="74">
        <v>0</v>
      </c>
      <c r="H314" s="75"/>
      <c r="I314" s="76"/>
      <c r="J314" s="74">
        <v>0</v>
      </c>
      <c r="K314" s="75"/>
      <c r="L314" s="76"/>
      <c r="M314" s="74">
        <v>0</v>
      </c>
      <c r="N314" s="75"/>
      <c r="O314" s="76"/>
      <c r="P314" s="74">
        <v>0</v>
      </c>
      <c r="Q314" s="75"/>
      <c r="R314" s="76"/>
      <c r="S314" s="74">
        <v>0</v>
      </c>
      <c r="T314" s="75"/>
      <c r="U314" s="76"/>
      <c r="V314" s="74">
        <v>0</v>
      </c>
      <c r="W314" s="75"/>
      <c r="X314" s="76"/>
      <c r="Y314" s="74">
        <v>0</v>
      </c>
      <c r="Z314" s="75"/>
      <c r="AA314" s="76"/>
      <c r="AB314" s="74">
        <v>0</v>
      </c>
      <c r="AC314" s="75"/>
      <c r="AD314" s="76"/>
      <c r="AE314" s="74">
        <v>0</v>
      </c>
      <c r="AF314" s="75"/>
      <c r="AG314" s="76"/>
    </row>
    <row r="315" spans="1:33" ht="15.75" thickBot="1" x14ac:dyDescent="0.3">
      <c r="A315" s="68"/>
      <c r="B315" s="68"/>
      <c r="C315" s="106" t="s">
        <v>244</v>
      </c>
      <c r="D315" s="82">
        <v>0</v>
      </c>
      <c r="E315" s="82"/>
      <c r="F315" s="84"/>
      <c r="G315" s="85">
        <v>0</v>
      </c>
      <c r="H315" s="82"/>
      <c r="I315" s="84"/>
      <c r="J315" s="85">
        <v>0</v>
      </c>
      <c r="K315" s="82"/>
      <c r="L315" s="84"/>
      <c r="M315" s="85">
        <v>0</v>
      </c>
      <c r="N315" s="82"/>
      <c r="O315" s="82"/>
      <c r="P315" s="81">
        <v>0</v>
      </c>
      <c r="Q315" s="82"/>
      <c r="R315" s="83"/>
      <c r="S315" s="82">
        <v>0</v>
      </c>
      <c r="T315" s="82"/>
      <c r="U315" s="84"/>
      <c r="V315" s="85">
        <v>0</v>
      </c>
      <c r="W315" s="82"/>
      <c r="X315" s="84"/>
      <c r="Y315" s="85">
        <v>0</v>
      </c>
      <c r="Z315" s="82"/>
      <c r="AA315" s="84"/>
      <c r="AB315" s="85">
        <v>0</v>
      </c>
      <c r="AC315" s="82"/>
      <c r="AD315" s="84"/>
      <c r="AE315" s="85">
        <v>0</v>
      </c>
      <c r="AF315" s="82"/>
      <c r="AG315" s="84"/>
    </row>
    <row r="316" spans="1:33" ht="15.75" thickBot="1" x14ac:dyDescent="0.3">
      <c r="A316" s="68"/>
      <c r="B316" s="68"/>
      <c r="C316" s="107" t="s">
        <v>37</v>
      </c>
      <c r="D316" s="104"/>
      <c r="E316" s="86"/>
      <c r="F316" s="89"/>
      <c r="G316" s="86"/>
      <c r="H316" s="86"/>
      <c r="I316" s="89"/>
      <c r="J316" s="86"/>
      <c r="K316" s="86"/>
      <c r="L316" s="89"/>
      <c r="M316" s="86"/>
      <c r="N316" s="86"/>
      <c r="O316" s="89"/>
      <c r="P316" s="86"/>
      <c r="Q316" s="86"/>
      <c r="R316" s="89"/>
      <c r="S316" s="86"/>
      <c r="T316" s="86"/>
      <c r="U316" s="89"/>
      <c r="V316" s="86"/>
      <c r="W316" s="86"/>
      <c r="X316" s="89"/>
      <c r="Y316" s="86"/>
      <c r="Z316" s="86"/>
      <c r="AA316" s="89"/>
      <c r="AB316" s="86"/>
      <c r="AC316" s="86"/>
      <c r="AD316" s="89"/>
      <c r="AE316" s="86"/>
      <c r="AF316" s="86"/>
      <c r="AG316" s="89"/>
    </row>
    <row r="317" spans="1:33" ht="15.75" thickBot="1" x14ac:dyDescent="0.3">
      <c r="A317" s="68"/>
      <c r="B317" s="68"/>
      <c r="D317" s="87"/>
      <c r="E317" s="87"/>
      <c r="F317" s="90"/>
      <c r="G317" s="87"/>
      <c r="H317" s="87"/>
      <c r="I317" s="90"/>
      <c r="J317" s="87"/>
      <c r="K317" s="87"/>
      <c r="L317" s="90"/>
      <c r="M317" s="87"/>
      <c r="N317" s="87"/>
      <c r="O317" s="90"/>
      <c r="P317" s="87"/>
      <c r="Q317" s="87"/>
      <c r="R317" s="90"/>
      <c r="S317" s="87"/>
      <c r="T317" s="87"/>
      <c r="U317" s="90"/>
      <c r="V317" s="87"/>
      <c r="W317" s="87"/>
      <c r="X317" s="90"/>
      <c r="Y317" s="87"/>
      <c r="Z317" s="87"/>
      <c r="AA317" s="90"/>
      <c r="AB317" s="87"/>
      <c r="AC317" s="87"/>
      <c r="AD317" s="90"/>
      <c r="AE317" s="87"/>
      <c r="AF317" s="87"/>
      <c r="AG317" s="90"/>
    </row>
    <row r="318" spans="1:33" ht="15.75" thickBot="1" x14ac:dyDescent="0.3">
      <c r="A318" s="68"/>
      <c r="B318" s="68"/>
      <c r="D318" s="88"/>
      <c r="E318" s="88"/>
      <c r="F318" s="91"/>
      <c r="G318" s="88"/>
      <c r="H318" s="88"/>
      <c r="I318" s="91"/>
      <c r="J318" s="88"/>
      <c r="K318" s="88"/>
      <c r="L318" s="91"/>
      <c r="M318" s="88"/>
      <c r="N318" s="88"/>
      <c r="O318" s="91"/>
      <c r="P318" s="88"/>
      <c r="Q318" s="88"/>
      <c r="R318" s="91"/>
      <c r="S318" s="88"/>
      <c r="T318" s="88"/>
      <c r="U318" s="91"/>
      <c r="V318" s="88"/>
      <c r="W318" s="88"/>
      <c r="X318" s="91"/>
      <c r="Y318" s="88"/>
      <c r="Z318" s="88"/>
      <c r="AA318" s="91"/>
      <c r="AB318" s="88"/>
      <c r="AC318" s="88"/>
      <c r="AD318" s="91"/>
      <c r="AE318" s="88"/>
      <c r="AF318" s="88"/>
      <c r="AG318" s="91"/>
    </row>
    <row r="320" spans="1:33" ht="15.75" thickBot="1" x14ac:dyDescent="0.3"/>
    <row r="321" spans="1:33" ht="15.75" thickBot="1" x14ac:dyDescent="0.3">
      <c r="A321" s="68" t="s">
        <v>101</v>
      </c>
      <c r="B321" s="68"/>
      <c r="D321" s="52" t="s">
        <v>27</v>
      </c>
      <c r="E321" s="52"/>
      <c r="F321" s="52"/>
      <c r="G321" s="73" t="s">
        <v>28</v>
      </c>
      <c r="H321" s="73"/>
      <c r="I321" s="73"/>
      <c r="J321" s="52" t="s">
        <v>29</v>
      </c>
      <c r="K321" s="52"/>
      <c r="L321" s="52"/>
      <c r="M321" s="73" t="s">
        <v>30</v>
      </c>
      <c r="N321" s="73"/>
      <c r="O321" s="73"/>
      <c r="P321" s="52" t="s">
        <v>31</v>
      </c>
      <c r="Q321" s="52"/>
      <c r="R321" s="52"/>
      <c r="S321" s="73" t="s">
        <v>32</v>
      </c>
      <c r="T321" s="73"/>
      <c r="U321" s="73"/>
      <c r="V321" s="52" t="s">
        <v>33</v>
      </c>
      <c r="W321" s="52"/>
      <c r="X321" s="52"/>
      <c r="Y321" s="73" t="s">
        <v>34</v>
      </c>
      <c r="Z321" s="73"/>
      <c r="AA321" s="73"/>
      <c r="AB321" s="52" t="s">
        <v>35</v>
      </c>
      <c r="AC321" s="52"/>
      <c r="AD321" s="52"/>
      <c r="AE321" s="73" t="s">
        <v>36</v>
      </c>
      <c r="AF321" s="73"/>
      <c r="AG321" s="73"/>
    </row>
    <row r="322" spans="1:33" ht="15.75" thickBot="1" x14ac:dyDescent="0.3">
      <c r="A322" s="68"/>
      <c r="B322" s="68"/>
      <c r="C322" s="105" t="s">
        <v>243</v>
      </c>
      <c r="D322" s="75">
        <v>0</v>
      </c>
      <c r="E322" s="75"/>
      <c r="F322" s="76"/>
      <c r="G322" s="74">
        <v>0</v>
      </c>
      <c r="H322" s="75"/>
      <c r="I322" s="76"/>
      <c r="J322" s="74">
        <v>0</v>
      </c>
      <c r="K322" s="75"/>
      <c r="L322" s="76"/>
      <c r="M322" s="74">
        <v>0</v>
      </c>
      <c r="N322" s="75"/>
      <c r="O322" s="76"/>
      <c r="P322" s="74">
        <v>0</v>
      </c>
      <c r="Q322" s="75"/>
      <c r="R322" s="76"/>
      <c r="S322" s="74">
        <v>0</v>
      </c>
      <c r="T322" s="75"/>
      <c r="U322" s="76"/>
      <c r="V322" s="74">
        <v>0</v>
      </c>
      <c r="W322" s="75"/>
      <c r="X322" s="76"/>
      <c r="Y322" s="74">
        <v>0</v>
      </c>
      <c r="Z322" s="75"/>
      <c r="AA322" s="76"/>
      <c r="AB322" s="74">
        <v>0</v>
      </c>
      <c r="AC322" s="75"/>
      <c r="AD322" s="76"/>
      <c r="AE322" s="74">
        <v>0</v>
      </c>
      <c r="AF322" s="75"/>
      <c r="AG322" s="76"/>
    </row>
    <row r="323" spans="1:33" ht="15.75" thickBot="1" x14ac:dyDescent="0.3">
      <c r="A323" s="68"/>
      <c r="B323" s="68"/>
      <c r="C323" s="106" t="s">
        <v>244</v>
      </c>
      <c r="D323" s="82">
        <v>0</v>
      </c>
      <c r="E323" s="82"/>
      <c r="F323" s="84"/>
      <c r="G323" s="85">
        <v>0</v>
      </c>
      <c r="H323" s="82"/>
      <c r="I323" s="84"/>
      <c r="J323" s="85">
        <v>0</v>
      </c>
      <c r="K323" s="82"/>
      <c r="L323" s="84"/>
      <c r="M323" s="85">
        <v>0</v>
      </c>
      <c r="N323" s="82"/>
      <c r="O323" s="82"/>
      <c r="P323" s="81">
        <v>0</v>
      </c>
      <c r="Q323" s="82"/>
      <c r="R323" s="83"/>
      <c r="S323" s="82">
        <v>0</v>
      </c>
      <c r="T323" s="82"/>
      <c r="U323" s="84"/>
      <c r="V323" s="85">
        <v>0</v>
      </c>
      <c r="W323" s="82"/>
      <c r="X323" s="84"/>
      <c r="Y323" s="85">
        <v>0</v>
      </c>
      <c r="Z323" s="82"/>
      <c r="AA323" s="84"/>
      <c r="AB323" s="85">
        <v>0</v>
      </c>
      <c r="AC323" s="82"/>
      <c r="AD323" s="84"/>
      <c r="AE323" s="85">
        <v>0</v>
      </c>
      <c r="AF323" s="82"/>
      <c r="AG323" s="84"/>
    </row>
    <row r="324" spans="1:33" ht="15.75" thickBot="1" x14ac:dyDescent="0.3">
      <c r="A324" s="68"/>
      <c r="B324" s="68"/>
      <c r="C324" s="107" t="s">
        <v>37</v>
      </c>
      <c r="D324" s="104"/>
      <c r="E324" s="86"/>
      <c r="F324" s="89"/>
      <c r="G324" s="86"/>
      <c r="H324" s="86"/>
      <c r="I324" s="89"/>
      <c r="J324" s="86"/>
      <c r="K324" s="86"/>
      <c r="L324" s="89"/>
      <c r="M324" s="86"/>
      <c r="N324" s="86"/>
      <c r="O324" s="89"/>
      <c r="P324" s="86"/>
      <c r="Q324" s="86"/>
      <c r="R324" s="89"/>
      <c r="S324" s="86"/>
      <c r="T324" s="86"/>
      <c r="U324" s="89"/>
      <c r="V324" s="86"/>
      <c r="W324" s="86"/>
      <c r="X324" s="89"/>
      <c r="Y324" s="86"/>
      <c r="Z324" s="86"/>
      <c r="AA324" s="89"/>
      <c r="AB324" s="86"/>
      <c r="AC324" s="86"/>
      <c r="AD324" s="89"/>
      <c r="AE324" s="86"/>
      <c r="AF324" s="86"/>
      <c r="AG324" s="89"/>
    </row>
    <row r="325" spans="1:33" ht="15.75" thickBot="1" x14ac:dyDescent="0.3">
      <c r="A325" s="68"/>
      <c r="B325" s="68"/>
      <c r="D325" s="87"/>
      <c r="E325" s="87"/>
      <c r="F325" s="90"/>
      <c r="G325" s="87"/>
      <c r="H325" s="87"/>
      <c r="I325" s="90"/>
      <c r="J325" s="87"/>
      <c r="K325" s="87"/>
      <c r="L325" s="90"/>
      <c r="M325" s="87"/>
      <c r="N325" s="87"/>
      <c r="O325" s="90"/>
      <c r="P325" s="87"/>
      <c r="Q325" s="87"/>
      <c r="R325" s="90"/>
      <c r="S325" s="87"/>
      <c r="T325" s="87"/>
      <c r="U325" s="90"/>
      <c r="V325" s="87"/>
      <c r="W325" s="87"/>
      <c r="X325" s="90"/>
      <c r="Y325" s="87"/>
      <c r="Z325" s="87"/>
      <c r="AA325" s="90"/>
      <c r="AB325" s="87"/>
      <c r="AC325" s="87"/>
      <c r="AD325" s="90"/>
      <c r="AE325" s="87"/>
      <c r="AF325" s="87"/>
      <c r="AG325" s="90"/>
    </row>
    <row r="326" spans="1:33" ht="15.75" thickBot="1" x14ac:dyDescent="0.3">
      <c r="A326" s="68"/>
      <c r="B326" s="68"/>
      <c r="D326" s="88"/>
      <c r="E326" s="88"/>
      <c r="F326" s="91"/>
      <c r="G326" s="88"/>
      <c r="H326" s="88"/>
      <c r="I326" s="91"/>
      <c r="J326" s="88"/>
      <c r="K326" s="88"/>
      <c r="L326" s="91"/>
      <c r="M326" s="88"/>
      <c r="N326" s="88"/>
      <c r="O326" s="91"/>
      <c r="P326" s="88"/>
      <c r="Q326" s="88"/>
      <c r="R326" s="91"/>
      <c r="S326" s="88"/>
      <c r="T326" s="88"/>
      <c r="U326" s="91"/>
      <c r="V326" s="88"/>
      <c r="W326" s="88"/>
      <c r="X326" s="91"/>
      <c r="Y326" s="88"/>
      <c r="Z326" s="88"/>
      <c r="AA326" s="91"/>
      <c r="AB326" s="88"/>
      <c r="AC326" s="88"/>
      <c r="AD326" s="91"/>
      <c r="AE326" s="88"/>
      <c r="AF326" s="88"/>
      <c r="AG326" s="91"/>
    </row>
    <row r="328" spans="1:33" ht="15.75" thickBot="1" x14ac:dyDescent="0.3"/>
    <row r="329" spans="1:33" ht="15.75" thickBot="1" x14ac:dyDescent="0.3">
      <c r="A329" s="68" t="s">
        <v>262</v>
      </c>
      <c r="B329" s="68"/>
      <c r="D329" s="52" t="s">
        <v>27</v>
      </c>
      <c r="E329" s="52"/>
      <c r="F329" s="52"/>
      <c r="G329" s="73" t="s">
        <v>28</v>
      </c>
      <c r="H329" s="73"/>
      <c r="I329" s="73"/>
      <c r="J329" s="52" t="s">
        <v>29</v>
      </c>
      <c r="K329" s="52"/>
      <c r="L329" s="52"/>
      <c r="M329" s="73" t="s">
        <v>30</v>
      </c>
      <c r="N329" s="73"/>
      <c r="O329" s="73"/>
      <c r="P329" s="52" t="s">
        <v>31</v>
      </c>
      <c r="Q329" s="52"/>
      <c r="R329" s="52"/>
      <c r="S329" s="73" t="s">
        <v>32</v>
      </c>
      <c r="T329" s="73"/>
      <c r="U329" s="73"/>
      <c r="V329" s="52" t="s">
        <v>33</v>
      </c>
      <c r="W329" s="52"/>
      <c r="X329" s="52"/>
      <c r="Y329" s="73" t="s">
        <v>34</v>
      </c>
      <c r="Z329" s="73"/>
      <c r="AA329" s="73"/>
      <c r="AB329" s="52" t="s">
        <v>35</v>
      </c>
      <c r="AC329" s="52"/>
      <c r="AD329" s="52"/>
      <c r="AE329" s="73" t="s">
        <v>36</v>
      </c>
      <c r="AF329" s="73"/>
      <c r="AG329" s="73"/>
    </row>
    <row r="330" spans="1:33" ht="15.75" thickBot="1" x14ac:dyDescent="0.3">
      <c r="A330" s="68"/>
      <c r="B330" s="68"/>
      <c r="C330" s="105" t="s">
        <v>243</v>
      </c>
      <c r="D330" s="75">
        <v>0</v>
      </c>
      <c r="E330" s="75"/>
      <c r="F330" s="76"/>
      <c r="G330" s="74">
        <v>0</v>
      </c>
      <c r="H330" s="75"/>
      <c r="I330" s="76"/>
      <c r="J330" s="74">
        <v>0</v>
      </c>
      <c r="K330" s="75"/>
      <c r="L330" s="76"/>
      <c r="M330" s="74">
        <v>0</v>
      </c>
      <c r="N330" s="75"/>
      <c r="O330" s="76"/>
      <c r="P330" s="74">
        <v>0</v>
      </c>
      <c r="Q330" s="75"/>
      <c r="R330" s="76"/>
      <c r="S330" s="74">
        <v>0</v>
      </c>
      <c r="T330" s="75"/>
      <c r="U330" s="76"/>
      <c r="V330" s="74">
        <v>0</v>
      </c>
      <c r="W330" s="75"/>
      <c r="X330" s="76"/>
      <c r="Y330" s="74">
        <v>0</v>
      </c>
      <c r="Z330" s="75"/>
      <c r="AA330" s="76"/>
      <c r="AB330" s="74">
        <v>0</v>
      </c>
      <c r="AC330" s="75"/>
      <c r="AD330" s="76"/>
      <c r="AE330" s="74">
        <v>0</v>
      </c>
      <c r="AF330" s="75"/>
      <c r="AG330" s="76"/>
    </row>
    <row r="331" spans="1:33" ht="15.75" thickBot="1" x14ac:dyDescent="0.3">
      <c r="A331" s="68"/>
      <c r="B331" s="68"/>
      <c r="C331" s="106" t="s">
        <v>244</v>
      </c>
      <c r="D331" s="82">
        <v>0</v>
      </c>
      <c r="E331" s="82"/>
      <c r="F331" s="84"/>
      <c r="G331" s="85">
        <v>0</v>
      </c>
      <c r="H331" s="82"/>
      <c r="I331" s="84"/>
      <c r="J331" s="85">
        <v>0</v>
      </c>
      <c r="K331" s="82"/>
      <c r="L331" s="84"/>
      <c r="M331" s="85">
        <v>0</v>
      </c>
      <c r="N331" s="82"/>
      <c r="O331" s="82"/>
      <c r="P331" s="81">
        <v>0</v>
      </c>
      <c r="Q331" s="82"/>
      <c r="R331" s="83"/>
      <c r="S331" s="82">
        <v>0</v>
      </c>
      <c r="T331" s="82"/>
      <c r="U331" s="84"/>
      <c r="V331" s="85">
        <v>0</v>
      </c>
      <c r="W331" s="82"/>
      <c r="X331" s="84"/>
      <c r="Y331" s="85">
        <v>0</v>
      </c>
      <c r="Z331" s="82"/>
      <c r="AA331" s="84"/>
      <c r="AB331" s="85">
        <v>0</v>
      </c>
      <c r="AC331" s="82"/>
      <c r="AD331" s="84"/>
      <c r="AE331" s="85">
        <v>0</v>
      </c>
      <c r="AF331" s="82"/>
      <c r="AG331" s="84"/>
    </row>
    <row r="332" spans="1:33" ht="15.75" thickBot="1" x14ac:dyDescent="0.3">
      <c r="A332" s="68"/>
      <c r="B332" s="68"/>
      <c r="C332" s="107" t="s">
        <v>37</v>
      </c>
      <c r="D332" s="104"/>
      <c r="E332" s="86"/>
      <c r="F332" s="89"/>
      <c r="G332" s="86"/>
      <c r="H332" s="86"/>
      <c r="I332" s="89"/>
      <c r="J332" s="86"/>
      <c r="K332" s="86"/>
      <c r="L332" s="89"/>
      <c r="M332" s="86"/>
      <c r="N332" s="86"/>
      <c r="O332" s="89"/>
      <c r="P332" s="86"/>
      <c r="Q332" s="86"/>
      <c r="R332" s="89"/>
      <c r="S332" s="86"/>
      <c r="T332" s="86"/>
      <c r="U332" s="89"/>
      <c r="V332" s="86"/>
      <c r="W332" s="86"/>
      <c r="X332" s="89"/>
      <c r="Y332" s="86"/>
      <c r="Z332" s="86"/>
      <c r="AA332" s="89"/>
      <c r="AB332" s="86"/>
      <c r="AC332" s="86"/>
      <c r="AD332" s="89"/>
      <c r="AE332" s="86"/>
      <c r="AF332" s="86"/>
      <c r="AG332" s="89"/>
    </row>
    <row r="333" spans="1:33" ht="15.75" thickBot="1" x14ac:dyDescent="0.3">
      <c r="A333" s="68"/>
      <c r="B333" s="68"/>
      <c r="D333" s="87"/>
      <c r="E333" s="87"/>
      <c r="F333" s="90"/>
      <c r="G333" s="87"/>
      <c r="H333" s="87"/>
      <c r="I333" s="90"/>
      <c r="J333" s="87"/>
      <c r="K333" s="87"/>
      <c r="L333" s="90"/>
      <c r="M333" s="87"/>
      <c r="N333" s="87"/>
      <c r="O333" s="90"/>
      <c r="P333" s="87"/>
      <c r="Q333" s="87"/>
      <c r="R333" s="90"/>
      <c r="S333" s="87"/>
      <c r="T333" s="87"/>
      <c r="U333" s="90"/>
      <c r="V333" s="87"/>
      <c r="W333" s="87"/>
      <c r="X333" s="90"/>
      <c r="Y333" s="87"/>
      <c r="Z333" s="87"/>
      <c r="AA333" s="90"/>
      <c r="AB333" s="87"/>
      <c r="AC333" s="87"/>
      <c r="AD333" s="90"/>
      <c r="AE333" s="87"/>
      <c r="AF333" s="87"/>
      <c r="AG333" s="90"/>
    </row>
    <row r="334" spans="1:33" ht="15.75" thickBot="1" x14ac:dyDescent="0.3">
      <c r="A334" s="68"/>
      <c r="B334" s="68"/>
      <c r="D334" s="88"/>
      <c r="E334" s="88"/>
      <c r="F334" s="91"/>
      <c r="G334" s="88"/>
      <c r="H334" s="88"/>
      <c r="I334" s="91"/>
      <c r="J334" s="88"/>
      <c r="K334" s="88"/>
      <c r="L334" s="91"/>
      <c r="M334" s="88"/>
      <c r="N334" s="88"/>
      <c r="O334" s="91"/>
      <c r="P334" s="88"/>
      <c r="Q334" s="88"/>
      <c r="R334" s="91"/>
      <c r="S334" s="88"/>
      <c r="T334" s="88"/>
      <c r="U334" s="91"/>
      <c r="V334" s="88"/>
      <c r="W334" s="88"/>
      <c r="X334" s="91"/>
      <c r="Y334" s="88"/>
      <c r="Z334" s="88"/>
      <c r="AA334" s="91"/>
      <c r="AB334" s="88"/>
      <c r="AC334" s="88"/>
      <c r="AD334" s="91"/>
      <c r="AE334" s="88"/>
      <c r="AF334" s="88"/>
      <c r="AG334" s="91"/>
    </row>
    <row r="336" spans="1:33" ht="15.75" thickBot="1" x14ac:dyDescent="0.3"/>
    <row r="337" spans="1:33" ht="15.75" thickBot="1" x14ac:dyDescent="0.3">
      <c r="A337" s="68" t="s">
        <v>102</v>
      </c>
      <c r="B337" s="68"/>
      <c r="D337" s="52" t="s">
        <v>27</v>
      </c>
      <c r="E337" s="52"/>
      <c r="F337" s="52"/>
      <c r="G337" s="73" t="s">
        <v>28</v>
      </c>
      <c r="H337" s="73"/>
      <c r="I337" s="73"/>
      <c r="J337" s="52" t="s">
        <v>29</v>
      </c>
      <c r="K337" s="52"/>
      <c r="L337" s="52"/>
      <c r="M337" s="73" t="s">
        <v>30</v>
      </c>
      <c r="N337" s="73"/>
      <c r="O337" s="73"/>
      <c r="P337" s="52" t="s">
        <v>31</v>
      </c>
      <c r="Q337" s="52"/>
      <c r="R337" s="52"/>
      <c r="S337" s="73" t="s">
        <v>32</v>
      </c>
      <c r="T337" s="73"/>
      <c r="U337" s="73"/>
      <c r="V337" s="52" t="s">
        <v>33</v>
      </c>
      <c r="W337" s="52"/>
      <c r="X337" s="52"/>
      <c r="Y337" s="73" t="s">
        <v>34</v>
      </c>
      <c r="Z337" s="73"/>
      <c r="AA337" s="73"/>
      <c r="AB337" s="52" t="s">
        <v>35</v>
      </c>
      <c r="AC337" s="52"/>
      <c r="AD337" s="52"/>
      <c r="AE337" s="73" t="s">
        <v>36</v>
      </c>
      <c r="AF337" s="73"/>
      <c r="AG337" s="73"/>
    </row>
    <row r="338" spans="1:33" ht="15.75" thickBot="1" x14ac:dyDescent="0.3">
      <c r="A338" s="68"/>
      <c r="B338" s="68"/>
      <c r="C338" s="105" t="s">
        <v>243</v>
      </c>
      <c r="D338" s="75">
        <v>0</v>
      </c>
      <c r="E338" s="75"/>
      <c r="F338" s="76"/>
      <c r="G338" s="74">
        <v>0</v>
      </c>
      <c r="H338" s="75"/>
      <c r="I338" s="76"/>
      <c r="J338" s="74">
        <v>0</v>
      </c>
      <c r="K338" s="75"/>
      <c r="L338" s="76"/>
      <c r="M338" s="74">
        <v>0</v>
      </c>
      <c r="N338" s="75"/>
      <c r="O338" s="76"/>
      <c r="P338" s="74">
        <v>0</v>
      </c>
      <c r="Q338" s="75"/>
      <c r="R338" s="76"/>
      <c r="S338" s="74">
        <v>0</v>
      </c>
      <c r="T338" s="75"/>
      <c r="U338" s="76"/>
      <c r="V338" s="74">
        <v>0</v>
      </c>
      <c r="W338" s="75"/>
      <c r="X338" s="76"/>
      <c r="Y338" s="74">
        <v>0</v>
      </c>
      <c r="Z338" s="75"/>
      <c r="AA338" s="76"/>
      <c r="AB338" s="74">
        <v>0</v>
      </c>
      <c r="AC338" s="75"/>
      <c r="AD338" s="76"/>
      <c r="AE338" s="74">
        <v>0</v>
      </c>
      <c r="AF338" s="75"/>
      <c r="AG338" s="76"/>
    </row>
    <row r="339" spans="1:33" ht="15.75" thickBot="1" x14ac:dyDescent="0.3">
      <c r="A339" s="68"/>
      <c r="B339" s="68"/>
      <c r="C339" s="106" t="s">
        <v>244</v>
      </c>
      <c r="D339" s="82">
        <v>0</v>
      </c>
      <c r="E339" s="82"/>
      <c r="F339" s="84"/>
      <c r="G339" s="85">
        <v>0</v>
      </c>
      <c r="H339" s="82"/>
      <c r="I339" s="84"/>
      <c r="J339" s="85">
        <v>0</v>
      </c>
      <c r="K339" s="82"/>
      <c r="L339" s="84"/>
      <c r="M339" s="85">
        <v>0</v>
      </c>
      <c r="N339" s="82"/>
      <c r="O339" s="82"/>
      <c r="P339" s="81">
        <v>0</v>
      </c>
      <c r="Q339" s="82"/>
      <c r="R339" s="83"/>
      <c r="S339" s="82">
        <v>0</v>
      </c>
      <c r="T339" s="82"/>
      <c r="U339" s="84"/>
      <c r="V339" s="85">
        <v>0</v>
      </c>
      <c r="W339" s="82"/>
      <c r="X339" s="84"/>
      <c r="Y339" s="85">
        <v>0</v>
      </c>
      <c r="Z339" s="82"/>
      <c r="AA339" s="84"/>
      <c r="AB339" s="85">
        <v>0</v>
      </c>
      <c r="AC339" s="82"/>
      <c r="AD339" s="84"/>
      <c r="AE339" s="85">
        <v>0</v>
      </c>
      <c r="AF339" s="82"/>
      <c r="AG339" s="84"/>
    </row>
    <row r="340" spans="1:33" ht="15.75" thickBot="1" x14ac:dyDescent="0.3">
      <c r="A340" s="68"/>
      <c r="B340" s="68"/>
      <c r="C340" s="107" t="s">
        <v>37</v>
      </c>
      <c r="D340" s="104"/>
      <c r="E340" s="86"/>
      <c r="F340" s="89"/>
      <c r="G340" s="86"/>
      <c r="H340" s="86"/>
      <c r="I340" s="89"/>
      <c r="J340" s="86"/>
      <c r="K340" s="86"/>
      <c r="L340" s="89"/>
      <c r="M340" s="86"/>
      <c r="N340" s="86"/>
      <c r="O340" s="89"/>
      <c r="P340" s="86"/>
      <c r="Q340" s="86"/>
      <c r="R340" s="89"/>
      <c r="S340" s="86"/>
      <c r="T340" s="86"/>
      <c r="U340" s="89"/>
      <c r="V340" s="86"/>
      <c r="W340" s="86"/>
      <c r="X340" s="89"/>
      <c r="Y340" s="86"/>
      <c r="Z340" s="86"/>
      <c r="AA340" s="89"/>
      <c r="AB340" s="86"/>
      <c r="AC340" s="86"/>
      <c r="AD340" s="89"/>
      <c r="AE340" s="86"/>
      <c r="AF340" s="86"/>
      <c r="AG340" s="89"/>
    </row>
    <row r="341" spans="1:33" ht="15.75" thickBot="1" x14ac:dyDescent="0.3">
      <c r="A341" s="68"/>
      <c r="B341" s="68"/>
      <c r="D341" s="87"/>
      <c r="E341" s="87"/>
      <c r="F341" s="90"/>
      <c r="G341" s="87"/>
      <c r="H341" s="87"/>
      <c r="I341" s="90"/>
      <c r="J341" s="87"/>
      <c r="K341" s="87"/>
      <c r="L341" s="90"/>
      <c r="M341" s="87"/>
      <c r="N341" s="87"/>
      <c r="O341" s="90"/>
      <c r="P341" s="87"/>
      <c r="Q341" s="87"/>
      <c r="R341" s="90"/>
      <c r="S341" s="87"/>
      <c r="T341" s="87"/>
      <c r="U341" s="90"/>
      <c r="V341" s="87"/>
      <c r="W341" s="87"/>
      <c r="X341" s="90"/>
      <c r="Y341" s="87"/>
      <c r="Z341" s="87"/>
      <c r="AA341" s="90"/>
      <c r="AB341" s="87"/>
      <c r="AC341" s="87"/>
      <c r="AD341" s="90"/>
      <c r="AE341" s="87"/>
      <c r="AF341" s="87"/>
      <c r="AG341" s="90"/>
    </row>
    <row r="342" spans="1:33" ht="15.75" thickBot="1" x14ac:dyDescent="0.3">
      <c r="A342" s="68"/>
      <c r="B342" s="68"/>
      <c r="D342" s="88"/>
      <c r="E342" s="88"/>
      <c r="F342" s="91"/>
      <c r="G342" s="88"/>
      <c r="H342" s="88"/>
      <c r="I342" s="91"/>
      <c r="J342" s="88"/>
      <c r="K342" s="88"/>
      <c r="L342" s="91"/>
      <c r="M342" s="88"/>
      <c r="N342" s="88"/>
      <c r="O342" s="91"/>
      <c r="P342" s="88"/>
      <c r="Q342" s="88"/>
      <c r="R342" s="91"/>
      <c r="S342" s="88"/>
      <c r="T342" s="88"/>
      <c r="U342" s="91"/>
      <c r="V342" s="88"/>
      <c r="W342" s="88"/>
      <c r="X342" s="91"/>
      <c r="Y342" s="88"/>
      <c r="Z342" s="88"/>
      <c r="AA342" s="91"/>
      <c r="AB342" s="88"/>
      <c r="AC342" s="88"/>
      <c r="AD342" s="91"/>
      <c r="AE342" s="88"/>
      <c r="AF342" s="88"/>
      <c r="AG342" s="91"/>
    </row>
    <row r="344" spans="1:33" ht="15.75" thickBot="1" x14ac:dyDescent="0.3"/>
    <row r="345" spans="1:33" ht="15.75" thickBot="1" x14ac:dyDescent="0.3">
      <c r="A345" s="68" t="s">
        <v>103</v>
      </c>
      <c r="B345" s="68"/>
      <c r="D345" s="52" t="s">
        <v>27</v>
      </c>
      <c r="E345" s="52"/>
      <c r="F345" s="52"/>
      <c r="G345" s="73" t="s">
        <v>28</v>
      </c>
      <c r="H345" s="73"/>
      <c r="I345" s="73"/>
      <c r="J345" s="52" t="s">
        <v>29</v>
      </c>
      <c r="K345" s="52"/>
      <c r="L345" s="52"/>
      <c r="M345" s="73" t="s">
        <v>30</v>
      </c>
      <c r="N345" s="73"/>
      <c r="O345" s="73"/>
      <c r="P345" s="52" t="s">
        <v>31</v>
      </c>
      <c r="Q345" s="52"/>
      <c r="R345" s="52"/>
      <c r="S345" s="73" t="s">
        <v>32</v>
      </c>
      <c r="T345" s="73"/>
      <c r="U345" s="73"/>
      <c r="V345" s="52" t="s">
        <v>33</v>
      </c>
      <c r="W345" s="52"/>
      <c r="X345" s="52"/>
      <c r="Y345" s="73" t="s">
        <v>34</v>
      </c>
      <c r="Z345" s="73"/>
      <c r="AA345" s="73"/>
      <c r="AB345" s="52" t="s">
        <v>35</v>
      </c>
      <c r="AC345" s="52"/>
      <c r="AD345" s="52"/>
      <c r="AE345" s="73" t="s">
        <v>36</v>
      </c>
      <c r="AF345" s="73"/>
      <c r="AG345" s="73"/>
    </row>
    <row r="346" spans="1:33" ht="15.75" thickBot="1" x14ac:dyDescent="0.3">
      <c r="A346" s="68"/>
      <c r="B346" s="68"/>
      <c r="C346" s="105" t="s">
        <v>243</v>
      </c>
      <c r="D346" s="75">
        <v>0</v>
      </c>
      <c r="E346" s="75"/>
      <c r="F346" s="76"/>
      <c r="G346" s="74">
        <v>0</v>
      </c>
      <c r="H346" s="75"/>
      <c r="I346" s="76"/>
      <c r="J346" s="74">
        <v>0</v>
      </c>
      <c r="K346" s="75"/>
      <c r="L346" s="76"/>
      <c r="M346" s="74">
        <v>0</v>
      </c>
      <c r="N346" s="75"/>
      <c r="O346" s="76"/>
      <c r="P346" s="74">
        <v>0</v>
      </c>
      <c r="Q346" s="75"/>
      <c r="R346" s="76"/>
      <c r="S346" s="74">
        <v>0</v>
      </c>
      <c r="T346" s="75"/>
      <c r="U346" s="76"/>
      <c r="V346" s="74">
        <v>0</v>
      </c>
      <c r="W346" s="75"/>
      <c r="X346" s="76"/>
      <c r="Y346" s="74">
        <v>0</v>
      </c>
      <c r="Z346" s="75"/>
      <c r="AA346" s="76"/>
      <c r="AB346" s="74">
        <v>0</v>
      </c>
      <c r="AC346" s="75"/>
      <c r="AD346" s="76"/>
      <c r="AE346" s="74">
        <v>0</v>
      </c>
      <c r="AF346" s="75"/>
      <c r="AG346" s="76"/>
    </row>
    <row r="347" spans="1:33" ht="15.75" thickBot="1" x14ac:dyDescent="0.3">
      <c r="A347" s="68"/>
      <c r="B347" s="68"/>
      <c r="C347" s="106" t="s">
        <v>244</v>
      </c>
      <c r="D347" s="82">
        <v>0</v>
      </c>
      <c r="E347" s="82"/>
      <c r="F347" s="84"/>
      <c r="G347" s="85">
        <v>0</v>
      </c>
      <c r="H347" s="82"/>
      <c r="I347" s="84"/>
      <c r="J347" s="85">
        <v>0</v>
      </c>
      <c r="K347" s="82"/>
      <c r="L347" s="84"/>
      <c r="M347" s="85">
        <v>0</v>
      </c>
      <c r="N347" s="82"/>
      <c r="O347" s="82"/>
      <c r="P347" s="81">
        <v>1</v>
      </c>
      <c r="Q347" s="82"/>
      <c r="R347" s="83"/>
      <c r="S347" s="82">
        <v>1</v>
      </c>
      <c r="T347" s="82"/>
      <c r="U347" s="84"/>
      <c r="V347" s="85">
        <v>1</v>
      </c>
      <c r="W347" s="82"/>
      <c r="X347" s="84"/>
      <c r="Y347" s="85">
        <v>1</v>
      </c>
      <c r="Z347" s="82"/>
      <c r="AA347" s="84"/>
      <c r="AB347" s="85">
        <v>1</v>
      </c>
      <c r="AC347" s="82"/>
      <c r="AD347" s="84"/>
      <c r="AE347" s="85">
        <v>1</v>
      </c>
      <c r="AF347" s="82"/>
      <c r="AG347" s="84"/>
    </row>
    <row r="348" spans="1:33" ht="15.75" thickBot="1" x14ac:dyDescent="0.3">
      <c r="A348" s="68"/>
      <c r="B348" s="68"/>
      <c r="C348" s="107" t="s">
        <v>37</v>
      </c>
      <c r="D348" s="104"/>
      <c r="E348" s="86"/>
      <c r="F348" s="89"/>
      <c r="G348" s="86"/>
      <c r="H348" s="86"/>
      <c r="I348" s="89"/>
      <c r="J348" s="86"/>
      <c r="K348" s="86"/>
      <c r="L348" s="89"/>
      <c r="M348" s="86"/>
      <c r="N348" s="86"/>
      <c r="O348" s="89"/>
      <c r="P348" s="86" t="s">
        <v>7</v>
      </c>
      <c r="Q348" s="86"/>
      <c r="R348" s="89">
        <v>1</v>
      </c>
      <c r="S348" s="86" t="s">
        <v>7</v>
      </c>
      <c r="T348" s="86"/>
      <c r="U348" s="89">
        <v>1</v>
      </c>
      <c r="V348" s="86" t="s">
        <v>7</v>
      </c>
      <c r="W348" s="86"/>
      <c r="X348" s="89">
        <v>1</v>
      </c>
      <c r="Y348" s="86" t="s">
        <v>7</v>
      </c>
      <c r="Z348" s="86"/>
      <c r="AA348" s="89">
        <v>1</v>
      </c>
      <c r="AB348" s="86"/>
      <c r="AC348" s="86"/>
      <c r="AD348" s="89"/>
      <c r="AE348" s="86"/>
      <c r="AF348" s="86"/>
      <c r="AG348" s="89"/>
    </row>
    <row r="349" spans="1:33" ht="15.75" thickBot="1" x14ac:dyDescent="0.3">
      <c r="A349" s="68"/>
      <c r="B349" s="68"/>
      <c r="D349" s="87"/>
      <c r="E349" s="87"/>
      <c r="F349" s="90"/>
      <c r="G349" s="87"/>
      <c r="H349" s="87"/>
      <c r="I349" s="90"/>
      <c r="J349" s="87"/>
      <c r="K349" s="87"/>
      <c r="L349" s="90"/>
      <c r="M349" s="87"/>
      <c r="N349" s="87"/>
      <c r="O349" s="90"/>
      <c r="P349" s="87"/>
      <c r="Q349" s="87"/>
      <c r="R349" s="90"/>
      <c r="S349" s="87" t="s">
        <v>9</v>
      </c>
      <c r="T349" s="87"/>
      <c r="U349" s="90">
        <v>1</v>
      </c>
      <c r="V349" s="87" t="s">
        <v>9</v>
      </c>
      <c r="W349" s="87"/>
      <c r="X349" s="90">
        <v>1</v>
      </c>
      <c r="Y349" s="87" t="s">
        <v>9</v>
      </c>
      <c r="Z349" s="87"/>
      <c r="AA349" s="90">
        <v>2</v>
      </c>
      <c r="AB349" s="87"/>
      <c r="AC349" s="87"/>
      <c r="AD349" s="90"/>
      <c r="AE349" s="87"/>
      <c r="AF349" s="87"/>
      <c r="AG349" s="90"/>
    </row>
    <row r="350" spans="1:33" ht="15.75" thickBot="1" x14ac:dyDescent="0.3">
      <c r="A350" s="68"/>
      <c r="B350" s="68"/>
      <c r="D350" s="88"/>
      <c r="E350" s="88"/>
      <c r="F350" s="91"/>
      <c r="G350" s="88"/>
      <c r="H350" s="88"/>
      <c r="I350" s="91"/>
      <c r="J350" s="88"/>
      <c r="K350" s="88"/>
      <c r="L350" s="91"/>
      <c r="M350" s="88"/>
      <c r="N350" s="88"/>
      <c r="O350" s="91"/>
      <c r="P350" s="88"/>
      <c r="Q350" s="88"/>
      <c r="R350" s="91"/>
      <c r="S350" s="88"/>
      <c r="T350" s="88"/>
      <c r="U350" s="91"/>
      <c r="V350" s="88"/>
      <c r="W350" s="88"/>
      <c r="X350" s="91"/>
      <c r="Y350" s="88"/>
      <c r="Z350" s="88"/>
      <c r="AA350" s="91"/>
      <c r="AB350" s="88"/>
      <c r="AC350" s="88"/>
      <c r="AD350" s="91"/>
      <c r="AE350" s="88"/>
      <c r="AF350" s="88"/>
      <c r="AG350" s="91"/>
    </row>
    <row r="352" spans="1:33" ht="15.75" thickBot="1" x14ac:dyDescent="0.3"/>
    <row r="353" spans="1:33" ht="15.75" thickBot="1" x14ac:dyDescent="0.3">
      <c r="A353" s="68" t="s">
        <v>263</v>
      </c>
      <c r="B353" s="68"/>
      <c r="D353" s="52" t="s">
        <v>27</v>
      </c>
      <c r="E353" s="52"/>
      <c r="F353" s="52"/>
      <c r="G353" s="73" t="s">
        <v>28</v>
      </c>
      <c r="H353" s="73"/>
      <c r="I353" s="73"/>
      <c r="J353" s="52" t="s">
        <v>29</v>
      </c>
      <c r="K353" s="52"/>
      <c r="L353" s="52"/>
      <c r="M353" s="73" t="s">
        <v>30</v>
      </c>
      <c r="N353" s="73"/>
      <c r="O353" s="73"/>
      <c r="P353" s="52" t="s">
        <v>31</v>
      </c>
      <c r="Q353" s="52"/>
      <c r="R353" s="52"/>
      <c r="S353" s="73" t="s">
        <v>32</v>
      </c>
      <c r="T353" s="73"/>
      <c r="U353" s="73"/>
      <c r="V353" s="52" t="s">
        <v>33</v>
      </c>
      <c r="W353" s="52"/>
      <c r="X353" s="52"/>
      <c r="Y353" s="73" t="s">
        <v>34</v>
      </c>
      <c r="Z353" s="73"/>
      <c r="AA353" s="73"/>
      <c r="AB353" s="52" t="s">
        <v>35</v>
      </c>
      <c r="AC353" s="52"/>
      <c r="AD353" s="52"/>
      <c r="AE353" s="73" t="s">
        <v>36</v>
      </c>
      <c r="AF353" s="73"/>
      <c r="AG353" s="73"/>
    </row>
    <row r="354" spans="1:33" ht="15.75" thickBot="1" x14ac:dyDescent="0.3">
      <c r="A354" s="68"/>
      <c r="B354" s="68"/>
      <c r="C354" s="105" t="s">
        <v>243</v>
      </c>
      <c r="D354" s="75">
        <v>0</v>
      </c>
      <c r="E354" s="75"/>
      <c r="F354" s="76"/>
      <c r="G354" s="74">
        <v>0</v>
      </c>
      <c r="H354" s="75"/>
      <c r="I354" s="76"/>
      <c r="J354" s="74">
        <v>0</v>
      </c>
      <c r="K354" s="75"/>
      <c r="L354" s="76"/>
      <c r="M354" s="74">
        <v>0</v>
      </c>
      <c r="N354" s="75"/>
      <c r="O354" s="76"/>
      <c r="P354" s="74">
        <v>0</v>
      </c>
      <c r="Q354" s="75"/>
      <c r="R354" s="76"/>
      <c r="S354" s="74">
        <v>0</v>
      </c>
      <c r="T354" s="75"/>
      <c r="U354" s="76"/>
      <c r="V354" s="74">
        <v>0</v>
      </c>
      <c r="W354" s="75"/>
      <c r="X354" s="76"/>
      <c r="Y354" s="74">
        <v>0</v>
      </c>
      <c r="Z354" s="75"/>
      <c r="AA354" s="76"/>
      <c r="AB354" s="74">
        <v>0</v>
      </c>
      <c r="AC354" s="75"/>
      <c r="AD354" s="76"/>
      <c r="AE354" s="74">
        <v>0</v>
      </c>
      <c r="AF354" s="75"/>
      <c r="AG354" s="76"/>
    </row>
    <row r="355" spans="1:33" ht="15.75" thickBot="1" x14ac:dyDescent="0.3">
      <c r="A355" s="68"/>
      <c r="B355" s="68"/>
      <c r="C355" s="106" t="s">
        <v>244</v>
      </c>
      <c r="D355" s="82">
        <v>0</v>
      </c>
      <c r="E355" s="82"/>
      <c r="F355" s="84"/>
      <c r="G355" s="85">
        <v>0</v>
      </c>
      <c r="H355" s="82"/>
      <c r="I355" s="84"/>
      <c r="J355" s="85">
        <v>0</v>
      </c>
      <c r="K355" s="82"/>
      <c r="L355" s="84"/>
      <c r="M355" s="85">
        <v>0</v>
      </c>
      <c r="N355" s="82"/>
      <c r="O355" s="82"/>
      <c r="P355" s="81">
        <v>0</v>
      </c>
      <c r="Q355" s="82"/>
      <c r="R355" s="83"/>
      <c r="S355" s="82">
        <v>0</v>
      </c>
      <c r="T355" s="82"/>
      <c r="U355" s="84"/>
      <c r="V355" s="85">
        <v>0</v>
      </c>
      <c r="W355" s="82"/>
      <c r="X355" s="84"/>
      <c r="Y355" s="85">
        <v>0</v>
      </c>
      <c r="Z355" s="82"/>
      <c r="AA355" s="84"/>
      <c r="AB355" s="85">
        <v>0</v>
      </c>
      <c r="AC355" s="82"/>
      <c r="AD355" s="84"/>
      <c r="AE355" s="85">
        <v>0</v>
      </c>
      <c r="AF355" s="82"/>
      <c r="AG355" s="84"/>
    </row>
    <row r="356" spans="1:33" ht="15.75" thickBot="1" x14ac:dyDescent="0.3">
      <c r="A356" s="68"/>
      <c r="B356" s="68"/>
      <c r="C356" s="107" t="s">
        <v>37</v>
      </c>
      <c r="D356" s="104"/>
      <c r="E356" s="86"/>
      <c r="F356" s="89"/>
      <c r="G356" s="86"/>
      <c r="H356" s="86"/>
      <c r="I356" s="89"/>
      <c r="J356" s="86"/>
      <c r="K356" s="86"/>
      <c r="L356" s="89"/>
      <c r="M356" s="86"/>
      <c r="N356" s="86"/>
      <c r="O356" s="89"/>
      <c r="P356" s="86"/>
      <c r="Q356" s="86"/>
      <c r="R356" s="89"/>
      <c r="S356" s="86"/>
      <c r="T356" s="86"/>
      <c r="U356" s="89"/>
      <c r="V356" s="86"/>
      <c r="W356" s="86"/>
      <c r="X356" s="89"/>
      <c r="Y356" s="86"/>
      <c r="Z356" s="86"/>
      <c r="AA356" s="89"/>
      <c r="AB356" s="86"/>
      <c r="AC356" s="86"/>
      <c r="AD356" s="89"/>
      <c r="AE356" s="86"/>
      <c r="AF356" s="86"/>
      <c r="AG356" s="89"/>
    </row>
    <row r="357" spans="1:33" ht="15.75" thickBot="1" x14ac:dyDescent="0.3">
      <c r="A357" s="68"/>
      <c r="B357" s="68"/>
      <c r="D357" s="87"/>
      <c r="E357" s="87"/>
      <c r="F357" s="90"/>
      <c r="G357" s="87"/>
      <c r="H357" s="87"/>
      <c r="I357" s="90"/>
      <c r="J357" s="87"/>
      <c r="K357" s="87"/>
      <c r="L357" s="90"/>
      <c r="M357" s="87"/>
      <c r="N357" s="87"/>
      <c r="O357" s="90"/>
      <c r="P357" s="87"/>
      <c r="Q357" s="87"/>
      <c r="R357" s="90"/>
      <c r="S357" s="87"/>
      <c r="T357" s="87"/>
      <c r="U357" s="90"/>
      <c r="V357" s="87"/>
      <c r="W357" s="87"/>
      <c r="X357" s="90"/>
      <c r="Y357" s="87"/>
      <c r="Z357" s="87"/>
      <c r="AA357" s="90"/>
      <c r="AB357" s="87"/>
      <c r="AC357" s="87"/>
      <c r="AD357" s="90"/>
      <c r="AE357" s="87"/>
      <c r="AF357" s="87"/>
      <c r="AG357" s="90"/>
    </row>
    <row r="358" spans="1:33" ht="15.75" thickBot="1" x14ac:dyDescent="0.3">
      <c r="A358" s="68"/>
      <c r="B358" s="68"/>
      <c r="D358" s="88"/>
      <c r="E358" s="88"/>
      <c r="F358" s="91"/>
      <c r="G358" s="88"/>
      <c r="H358" s="88"/>
      <c r="I358" s="91"/>
      <c r="J358" s="88"/>
      <c r="K358" s="88"/>
      <c r="L358" s="91"/>
      <c r="M358" s="88"/>
      <c r="N358" s="88"/>
      <c r="O358" s="91"/>
      <c r="P358" s="88"/>
      <c r="Q358" s="88"/>
      <c r="R358" s="91"/>
      <c r="S358" s="88"/>
      <c r="T358" s="88"/>
      <c r="U358" s="91"/>
      <c r="V358" s="88"/>
      <c r="W358" s="88"/>
      <c r="X358" s="91"/>
      <c r="Y358" s="88"/>
      <c r="Z358" s="88"/>
      <c r="AA358" s="91"/>
      <c r="AB358" s="88"/>
      <c r="AC358" s="88"/>
      <c r="AD358" s="91"/>
      <c r="AE358" s="88"/>
      <c r="AF358" s="88"/>
      <c r="AG358" s="91"/>
    </row>
    <row r="360" spans="1:33" ht="15.75" thickBot="1" x14ac:dyDescent="0.3"/>
    <row r="361" spans="1:33" ht="15.75" thickBot="1" x14ac:dyDescent="0.3">
      <c r="A361" s="68" t="s">
        <v>104</v>
      </c>
      <c r="B361" s="68"/>
      <c r="D361" s="52" t="s">
        <v>27</v>
      </c>
      <c r="E361" s="52"/>
      <c r="F361" s="52"/>
      <c r="G361" s="73" t="s">
        <v>28</v>
      </c>
      <c r="H361" s="73"/>
      <c r="I361" s="73"/>
      <c r="J361" s="52" t="s">
        <v>29</v>
      </c>
      <c r="K361" s="52"/>
      <c r="L361" s="52"/>
      <c r="M361" s="73" t="s">
        <v>30</v>
      </c>
      <c r="N361" s="73"/>
      <c r="O361" s="73"/>
      <c r="P361" s="52" t="s">
        <v>31</v>
      </c>
      <c r="Q361" s="52"/>
      <c r="R361" s="52"/>
      <c r="S361" s="73" t="s">
        <v>32</v>
      </c>
      <c r="T361" s="73"/>
      <c r="U361" s="73"/>
      <c r="V361" s="52" t="s">
        <v>33</v>
      </c>
      <c r="W361" s="52"/>
      <c r="X361" s="52"/>
      <c r="Y361" s="73" t="s">
        <v>34</v>
      </c>
      <c r="Z361" s="73"/>
      <c r="AA361" s="73"/>
      <c r="AB361" s="52" t="s">
        <v>35</v>
      </c>
      <c r="AC361" s="52"/>
      <c r="AD361" s="52"/>
      <c r="AE361" s="73" t="s">
        <v>36</v>
      </c>
      <c r="AF361" s="73"/>
      <c r="AG361" s="73"/>
    </row>
    <row r="362" spans="1:33" ht="15.75" thickBot="1" x14ac:dyDescent="0.3">
      <c r="A362" s="68"/>
      <c r="B362" s="68"/>
      <c r="C362" s="105" t="s">
        <v>243</v>
      </c>
      <c r="D362" s="75">
        <v>0</v>
      </c>
      <c r="E362" s="75"/>
      <c r="F362" s="76"/>
      <c r="G362" s="74">
        <v>0</v>
      </c>
      <c r="H362" s="75"/>
      <c r="I362" s="76"/>
      <c r="J362" s="74">
        <v>0</v>
      </c>
      <c r="K362" s="75"/>
      <c r="L362" s="76"/>
      <c r="M362" s="74">
        <v>0</v>
      </c>
      <c r="N362" s="75"/>
      <c r="O362" s="76"/>
      <c r="P362" s="74">
        <v>0</v>
      </c>
      <c r="Q362" s="75"/>
      <c r="R362" s="76"/>
      <c r="S362" s="74">
        <v>0</v>
      </c>
      <c r="T362" s="75"/>
      <c r="U362" s="76"/>
      <c r="V362" s="74">
        <v>0</v>
      </c>
      <c r="W362" s="75"/>
      <c r="X362" s="76"/>
      <c r="Y362" s="74">
        <v>0</v>
      </c>
      <c r="Z362" s="75"/>
      <c r="AA362" s="76"/>
      <c r="AB362" s="74">
        <v>0</v>
      </c>
      <c r="AC362" s="75"/>
      <c r="AD362" s="76"/>
      <c r="AE362" s="74">
        <v>0</v>
      </c>
      <c r="AF362" s="75"/>
      <c r="AG362" s="76"/>
    </row>
    <row r="363" spans="1:33" ht="15.75" thickBot="1" x14ac:dyDescent="0.3">
      <c r="A363" s="68"/>
      <c r="B363" s="68"/>
      <c r="C363" s="106" t="s">
        <v>244</v>
      </c>
      <c r="D363" s="82">
        <v>0</v>
      </c>
      <c r="E363" s="82"/>
      <c r="F363" s="84"/>
      <c r="G363" s="85">
        <v>0</v>
      </c>
      <c r="H363" s="82"/>
      <c r="I363" s="84"/>
      <c r="J363" s="85">
        <v>0</v>
      </c>
      <c r="K363" s="82"/>
      <c r="L363" s="84"/>
      <c r="M363" s="85">
        <v>0</v>
      </c>
      <c r="N363" s="82"/>
      <c r="O363" s="82"/>
      <c r="P363" s="81">
        <v>0</v>
      </c>
      <c r="Q363" s="82"/>
      <c r="R363" s="83"/>
      <c r="S363" s="82">
        <v>0</v>
      </c>
      <c r="T363" s="82"/>
      <c r="U363" s="84"/>
      <c r="V363" s="85">
        <v>0</v>
      </c>
      <c r="W363" s="82"/>
      <c r="X363" s="84"/>
      <c r="Y363" s="85">
        <v>0</v>
      </c>
      <c r="Z363" s="82"/>
      <c r="AA363" s="84"/>
      <c r="AB363" s="85">
        <v>0</v>
      </c>
      <c r="AC363" s="82"/>
      <c r="AD363" s="84"/>
      <c r="AE363" s="85">
        <v>0</v>
      </c>
      <c r="AF363" s="82"/>
      <c r="AG363" s="84"/>
    </row>
    <row r="364" spans="1:33" ht="15.75" thickBot="1" x14ac:dyDescent="0.3">
      <c r="A364" s="68"/>
      <c r="B364" s="68"/>
      <c r="C364" s="107" t="s">
        <v>37</v>
      </c>
      <c r="D364" s="104"/>
      <c r="E364" s="86"/>
      <c r="F364" s="89"/>
      <c r="G364" s="86"/>
      <c r="H364" s="86"/>
      <c r="I364" s="89"/>
      <c r="J364" s="86"/>
      <c r="K364" s="86"/>
      <c r="L364" s="89"/>
      <c r="M364" s="86"/>
      <c r="N364" s="86"/>
      <c r="O364" s="89"/>
      <c r="P364" s="86"/>
      <c r="Q364" s="86"/>
      <c r="R364" s="89"/>
      <c r="S364" s="86"/>
      <c r="T364" s="86"/>
      <c r="U364" s="89"/>
      <c r="V364" s="86"/>
      <c r="W364" s="86"/>
      <c r="X364" s="89"/>
      <c r="Y364" s="86"/>
      <c r="Z364" s="86"/>
      <c r="AA364" s="89"/>
      <c r="AB364" s="86"/>
      <c r="AC364" s="86"/>
      <c r="AD364" s="89"/>
      <c r="AE364" s="86"/>
      <c r="AF364" s="86"/>
      <c r="AG364" s="89"/>
    </row>
    <row r="365" spans="1:33" ht="15.75" thickBot="1" x14ac:dyDescent="0.3">
      <c r="A365" s="68"/>
      <c r="B365" s="68"/>
      <c r="D365" s="87"/>
      <c r="E365" s="87"/>
      <c r="F365" s="90"/>
      <c r="G365" s="87"/>
      <c r="H365" s="87"/>
      <c r="I365" s="90"/>
      <c r="J365" s="87"/>
      <c r="K365" s="87"/>
      <c r="L365" s="90"/>
      <c r="M365" s="87"/>
      <c r="N365" s="87"/>
      <c r="O365" s="90"/>
      <c r="P365" s="87"/>
      <c r="Q365" s="87"/>
      <c r="R365" s="90"/>
      <c r="S365" s="87"/>
      <c r="T365" s="87"/>
      <c r="U365" s="90"/>
      <c r="V365" s="87"/>
      <c r="W365" s="87"/>
      <c r="X365" s="90"/>
      <c r="Y365" s="87"/>
      <c r="Z365" s="87"/>
      <c r="AA365" s="90"/>
      <c r="AB365" s="87"/>
      <c r="AC365" s="87"/>
      <c r="AD365" s="90"/>
      <c r="AE365" s="87"/>
      <c r="AF365" s="87"/>
      <c r="AG365" s="90"/>
    </row>
    <row r="366" spans="1:33" ht="15.75" thickBot="1" x14ac:dyDescent="0.3">
      <c r="A366" s="68"/>
      <c r="B366" s="68"/>
      <c r="D366" s="88"/>
      <c r="E366" s="88"/>
      <c r="F366" s="91"/>
      <c r="G366" s="88"/>
      <c r="H366" s="88"/>
      <c r="I366" s="91"/>
      <c r="J366" s="88"/>
      <c r="K366" s="88"/>
      <c r="L366" s="91"/>
      <c r="M366" s="88"/>
      <c r="N366" s="88"/>
      <c r="O366" s="91"/>
      <c r="P366" s="88"/>
      <c r="Q366" s="88"/>
      <c r="R366" s="91"/>
      <c r="S366" s="88"/>
      <c r="T366" s="88"/>
      <c r="U366" s="91"/>
      <c r="V366" s="88"/>
      <c r="W366" s="88"/>
      <c r="X366" s="91"/>
      <c r="Y366" s="88"/>
      <c r="Z366" s="88"/>
      <c r="AA366" s="91"/>
      <c r="AB366" s="88"/>
      <c r="AC366" s="88"/>
      <c r="AD366" s="91"/>
      <c r="AE366" s="88"/>
      <c r="AF366" s="88"/>
      <c r="AG366" s="91"/>
    </row>
    <row r="368" spans="1:33" ht="15.75" thickBot="1" x14ac:dyDescent="0.3"/>
    <row r="369" spans="1:33" ht="15.75" thickBot="1" x14ac:dyDescent="0.3">
      <c r="A369" s="68" t="s">
        <v>264</v>
      </c>
      <c r="B369" s="68"/>
      <c r="D369" s="52" t="s">
        <v>27</v>
      </c>
      <c r="E369" s="52"/>
      <c r="F369" s="52"/>
      <c r="G369" s="73" t="s">
        <v>28</v>
      </c>
      <c r="H369" s="73"/>
      <c r="I369" s="73"/>
      <c r="J369" s="52" t="s">
        <v>29</v>
      </c>
      <c r="K369" s="52"/>
      <c r="L369" s="52"/>
      <c r="M369" s="73" t="s">
        <v>30</v>
      </c>
      <c r="N369" s="73"/>
      <c r="O369" s="73"/>
      <c r="P369" s="52" t="s">
        <v>31</v>
      </c>
      <c r="Q369" s="52"/>
      <c r="R369" s="52"/>
      <c r="S369" s="73" t="s">
        <v>32</v>
      </c>
      <c r="T369" s="73"/>
      <c r="U369" s="73"/>
      <c r="V369" s="52" t="s">
        <v>33</v>
      </c>
      <c r="W369" s="52"/>
      <c r="X369" s="52"/>
      <c r="Y369" s="73" t="s">
        <v>34</v>
      </c>
      <c r="Z369" s="73"/>
      <c r="AA369" s="73"/>
      <c r="AB369" s="52" t="s">
        <v>35</v>
      </c>
      <c r="AC369" s="52"/>
      <c r="AD369" s="52"/>
      <c r="AE369" s="73" t="s">
        <v>36</v>
      </c>
      <c r="AF369" s="73"/>
      <c r="AG369" s="73"/>
    </row>
    <row r="370" spans="1:33" ht="15.75" thickBot="1" x14ac:dyDescent="0.3">
      <c r="A370" s="68"/>
      <c r="B370" s="68"/>
      <c r="C370" s="105" t="s">
        <v>243</v>
      </c>
      <c r="D370" s="75">
        <v>0</v>
      </c>
      <c r="E370" s="75"/>
      <c r="F370" s="76"/>
      <c r="G370" s="74">
        <v>0</v>
      </c>
      <c r="H370" s="75"/>
      <c r="I370" s="76"/>
      <c r="J370" s="74">
        <v>0</v>
      </c>
      <c r="K370" s="75"/>
      <c r="L370" s="76"/>
      <c r="M370" s="74">
        <v>0</v>
      </c>
      <c r="N370" s="75"/>
      <c r="O370" s="76"/>
      <c r="P370" s="74">
        <v>0</v>
      </c>
      <c r="Q370" s="75"/>
      <c r="R370" s="76"/>
      <c r="S370" s="74">
        <v>0</v>
      </c>
      <c r="T370" s="75"/>
      <c r="U370" s="76"/>
      <c r="V370" s="74">
        <v>0</v>
      </c>
      <c r="W370" s="75"/>
      <c r="X370" s="76"/>
      <c r="Y370" s="74">
        <v>0</v>
      </c>
      <c r="Z370" s="75"/>
      <c r="AA370" s="76"/>
      <c r="AB370" s="74">
        <v>0</v>
      </c>
      <c r="AC370" s="75"/>
      <c r="AD370" s="76"/>
      <c r="AE370" s="74">
        <v>0</v>
      </c>
      <c r="AF370" s="75"/>
      <c r="AG370" s="76"/>
    </row>
    <row r="371" spans="1:33" ht="15.75" thickBot="1" x14ac:dyDescent="0.3">
      <c r="A371" s="68"/>
      <c r="B371" s="68"/>
      <c r="C371" s="106" t="s">
        <v>244</v>
      </c>
      <c r="D371" s="82">
        <v>0</v>
      </c>
      <c r="E371" s="82"/>
      <c r="F371" s="84"/>
      <c r="G371" s="85">
        <v>0</v>
      </c>
      <c r="H371" s="82"/>
      <c r="I371" s="84"/>
      <c r="J371" s="85">
        <v>0</v>
      </c>
      <c r="K371" s="82"/>
      <c r="L371" s="84"/>
      <c r="M371" s="85">
        <v>0</v>
      </c>
      <c r="N371" s="82"/>
      <c r="O371" s="82"/>
      <c r="P371" s="81">
        <v>0</v>
      </c>
      <c r="Q371" s="82"/>
      <c r="R371" s="83"/>
      <c r="S371" s="82">
        <v>0</v>
      </c>
      <c r="T371" s="82"/>
      <c r="U371" s="84"/>
      <c r="V371" s="85">
        <v>0</v>
      </c>
      <c r="W371" s="82"/>
      <c r="X371" s="84"/>
      <c r="Y371" s="85">
        <v>0</v>
      </c>
      <c r="Z371" s="82"/>
      <c r="AA371" s="84"/>
      <c r="AB371" s="85">
        <v>0</v>
      </c>
      <c r="AC371" s="82"/>
      <c r="AD371" s="84"/>
      <c r="AE371" s="85">
        <v>0</v>
      </c>
      <c r="AF371" s="82"/>
      <c r="AG371" s="84"/>
    </row>
    <row r="372" spans="1:33" ht="15.75" thickBot="1" x14ac:dyDescent="0.3">
      <c r="A372" s="68"/>
      <c r="B372" s="68"/>
      <c r="C372" s="107" t="s">
        <v>37</v>
      </c>
      <c r="D372" s="104"/>
      <c r="E372" s="86"/>
      <c r="F372" s="89"/>
      <c r="G372" s="86"/>
      <c r="H372" s="86"/>
      <c r="I372" s="89"/>
      <c r="J372" s="86"/>
      <c r="K372" s="86"/>
      <c r="L372" s="89"/>
      <c r="M372" s="86"/>
      <c r="N372" s="86"/>
      <c r="O372" s="89"/>
      <c r="P372" s="86"/>
      <c r="Q372" s="86"/>
      <c r="R372" s="89"/>
      <c r="S372" s="86"/>
      <c r="T372" s="86"/>
      <c r="U372" s="89"/>
      <c r="V372" s="86"/>
      <c r="W372" s="86"/>
      <c r="X372" s="89"/>
      <c r="Y372" s="86"/>
      <c r="Z372" s="86"/>
      <c r="AA372" s="89"/>
      <c r="AB372" s="86"/>
      <c r="AC372" s="86"/>
      <c r="AD372" s="89"/>
      <c r="AE372" s="86"/>
      <c r="AF372" s="86"/>
      <c r="AG372" s="89"/>
    </row>
    <row r="373" spans="1:33" ht="15.75" thickBot="1" x14ac:dyDescent="0.3">
      <c r="A373" s="68"/>
      <c r="B373" s="68"/>
      <c r="D373" s="87"/>
      <c r="E373" s="87"/>
      <c r="F373" s="90"/>
      <c r="G373" s="87"/>
      <c r="H373" s="87"/>
      <c r="I373" s="90"/>
      <c r="J373" s="87"/>
      <c r="K373" s="87"/>
      <c r="L373" s="90"/>
      <c r="M373" s="87"/>
      <c r="N373" s="87"/>
      <c r="O373" s="90"/>
      <c r="P373" s="87"/>
      <c r="Q373" s="87"/>
      <c r="R373" s="90"/>
      <c r="S373" s="87"/>
      <c r="T373" s="87"/>
      <c r="U373" s="90"/>
      <c r="V373" s="87"/>
      <c r="W373" s="87"/>
      <c r="X373" s="90"/>
      <c r="Y373" s="87"/>
      <c r="Z373" s="87"/>
      <c r="AA373" s="90"/>
      <c r="AB373" s="87"/>
      <c r="AC373" s="87"/>
      <c r="AD373" s="90"/>
      <c r="AE373" s="87"/>
      <c r="AF373" s="87"/>
      <c r="AG373" s="90"/>
    </row>
    <row r="374" spans="1:33" ht="15.75" thickBot="1" x14ac:dyDescent="0.3">
      <c r="A374" s="68"/>
      <c r="B374" s="68"/>
      <c r="D374" s="88"/>
      <c r="E374" s="88"/>
      <c r="F374" s="91"/>
      <c r="G374" s="88"/>
      <c r="H374" s="88"/>
      <c r="I374" s="91"/>
      <c r="J374" s="88"/>
      <c r="K374" s="88"/>
      <c r="L374" s="91"/>
      <c r="M374" s="88"/>
      <c r="N374" s="88"/>
      <c r="O374" s="91"/>
      <c r="P374" s="88"/>
      <c r="Q374" s="88"/>
      <c r="R374" s="91"/>
      <c r="S374" s="88"/>
      <c r="T374" s="88"/>
      <c r="U374" s="91"/>
      <c r="V374" s="88"/>
      <c r="W374" s="88"/>
      <c r="X374" s="91"/>
      <c r="Y374" s="88"/>
      <c r="Z374" s="88"/>
      <c r="AA374" s="91"/>
      <c r="AB374" s="88"/>
      <c r="AC374" s="88"/>
      <c r="AD374" s="91"/>
      <c r="AE374" s="88"/>
      <c r="AF374" s="88"/>
      <c r="AG374" s="91"/>
    </row>
    <row r="376" spans="1:33" ht="15.75" thickBot="1" x14ac:dyDescent="0.3"/>
    <row r="377" spans="1:33" ht="15.75" thickBot="1" x14ac:dyDescent="0.3">
      <c r="A377" s="68" t="s">
        <v>265</v>
      </c>
      <c r="B377" s="68"/>
      <c r="D377" s="52" t="s">
        <v>27</v>
      </c>
      <c r="E377" s="52"/>
      <c r="F377" s="52"/>
      <c r="G377" s="73" t="s">
        <v>28</v>
      </c>
      <c r="H377" s="73"/>
      <c r="I377" s="73"/>
      <c r="J377" s="52" t="s">
        <v>29</v>
      </c>
      <c r="K377" s="52"/>
      <c r="L377" s="52"/>
      <c r="M377" s="73" t="s">
        <v>30</v>
      </c>
      <c r="N377" s="73"/>
      <c r="O377" s="73"/>
      <c r="P377" s="52" t="s">
        <v>31</v>
      </c>
      <c r="Q377" s="52"/>
      <c r="R377" s="52"/>
      <c r="S377" s="73" t="s">
        <v>32</v>
      </c>
      <c r="T377" s="73"/>
      <c r="U377" s="73"/>
      <c r="V377" s="52" t="s">
        <v>33</v>
      </c>
      <c r="W377" s="52"/>
      <c r="X377" s="52"/>
      <c r="Y377" s="73" t="s">
        <v>34</v>
      </c>
      <c r="Z377" s="73"/>
      <c r="AA377" s="73"/>
      <c r="AB377" s="52" t="s">
        <v>35</v>
      </c>
      <c r="AC377" s="52"/>
      <c r="AD377" s="52"/>
      <c r="AE377" s="73" t="s">
        <v>36</v>
      </c>
      <c r="AF377" s="73"/>
      <c r="AG377" s="73"/>
    </row>
    <row r="378" spans="1:33" ht="15.75" thickBot="1" x14ac:dyDescent="0.3">
      <c r="A378" s="68"/>
      <c r="B378" s="68"/>
      <c r="C378" s="105" t="s">
        <v>243</v>
      </c>
      <c r="D378" s="75">
        <v>0</v>
      </c>
      <c r="E378" s="75"/>
      <c r="F378" s="76"/>
      <c r="G378" s="74">
        <v>0</v>
      </c>
      <c r="H378" s="75"/>
      <c r="I378" s="76"/>
      <c r="J378" s="74">
        <v>0</v>
      </c>
      <c r="K378" s="75"/>
      <c r="L378" s="76"/>
      <c r="M378" s="74">
        <v>0</v>
      </c>
      <c r="N378" s="75"/>
      <c r="O378" s="76"/>
      <c r="P378" s="74">
        <v>0</v>
      </c>
      <c r="Q378" s="75"/>
      <c r="R378" s="76"/>
      <c r="S378" s="74">
        <v>0</v>
      </c>
      <c r="T378" s="75"/>
      <c r="U378" s="76"/>
      <c r="V378" s="74">
        <v>0</v>
      </c>
      <c r="W378" s="75"/>
      <c r="X378" s="76"/>
      <c r="Y378" s="74">
        <v>0</v>
      </c>
      <c r="Z378" s="75"/>
      <c r="AA378" s="76"/>
      <c r="AB378" s="74">
        <v>0</v>
      </c>
      <c r="AC378" s="75"/>
      <c r="AD378" s="76"/>
      <c r="AE378" s="74">
        <v>0</v>
      </c>
      <c r="AF378" s="75"/>
      <c r="AG378" s="76"/>
    </row>
    <row r="379" spans="1:33" ht="15.75" thickBot="1" x14ac:dyDescent="0.3">
      <c r="A379" s="68"/>
      <c r="B379" s="68"/>
      <c r="C379" s="106" t="s">
        <v>244</v>
      </c>
      <c r="D379" s="82">
        <v>0</v>
      </c>
      <c r="E379" s="82"/>
      <c r="F379" s="84"/>
      <c r="G379" s="85">
        <v>0</v>
      </c>
      <c r="H379" s="82"/>
      <c r="I379" s="84"/>
      <c r="J379" s="85">
        <v>0</v>
      </c>
      <c r="K379" s="82"/>
      <c r="L379" s="84"/>
      <c r="M379" s="85">
        <v>0</v>
      </c>
      <c r="N379" s="82"/>
      <c r="O379" s="82"/>
      <c r="P379" s="81">
        <v>0</v>
      </c>
      <c r="Q379" s="82"/>
      <c r="R379" s="83"/>
      <c r="S379" s="82">
        <v>0</v>
      </c>
      <c r="T379" s="82"/>
      <c r="U379" s="84"/>
      <c r="V379" s="85">
        <v>0</v>
      </c>
      <c r="W379" s="82"/>
      <c r="X379" s="84"/>
      <c r="Y379" s="85">
        <v>0</v>
      </c>
      <c r="Z379" s="82"/>
      <c r="AA379" s="84"/>
      <c r="AB379" s="85">
        <v>0</v>
      </c>
      <c r="AC379" s="82"/>
      <c r="AD379" s="84"/>
      <c r="AE379" s="85">
        <v>0</v>
      </c>
      <c r="AF379" s="82"/>
      <c r="AG379" s="84"/>
    </row>
    <row r="380" spans="1:33" ht="15.75" thickBot="1" x14ac:dyDescent="0.3">
      <c r="A380" s="68"/>
      <c r="B380" s="68"/>
      <c r="C380" s="107" t="s">
        <v>37</v>
      </c>
      <c r="D380" s="104"/>
      <c r="E380" s="86"/>
      <c r="F380" s="89"/>
      <c r="G380" s="86"/>
      <c r="H380" s="86"/>
      <c r="I380" s="89"/>
      <c r="J380" s="86"/>
      <c r="K380" s="86"/>
      <c r="L380" s="89"/>
      <c r="M380" s="86"/>
      <c r="N380" s="86"/>
      <c r="O380" s="89"/>
      <c r="P380" s="86"/>
      <c r="Q380" s="86"/>
      <c r="R380" s="89"/>
      <c r="S380" s="86"/>
      <c r="T380" s="86"/>
      <c r="U380" s="89"/>
      <c r="V380" s="86"/>
      <c r="W380" s="86"/>
      <c r="X380" s="89"/>
      <c r="Y380" s="86"/>
      <c r="Z380" s="86"/>
      <c r="AA380" s="89"/>
      <c r="AB380" s="86"/>
      <c r="AC380" s="86"/>
      <c r="AD380" s="89"/>
      <c r="AE380" s="86"/>
      <c r="AF380" s="86"/>
      <c r="AG380" s="89"/>
    </row>
    <row r="381" spans="1:33" ht="15.75" thickBot="1" x14ac:dyDescent="0.3">
      <c r="A381" s="68"/>
      <c r="B381" s="68"/>
      <c r="D381" s="87"/>
      <c r="E381" s="87"/>
      <c r="F381" s="90"/>
      <c r="G381" s="87"/>
      <c r="H381" s="87"/>
      <c r="I381" s="90"/>
      <c r="J381" s="87"/>
      <c r="K381" s="87"/>
      <c r="L381" s="90"/>
      <c r="M381" s="87"/>
      <c r="N381" s="87"/>
      <c r="O381" s="90"/>
      <c r="P381" s="87"/>
      <c r="Q381" s="87"/>
      <c r="R381" s="90"/>
      <c r="S381" s="87"/>
      <c r="T381" s="87"/>
      <c r="U381" s="90"/>
      <c r="V381" s="87"/>
      <c r="W381" s="87"/>
      <c r="X381" s="90"/>
      <c r="Y381" s="87"/>
      <c r="Z381" s="87"/>
      <c r="AA381" s="90"/>
      <c r="AB381" s="87"/>
      <c r="AC381" s="87"/>
      <c r="AD381" s="90"/>
      <c r="AE381" s="87"/>
      <c r="AF381" s="87"/>
      <c r="AG381" s="90"/>
    </row>
    <row r="382" spans="1:33" ht="15.75" thickBot="1" x14ac:dyDescent="0.3">
      <c r="A382" s="68"/>
      <c r="B382" s="68"/>
      <c r="D382" s="88"/>
      <c r="E382" s="88"/>
      <c r="F382" s="91"/>
      <c r="G382" s="88"/>
      <c r="H382" s="88"/>
      <c r="I382" s="91"/>
      <c r="J382" s="88"/>
      <c r="K382" s="88"/>
      <c r="L382" s="91"/>
      <c r="M382" s="88"/>
      <c r="N382" s="88"/>
      <c r="O382" s="91"/>
      <c r="P382" s="88"/>
      <c r="Q382" s="88"/>
      <c r="R382" s="91"/>
      <c r="S382" s="88"/>
      <c r="T382" s="88"/>
      <c r="U382" s="91"/>
      <c r="V382" s="88"/>
      <c r="W382" s="88"/>
      <c r="X382" s="91"/>
      <c r="Y382" s="88"/>
      <c r="Z382" s="88"/>
      <c r="AA382" s="91"/>
      <c r="AB382" s="88"/>
      <c r="AC382" s="88"/>
      <c r="AD382" s="91"/>
      <c r="AE382" s="88"/>
      <c r="AF382" s="88"/>
      <c r="AG382" s="91"/>
    </row>
    <row r="384" spans="1:33" ht="15.75" thickBot="1" x14ac:dyDescent="0.3"/>
    <row r="385" spans="1:33" ht="15.75" thickBot="1" x14ac:dyDescent="0.3">
      <c r="A385" s="68" t="s">
        <v>105</v>
      </c>
      <c r="B385" s="68"/>
      <c r="D385" s="52" t="s">
        <v>27</v>
      </c>
      <c r="E385" s="52"/>
      <c r="F385" s="52"/>
      <c r="G385" s="73" t="s">
        <v>28</v>
      </c>
      <c r="H385" s="73"/>
      <c r="I385" s="73"/>
      <c r="J385" s="52" t="s">
        <v>29</v>
      </c>
      <c r="K385" s="52"/>
      <c r="L385" s="52"/>
      <c r="M385" s="73" t="s">
        <v>30</v>
      </c>
      <c r="N385" s="73"/>
      <c r="O385" s="73"/>
      <c r="P385" s="52" t="s">
        <v>31</v>
      </c>
      <c r="Q385" s="52"/>
      <c r="R385" s="52"/>
      <c r="S385" s="73" t="s">
        <v>32</v>
      </c>
      <c r="T385" s="73"/>
      <c r="U385" s="73"/>
      <c r="V385" s="52" t="s">
        <v>33</v>
      </c>
      <c r="W385" s="52"/>
      <c r="X385" s="52"/>
      <c r="Y385" s="73" t="s">
        <v>34</v>
      </c>
      <c r="Z385" s="73"/>
      <c r="AA385" s="73"/>
      <c r="AB385" s="52" t="s">
        <v>35</v>
      </c>
      <c r="AC385" s="52"/>
      <c r="AD385" s="52"/>
      <c r="AE385" s="73" t="s">
        <v>36</v>
      </c>
      <c r="AF385" s="73"/>
      <c r="AG385" s="73"/>
    </row>
    <row r="386" spans="1:33" ht="15.75" thickBot="1" x14ac:dyDescent="0.3">
      <c r="A386" s="68"/>
      <c r="B386" s="68"/>
      <c r="C386" s="105" t="s">
        <v>243</v>
      </c>
      <c r="D386" s="75">
        <v>0</v>
      </c>
      <c r="E386" s="75"/>
      <c r="F386" s="76"/>
      <c r="G386" s="74">
        <v>0</v>
      </c>
      <c r="H386" s="75"/>
      <c r="I386" s="76"/>
      <c r="J386" s="74">
        <v>0</v>
      </c>
      <c r="K386" s="75"/>
      <c r="L386" s="76"/>
      <c r="M386" s="74">
        <v>0</v>
      </c>
      <c r="N386" s="75"/>
      <c r="O386" s="76"/>
      <c r="P386" s="74">
        <v>0</v>
      </c>
      <c r="Q386" s="75"/>
      <c r="R386" s="76"/>
      <c r="S386" s="74">
        <v>0</v>
      </c>
      <c r="T386" s="75"/>
      <c r="U386" s="76"/>
      <c r="V386" s="74">
        <v>0</v>
      </c>
      <c r="W386" s="75"/>
      <c r="X386" s="76"/>
      <c r="Y386" s="74">
        <v>0</v>
      </c>
      <c r="Z386" s="75"/>
      <c r="AA386" s="76"/>
      <c r="AB386" s="74">
        <v>0</v>
      </c>
      <c r="AC386" s="75"/>
      <c r="AD386" s="76"/>
      <c r="AE386" s="74">
        <v>0</v>
      </c>
      <c r="AF386" s="75"/>
      <c r="AG386" s="76"/>
    </row>
    <row r="387" spans="1:33" ht="15.75" thickBot="1" x14ac:dyDescent="0.3">
      <c r="A387" s="68"/>
      <c r="B387" s="68"/>
      <c r="C387" s="106" t="s">
        <v>244</v>
      </c>
      <c r="D387" s="82">
        <v>0</v>
      </c>
      <c r="E387" s="82"/>
      <c r="F387" s="84"/>
      <c r="G387" s="85">
        <v>0</v>
      </c>
      <c r="H387" s="82"/>
      <c r="I387" s="84"/>
      <c r="J387" s="85">
        <v>0</v>
      </c>
      <c r="K387" s="82"/>
      <c r="L387" s="84"/>
      <c r="M387" s="85">
        <v>0</v>
      </c>
      <c r="N387" s="82"/>
      <c r="O387" s="82"/>
      <c r="P387" s="81">
        <v>0</v>
      </c>
      <c r="Q387" s="82"/>
      <c r="R387" s="83"/>
      <c r="S387" s="82">
        <v>0</v>
      </c>
      <c r="T387" s="82"/>
      <c r="U387" s="84"/>
      <c r="V387" s="85">
        <v>0</v>
      </c>
      <c r="W387" s="82"/>
      <c r="X387" s="84"/>
      <c r="Y387" s="85">
        <v>0</v>
      </c>
      <c r="Z387" s="82"/>
      <c r="AA387" s="84"/>
      <c r="AB387" s="85">
        <v>0</v>
      </c>
      <c r="AC387" s="82"/>
      <c r="AD387" s="84"/>
      <c r="AE387" s="85">
        <v>0</v>
      </c>
      <c r="AF387" s="82"/>
      <c r="AG387" s="84"/>
    </row>
    <row r="388" spans="1:33" ht="15.75" thickBot="1" x14ac:dyDescent="0.3">
      <c r="A388" s="68"/>
      <c r="B388" s="68"/>
      <c r="C388" s="107" t="s">
        <v>37</v>
      </c>
      <c r="D388" s="104"/>
      <c r="E388" s="86"/>
      <c r="F388" s="89"/>
      <c r="G388" s="86"/>
      <c r="H388" s="86"/>
      <c r="I388" s="89"/>
      <c r="J388" s="86"/>
      <c r="K388" s="86"/>
      <c r="L388" s="89"/>
      <c r="M388" s="86"/>
      <c r="N388" s="86"/>
      <c r="O388" s="89"/>
      <c r="P388" s="86"/>
      <c r="Q388" s="86"/>
      <c r="R388" s="89"/>
      <c r="S388" s="86"/>
      <c r="T388" s="86"/>
      <c r="U388" s="89"/>
      <c r="V388" s="86"/>
      <c r="W388" s="86"/>
      <c r="X388" s="89"/>
      <c r="Y388" s="86"/>
      <c r="Z388" s="86"/>
      <c r="AA388" s="89"/>
      <c r="AB388" s="86"/>
      <c r="AC388" s="86"/>
      <c r="AD388" s="89"/>
      <c r="AE388" s="86"/>
      <c r="AF388" s="86"/>
      <c r="AG388" s="89"/>
    </row>
    <row r="389" spans="1:33" ht="15.75" thickBot="1" x14ac:dyDescent="0.3">
      <c r="A389" s="68"/>
      <c r="B389" s="68"/>
      <c r="D389" s="87"/>
      <c r="E389" s="87"/>
      <c r="F389" s="90"/>
      <c r="G389" s="87"/>
      <c r="H389" s="87"/>
      <c r="I389" s="90"/>
      <c r="J389" s="87"/>
      <c r="K389" s="87"/>
      <c r="L389" s="90"/>
      <c r="M389" s="87"/>
      <c r="N389" s="87"/>
      <c r="O389" s="90"/>
      <c r="P389" s="87"/>
      <c r="Q389" s="87"/>
      <c r="R389" s="90"/>
      <c r="S389" s="87"/>
      <c r="T389" s="87"/>
      <c r="U389" s="90"/>
      <c r="V389" s="87"/>
      <c r="W389" s="87"/>
      <c r="X389" s="90"/>
      <c r="Y389" s="87"/>
      <c r="Z389" s="87"/>
      <c r="AA389" s="90"/>
      <c r="AB389" s="87"/>
      <c r="AC389" s="87"/>
      <c r="AD389" s="90"/>
      <c r="AE389" s="87"/>
      <c r="AF389" s="87"/>
      <c r="AG389" s="90"/>
    </row>
    <row r="390" spans="1:33" ht="15.75" thickBot="1" x14ac:dyDescent="0.3">
      <c r="A390" s="68"/>
      <c r="B390" s="68"/>
      <c r="D390" s="88"/>
      <c r="E390" s="88"/>
      <c r="F390" s="91"/>
      <c r="G390" s="88"/>
      <c r="H390" s="88"/>
      <c r="I390" s="91"/>
      <c r="J390" s="88"/>
      <c r="K390" s="88"/>
      <c r="L390" s="91"/>
      <c r="M390" s="88"/>
      <c r="N390" s="88"/>
      <c r="O390" s="91"/>
      <c r="P390" s="88"/>
      <c r="Q390" s="88"/>
      <c r="R390" s="91"/>
      <c r="S390" s="88"/>
      <c r="T390" s="88"/>
      <c r="U390" s="91"/>
      <c r="V390" s="88"/>
      <c r="W390" s="88"/>
      <c r="X390" s="91"/>
      <c r="Y390" s="88"/>
      <c r="Z390" s="88"/>
      <c r="AA390" s="91"/>
      <c r="AB390" s="88"/>
      <c r="AC390" s="88"/>
      <c r="AD390" s="91"/>
      <c r="AE390" s="88"/>
      <c r="AF390" s="88"/>
      <c r="AG390" s="91"/>
    </row>
    <row r="392" spans="1:33" ht="15.75" thickBot="1" x14ac:dyDescent="0.3"/>
    <row r="393" spans="1:33" ht="15.75" thickBot="1" x14ac:dyDescent="0.3">
      <c r="A393" s="68" t="s">
        <v>106</v>
      </c>
      <c r="B393" s="68"/>
      <c r="D393" s="52" t="s">
        <v>27</v>
      </c>
      <c r="E393" s="52"/>
      <c r="F393" s="52"/>
      <c r="G393" s="73" t="s">
        <v>28</v>
      </c>
      <c r="H393" s="73"/>
      <c r="I393" s="73"/>
      <c r="J393" s="52" t="s">
        <v>29</v>
      </c>
      <c r="K393" s="52"/>
      <c r="L393" s="52"/>
      <c r="M393" s="73" t="s">
        <v>30</v>
      </c>
      <c r="N393" s="73"/>
      <c r="O393" s="73"/>
      <c r="P393" s="52" t="s">
        <v>31</v>
      </c>
      <c r="Q393" s="52"/>
      <c r="R393" s="52"/>
      <c r="S393" s="73" t="s">
        <v>32</v>
      </c>
      <c r="T393" s="73"/>
      <c r="U393" s="73"/>
      <c r="V393" s="52" t="s">
        <v>33</v>
      </c>
      <c r="W393" s="52"/>
      <c r="X393" s="52"/>
      <c r="Y393" s="73" t="s">
        <v>34</v>
      </c>
      <c r="Z393" s="73"/>
      <c r="AA393" s="73"/>
      <c r="AB393" s="52" t="s">
        <v>35</v>
      </c>
      <c r="AC393" s="52"/>
      <c r="AD393" s="52"/>
      <c r="AE393" s="73" t="s">
        <v>36</v>
      </c>
      <c r="AF393" s="73"/>
      <c r="AG393" s="73"/>
    </row>
    <row r="394" spans="1:33" ht="15.75" thickBot="1" x14ac:dyDescent="0.3">
      <c r="A394" s="68"/>
      <c r="B394" s="68"/>
      <c r="C394" s="105" t="s">
        <v>243</v>
      </c>
      <c r="D394" s="75">
        <v>0</v>
      </c>
      <c r="E394" s="75"/>
      <c r="F394" s="76"/>
      <c r="G394" s="74">
        <v>0</v>
      </c>
      <c r="H394" s="75"/>
      <c r="I394" s="76"/>
      <c r="J394" s="74">
        <v>0</v>
      </c>
      <c r="K394" s="75"/>
      <c r="L394" s="76"/>
      <c r="M394" s="74">
        <v>0</v>
      </c>
      <c r="N394" s="75"/>
      <c r="O394" s="76"/>
      <c r="P394" s="74">
        <v>0</v>
      </c>
      <c r="Q394" s="75"/>
      <c r="R394" s="76"/>
      <c r="S394" s="74">
        <v>0</v>
      </c>
      <c r="T394" s="75"/>
      <c r="U394" s="76"/>
      <c r="V394" s="74">
        <v>0</v>
      </c>
      <c r="W394" s="75"/>
      <c r="X394" s="76"/>
      <c r="Y394" s="74">
        <v>0</v>
      </c>
      <c r="Z394" s="75"/>
      <c r="AA394" s="76"/>
      <c r="AB394" s="74">
        <v>0</v>
      </c>
      <c r="AC394" s="75"/>
      <c r="AD394" s="76"/>
      <c r="AE394" s="74">
        <v>0</v>
      </c>
      <c r="AF394" s="75"/>
      <c r="AG394" s="76"/>
    </row>
    <row r="395" spans="1:33" ht="15.75" thickBot="1" x14ac:dyDescent="0.3">
      <c r="A395" s="68"/>
      <c r="B395" s="68"/>
      <c r="C395" s="106" t="s">
        <v>244</v>
      </c>
      <c r="D395" s="82">
        <v>0</v>
      </c>
      <c r="E395" s="82"/>
      <c r="F395" s="84"/>
      <c r="G395" s="85">
        <v>0</v>
      </c>
      <c r="H395" s="82"/>
      <c r="I395" s="84"/>
      <c r="J395" s="85">
        <v>0</v>
      </c>
      <c r="K395" s="82"/>
      <c r="L395" s="84"/>
      <c r="M395" s="85">
        <v>0</v>
      </c>
      <c r="N395" s="82"/>
      <c r="O395" s="82"/>
      <c r="P395" s="81">
        <v>0</v>
      </c>
      <c r="Q395" s="82"/>
      <c r="R395" s="83"/>
      <c r="S395" s="82">
        <v>0</v>
      </c>
      <c r="T395" s="82"/>
      <c r="U395" s="84"/>
      <c r="V395" s="85">
        <v>0</v>
      </c>
      <c r="W395" s="82"/>
      <c r="X395" s="84"/>
      <c r="Y395" s="85">
        <v>0</v>
      </c>
      <c r="Z395" s="82"/>
      <c r="AA395" s="84"/>
      <c r="AB395" s="85">
        <v>0</v>
      </c>
      <c r="AC395" s="82"/>
      <c r="AD395" s="84"/>
      <c r="AE395" s="85">
        <v>0</v>
      </c>
      <c r="AF395" s="82"/>
      <c r="AG395" s="84"/>
    </row>
    <row r="396" spans="1:33" ht="15.75" thickBot="1" x14ac:dyDescent="0.3">
      <c r="A396" s="68"/>
      <c r="B396" s="68"/>
      <c r="C396" s="107" t="s">
        <v>37</v>
      </c>
      <c r="D396" s="104"/>
      <c r="E396" s="86"/>
      <c r="F396" s="89"/>
      <c r="G396" s="86"/>
      <c r="H396" s="86"/>
      <c r="I396" s="89"/>
      <c r="J396" s="86"/>
      <c r="K396" s="86"/>
      <c r="L396" s="89"/>
      <c r="M396" s="86"/>
      <c r="N396" s="86"/>
      <c r="O396" s="89"/>
      <c r="P396" s="86"/>
      <c r="Q396" s="86"/>
      <c r="R396" s="89"/>
      <c r="S396" s="86"/>
      <c r="T396" s="86"/>
      <c r="U396" s="89"/>
      <c r="V396" s="86"/>
      <c r="W396" s="86"/>
      <c r="X396" s="89"/>
      <c r="Y396" s="86"/>
      <c r="Z396" s="86"/>
      <c r="AA396" s="89"/>
      <c r="AB396" s="86"/>
      <c r="AC396" s="86"/>
      <c r="AD396" s="89"/>
      <c r="AE396" s="86"/>
      <c r="AF396" s="86"/>
      <c r="AG396" s="89"/>
    </row>
    <row r="397" spans="1:33" ht="15.75" thickBot="1" x14ac:dyDescent="0.3">
      <c r="A397" s="68"/>
      <c r="B397" s="68"/>
      <c r="D397" s="87"/>
      <c r="E397" s="87"/>
      <c r="F397" s="90"/>
      <c r="G397" s="87"/>
      <c r="H397" s="87"/>
      <c r="I397" s="90"/>
      <c r="J397" s="87"/>
      <c r="K397" s="87"/>
      <c r="L397" s="90"/>
      <c r="M397" s="87"/>
      <c r="N397" s="87"/>
      <c r="O397" s="90"/>
      <c r="P397" s="87"/>
      <c r="Q397" s="87"/>
      <c r="R397" s="90"/>
      <c r="S397" s="87"/>
      <c r="T397" s="87"/>
      <c r="U397" s="90"/>
      <c r="V397" s="87"/>
      <c r="W397" s="87"/>
      <c r="X397" s="90"/>
      <c r="Y397" s="87"/>
      <c r="Z397" s="87"/>
      <c r="AA397" s="90"/>
      <c r="AB397" s="87"/>
      <c r="AC397" s="87"/>
      <c r="AD397" s="90"/>
      <c r="AE397" s="87"/>
      <c r="AF397" s="87"/>
      <c r="AG397" s="90"/>
    </row>
    <row r="398" spans="1:33" ht="15.75" thickBot="1" x14ac:dyDescent="0.3">
      <c r="A398" s="68"/>
      <c r="B398" s="68"/>
      <c r="D398" s="88"/>
      <c r="E398" s="88"/>
      <c r="F398" s="91"/>
      <c r="G398" s="88"/>
      <c r="H398" s="88"/>
      <c r="I398" s="91"/>
      <c r="J398" s="88"/>
      <c r="K398" s="88"/>
      <c r="L398" s="91"/>
      <c r="M398" s="88"/>
      <c r="N398" s="88"/>
      <c r="O398" s="91"/>
      <c r="P398" s="88"/>
      <c r="Q398" s="88"/>
      <c r="R398" s="91"/>
      <c r="S398" s="88"/>
      <c r="T398" s="88"/>
      <c r="U398" s="91"/>
      <c r="V398" s="88"/>
      <c r="W398" s="88"/>
      <c r="X398" s="91"/>
      <c r="Y398" s="88"/>
      <c r="Z398" s="88"/>
      <c r="AA398" s="91"/>
      <c r="AB398" s="88"/>
      <c r="AC398" s="88"/>
      <c r="AD398" s="91"/>
      <c r="AE398" s="88"/>
      <c r="AF398" s="88"/>
      <c r="AG398" s="91"/>
    </row>
    <row r="400" spans="1:33" ht="15.75" thickBot="1" x14ac:dyDescent="0.3"/>
    <row r="401" spans="1:33" ht="15.75" thickBot="1" x14ac:dyDescent="0.3">
      <c r="A401" s="68" t="s">
        <v>266</v>
      </c>
      <c r="B401" s="68"/>
      <c r="D401" s="52" t="s">
        <v>27</v>
      </c>
      <c r="E401" s="52"/>
      <c r="F401" s="52"/>
      <c r="G401" s="73" t="s">
        <v>28</v>
      </c>
      <c r="H401" s="73"/>
      <c r="I401" s="73"/>
      <c r="J401" s="52" t="s">
        <v>29</v>
      </c>
      <c r="K401" s="52"/>
      <c r="L401" s="52"/>
      <c r="M401" s="73" t="s">
        <v>30</v>
      </c>
      <c r="N401" s="73"/>
      <c r="O401" s="73"/>
      <c r="P401" s="52" t="s">
        <v>31</v>
      </c>
      <c r="Q401" s="52"/>
      <c r="R401" s="52"/>
      <c r="S401" s="73" t="s">
        <v>32</v>
      </c>
      <c r="T401" s="73"/>
      <c r="U401" s="73"/>
      <c r="V401" s="52" t="s">
        <v>33</v>
      </c>
      <c r="W401" s="52"/>
      <c r="X401" s="52"/>
      <c r="Y401" s="73" t="s">
        <v>34</v>
      </c>
      <c r="Z401" s="73"/>
      <c r="AA401" s="73"/>
      <c r="AB401" s="52" t="s">
        <v>35</v>
      </c>
      <c r="AC401" s="52"/>
      <c r="AD401" s="52"/>
      <c r="AE401" s="73" t="s">
        <v>36</v>
      </c>
      <c r="AF401" s="73"/>
      <c r="AG401" s="73"/>
    </row>
    <row r="402" spans="1:33" ht="15.75" thickBot="1" x14ac:dyDescent="0.3">
      <c r="A402" s="68"/>
      <c r="B402" s="68"/>
      <c r="C402" s="105" t="s">
        <v>243</v>
      </c>
      <c r="D402" s="75">
        <v>0</v>
      </c>
      <c r="E402" s="75"/>
      <c r="F402" s="76"/>
      <c r="G402" s="74">
        <v>0</v>
      </c>
      <c r="H402" s="75"/>
      <c r="I402" s="76"/>
      <c r="J402" s="74">
        <v>0</v>
      </c>
      <c r="K402" s="75"/>
      <c r="L402" s="76"/>
      <c r="M402" s="74">
        <v>0</v>
      </c>
      <c r="N402" s="75"/>
      <c r="O402" s="76"/>
      <c r="P402" s="74">
        <v>0</v>
      </c>
      <c r="Q402" s="75"/>
      <c r="R402" s="76"/>
      <c r="S402" s="74">
        <v>0</v>
      </c>
      <c r="T402" s="75"/>
      <c r="U402" s="76"/>
      <c r="V402" s="74">
        <v>0</v>
      </c>
      <c r="W402" s="75"/>
      <c r="X402" s="76"/>
      <c r="Y402" s="74">
        <v>0</v>
      </c>
      <c r="Z402" s="75"/>
      <c r="AA402" s="76"/>
      <c r="AB402" s="74">
        <v>0</v>
      </c>
      <c r="AC402" s="75"/>
      <c r="AD402" s="76"/>
      <c r="AE402" s="74">
        <v>0</v>
      </c>
      <c r="AF402" s="75"/>
      <c r="AG402" s="76"/>
    </row>
    <row r="403" spans="1:33" ht="15.75" thickBot="1" x14ac:dyDescent="0.3">
      <c r="A403" s="68"/>
      <c r="B403" s="68"/>
      <c r="C403" s="106" t="s">
        <v>244</v>
      </c>
      <c r="D403" s="82">
        <v>0</v>
      </c>
      <c r="E403" s="82"/>
      <c r="F403" s="84"/>
      <c r="G403" s="85">
        <v>0</v>
      </c>
      <c r="H403" s="82"/>
      <c r="I403" s="84"/>
      <c r="J403" s="85">
        <v>0</v>
      </c>
      <c r="K403" s="82"/>
      <c r="L403" s="84"/>
      <c r="M403" s="85">
        <v>0</v>
      </c>
      <c r="N403" s="82"/>
      <c r="O403" s="82"/>
      <c r="P403" s="81">
        <v>0</v>
      </c>
      <c r="Q403" s="82"/>
      <c r="R403" s="83"/>
      <c r="S403" s="82">
        <v>0</v>
      </c>
      <c r="T403" s="82"/>
      <c r="U403" s="84"/>
      <c r="V403" s="85">
        <v>0</v>
      </c>
      <c r="W403" s="82"/>
      <c r="X403" s="84"/>
      <c r="Y403" s="85">
        <v>0</v>
      </c>
      <c r="Z403" s="82"/>
      <c r="AA403" s="84"/>
      <c r="AB403" s="85">
        <v>0</v>
      </c>
      <c r="AC403" s="82"/>
      <c r="AD403" s="84"/>
      <c r="AE403" s="85">
        <v>0</v>
      </c>
      <c r="AF403" s="82"/>
      <c r="AG403" s="84"/>
    </row>
    <row r="404" spans="1:33" ht="15.75" thickBot="1" x14ac:dyDescent="0.3">
      <c r="A404" s="68"/>
      <c r="B404" s="68"/>
      <c r="C404" s="107" t="s">
        <v>37</v>
      </c>
      <c r="D404" s="104"/>
      <c r="E404" s="86"/>
      <c r="F404" s="89"/>
      <c r="G404" s="86"/>
      <c r="H404" s="86"/>
      <c r="I404" s="89"/>
      <c r="J404" s="86"/>
      <c r="K404" s="86"/>
      <c r="L404" s="89"/>
      <c r="M404" s="86"/>
      <c r="N404" s="86"/>
      <c r="O404" s="89"/>
      <c r="P404" s="86"/>
      <c r="Q404" s="86"/>
      <c r="R404" s="89"/>
      <c r="S404" s="86"/>
      <c r="T404" s="86"/>
      <c r="U404" s="89"/>
      <c r="V404" s="86"/>
      <c r="W404" s="86"/>
      <c r="X404" s="89"/>
      <c r="Y404" s="86"/>
      <c r="Z404" s="86"/>
      <c r="AA404" s="89"/>
      <c r="AB404" s="86"/>
      <c r="AC404" s="86"/>
      <c r="AD404" s="89"/>
      <c r="AE404" s="86"/>
      <c r="AF404" s="86"/>
      <c r="AG404" s="89"/>
    </row>
    <row r="405" spans="1:33" ht="15.75" thickBot="1" x14ac:dyDescent="0.3">
      <c r="A405" s="68"/>
      <c r="B405" s="68"/>
      <c r="D405" s="87"/>
      <c r="E405" s="87"/>
      <c r="F405" s="90"/>
      <c r="G405" s="87"/>
      <c r="H405" s="87"/>
      <c r="I405" s="90"/>
      <c r="J405" s="87"/>
      <c r="K405" s="87"/>
      <c r="L405" s="90"/>
      <c r="M405" s="87"/>
      <c r="N405" s="87"/>
      <c r="O405" s="90"/>
      <c r="P405" s="87"/>
      <c r="Q405" s="87"/>
      <c r="R405" s="90"/>
      <c r="S405" s="87"/>
      <c r="T405" s="87"/>
      <c r="U405" s="90"/>
      <c r="V405" s="87"/>
      <c r="W405" s="87"/>
      <c r="X405" s="90"/>
      <c r="Y405" s="87"/>
      <c r="Z405" s="87"/>
      <c r="AA405" s="90"/>
      <c r="AB405" s="87"/>
      <c r="AC405" s="87"/>
      <c r="AD405" s="90"/>
      <c r="AE405" s="87"/>
      <c r="AF405" s="87"/>
      <c r="AG405" s="90"/>
    </row>
    <row r="406" spans="1:33" ht="15.75" thickBot="1" x14ac:dyDescent="0.3">
      <c r="A406" s="68"/>
      <c r="B406" s="68"/>
      <c r="D406" s="88"/>
      <c r="E406" s="88"/>
      <c r="F406" s="91"/>
      <c r="G406" s="88"/>
      <c r="H406" s="88"/>
      <c r="I406" s="91"/>
      <c r="J406" s="88"/>
      <c r="K406" s="88"/>
      <c r="L406" s="91"/>
      <c r="M406" s="88"/>
      <c r="N406" s="88"/>
      <c r="O406" s="91"/>
      <c r="P406" s="88"/>
      <c r="Q406" s="88"/>
      <c r="R406" s="91"/>
      <c r="S406" s="88"/>
      <c r="T406" s="88"/>
      <c r="U406" s="91"/>
      <c r="V406" s="88"/>
      <c r="W406" s="88"/>
      <c r="X406" s="91"/>
      <c r="Y406" s="88"/>
      <c r="Z406" s="88"/>
      <c r="AA406" s="91"/>
      <c r="AB406" s="88"/>
      <c r="AC406" s="88"/>
      <c r="AD406" s="91"/>
      <c r="AE406" s="88"/>
      <c r="AF406" s="88"/>
      <c r="AG406" s="91"/>
    </row>
    <row r="408" spans="1:33" ht="15.75" thickBot="1" x14ac:dyDescent="0.3"/>
    <row r="409" spans="1:33" ht="15.75" thickBot="1" x14ac:dyDescent="0.3">
      <c r="A409" s="68" t="s">
        <v>267</v>
      </c>
      <c r="B409" s="68"/>
      <c r="D409" s="52" t="s">
        <v>27</v>
      </c>
      <c r="E409" s="52"/>
      <c r="F409" s="52"/>
      <c r="G409" s="73" t="s">
        <v>28</v>
      </c>
      <c r="H409" s="73"/>
      <c r="I409" s="73"/>
      <c r="J409" s="52" t="s">
        <v>29</v>
      </c>
      <c r="K409" s="52"/>
      <c r="L409" s="52"/>
      <c r="M409" s="73" t="s">
        <v>30</v>
      </c>
      <c r="N409" s="73"/>
      <c r="O409" s="73"/>
      <c r="P409" s="52" t="s">
        <v>31</v>
      </c>
      <c r="Q409" s="52"/>
      <c r="R409" s="52"/>
      <c r="S409" s="73" t="s">
        <v>32</v>
      </c>
      <c r="T409" s="73"/>
      <c r="U409" s="73"/>
      <c r="V409" s="52" t="s">
        <v>33</v>
      </c>
      <c r="W409" s="52"/>
      <c r="X409" s="52"/>
      <c r="Y409" s="73" t="s">
        <v>34</v>
      </c>
      <c r="Z409" s="73"/>
      <c r="AA409" s="73"/>
      <c r="AB409" s="52" t="s">
        <v>35</v>
      </c>
      <c r="AC409" s="52"/>
      <c r="AD409" s="52"/>
      <c r="AE409" s="73" t="s">
        <v>36</v>
      </c>
      <c r="AF409" s="73"/>
      <c r="AG409" s="73"/>
    </row>
    <row r="410" spans="1:33" ht="15.75" thickBot="1" x14ac:dyDescent="0.3">
      <c r="A410" s="68"/>
      <c r="B410" s="68"/>
      <c r="C410" s="105" t="s">
        <v>243</v>
      </c>
      <c r="D410" s="75">
        <v>0</v>
      </c>
      <c r="E410" s="75"/>
      <c r="F410" s="76"/>
      <c r="G410" s="74">
        <v>0</v>
      </c>
      <c r="H410" s="75"/>
      <c r="I410" s="76"/>
      <c r="J410" s="74">
        <v>0</v>
      </c>
      <c r="K410" s="75"/>
      <c r="L410" s="76"/>
      <c r="M410" s="74">
        <v>0</v>
      </c>
      <c r="N410" s="75"/>
      <c r="O410" s="76"/>
      <c r="P410" s="74">
        <v>0</v>
      </c>
      <c r="Q410" s="75"/>
      <c r="R410" s="76"/>
      <c r="S410" s="74">
        <v>0</v>
      </c>
      <c r="T410" s="75"/>
      <c r="U410" s="76"/>
      <c r="V410" s="74">
        <v>0</v>
      </c>
      <c r="W410" s="75"/>
      <c r="X410" s="76"/>
      <c r="Y410" s="74">
        <v>0</v>
      </c>
      <c r="Z410" s="75"/>
      <c r="AA410" s="76"/>
      <c r="AB410" s="74">
        <v>0</v>
      </c>
      <c r="AC410" s="75"/>
      <c r="AD410" s="76"/>
      <c r="AE410" s="74">
        <v>0</v>
      </c>
      <c r="AF410" s="75"/>
      <c r="AG410" s="76"/>
    </row>
    <row r="411" spans="1:33" ht="15.75" thickBot="1" x14ac:dyDescent="0.3">
      <c r="A411" s="68"/>
      <c r="B411" s="68"/>
      <c r="C411" s="106" t="s">
        <v>244</v>
      </c>
      <c r="D411" s="82">
        <v>0</v>
      </c>
      <c r="E411" s="82"/>
      <c r="F411" s="84"/>
      <c r="G411" s="85">
        <v>0</v>
      </c>
      <c r="H411" s="82"/>
      <c r="I411" s="84"/>
      <c r="J411" s="85">
        <v>0</v>
      </c>
      <c r="K411" s="82"/>
      <c r="L411" s="84"/>
      <c r="M411" s="85">
        <v>0</v>
      </c>
      <c r="N411" s="82"/>
      <c r="O411" s="82"/>
      <c r="P411" s="81">
        <v>0</v>
      </c>
      <c r="Q411" s="82"/>
      <c r="R411" s="83"/>
      <c r="S411" s="82">
        <v>0</v>
      </c>
      <c r="T411" s="82"/>
      <c r="U411" s="84"/>
      <c r="V411" s="85">
        <v>0</v>
      </c>
      <c r="W411" s="82"/>
      <c r="X411" s="84"/>
      <c r="Y411" s="85">
        <v>0</v>
      </c>
      <c r="Z411" s="82"/>
      <c r="AA411" s="84"/>
      <c r="AB411" s="85">
        <v>0</v>
      </c>
      <c r="AC411" s="82"/>
      <c r="AD411" s="84"/>
      <c r="AE411" s="85">
        <v>0</v>
      </c>
      <c r="AF411" s="82"/>
      <c r="AG411" s="84"/>
    </row>
    <row r="412" spans="1:33" ht="15.75" thickBot="1" x14ac:dyDescent="0.3">
      <c r="A412" s="68"/>
      <c r="B412" s="68"/>
      <c r="C412" s="107" t="s">
        <v>37</v>
      </c>
      <c r="D412" s="104"/>
      <c r="E412" s="86"/>
      <c r="F412" s="89"/>
      <c r="G412" s="86"/>
      <c r="H412" s="86"/>
      <c r="I412" s="89"/>
      <c r="J412" s="86"/>
      <c r="K412" s="86"/>
      <c r="L412" s="89"/>
      <c r="M412" s="86"/>
      <c r="N412" s="86"/>
      <c r="O412" s="89"/>
      <c r="P412" s="86"/>
      <c r="Q412" s="86"/>
      <c r="R412" s="89"/>
      <c r="S412" s="86"/>
      <c r="T412" s="86"/>
      <c r="U412" s="89"/>
      <c r="V412" s="86"/>
      <c r="W412" s="86"/>
      <c r="X412" s="89"/>
      <c r="Y412" s="86"/>
      <c r="Z412" s="86"/>
      <c r="AA412" s="89"/>
      <c r="AB412" s="86"/>
      <c r="AC412" s="86"/>
      <c r="AD412" s="89"/>
      <c r="AE412" s="86"/>
      <c r="AF412" s="86"/>
      <c r="AG412" s="89"/>
    </row>
    <row r="413" spans="1:33" ht="15.75" thickBot="1" x14ac:dyDescent="0.3">
      <c r="A413" s="68"/>
      <c r="B413" s="68"/>
      <c r="D413" s="87"/>
      <c r="E413" s="87"/>
      <c r="F413" s="90"/>
      <c r="G413" s="87"/>
      <c r="H413" s="87"/>
      <c r="I413" s="90"/>
      <c r="J413" s="87"/>
      <c r="K413" s="87"/>
      <c r="L413" s="90"/>
      <c r="M413" s="87"/>
      <c r="N413" s="87"/>
      <c r="O413" s="90"/>
      <c r="P413" s="87"/>
      <c r="Q413" s="87"/>
      <c r="R413" s="90"/>
      <c r="S413" s="87"/>
      <c r="T413" s="87"/>
      <c r="U413" s="90"/>
      <c r="V413" s="87"/>
      <c r="W413" s="87"/>
      <c r="X413" s="90"/>
      <c r="Y413" s="87"/>
      <c r="Z413" s="87"/>
      <c r="AA413" s="90"/>
      <c r="AB413" s="87"/>
      <c r="AC413" s="87"/>
      <c r="AD413" s="90"/>
      <c r="AE413" s="87"/>
      <c r="AF413" s="87"/>
      <c r="AG413" s="90"/>
    </row>
    <row r="414" spans="1:33" ht="15.75" thickBot="1" x14ac:dyDescent="0.3">
      <c r="A414" s="68"/>
      <c r="B414" s="68"/>
      <c r="D414" s="88"/>
      <c r="E414" s="88"/>
      <c r="F414" s="91"/>
      <c r="G414" s="88"/>
      <c r="H414" s="88"/>
      <c r="I414" s="91"/>
      <c r="J414" s="88"/>
      <c r="K414" s="88"/>
      <c r="L414" s="91"/>
      <c r="M414" s="88"/>
      <c r="N414" s="88"/>
      <c r="O414" s="91"/>
      <c r="P414" s="88"/>
      <c r="Q414" s="88"/>
      <c r="R414" s="91"/>
      <c r="S414" s="88"/>
      <c r="T414" s="88"/>
      <c r="U414" s="91"/>
      <c r="V414" s="88"/>
      <c r="W414" s="88"/>
      <c r="X414" s="91"/>
      <c r="Y414" s="88"/>
      <c r="Z414" s="88"/>
      <c r="AA414" s="91"/>
      <c r="AB414" s="88"/>
      <c r="AC414" s="88"/>
      <c r="AD414" s="91"/>
      <c r="AE414" s="88"/>
      <c r="AF414" s="88"/>
      <c r="AG414" s="91"/>
    </row>
    <row r="416" spans="1:33" ht="15.75" thickBot="1" x14ac:dyDescent="0.3"/>
    <row r="417" spans="1:33" ht="15.75" thickBot="1" x14ac:dyDescent="0.3">
      <c r="A417" s="68" t="s">
        <v>268</v>
      </c>
      <c r="B417" s="68"/>
      <c r="D417" s="52" t="s">
        <v>27</v>
      </c>
      <c r="E417" s="52"/>
      <c r="F417" s="52"/>
      <c r="G417" s="73" t="s">
        <v>28</v>
      </c>
      <c r="H417" s="73"/>
      <c r="I417" s="73"/>
      <c r="J417" s="52" t="s">
        <v>29</v>
      </c>
      <c r="K417" s="52"/>
      <c r="L417" s="52"/>
      <c r="M417" s="73" t="s">
        <v>30</v>
      </c>
      <c r="N417" s="73"/>
      <c r="O417" s="73"/>
      <c r="P417" s="52" t="s">
        <v>31</v>
      </c>
      <c r="Q417" s="52"/>
      <c r="R417" s="52"/>
      <c r="S417" s="73" t="s">
        <v>32</v>
      </c>
      <c r="T417" s="73"/>
      <c r="U417" s="73"/>
      <c r="V417" s="52" t="s">
        <v>33</v>
      </c>
      <c r="W417" s="52"/>
      <c r="X417" s="52"/>
      <c r="Y417" s="73" t="s">
        <v>34</v>
      </c>
      <c r="Z417" s="73"/>
      <c r="AA417" s="73"/>
      <c r="AB417" s="52" t="s">
        <v>35</v>
      </c>
      <c r="AC417" s="52"/>
      <c r="AD417" s="52"/>
      <c r="AE417" s="73" t="s">
        <v>36</v>
      </c>
      <c r="AF417" s="73"/>
      <c r="AG417" s="73"/>
    </row>
    <row r="418" spans="1:33" ht="15.75" thickBot="1" x14ac:dyDescent="0.3">
      <c r="A418" s="68"/>
      <c r="B418" s="68"/>
      <c r="C418" s="105" t="s">
        <v>243</v>
      </c>
      <c r="D418" s="75">
        <v>0</v>
      </c>
      <c r="E418" s="75"/>
      <c r="F418" s="76"/>
      <c r="G418" s="74">
        <v>0</v>
      </c>
      <c r="H418" s="75"/>
      <c r="I418" s="76"/>
      <c r="J418" s="74">
        <v>0</v>
      </c>
      <c r="K418" s="75"/>
      <c r="L418" s="76"/>
      <c r="M418" s="74">
        <v>0</v>
      </c>
      <c r="N418" s="75"/>
      <c r="O418" s="76"/>
      <c r="P418" s="74">
        <v>0</v>
      </c>
      <c r="Q418" s="75"/>
      <c r="R418" s="76"/>
      <c r="S418" s="74">
        <v>0</v>
      </c>
      <c r="T418" s="75"/>
      <c r="U418" s="76"/>
      <c r="V418" s="74">
        <v>0</v>
      </c>
      <c r="W418" s="75"/>
      <c r="X418" s="76"/>
      <c r="Y418" s="74">
        <v>0</v>
      </c>
      <c r="Z418" s="75"/>
      <c r="AA418" s="76"/>
      <c r="AB418" s="74">
        <v>0</v>
      </c>
      <c r="AC418" s="75"/>
      <c r="AD418" s="76"/>
      <c r="AE418" s="74">
        <v>0</v>
      </c>
      <c r="AF418" s="75"/>
      <c r="AG418" s="76"/>
    </row>
    <row r="419" spans="1:33" ht="15.75" thickBot="1" x14ac:dyDescent="0.3">
      <c r="A419" s="68"/>
      <c r="B419" s="68"/>
      <c r="C419" s="106" t="s">
        <v>244</v>
      </c>
      <c r="D419" s="82">
        <v>0</v>
      </c>
      <c r="E419" s="82"/>
      <c r="F419" s="84"/>
      <c r="G419" s="85">
        <v>0</v>
      </c>
      <c r="H419" s="82"/>
      <c r="I419" s="84"/>
      <c r="J419" s="85">
        <v>0</v>
      </c>
      <c r="K419" s="82"/>
      <c r="L419" s="84"/>
      <c r="M419" s="85">
        <v>0</v>
      </c>
      <c r="N419" s="82"/>
      <c r="O419" s="82"/>
      <c r="P419" s="81">
        <v>0</v>
      </c>
      <c r="Q419" s="82"/>
      <c r="R419" s="83"/>
      <c r="S419" s="82">
        <v>0</v>
      </c>
      <c r="T419" s="82"/>
      <c r="U419" s="84"/>
      <c r="V419" s="85">
        <v>0</v>
      </c>
      <c r="W419" s="82"/>
      <c r="X419" s="84"/>
      <c r="Y419" s="85">
        <v>0</v>
      </c>
      <c r="Z419" s="82"/>
      <c r="AA419" s="84"/>
      <c r="AB419" s="85">
        <v>0</v>
      </c>
      <c r="AC419" s="82"/>
      <c r="AD419" s="84"/>
      <c r="AE419" s="85">
        <v>0</v>
      </c>
      <c r="AF419" s="82"/>
      <c r="AG419" s="84"/>
    </row>
    <row r="420" spans="1:33" ht="15.75" thickBot="1" x14ac:dyDescent="0.3">
      <c r="A420" s="68"/>
      <c r="B420" s="68"/>
      <c r="C420" s="107" t="s">
        <v>37</v>
      </c>
      <c r="D420" s="104"/>
      <c r="E420" s="86"/>
      <c r="F420" s="89"/>
      <c r="G420" s="86"/>
      <c r="H420" s="86"/>
      <c r="I420" s="89"/>
      <c r="J420" s="86"/>
      <c r="K420" s="86"/>
      <c r="L420" s="89"/>
      <c r="M420" s="86"/>
      <c r="N420" s="86"/>
      <c r="O420" s="89"/>
      <c r="P420" s="86"/>
      <c r="Q420" s="86"/>
      <c r="R420" s="89"/>
      <c r="S420" s="86"/>
      <c r="T420" s="86"/>
      <c r="U420" s="89"/>
      <c r="V420" s="86"/>
      <c r="W420" s="86"/>
      <c r="X420" s="89"/>
      <c r="Y420" s="86"/>
      <c r="Z420" s="86"/>
      <c r="AA420" s="89"/>
      <c r="AB420" s="86"/>
      <c r="AC420" s="86"/>
      <c r="AD420" s="89"/>
      <c r="AE420" s="86"/>
      <c r="AF420" s="86"/>
      <c r="AG420" s="89"/>
    </row>
    <row r="421" spans="1:33" ht="15.75" thickBot="1" x14ac:dyDescent="0.3">
      <c r="A421" s="68"/>
      <c r="B421" s="68"/>
      <c r="D421" s="87"/>
      <c r="E421" s="87"/>
      <c r="F421" s="90"/>
      <c r="G421" s="87"/>
      <c r="H421" s="87"/>
      <c r="I421" s="90"/>
      <c r="J421" s="87"/>
      <c r="K421" s="87"/>
      <c r="L421" s="90"/>
      <c r="M421" s="87"/>
      <c r="N421" s="87"/>
      <c r="O421" s="90"/>
      <c r="P421" s="87"/>
      <c r="Q421" s="87"/>
      <c r="R421" s="90"/>
      <c r="S421" s="87"/>
      <c r="T421" s="87"/>
      <c r="U421" s="90"/>
      <c r="V421" s="87"/>
      <c r="W421" s="87"/>
      <c r="X421" s="90"/>
      <c r="Y421" s="87"/>
      <c r="Z421" s="87"/>
      <c r="AA421" s="90"/>
      <c r="AB421" s="87"/>
      <c r="AC421" s="87"/>
      <c r="AD421" s="90"/>
      <c r="AE421" s="87"/>
      <c r="AF421" s="87"/>
      <c r="AG421" s="90"/>
    </row>
    <row r="422" spans="1:33" ht="15.75" thickBot="1" x14ac:dyDescent="0.3">
      <c r="A422" s="68"/>
      <c r="B422" s="68"/>
      <c r="D422" s="88"/>
      <c r="E422" s="88"/>
      <c r="F422" s="91"/>
      <c r="G422" s="88"/>
      <c r="H422" s="88"/>
      <c r="I422" s="91"/>
      <c r="J422" s="88"/>
      <c r="K422" s="88"/>
      <c r="L422" s="91"/>
      <c r="M422" s="88"/>
      <c r="N422" s="88"/>
      <c r="O422" s="91"/>
      <c r="P422" s="88"/>
      <c r="Q422" s="88"/>
      <c r="R422" s="91"/>
      <c r="S422" s="88"/>
      <c r="T422" s="88"/>
      <c r="U422" s="91"/>
      <c r="V422" s="88"/>
      <c r="W422" s="88"/>
      <c r="X422" s="91"/>
      <c r="Y422" s="88"/>
      <c r="Z422" s="88"/>
      <c r="AA422" s="91"/>
      <c r="AB422" s="88"/>
      <c r="AC422" s="88"/>
      <c r="AD422" s="91"/>
      <c r="AE422" s="88"/>
      <c r="AF422" s="88"/>
      <c r="AG422" s="91"/>
    </row>
    <row r="424" spans="1:33" ht="15.75" thickBot="1" x14ac:dyDescent="0.3"/>
    <row r="425" spans="1:33" ht="15.75" thickBot="1" x14ac:dyDescent="0.3">
      <c r="A425" s="68" t="s">
        <v>107</v>
      </c>
      <c r="B425" s="68"/>
      <c r="D425" s="52" t="s">
        <v>27</v>
      </c>
      <c r="E425" s="52"/>
      <c r="F425" s="52"/>
      <c r="G425" s="73" t="s">
        <v>28</v>
      </c>
      <c r="H425" s="73"/>
      <c r="I425" s="73"/>
      <c r="J425" s="52" t="s">
        <v>29</v>
      </c>
      <c r="K425" s="52"/>
      <c r="L425" s="52"/>
      <c r="M425" s="73" t="s">
        <v>30</v>
      </c>
      <c r="N425" s="73"/>
      <c r="O425" s="73"/>
      <c r="P425" s="52" t="s">
        <v>31</v>
      </c>
      <c r="Q425" s="52"/>
      <c r="R425" s="52"/>
      <c r="S425" s="73" t="s">
        <v>32</v>
      </c>
      <c r="T425" s="73"/>
      <c r="U425" s="73"/>
      <c r="V425" s="52" t="s">
        <v>33</v>
      </c>
      <c r="W425" s="52"/>
      <c r="X425" s="52"/>
      <c r="Y425" s="73" t="s">
        <v>34</v>
      </c>
      <c r="Z425" s="73"/>
      <c r="AA425" s="73"/>
      <c r="AB425" s="52" t="s">
        <v>35</v>
      </c>
      <c r="AC425" s="52"/>
      <c r="AD425" s="52"/>
      <c r="AE425" s="73" t="s">
        <v>36</v>
      </c>
      <c r="AF425" s="73"/>
      <c r="AG425" s="73"/>
    </row>
    <row r="426" spans="1:33" ht="15.75" thickBot="1" x14ac:dyDescent="0.3">
      <c r="A426" s="68"/>
      <c r="B426" s="68"/>
      <c r="C426" s="105" t="s">
        <v>243</v>
      </c>
      <c r="D426" s="75">
        <v>0</v>
      </c>
      <c r="E426" s="75"/>
      <c r="F426" s="76"/>
      <c r="G426" s="74">
        <v>0</v>
      </c>
      <c r="H426" s="75"/>
      <c r="I426" s="76"/>
      <c r="J426" s="74">
        <v>0</v>
      </c>
      <c r="K426" s="75"/>
      <c r="L426" s="76"/>
      <c r="M426" s="74">
        <v>0</v>
      </c>
      <c r="N426" s="75"/>
      <c r="O426" s="76"/>
      <c r="P426" s="74">
        <v>0</v>
      </c>
      <c r="Q426" s="75"/>
      <c r="R426" s="76"/>
      <c r="S426" s="74">
        <v>0</v>
      </c>
      <c r="T426" s="75"/>
      <c r="U426" s="76"/>
      <c r="V426" s="74">
        <v>0</v>
      </c>
      <c r="W426" s="75"/>
      <c r="X426" s="76"/>
      <c r="Y426" s="74">
        <v>0</v>
      </c>
      <c r="Z426" s="75"/>
      <c r="AA426" s="76"/>
      <c r="AB426" s="74">
        <v>0</v>
      </c>
      <c r="AC426" s="75"/>
      <c r="AD426" s="76"/>
      <c r="AE426" s="74">
        <v>0</v>
      </c>
      <c r="AF426" s="75"/>
      <c r="AG426" s="76"/>
    </row>
    <row r="427" spans="1:33" ht="15.75" thickBot="1" x14ac:dyDescent="0.3">
      <c r="A427" s="68"/>
      <c r="B427" s="68"/>
      <c r="C427" s="106" t="s">
        <v>244</v>
      </c>
      <c r="D427" s="82">
        <v>0</v>
      </c>
      <c r="E427" s="82"/>
      <c r="F427" s="84"/>
      <c r="G427" s="85">
        <v>0</v>
      </c>
      <c r="H427" s="82"/>
      <c r="I427" s="84"/>
      <c r="J427" s="85">
        <v>0</v>
      </c>
      <c r="K427" s="82"/>
      <c r="L427" s="84"/>
      <c r="M427" s="85">
        <v>0</v>
      </c>
      <c r="N427" s="82"/>
      <c r="O427" s="82"/>
      <c r="P427" s="81">
        <v>0</v>
      </c>
      <c r="Q427" s="82"/>
      <c r="R427" s="83"/>
      <c r="S427" s="82">
        <v>0</v>
      </c>
      <c r="T427" s="82"/>
      <c r="U427" s="84"/>
      <c r="V427" s="85">
        <v>0</v>
      </c>
      <c r="W427" s="82"/>
      <c r="X427" s="84"/>
      <c r="Y427" s="85">
        <v>0</v>
      </c>
      <c r="Z427" s="82"/>
      <c r="AA427" s="84"/>
      <c r="AB427" s="85">
        <v>0</v>
      </c>
      <c r="AC427" s="82"/>
      <c r="AD427" s="84"/>
      <c r="AE427" s="85">
        <v>0</v>
      </c>
      <c r="AF427" s="82"/>
      <c r="AG427" s="84"/>
    </row>
    <row r="428" spans="1:33" ht="15.75" thickBot="1" x14ac:dyDescent="0.3">
      <c r="A428" s="68"/>
      <c r="B428" s="68"/>
      <c r="C428" s="107" t="s">
        <v>37</v>
      </c>
      <c r="D428" s="104"/>
      <c r="E428" s="86"/>
      <c r="F428" s="89"/>
      <c r="G428" s="86"/>
      <c r="H428" s="86"/>
      <c r="I428" s="89"/>
      <c r="J428" s="86"/>
      <c r="K428" s="86"/>
      <c r="L428" s="89"/>
      <c r="M428" s="86"/>
      <c r="N428" s="86"/>
      <c r="O428" s="89"/>
      <c r="P428" s="86"/>
      <c r="Q428" s="86"/>
      <c r="R428" s="89"/>
      <c r="S428" s="86"/>
      <c r="T428" s="86"/>
      <c r="U428" s="89"/>
      <c r="V428" s="86"/>
      <c r="W428" s="86"/>
      <c r="X428" s="89"/>
      <c r="Y428" s="86"/>
      <c r="Z428" s="86"/>
      <c r="AA428" s="89"/>
      <c r="AB428" s="86"/>
      <c r="AC428" s="86"/>
      <c r="AD428" s="89"/>
      <c r="AE428" s="86"/>
      <c r="AF428" s="86"/>
      <c r="AG428" s="89"/>
    </row>
    <row r="429" spans="1:33" ht="15.75" thickBot="1" x14ac:dyDescent="0.3">
      <c r="A429" s="68"/>
      <c r="B429" s="68"/>
      <c r="D429" s="87"/>
      <c r="E429" s="87"/>
      <c r="F429" s="90"/>
      <c r="G429" s="87"/>
      <c r="H429" s="87"/>
      <c r="I429" s="90"/>
      <c r="J429" s="87"/>
      <c r="K429" s="87"/>
      <c r="L429" s="90"/>
      <c r="M429" s="87"/>
      <c r="N429" s="87"/>
      <c r="O429" s="90"/>
      <c r="P429" s="87"/>
      <c r="Q429" s="87"/>
      <c r="R429" s="90"/>
      <c r="S429" s="87"/>
      <c r="T429" s="87"/>
      <c r="U429" s="90"/>
      <c r="V429" s="87"/>
      <c r="W429" s="87"/>
      <c r="X429" s="90"/>
      <c r="Y429" s="87"/>
      <c r="Z429" s="87"/>
      <c r="AA429" s="90"/>
      <c r="AB429" s="87"/>
      <c r="AC429" s="87"/>
      <c r="AD429" s="90"/>
      <c r="AE429" s="87"/>
      <c r="AF429" s="87"/>
      <c r="AG429" s="90"/>
    </row>
    <row r="430" spans="1:33" ht="15.75" thickBot="1" x14ac:dyDescent="0.3">
      <c r="A430" s="68"/>
      <c r="B430" s="68"/>
      <c r="D430" s="88"/>
      <c r="E430" s="88"/>
      <c r="F430" s="91"/>
      <c r="G430" s="88"/>
      <c r="H430" s="88"/>
      <c r="I430" s="91"/>
      <c r="J430" s="88"/>
      <c r="K430" s="88"/>
      <c r="L430" s="91"/>
      <c r="M430" s="88"/>
      <c r="N430" s="88"/>
      <c r="O430" s="91"/>
      <c r="P430" s="88"/>
      <c r="Q430" s="88"/>
      <c r="R430" s="91"/>
      <c r="S430" s="88"/>
      <c r="T430" s="88"/>
      <c r="U430" s="91"/>
      <c r="V430" s="88"/>
      <c r="W430" s="88"/>
      <c r="X430" s="91"/>
      <c r="Y430" s="88"/>
      <c r="Z430" s="88"/>
      <c r="AA430" s="91"/>
      <c r="AB430" s="88"/>
      <c r="AC430" s="88"/>
      <c r="AD430" s="91"/>
      <c r="AE430" s="88"/>
      <c r="AF430" s="88"/>
      <c r="AG430" s="91"/>
    </row>
    <row r="432" spans="1:33" ht="15.75" thickBot="1" x14ac:dyDescent="0.3"/>
    <row r="433" spans="1:33" ht="15.75" thickBot="1" x14ac:dyDescent="0.3">
      <c r="A433" s="68" t="s">
        <v>108</v>
      </c>
      <c r="B433" s="68"/>
      <c r="D433" s="52" t="s">
        <v>27</v>
      </c>
      <c r="E433" s="52"/>
      <c r="F433" s="52"/>
      <c r="G433" s="73" t="s">
        <v>28</v>
      </c>
      <c r="H433" s="73"/>
      <c r="I433" s="73"/>
      <c r="J433" s="52" t="s">
        <v>29</v>
      </c>
      <c r="K433" s="52"/>
      <c r="L433" s="52"/>
      <c r="M433" s="73" t="s">
        <v>30</v>
      </c>
      <c r="N433" s="73"/>
      <c r="O433" s="73"/>
      <c r="P433" s="52" t="s">
        <v>31</v>
      </c>
      <c r="Q433" s="52"/>
      <c r="R433" s="52"/>
      <c r="S433" s="73" t="s">
        <v>32</v>
      </c>
      <c r="T433" s="73"/>
      <c r="U433" s="73"/>
      <c r="V433" s="52" t="s">
        <v>33</v>
      </c>
      <c r="W433" s="52"/>
      <c r="X433" s="52"/>
      <c r="Y433" s="73" t="s">
        <v>34</v>
      </c>
      <c r="Z433" s="73"/>
      <c r="AA433" s="73"/>
      <c r="AB433" s="52" t="s">
        <v>35</v>
      </c>
      <c r="AC433" s="52"/>
      <c r="AD433" s="52"/>
      <c r="AE433" s="73" t="s">
        <v>36</v>
      </c>
      <c r="AF433" s="73"/>
      <c r="AG433" s="73"/>
    </row>
    <row r="434" spans="1:33" ht="15.75" thickBot="1" x14ac:dyDescent="0.3">
      <c r="A434" s="68"/>
      <c r="B434" s="68"/>
      <c r="C434" s="105" t="s">
        <v>243</v>
      </c>
      <c r="D434" s="75">
        <v>0</v>
      </c>
      <c r="E434" s="75"/>
      <c r="F434" s="76"/>
      <c r="G434" s="74">
        <v>0</v>
      </c>
      <c r="H434" s="75"/>
      <c r="I434" s="76"/>
      <c r="J434" s="74">
        <v>0</v>
      </c>
      <c r="K434" s="75"/>
      <c r="L434" s="76"/>
      <c r="M434" s="74">
        <v>0</v>
      </c>
      <c r="N434" s="75"/>
      <c r="O434" s="76"/>
      <c r="P434" s="74">
        <v>0</v>
      </c>
      <c r="Q434" s="75"/>
      <c r="R434" s="76"/>
      <c r="S434" s="74">
        <v>0</v>
      </c>
      <c r="T434" s="75"/>
      <c r="U434" s="76"/>
      <c r="V434" s="74">
        <v>0</v>
      </c>
      <c r="W434" s="75"/>
      <c r="X434" s="76"/>
      <c r="Y434" s="74">
        <v>0</v>
      </c>
      <c r="Z434" s="75"/>
      <c r="AA434" s="76"/>
      <c r="AB434" s="74">
        <v>0</v>
      </c>
      <c r="AC434" s="75"/>
      <c r="AD434" s="76"/>
      <c r="AE434" s="74">
        <v>0</v>
      </c>
      <c r="AF434" s="75"/>
      <c r="AG434" s="76"/>
    </row>
    <row r="435" spans="1:33" ht="15.75" thickBot="1" x14ac:dyDescent="0.3">
      <c r="A435" s="68"/>
      <c r="B435" s="68"/>
      <c r="C435" s="106" t="s">
        <v>244</v>
      </c>
      <c r="D435" s="82">
        <v>0</v>
      </c>
      <c r="E435" s="82"/>
      <c r="F435" s="84"/>
      <c r="G435" s="85">
        <v>0</v>
      </c>
      <c r="H435" s="82"/>
      <c r="I435" s="84"/>
      <c r="J435" s="85">
        <v>0</v>
      </c>
      <c r="K435" s="82"/>
      <c r="L435" s="84"/>
      <c r="M435" s="85">
        <v>0</v>
      </c>
      <c r="N435" s="82"/>
      <c r="O435" s="82"/>
      <c r="P435" s="81">
        <v>0</v>
      </c>
      <c r="Q435" s="82"/>
      <c r="R435" s="83"/>
      <c r="S435" s="82">
        <v>0</v>
      </c>
      <c r="T435" s="82"/>
      <c r="U435" s="84"/>
      <c r="V435" s="85">
        <v>0</v>
      </c>
      <c r="W435" s="82"/>
      <c r="X435" s="84"/>
      <c r="Y435" s="85">
        <v>0</v>
      </c>
      <c r="Z435" s="82"/>
      <c r="AA435" s="84"/>
      <c r="AB435" s="85">
        <v>0</v>
      </c>
      <c r="AC435" s="82"/>
      <c r="AD435" s="84"/>
      <c r="AE435" s="85">
        <v>0</v>
      </c>
      <c r="AF435" s="82"/>
      <c r="AG435" s="84"/>
    </row>
    <row r="436" spans="1:33" ht="15.75" thickBot="1" x14ac:dyDescent="0.3">
      <c r="A436" s="68"/>
      <c r="B436" s="68"/>
      <c r="C436" s="107" t="s">
        <v>37</v>
      </c>
      <c r="D436" s="104"/>
      <c r="E436" s="86"/>
      <c r="F436" s="89"/>
      <c r="G436" s="86"/>
      <c r="H436" s="86"/>
      <c r="I436" s="89"/>
      <c r="J436" s="86"/>
      <c r="K436" s="86"/>
      <c r="L436" s="89"/>
      <c r="M436" s="86"/>
      <c r="N436" s="86"/>
      <c r="O436" s="89"/>
      <c r="P436" s="86"/>
      <c r="Q436" s="86"/>
      <c r="R436" s="89"/>
      <c r="S436" s="86"/>
      <c r="T436" s="86"/>
      <c r="U436" s="89"/>
      <c r="V436" s="86"/>
      <c r="W436" s="86"/>
      <c r="X436" s="89"/>
      <c r="Y436" s="86"/>
      <c r="Z436" s="86"/>
      <c r="AA436" s="89"/>
      <c r="AB436" s="86"/>
      <c r="AC436" s="86"/>
      <c r="AD436" s="89"/>
      <c r="AE436" s="86"/>
      <c r="AF436" s="86"/>
      <c r="AG436" s="89"/>
    </row>
    <row r="437" spans="1:33" ht="15.75" thickBot="1" x14ac:dyDescent="0.3">
      <c r="A437" s="68"/>
      <c r="B437" s="68"/>
      <c r="D437" s="87"/>
      <c r="E437" s="87"/>
      <c r="F437" s="90"/>
      <c r="G437" s="87"/>
      <c r="H437" s="87"/>
      <c r="I437" s="90"/>
      <c r="J437" s="87"/>
      <c r="K437" s="87"/>
      <c r="L437" s="90"/>
      <c r="M437" s="87"/>
      <c r="N437" s="87"/>
      <c r="O437" s="90"/>
      <c r="P437" s="87"/>
      <c r="Q437" s="87"/>
      <c r="R437" s="90"/>
      <c r="S437" s="87"/>
      <c r="T437" s="87"/>
      <c r="U437" s="90"/>
      <c r="V437" s="87"/>
      <c r="W437" s="87"/>
      <c r="X437" s="90"/>
      <c r="Y437" s="87"/>
      <c r="Z437" s="87"/>
      <c r="AA437" s="90"/>
      <c r="AB437" s="87"/>
      <c r="AC437" s="87"/>
      <c r="AD437" s="90"/>
      <c r="AE437" s="87"/>
      <c r="AF437" s="87"/>
      <c r="AG437" s="90"/>
    </row>
    <row r="438" spans="1:33" ht="15.75" thickBot="1" x14ac:dyDescent="0.3">
      <c r="A438" s="68"/>
      <c r="B438" s="68"/>
      <c r="D438" s="88"/>
      <c r="E438" s="88"/>
      <c r="F438" s="91"/>
      <c r="G438" s="88"/>
      <c r="H438" s="88"/>
      <c r="I438" s="91"/>
      <c r="J438" s="88"/>
      <c r="K438" s="88"/>
      <c r="L438" s="91"/>
      <c r="M438" s="88"/>
      <c r="N438" s="88"/>
      <c r="O438" s="91"/>
      <c r="P438" s="88"/>
      <c r="Q438" s="88"/>
      <c r="R438" s="91"/>
      <c r="S438" s="88"/>
      <c r="T438" s="88"/>
      <c r="U438" s="91"/>
      <c r="V438" s="88"/>
      <c r="W438" s="88"/>
      <c r="X438" s="91"/>
      <c r="Y438" s="88"/>
      <c r="Z438" s="88"/>
      <c r="AA438" s="91"/>
      <c r="AB438" s="88"/>
      <c r="AC438" s="88"/>
      <c r="AD438" s="91"/>
      <c r="AE438" s="88"/>
      <c r="AF438" s="88"/>
      <c r="AG438" s="91"/>
    </row>
    <row r="440" spans="1:33" ht="15.75" thickBot="1" x14ac:dyDescent="0.3"/>
    <row r="441" spans="1:33" ht="15.75" thickBot="1" x14ac:dyDescent="0.3">
      <c r="A441" s="68" t="s">
        <v>109</v>
      </c>
      <c r="B441" s="68"/>
      <c r="D441" s="52" t="s">
        <v>27</v>
      </c>
      <c r="E441" s="52"/>
      <c r="F441" s="52"/>
      <c r="G441" s="73" t="s">
        <v>28</v>
      </c>
      <c r="H441" s="73"/>
      <c r="I441" s="73"/>
      <c r="J441" s="52" t="s">
        <v>29</v>
      </c>
      <c r="K441" s="52"/>
      <c r="L441" s="52"/>
      <c r="M441" s="73" t="s">
        <v>30</v>
      </c>
      <c r="N441" s="73"/>
      <c r="O441" s="73"/>
      <c r="P441" s="52" t="s">
        <v>31</v>
      </c>
      <c r="Q441" s="52"/>
      <c r="R441" s="52"/>
      <c r="S441" s="73" t="s">
        <v>32</v>
      </c>
      <c r="T441" s="73"/>
      <c r="U441" s="73"/>
      <c r="V441" s="52" t="s">
        <v>33</v>
      </c>
      <c r="W441" s="52"/>
      <c r="X441" s="52"/>
      <c r="Y441" s="73" t="s">
        <v>34</v>
      </c>
      <c r="Z441" s="73"/>
      <c r="AA441" s="73"/>
      <c r="AB441" s="52" t="s">
        <v>35</v>
      </c>
      <c r="AC441" s="52"/>
      <c r="AD441" s="52"/>
      <c r="AE441" s="73" t="s">
        <v>36</v>
      </c>
      <c r="AF441" s="73"/>
      <c r="AG441" s="73"/>
    </row>
    <row r="442" spans="1:33" ht="15.75" thickBot="1" x14ac:dyDescent="0.3">
      <c r="A442" s="68"/>
      <c r="B442" s="68"/>
      <c r="C442" s="105" t="s">
        <v>243</v>
      </c>
      <c r="D442" s="75">
        <v>0</v>
      </c>
      <c r="E442" s="75"/>
      <c r="F442" s="76"/>
      <c r="G442" s="74">
        <v>0</v>
      </c>
      <c r="H442" s="75"/>
      <c r="I442" s="76"/>
      <c r="J442" s="74">
        <v>0</v>
      </c>
      <c r="K442" s="75"/>
      <c r="L442" s="76"/>
      <c r="M442" s="74">
        <v>0</v>
      </c>
      <c r="N442" s="75"/>
      <c r="O442" s="76"/>
      <c r="P442" s="74">
        <v>0</v>
      </c>
      <c r="Q442" s="75"/>
      <c r="R442" s="76"/>
      <c r="S442" s="74">
        <v>0</v>
      </c>
      <c r="T442" s="75"/>
      <c r="U442" s="76"/>
      <c r="V442" s="74">
        <v>0</v>
      </c>
      <c r="W442" s="75"/>
      <c r="X442" s="76"/>
      <c r="Y442" s="74">
        <v>0</v>
      </c>
      <c r="Z442" s="75"/>
      <c r="AA442" s="76"/>
      <c r="AB442" s="74">
        <v>0</v>
      </c>
      <c r="AC442" s="75"/>
      <c r="AD442" s="76"/>
      <c r="AE442" s="74">
        <v>0</v>
      </c>
      <c r="AF442" s="75"/>
      <c r="AG442" s="76"/>
    </row>
    <row r="443" spans="1:33" ht="15.75" thickBot="1" x14ac:dyDescent="0.3">
      <c r="A443" s="68"/>
      <c r="B443" s="68"/>
      <c r="C443" s="106" t="s">
        <v>244</v>
      </c>
      <c r="D443" s="82">
        <v>0</v>
      </c>
      <c r="E443" s="82"/>
      <c r="F443" s="84"/>
      <c r="G443" s="85">
        <v>0</v>
      </c>
      <c r="H443" s="82"/>
      <c r="I443" s="84"/>
      <c r="J443" s="85">
        <v>0</v>
      </c>
      <c r="K443" s="82"/>
      <c r="L443" s="84"/>
      <c r="M443" s="85">
        <v>0</v>
      </c>
      <c r="N443" s="82"/>
      <c r="O443" s="82"/>
      <c r="P443" s="81">
        <v>0</v>
      </c>
      <c r="Q443" s="82"/>
      <c r="R443" s="83"/>
      <c r="S443" s="82">
        <v>0</v>
      </c>
      <c r="T443" s="82"/>
      <c r="U443" s="84"/>
      <c r="V443" s="85">
        <v>0</v>
      </c>
      <c r="W443" s="82"/>
      <c r="X443" s="84"/>
      <c r="Y443" s="85">
        <v>0</v>
      </c>
      <c r="Z443" s="82"/>
      <c r="AA443" s="84"/>
      <c r="AB443" s="85">
        <v>0</v>
      </c>
      <c r="AC443" s="82"/>
      <c r="AD443" s="84"/>
      <c r="AE443" s="85">
        <v>0</v>
      </c>
      <c r="AF443" s="82"/>
      <c r="AG443" s="84"/>
    </row>
    <row r="444" spans="1:33" ht="15.75" thickBot="1" x14ac:dyDescent="0.3">
      <c r="A444" s="68"/>
      <c r="B444" s="68"/>
      <c r="C444" s="107" t="s">
        <v>37</v>
      </c>
      <c r="D444" s="104"/>
      <c r="E444" s="86"/>
      <c r="F444" s="89"/>
      <c r="G444" s="86"/>
      <c r="H444" s="86"/>
      <c r="I444" s="89"/>
      <c r="J444" s="86"/>
      <c r="K444" s="86"/>
      <c r="L444" s="89"/>
      <c r="M444" s="86"/>
      <c r="N444" s="86"/>
      <c r="O444" s="89"/>
      <c r="P444" s="86"/>
      <c r="Q444" s="86"/>
      <c r="R444" s="89"/>
      <c r="S444" s="86"/>
      <c r="T444" s="86"/>
      <c r="U444" s="89"/>
      <c r="V444" s="86"/>
      <c r="W444" s="86"/>
      <c r="X444" s="89"/>
      <c r="Y444" s="86"/>
      <c r="Z444" s="86"/>
      <c r="AA444" s="89"/>
      <c r="AB444" s="86"/>
      <c r="AC444" s="86"/>
      <c r="AD444" s="89"/>
      <c r="AE444" s="86"/>
      <c r="AF444" s="86"/>
      <c r="AG444" s="89"/>
    </row>
    <row r="445" spans="1:33" ht="15.75" thickBot="1" x14ac:dyDescent="0.3">
      <c r="A445" s="68"/>
      <c r="B445" s="68"/>
      <c r="D445" s="87"/>
      <c r="E445" s="87"/>
      <c r="F445" s="90"/>
      <c r="G445" s="87"/>
      <c r="H445" s="87"/>
      <c r="I445" s="90"/>
      <c r="J445" s="87"/>
      <c r="K445" s="87"/>
      <c r="L445" s="90"/>
      <c r="M445" s="87"/>
      <c r="N445" s="87"/>
      <c r="O445" s="90"/>
      <c r="P445" s="87"/>
      <c r="Q445" s="87"/>
      <c r="R445" s="90"/>
      <c r="S445" s="87"/>
      <c r="T445" s="87"/>
      <c r="U445" s="90"/>
      <c r="V445" s="87"/>
      <c r="W445" s="87"/>
      <c r="X445" s="90"/>
      <c r="Y445" s="87"/>
      <c r="Z445" s="87"/>
      <c r="AA445" s="90"/>
      <c r="AB445" s="87"/>
      <c r="AC445" s="87"/>
      <c r="AD445" s="90"/>
      <c r="AE445" s="87"/>
      <c r="AF445" s="87"/>
      <c r="AG445" s="90"/>
    </row>
    <row r="446" spans="1:33" ht="15.75" thickBot="1" x14ac:dyDescent="0.3">
      <c r="A446" s="68"/>
      <c r="B446" s="68"/>
      <c r="D446" s="88"/>
      <c r="E446" s="88"/>
      <c r="F446" s="91"/>
      <c r="G446" s="88"/>
      <c r="H446" s="88"/>
      <c r="I446" s="91"/>
      <c r="J446" s="88"/>
      <c r="K446" s="88"/>
      <c r="L446" s="91"/>
      <c r="M446" s="88"/>
      <c r="N446" s="88"/>
      <c r="O446" s="91"/>
      <c r="P446" s="88"/>
      <c r="Q446" s="88"/>
      <c r="R446" s="91"/>
      <c r="S446" s="88"/>
      <c r="T446" s="88"/>
      <c r="U446" s="91"/>
      <c r="V446" s="88"/>
      <c r="W446" s="88"/>
      <c r="X446" s="91"/>
      <c r="Y446" s="88"/>
      <c r="Z446" s="88"/>
      <c r="AA446" s="91"/>
      <c r="AB446" s="88"/>
      <c r="AC446" s="88"/>
      <c r="AD446" s="91"/>
      <c r="AE446" s="88"/>
      <c r="AF446" s="88"/>
      <c r="AG446" s="91"/>
    </row>
    <row r="448" spans="1:33" ht="15.75" thickBot="1" x14ac:dyDescent="0.3"/>
    <row r="449" spans="1:33" ht="15.75" thickBot="1" x14ac:dyDescent="0.3">
      <c r="A449" s="68" t="s">
        <v>110</v>
      </c>
      <c r="B449" s="68"/>
      <c r="D449" s="52" t="s">
        <v>27</v>
      </c>
      <c r="E449" s="52"/>
      <c r="F449" s="52"/>
      <c r="G449" s="73" t="s">
        <v>28</v>
      </c>
      <c r="H449" s="73"/>
      <c r="I449" s="73"/>
      <c r="J449" s="52" t="s">
        <v>29</v>
      </c>
      <c r="K449" s="52"/>
      <c r="L449" s="52"/>
      <c r="M449" s="73" t="s">
        <v>30</v>
      </c>
      <c r="N449" s="73"/>
      <c r="O449" s="73"/>
      <c r="P449" s="52" t="s">
        <v>31</v>
      </c>
      <c r="Q449" s="52"/>
      <c r="R449" s="52"/>
      <c r="S449" s="73" t="s">
        <v>32</v>
      </c>
      <c r="T449" s="73"/>
      <c r="U449" s="73"/>
      <c r="V449" s="52" t="s">
        <v>33</v>
      </c>
      <c r="W449" s="52"/>
      <c r="X449" s="52"/>
      <c r="Y449" s="73" t="s">
        <v>34</v>
      </c>
      <c r="Z449" s="73"/>
      <c r="AA449" s="73"/>
      <c r="AB449" s="52" t="s">
        <v>35</v>
      </c>
      <c r="AC449" s="52"/>
      <c r="AD449" s="52"/>
      <c r="AE449" s="73" t="s">
        <v>36</v>
      </c>
      <c r="AF449" s="73"/>
      <c r="AG449" s="73"/>
    </row>
    <row r="450" spans="1:33" ht="15.75" thickBot="1" x14ac:dyDescent="0.3">
      <c r="A450" s="68"/>
      <c r="B450" s="68"/>
      <c r="C450" s="105" t="s">
        <v>243</v>
      </c>
      <c r="D450" s="75">
        <v>0</v>
      </c>
      <c r="E450" s="75"/>
      <c r="F450" s="76"/>
      <c r="G450" s="74">
        <v>0</v>
      </c>
      <c r="H450" s="75"/>
      <c r="I450" s="76"/>
      <c r="J450" s="74">
        <v>0</v>
      </c>
      <c r="K450" s="75"/>
      <c r="L450" s="76"/>
      <c r="M450" s="74">
        <v>0</v>
      </c>
      <c r="N450" s="75"/>
      <c r="O450" s="76"/>
      <c r="P450" s="74">
        <v>0</v>
      </c>
      <c r="Q450" s="75"/>
      <c r="R450" s="76"/>
      <c r="S450" s="74">
        <v>0</v>
      </c>
      <c r="T450" s="75"/>
      <c r="U450" s="76"/>
      <c r="V450" s="74">
        <v>0</v>
      </c>
      <c r="W450" s="75"/>
      <c r="X450" s="76"/>
      <c r="Y450" s="74">
        <v>0</v>
      </c>
      <c r="Z450" s="75"/>
      <c r="AA450" s="76"/>
      <c r="AB450" s="74">
        <v>0</v>
      </c>
      <c r="AC450" s="75"/>
      <c r="AD450" s="76"/>
      <c r="AE450" s="74">
        <v>0</v>
      </c>
      <c r="AF450" s="75"/>
      <c r="AG450" s="76"/>
    </row>
    <row r="451" spans="1:33" ht="15.75" thickBot="1" x14ac:dyDescent="0.3">
      <c r="A451" s="68"/>
      <c r="B451" s="68"/>
      <c r="C451" s="106" t="s">
        <v>244</v>
      </c>
      <c r="D451" s="82">
        <v>0</v>
      </c>
      <c r="E451" s="82"/>
      <c r="F451" s="84"/>
      <c r="G451" s="85">
        <v>0</v>
      </c>
      <c r="H451" s="82"/>
      <c r="I451" s="84"/>
      <c r="J451" s="85">
        <v>0</v>
      </c>
      <c r="K451" s="82"/>
      <c r="L451" s="84"/>
      <c r="M451" s="85">
        <v>0</v>
      </c>
      <c r="N451" s="82"/>
      <c r="O451" s="82"/>
      <c r="P451" s="81">
        <v>0</v>
      </c>
      <c r="Q451" s="82"/>
      <c r="R451" s="83"/>
      <c r="S451" s="82">
        <v>0</v>
      </c>
      <c r="T451" s="82"/>
      <c r="U451" s="84"/>
      <c r="V451" s="85">
        <v>0</v>
      </c>
      <c r="W451" s="82"/>
      <c r="X451" s="84"/>
      <c r="Y451" s="85">
        <v>0</v>
      </c>
      <c r="Z451" s="82"/>
      <c r="AA451" s="84"/>
      <c r="AB451" s="85">
        <v>0</v>
      </c>
      <c r="AC451" s="82"/>
      <c r="AD451" s="84"/>
      <c r="AE451" s="85">
        <v>0</v>
      </c>
      <c r="AF451" s="82"/>
      <c r="AG451" s="84"/>
    </row>
    <row r="452" spans="1:33" ht="15.75" thickBot="1" x14ac:dyDescent="0.3">
      <c r="A452" s="68"/>
      <c r="B452" s="68"/>
      <c r="C452" s="107" t="s">
        <v>37</v>
      </c>
      <c r="D452" s="104"/>
      <c r="E452" s="86"/>
      <c r="F452" s="89"/>
      <c r="G452" s="86"/>
      <c r="H452" s="86"/>
      <c r="I452" s="89"/>
      <c r="J452" s="86"/>
      <c r="K452" s="86"/>
      <c r="L452" s="89"/>
      <c r="M452" s="86"/>
      <c r="N452" s="86"/>
      <c r="O452" s="89"/>
      <c r="P452" s="86"/>
      <c r="Q452" s="86"/>
      <c r="R452" s="89"/>
      <c r="S452" s="86"/>
      <c r="T452" s="86"/>
      <c r="U452" s="89"/>
      <c r="V452" s="86"/>
      <c r="W452" s="86"/>
      <c r="X452" s="89"/>
      <c r="Y452" s="86"/>
      <c r="Z452" s="86"/>
      <c r="AA452" s="89"/>
      <c r="AB452" s="86"/>
      <c r="AC452" s="86"/>
      <c r="AD452" s="89"/>
      <c r="AE452" s="86"/>
      <c r="AF452" s="86"/>
      <c r="AG452" s="89"/>
    </row>
    <row r="453" spans="1:33" ht="15.75" thickBot="1" x14ac:dyDescent="0.3">
      <c r="A453" s="68"/>
      <c r="B453" s="68"/>
      <c r="D453" s="87"/>
      <c r="E453" s="87"/>
      <c r="F453" s="90"/>
      <c r="G453" s="87"/>
      <c r="H453" s="87"/>
      <c r="I453" s="90"/>
      <c r="J453" s="87"/>
      <c r="K453" s="87"/>
      <c r="L453" s="90"/>
      <c r="M453" s="87"/>
      <c r="N453" s="87"/>
      <c r="O453" s="90"/>
      <c r="P453" s="87"/>
      <c r="Q453" s="87"/>
      <c r="R453" s="90"/>
      <c r="S453" s="87"/>
      <c r="T453" s="87"/>
      <c r="U453" s="90"/>
      <c r="V453" s="87"/>
      <c r="W453" s="87"/>
      <c r="X453" s="90"/>
      <c r="Y453" s="87"/>
      <c r="Z453" s="87"/>
      <c r="AA453" s="90"/>
      <c r="AB453" s="87"/>
      <c r="AC453" s="87"/>
      <c r="AD453" s="90"/>
      <c r="AE453" s="87"/>
      <c r="AF453" s="87"/>
      <c r="AG453" s="90"/>
    </row>
    <row r="454" spans="1:33" ht="15.75" thickBot="1" x14ac:dyDescent="0.3">
      <c r="A454" s="68"/>
      <c r="B454" s="68"/>
      <c r="D454" s="88"/>
      <c r="E454" s="88"/>
      <c r="F454" s="91"/>
      <c r="G454" s="88"/>
      <c r="H454" s="88"/>
      <c r="I454" s="91"/>
      <c r="J454" s="88"/>
      <c r="K454" s="88"/>
      <c r="L454" s="91"/>
      <c r="M454" s="88"/>
      <c r="N454" s="88"/>
      <c r="O454" s="91"/>
      <c r="P454" s="88"/>
      <c r="Q454" s="88"/>
      <c r="R454" s="91"/>
      <c r="S454" s="88"/>
      <c r="T454" s="88"/>
      <c r="U454" s="91"/>
      <c r="V454" s="88"/>
      <c r="W454" s="88"/>
      <c r="X454" s="91"/>
      <c r="Y454" s="88"/>
      <c r="Z454" s="88"/>
      <c r="AA454" s="91"/>
      <c r="AB454" s="88"/>
      <c r="AC454" s="88"/>
      <c r="AD454" s="91"/>
      <c r="AE454" s="88"/>
      <c r="AF454" s="88"/>
      <c r="AG454" s="91"/>
    </row>
    <row r="456" spans="1:33" ht="15.75" thickBot="1" x14ac:dyDescent="0.3"/>
    <row r="457" spans="1:33" ht="15.75" thickBot="1" x14ac:dyDescent="0.3">
      <c r="A457" s="68" t="s">
        <v>111</v>
      </c>
      <c r="B457" s="68"/>
      <c r="D457" s="52" t="s">
        <v>27</v>
      </c>
      <c r="E457" s="52"/>
      <c r="F457" s="52"/>
      <c r="G457" s="73" t="s">
        <v>28</v>
      </c>
      <c r="H457" s="73"/>
      <c r="I457" s="73"/>
      <c r="J457" s="52" t="s">
        <v>29</v>
      </c>
      <c r="K457" s="52"/>
      <c r="L457" s="52"/>
      <c r="M457" s="73" t="s">
        <v>30</v>
      </c>
      <c r="N457" s="73"/>
      <c r="O457" s="73"/>
      <c r="P457" s="52" t="s">
        <v>31</v>
      </c>
      <c r="Q457" s="52"/>
      <c r="R457" s="52"/>
      <c r="S457" s="73" t="s">
        <v>32</v>
      </c>
      <c r="T457" s="73"/>
      <c r="U457" s="73"/>
      <c r="V457" s="52" t="s">
        <v>33</v>
      </c>
      <c r="W457" s="52"/>
      <c r="X457" s="52"/>
      <c r="Y457" s="73" t="s">
        <v>34</v>
      </c>
      <c r="Z457" s="73"/>
      <c r="AA457" s="73"/>
      <c r="AB457" s="52" t="s">
        <v>35</v>
      </c>
      <c r="AC457" s="52"/>
      <c r="AD457" s="52"/>
      <c r="AE457" s="73" t="s">
        <v>36</v>
      </c>
      <c r="AF457" s="73"/>
      <c r="AG457" s="73"/>
    </row>
    <row r="458" spans="1:33" ht="15.75" thickBot="1" x14ac:dyDescent="0.3">
      <c r="A458" s="68"/>
      <c r="B458" s="68"/>
      <c r="C458" s="105" t="s">
        <v>243</v>
      </c>
      <c r="D458" s="75">
        <v>0</v>
      </c>
      <c r="E458" s="75"/>
      <c r="F458" s="76"/>
      <c r="G458" s="74">
        <v>0</v>
      </c>
      <c r="H458" s="75"/>
      <c r="I458" s="76"/>
      <c r="J458" s="74">
        <v>0</v>
      </c>
      <c r="K458" s="75"/>
      <c r="L458" s="76"/>
      <c r="M458" s="74">
        <v>0</v>
      </c>
      <c r="N458" s="75"/>
      <c r="O458" s="76"/>
      <c r="P458" s="74">
        <v>0</v>
      </c>
      <c r="Q458" s="75"/>
      <c r="R458" s="76"/>
      <c r="S458" s="74">
        <v>0</v>
      </c>
      <c r="T458" s="75"/>
      <c r="U458" s="76"/>
      <c r="V458" s="74">
        <v>0</v>
      </c>
      <c r="W458" s="75"/>
      <c r="X458" s="76"/>
      <c r="Y458" s="74">
        <v>0</v>
      </c>
      <c r="Z458" s="75"/>
      <c r="AA458" s="76"/>
      <c r="AB458" s="74">
        <v>0</v>
      </c>
      <c r="AC458" s="75"/>
      <c r="AD458" s="76"/>
      <c r="AE458" s="74">
        <v>0</v>
      </c>
      <c r="AF458" s="75"/>
      <c r="AG458" s="76"/>
    </row>
    <row r="459" spans="1:33" ht="15.75" thickBot="1" x14ac:dyDescent="0.3">
      <c r="A459" s="68"/>
      <c r="B459" s="68"/>
      <c r="C459" s="106" t="s">
        <v>244</v>
      </c>
      <c r="D459" s="82">
        <v>0</v>
      </c>
      <c r="E459" s="82"/>
      <c r="F459" s="84"/>
      <c r="G459" s="85">
        <v>0</v>
      </c>
      <c r="H459" s="82"/>
      <c r="I459" s="84"/>
      <c r="J459" s="85">
        <v>0</v>
      </c>
      <c r="K459" s="82"/>
      <c r="L459" s="84"/>
      <c r="M459" s="85">
        <v>0</v>
      </c>
      <c r="N459" s="82"/>
      <c r="O459" s="82"/>
      <c r="P459" s="81">
        <v>0</v>
      </c>
      <c r="Q459" s="82"/>
      <c r="R459" s="83"/>
      <c r="S459" s="82">
        <v>0</v>
      </c>
      <c r="T459" s="82"/>
      <c r="U459" s="84"/>
      <c r="V459" s="85">
        <v>0</v>
      </c>
      <c r="W459" s="82"/>
      <c r="X459" s="84"/>
      <c r="Y459" s="85">
        <v>0</v>
      </c>
      <c r="Z459" s="82"/>
      <c r="AA459" s="84"/>
      <c r="AB459" s="85">
        <v>0</v>
      </c>
      <c r="AC459" s="82"/>
      <c r="AD459" s="84"/>
      <c r="AE459" s="85">
        <v>0</v>
      </c>
      <c r="AF459" s="82"/>
      <c r="AG459" s="84"/>
    </row>
    <row r="460" spans="1:33" ht="15.75" thickBot="1" x14ac:dyDescent="0.3">
      <c r="A460" s="68"/>
      <c r="B460" s="68"/>
      <c r="C460" s="107" t="s">
        <v>37</v>
      </c>
      <c r="D460" s="104"/>
      <c r="E460" s="86"/>
      <c r="F460" s="89"/>
      <c r="G460" s="86"/>
      <c r="H460" s="86"/>
      <c r="I460" s="89"/>
      <c r="J460" s="86"/>
      <c r="K460" s="86"/>
      <c r="L460" s="89"/>
      <c r="M460" s="86"/>
      <c r="N460" s="86"/>
      <c r="O460" s="89"/>
      <c r="P460" s="86"/>
      <c r="Q460" s="86"/>
      <c r="R460" s="89"/>
      <c r="S460" s="86"/>
      <c r="T460" s="86"/>
      <c r="U460" s="89"/>
      <c r="V460" s="86"/>
      <c r="W460" s="86"/>
      <c r="X460" s="89"/>
      <c r="Y460" s="86"/>
      <c r="Z460" s="86"/>
      <c r="AA460" s="89"/>
      <c r="AB460" s="86"/>
      <c r="AC460" s="86"/>
      <c r="AD460" s="89"/>
      <c r="AE460" s="86"/>
      <c r="AF460" s="86"/>
      <c r="AG460" s="89"/>
    </row>
    <row r="461" spans="1:33" ht="15.75" thickBot="1" x14ac:dyDescent="0.3">
      <c r="A461" s="68"/>
      <c r="B461" s="68"/>
      <c r="D461" s="87"/>
      <c r="E461" s="87"/>
      <c r="F461" s="90"/>
      <c r="G461" s="87"/>
      <c r="H461" s="87"/>
      <c r="I461" s="90"/>
      <c r="J461" s="87"/>
      <c r="K461" s="87"/>
      <c r="L461" s="90"/>
      <c r="M461" s="87"/>
      <c r="N461" s="87"/>
      <c r="O461" s="90"/>
      <c r="P461" s="87"/>
      <c r="Q461" s="87"/>
      <c r="R461" s="90"/>
      <c r="S461" s="87"/>
      <c r="T461" s="87"/>
      <c r="U461" s="90"/>
      <c r="V461" s="87"/>
      <c r="W461" s="87"/>
      <c r="X461" s="90"/>
      <c r="Y461" s="87"/>
      <c r="Z461" s="87"/>
      <c r="AA461" s="90"/>
      <c r="AB461" s="87"/>
      <c r="AC461" s="87"/>
      <c r="AD461" s="90"/>
      <c r="AE461" s="87"/>
      <c r="AF461" s="87"/>
      <c r="AG461" s="90"/>
    </row>
    <row r="462" spans="1:33" ht="15.75" thickBot="1" x14ac:dyDescent="0.3">
      <c r="A462" s="68"/>
      <c r="B462" s="68"/>
      <c r="D462" s="88"/>
      <c r="E462" s="88"/>
      <c r="F462" s="91"/>
      <c r="G462" s="88"/>
      <c r="H462" s="88"/>
      <c r="I462" s="91"/>
      <c r="J462" s="88"/>
      <c r="K462" s="88"/>
      <c r="L462" s="91"/>
      <c r="M462" s="88"/>
      <c r="N462" s="88"/>
      <c r="O462" s="91"/>
      <c r="P462" s="88"/>
      <c r="Q462" s="88"/>
      <c r="R462" s="91"/>
      <c r="S462" s="88"/>
      <c r="T462" s="88"/>
      <c r="U462" s="91"/>
      <c r="V462" s="88"/>
      <c r="W462" s="88"/>
      <c r="X462" s="91"/>
      <c r="Y462" s="88"/>
      <c r="Z462" s="88"/>
      <c r="AA462" s="91"/>
      <c r="AB462" s="88"/>
      <c r="AC462" s="88"/>
      <c r="AD462" s="91"/>
      <c r="AE462" s="88"/>
      <c r="AF462" s="88"/>
      <c r="AG462" s="91"/>
    </row>
    <row r="464" spans="1:33" ht="15.75" thickBot="1" x14ac:dyDescent="0.3"/>
    <row r="465" spans="1:33" ht="15.75" thickBot="1" x14ac:dyDescent="0.3">
      <c r="A465" s="68" t="s">
        <v>112</v>
      </c>
      <c r="B465" s="68"/>
      <c r="D465" s="52" t="s">
        <v>27</v>
      </c>
      <c r="E465" s="52"/>
      <c r="F465" s="52"/>
      <c r="G465" s="73" t="s">
        <v>28</v>
      </c>
      <c r="H465" s="73"/>
      <c r="I465" s="73"/>
      <c r="J465" s="52" t="s">
        <v>29</v>
      </c>
      <c r="K465" s="52"/>
      <c r="L465" s="52"/>
      <c r="M465" s="73" t="s">
        <v>30</v>
      </c>
      <c r="N465" s="73"/>
      <c r="O465" s="73"/>
      <c r="P465" s="52" t="s">
        <v>31</v>
      </c>
      <c r="Q465" s="52"/>
      <c r="R465" s="52"/>
      <c r="S465" s="73" t="s">
        <v>32</v>
      </c>
      <c r="T465" s="73"/>
      <c r="U465" s="73"/>
      <c r="V465" s="52" t="s">
        <v>33</v>
      </c>
      <c r="W465" s="52"/>
      <c r="X465" s="52"/>
      <c r="Y465" s="73" t="s">
        <v>34</v>
      </c>
      <c r="Z465" s="73"/>
      <c r="AA465" s="73"/>
      <c r="AB465" s="52" t="s">
        <v>35</v>
      </c>
      <c r="AC465" s="52"/>
      <c r="AD465" s="52"/>
      <c r="AE465" s="73" t="s">
        <v>36</v>
      </c>
      <c r="AF465" s="73"/>
      <c r="AG465" s="73"/>
    </row>
    <row r="466" spans="1:33" ht="15.75" thickBot="1" x14ac:dyDescent="0.3">
      <c r="A466" s="68"/>
      <c r="B466" s="68"/>
      <c r="C466" s="105" t="s">
        <v>243</v>
      </c>
      <c r="D466" s="75">
        <v>0</v>
      </c>
      <c r="E466" s="75"/>
      <c r="F466" s="76"/>
      <c r="G466" s="74">
        <v>0</v>
      </c>
      <c r="H466" s="75"/>
      <c r="I466" s="76"/>
      <c r="J466" s="74">
        <v>0</v>
      </c>
      <c r="K466" s="75"/>
      <c r="L466" s="76"/>
      <c r="M466" s="74">
        <v>0</v>
      </c>
      <c r="N466" s="75"/>
      <c r="O466" s="76"/>
      <c r="P466" s="74">
        <v>0</v>
      </c>
      <c r="Q466" s="75"/>
      <c r="R466" s="76"/>
      <c r="S466" s="74">
        <v>0</v>
      </c>
      <c r="T466" s="75"/>
      <c r="U466" s="76"/>
      <c r="V466" s="74">
        <v>0</v>
      </c>
      <c r="W466" s="75"/>
      <c r="X466" s="76"/>
      <c r="Y466" s="74">
        <v>0</v>
      </c>
      <c r="Z466" s="75"/>
      <c r="AA466" s="76"/>
      <c r="AB466" s="74">
        <v>0</v>
      </c>
      <c r="AC466" s="75"/>
      <c r="AD466" s="76"/>
      <c r="AE466" s="74">
        <v>0</v>
      </c>
      <c r="AF466" s="75"/>
      <c r="AG466" s="76"/>
    </row>
    <row r="467" spans="1:33" ht="15.75" thickBot="1" x14ac:dyDescent="0.3">
      <c r="A467" s="68"/>
      <c r="B467" s="68"/>
      <c r="C467" s="106" t="s">
        <v>244</v>
      </c>
      <c r="D467" s="82">
        <v>0</v>
      </c>
      <c r="E467" s="82"/>
      <c r="F467" s="84"/>
      <c r="G467" s="85">
        <v>0</v>
      </c>
      <c r="H467" s="82"/>
      <c r="I467" s="84"/>
      <c r="J467" s="85">
        <v>0</v>
      </c>
      <c r="K467" s="82"/>
      <c r="L467" s="84"/>
      <c r="M467" s="85">
        <v>0</v>
      </c>
      <c r="N467" s="82"/>
      <c r="O467" s="82"/>
      <c r="P467" s="81">
        <v>0</v>
      </c>
      <c r="Q467" s="82"/>
      <c r="R467" s="83"/>
      <c r="S467" s="82">
        <v>0</v>
      </c>
      <c r="T467" s="82"/>
      <c r="U467" s="84"/>
      <c r="V467" s="85">
        <v>0</v>
      </c>
      <c r="W467" s="82"/>
      <c r="X467" s="84"/>
      <c r="Y467" s="85">
        <v>0</v>
      </c>
      <c r="Z467" s="82"/>
      <c r="AA467" s="84"/>
      <c r="AB467" s="85">
        <v>0</v>
      </c>
      <c r="AC467" s="82"/>
      <c r="AD467" s="84"/>
      <c r="AE467" s="85">
        <v>0</v>
      </c>
      <c r="AF467" s="82"/>
      <c r="AG467" s="84"/>
    </row>
    <row r="468" spans="1:33" ht="15.75" thickBot="1" x14ac:dyDescent="0.3">
      <c r="A468" s="68"/>
      <c r="B468" s="68"/>
      <c r="C468" s="107" t="s">
        <v>37</v>
      </c>
      <c r="D468" s="104"/>
      <c r="E468" s="86"/>
      <c r="F468" s="89"/>
      <c r="G468" s="86"/>
      <c r="H468" s="86"/>
      <c r="I468" s="89"/>
      <c r="J468" s="86"/>
      <c r="K468" s="86"/>
      <c r="L468" s="89"/>
      <c r="M468" s="86"/>
      <c r="N468" s="86"/>
      <c r="O468" s="89"/>
      <c r="P468" s="86"/>
      <c r="Q468" s="86"/>
      <c r="R468" s="89"/>
      <c r="S468" s="86"/>
      <c r="T468" s="86"/>
      <c r="U468" s="89"/>
      <c r="V468" s="86"/>
      <c r="W468" s="86"/>
      <c r="X468" s="89"/>
      <c r="Y468" s="86"/>
      <c r="Z468" s="86"/>
      <c r="AA468" s="89"/>
      <c r="AB468" s="86"/>
      <c r="AC468" s="86"/>
      <c r="AD468" s="89"/>
      <c r="AE468" s="86"/>
      <c r="AF468" s="86"/>
      <c r="AG468" s="89"/>
    </row>
    <row r="469" spans="1:33" ht="15.75" thickBot="1" x14ac:dyDescent="0.3">
      <c r="A469" s="68"/>
      <c r="B469" s="68"/>
      <c r="D469" s="87"/>
      <c r="E469" s="87"/>
      <c r="F469" s="90"/>
      <c r="G469" s="87"/>
      <c r="H469" s="87"/>
      <c r="I469" s="90"/>
      <c r="J469" s="87"/>
      <c r="K469" s="87"/>
      <c r="L469" s="90"/>
      <c r="M469" s="87"/>
      <c r="N469" s="87"/>
      <c r="O469" s="90"/>
      <c r="P469" s="87"/>
      <c r="Q469" s="87"/>
      <c r="R469" s="90"/>
      <c r="S469" s="87"/>
      <c r="T469" s="87"/>
      <c r="U469" s="90"/>
      <c r="V469" s="87"/>
      <c r="W469" s="87"/>
      <c r="X469" s="90"/>
      <c r="Y469" s="87"/>
      <c r="Z469" s="87"/>
      <c r="AA469" s="90"/>
      <c r="AB469" s="87"/>
      <c r="AC469" s="87"/>
      <c r="AD469" s="90"/>
      <c r="AE469" s="87"/>
      <c r="AF469" s="87"/>
      <c r="AG469" s="90"/>
    </row>
    <row r="470" spans="1:33" ht="15.75" thickBot="1" x14ac:dyDescent="0.3">
      <c r="A470" s="68"/>
      <c r="B470" s="68"/>
      <c r="D470" s="88"/>
      <c r="E470" s="88"/>
      <c r="F470" s="91"/>
      <c r="G470" s="88"/>
      <c r="H470" s="88"/>
      <c r="I470" s="91"/>
      <c r="J470" s="88"/>
      <c r="K470" s="88"/>
      <c r="L470" s="91"/>
      <c r="M470" s="88"/>
      <c r="N470" s="88"/>
      <c r="O470" s="91"/>
      <c r="P470" s="88"/>
      <c r="Q470" s="88"/>
      <c r="R470" s="91"/>
      <c r="S470" s="88"/>
      <c r="T470" s="88"/>
      <c r="U470" s="91"/>
      <c r="V470" s="88"/>
      <c r="W470" s="88"/>
      <c r="X470" s="91"/>
      <c r="Y470" s="88"/>
      <c r="Z470" s="88"/>
      <c r="AA470" s="91"/>
      <c r="AB470" s="88"/>
      <c r="AC470" s="88"/>
      <c r="AD470" s="91"/>
      <c r="AE470" s="88"/>
      <c r="AF470" s="88"/>
      <c r="AG470" s="91"/>
    </row>
    <row r="472" spans="1:33" ht="15.75" thickBot="1" x14ac:dyDescent="0.3"/>
    <row r="473" spans="1:33" ht="15.75" thickBot="1" x14ac:dyDescent="0.3">
      <c r="A473" s="68" t="s">
        <v>238</v>
      </c>
      <c r="B473" s="68"/>
      <c r="D473" s="52" t="s">
        <v>27</v>
      </c>
      <c r="E473" s="52"/>
      <c r="F473" s="52"/>
      <c r="G473" s="73" t="s">
        <v>28</v>
      </c>
      <c r="H473" s="73"/>
      <c r="I473" s="73"/>
      <c r="J473" s="52" t="s">
        <v>29</v>
      </c>
      <c r="K473" s="52"/>
      <c r="L473" s="52"/>
      <c r="M473" s="73" t="s">
        <v>30</v>
      </c>
      <c r="N473" s="73"/>
      <c r="O473" s="73"/>
      <c r="P473" s="52" t="s">
        <v>31</v>
      </c>
      <c r="Q473" s="52"/>
      <c r="R473" s="52"/>
      <c r="S473" s="73" t="s">
        <v>32</v>
      </c>
      <c r="T473" s="73"/>
      <c r="U473" s="73"/>
      <c r="V473" s="52" t="s">
        <v>33</v>
      </c>
      <c r="W473" s="52"/>
      <c r="X473" s="52"/>
      <c r="Y473" s="73" t="s">
        <v>34</v>
      </c>
      <c r="Z473" s="73"/>
      <c r="AA473" s="73"/>
      <c r="AB473" s="52" t="s">
        <v>35</v>
      </c>
      <c r="AC473" s="52"/>
      <c r="AD473" s="52"/>
      <c r="AE473" s="73" t="s">
        <v>36</v>
      </c>
      <c r="AF473" s="73"/>
      <c r="AG473" s="73"/>
    </row>
    <row r="474" spans="1:33" ht="15.75" thickBot="1" x14ac:dyDescent="0.3">
      <c r="A474" s="68"/>
      <c r="B474" s="68"/>
      <c r="C474" s="105" t="s">
        <v>243</v>
      </c>
      <c r="D474" s="75">
        <v>0</v>
      </c>
      <c r="E474" s="75"/>
      <c r="F474" s="76"/>
      <c r="G474" s="74">
        <v>0</v>
      </c>
      <c r="H474" s="75"/>
      <c r="I474" s="76"/>
      <c r="J474" s="74">
        <v>0</v>
      </c>
      <c r="K474" s="75"/>
      <c r="L474" s="76"/>
      <c r="M474" s="74">
        <v>0</v>
      </c>
      <c r="N474" s="75"/>
      <c r="O474" s="76"/>
      <c r="P474" s="74">
        <v>0</v>
      </c>
      <c r="Q474" s="75"/>
      <c r="R474" s="76"/>
      <c r="S474" s="74">
        <v>0</v>
      </c>
      <c r="T474" s="75"/>
      <c r="U474" s="76"/>
      <c r="V474" s="74">
        <v>0</v>
      </c>
      <c r="W474" s="75"/>
      <c r="X474" s="76"/>
      <c r="Y474" s="74">
        <v>0</v>
      </c>
      <c r="Z474" s="75"/>
      <c r="AA474" s="76"/>
      <c r="AB474" s="74">
        <v>0</v>
      </c>
      <c r="AC474" s="75"/>
      <c r="AD474" s="76"/>
      <c r="AE474" s="74">
        <v>0</v>
      </c>
      <c r="AF474" s="75"/>
      <c r="AG474" s="76"/>
    </row>
    <row r="475" spans="1:33" ht="15.75" thickBot="1" x14ac:dyDescent="0.3">
      <c r="A475" s="68"/>
      <c r="B475" s="68"/>
      <c r="C475" s="106" t="s">
        <v>244</v>
      </c>
      <c r="D475" s="82">
        <v>0</v>
      </c>
      <c r="E475" s="82"/>
      <c r="F475" s="84"/>
      <c r="G475" s="85">
        <v>0</v>
      </c>
      <c r="H475" s="82"/>
      <c r="I475" s="84"/>
      <c r="J475" s="85">
        <v>0</v>
      </c>
      <c r="K475" s="82"/>
      <c r="L475" s="84"/>
      <c r="M475" s="85">
        <v>0</v>
      </c>
      <c r="N475" s="82"/>
      <c r="O475" s="82"/>
      <c r="P475" s="81">
        <v>0</v>
      </c>
      <c r="Q475" s="82"/>
      <c r="R475" s="83"/>
      <c r="S475" s="82">
        <v>0</v>
      </c>
      <c r="T475" s="82"/>
      <c r="U475" s="84"/>
      <c r="V475" s="85">
        <v>0</v>
      </c>
      <c r="W475" s="82"/>
      <c r="X475" s="84"/>
      <c r="Y475" s="85">
        <v>0</v>
      </c>
      <c r="Z475" s="82"/>
      <c r="AA475" s="84"/>
      <c r="AB475" s="85">
        <v>0</v>
      </c>
      <c r="AC475" s="82"/>
      <c r="AD475" s="84"/>
      <c r="AE475" s="85">
        <v>0</v>
      </c>
      <c r="AF475" s="82"/>
      <c r="AG475" s="84"/>
    </row>
    <row r="476" spans="1:33" ht="15.75" thickBot="1" x14ac:dyDescent="0.3">
      <c r="A476" s="68"/>
      <c r="B476" s="68"/>
      <c r="C476" s="107" t="s">
        <v>37</v>
      </c>
      <c r="D476" s="104"/>
      <c r="E476" s="86"/>
      <c r="F476" s="89"/>
      <c r="G476" s="86"/>
      <c r="H476" s="86"/>
      <c r="I476" s="89"/>
      <c r="J476" s="86"/>
      <c r="K476" s="86"/>
      <c r="L476" s="89"/>
      <c r="M476" s="86"/>
      <c r="N476" s="86"/>
      <c r="O476" s="89"/>
      <c r="P476" s="86"/>
      <c r="Q476" s="86"/>
      <c r="R476" s="89"/>
      <c r="S476" s="86"/>
      <c r="T476" s="86"/>
      <c r="U476" s="89"/>
      <c r="V476" s="86"/>
      <c r="W476" s="86"/>
      <c r="X476" s="89"/>
      <c r="Y476" s="86"/>
      <c r="Z476" s="86"/>
      <c r="AA476" s="89"/>
      <c r="AB476" s="86"/>
      <c r="AC476" s="86"/>
      <c r="AD476" s="89"/>
      <c r="AE476" s="86"/>
      <c r="AF476" s="86"/>
      <c r="AG476" s="89"/>
    </row>
    <row r="477" spans="1:33" ht="15.75" thickBot="1" x14ac:dyDescent="0.3">
      <c r="A477" s="68"/>
      <c r="B477" s="68"/>
      <c r="D477" s="87"/>
      <c r="E477" s="87"/>
      <c r="F477" s="90"/>
      <c r="G477" s="87"/>
      <c r="H477" s="87"/>
      <c r="I477" s="90"/>
      <c r="J477" s="87"/>
      <c r="K477" s="87"/>
      <c r="L477" s="90"/>
      <c r="M477" s="87"/>
      <c r="N477" s="87"/>
      <c r="O477" s="90"/>
      <c r="P477" s="87"/>
      <c r="Q477" s="87"/>
      <c r="R477" s="90"/>
      <c r="S477" s="87"/>
      <c r="T477" s="87"/>
      <c r="U477" s="90"/>
      <c r="V477" s="87"/>
      <c r="W477" s="87"/>
      <c r="X477" s="90"/>
      <c r="Y477" s="87"/>
      <c r="Z477" s="87"/>
      <c r="AA477" s="90"/>
      <c r="AB477" s="87"/>
      <c r="AC477" s="87"/>
      <c r="AD477" s="90"/>
      <c r="AE477" s="87"/>
      <c r="AF477" s="87"/>
      <c r="AG477" s="90"/>
    </row>
    <row r="478" spans="1:33" ht="15.75" thickBot="1" x14ac:dyDescent="0.3">
      <c r="A478" s="68"/>
      <c r="B478" s="68"/>
      <c r="D478" s="88"/>
      <c r="E478" s="88"/>
      <c r="F478" s="91"/>
      <c r="G478" s="88"/>
      <c r="H478" s="88"/>
      <c r="I478" s="91"/>
      <c r="J478" s="88"/>
      <c r="K478" s="88"/>
      <c r="L478" s="91"/>
      <c r="M478" s="88"/>
      <c r="N478" s="88"/>
      <c r="O478" s="91"/>
      <c r="P478" s="88"/>
      <c r="Q478" s="88"/>
      <c r="R478" s="91"/>
      <c r="S478" s="88"/>
      <c r="T478" s="88"/>
      <c r="U478" s="91"/>
      <c r="V478" s="88"/>
      <c r="W478" s="88"/>
      <c r="X478" s="91"/>
      <c r="Y478" s="88"/>
      <c r="Z478" s="88"/>
      <c r="AA478" s="91"/>
      <c r="AB478" s="88"/>
      <c r="AC478" s="88"/>
      <c r="AD478" s="91"/>
      <c r="AE478" s="88"/>
      <c r="AF478" s="88"/>
      <c r="AG478" s="91"/>
    </row>
    <row r="480" spans="1:33" ht="15.75" thickBot="1" x14ac:dyDescent="0.3"/>
    <row r="481" spans="1:33" ht="15.75" thickBot="1" x14ac:dyDescent="0.3">
      <c r="A481" s="68" t="s">
        <v>269</v>
      </c>
      <c r="B481" s="68"/>
      <c r="D481" s="52" t="s">
        <v>27</v>
      </c>
      <c r="E481" s="52"/>
      <c r="F481" s="52"/>
      <c r="G481" s="73" t="s">
        <v>28</v>
      </c>
      <c r="H481" s="73"/>
      <c r="I481" s="73"/>
      <c r="J481" s="52" t="s">
        <v>29</v>
      </c>
      <c r="K481" s="52"/>
      <c r="L481" s="52"/>
      <c r="M481" s="73" t="s">
        <v>30</v>
      </c>
      <c r="N481" s="73"/>
      <c r="O481" s="73"/>
      <c r="P481" s="52" t="s">
        <v>31</v>
      </c>
      <c r="Q481" s="52"/>
      <c r="R481" s="52"/>
      <c r="S481" s="73" t="s">
        <v>32</v>
      </c>
      <c r="T481" s="73"/>
      <c r="U481" s="73"/>
      <c r="V481" s="52" t="s">
        <v>33</v>
      </c>
      <c r="W481" s="52"/>
      <c r="X481" s="52"/>
      <c r="Y481" s="73" t="s">
        <v>34</v>
      </c>
      <c r="Z481" s="73"/>
      <c r="AA481" s="73"/>
      <c r="AB481" s="52" t="s">
        <v>35</v>
      </c>
      <c r="AC481" s="52"/>
      <c r="AD481" s="52"/>
      <c r="AE481" s="73" t="s">
        <v>36</v>
      </c>
      <c r="AF481" s="73"/>
      <c r="AG481" s="73"/>
    </row>
    <row r="482" spans="1:33" ht="15.75" thickBot="1" x14ac:dyDescent="0.3">
      <c r="A482" s="68"/>
      <c r="B482" s="68"/>
      <c r="C482" s="105" t="s">
        <v>243</v>
      </c>
      <c r="D482" s="75">
        <v>0</v>
      </c>
      <c r="E482" s="75"/>
      <c r="F482" s="76"/>
      <c r="G482" s="74">
        <v>0</v>
      </c>
      <c r="H482" s="75"/>
      <c r="I482" s="76"/>
      <c r="J482" s="74">
        <v>0</v>
      </c>
      <c r="K482" s="75"/>
      <c r="L482" s="76"/>
      <c r="M482" s="74">
        <v>0</v>
      </c>
      <c r="N482" s="75"/>
      <c r="O482" s="76"/>
      <c r="P482" s="74">
        <v>0</v>
      </c>
      <c r="Q482" s="75"/>
      <c r="R482" s="76"/>
      <c r="S482" s="74">
        <v>0</v>
      </c>
      <c r="T482" s="75"/>
      <c r="U482" s="76"/>
      <c r="V482" s="74">
        <v>0</v>
      </c>
      <c r="W482" s="75"/>
      <c r="X482" s="76"/>
      <c r="Y482" s="74">
        <v>0</v>
      </c>
      <c r="Z482" s="75"/>
      <c r="AA482" s="76"/>
      <c r="AB482" s="74">
        <v>0</v>
      </c>
      <c r="AC482" s="75"/>
      <c r="AD482" s="76"/>
      <c r="AE482" s="74">
        <v>0</v>
      </c>
      <c r="AF482" s="75"/>
      <c r="AG482" s="76"/>
    </row>
    <row r="483" spans="1:33" ht="15.75" thickBot="1" x14ac:dyDescent="0.3">
      <c r="A483" s="68"/>
      <c r="B483" s="68"/>
      <c r="C483" s="106" t="s">
        <v>244</v>
      </c>
      <c r="D483" s="82">
        <v>0</v>
      </c>
      <c r="E483" s="82"/>
      <c r="F483" s="84"/>
      <c r="G483" s="85">
        <v>0</v>
      </c>
      <c r="H483" s="82"/>
      <c r="I483" s="84"/>
      <c r="J483" s="85">
        <v>0</v>
      </c>
      <c r="K483" s="82"/>
      <c r="L483" s="84"/>
      <c r="M483" s="85">
        <v>0</v>
      </c>
      <c r="N483" s="82"/>
      <c r="O483" s="82"/>
      <c r="P483" s="81">
        <v>0</v>
      </c>
      <c r="Q483" s="82"/>
      <c r="R483" s="83"/>
      <c r="S483" s="82">
        <v>0</v>
      </c>
      <c r="T483" s="82"/>
      <c r="U483" s="84"/>
      <c r="V483" s="85">
        <v>0</v>
      </c>
      <c r="W483" s="82"/>
      <c r="X483" s="84"/>
      <c r="Y483" s="85">
        <v>0</v>
      </c>
      <c r="Z483" s="82"/>
      <c r="AA483" s="84"/>
      <c r="AB483" s="85">
        <v>0</v>
      </c>
      <c r="AC483" s="82"/>
      <c r="AD483" s="84"/>
      <c r="AE483" s="85">
        <v>0</v>
      </c>
      <c r="AF483" s="82"/>
      <c r="AG483" s="84"/>
    </row>
    <row r="484" spans="1:33" ht="15.75" thickBot="1" x14ac:dyDescent="0.3">
      <c r="A484" s="68"/>
      <c r="B484" s="68"/>
      <c r="C484" s="107" t="s">
        <v>37</v>
      </c>
      <c r="D484" s="104"/>
      <c r="E484" s="86"/>
      <c r="F484" s="89"/>
      <c r="G484" s="86"/>
      <c r="H484" s="86"/>
      <c r="I484" s="89"/>
      <c r="J484" s="86"/>
      <c r="K484" s="86"/>
      <c r="L484" s="89"/>
      <c r="M484" s="86"/>
      <c r="N484" s="86"/>
      <c r="O484" s="89"/>
      <c r="P484" s="86"/>
      <c r="Q484" s="86"/>
      <c r="R484" s="89"/>
      <c r="S484" s="86"/>
      <c r="T484" s="86"/>
      <c r="U484" s="89"/>
      <c r="V484" s="86"/>
      <c r="W484" s="86"/>
      <c r="X484" s="89"/>
      <c r="Y484" s="86"/>
      <c r="Z484" s="86"/>
      <c r="AA484" s="89"/>
      <c r="AB484" s="86"/>
      <c r="AC484" s="86"/>
      <c r="AD484" s="89"/>
      <c r="AE484" s="86"/>
      <c r="AF484" s="86"/>
      <c r="AG484" s="89"/>
    </row>
    <row r="485" spans="1:33" ht="15.75" thickBot="1" x14ac:dyDescent="0.3">
      <c r="A485" s="68"/>
      <c r="B485" s="68"/>
      <c r="D485" s="87"/>
      <c r="E485" s="87"/>
      <c r="F485" s="90"/>
      <c r="G485" s="87"/>
      <c r="H485" s="87"/>
      <c r="I485" s="90"/>
      <c r="J485" s="87"/>
      <c r="K485" s="87"/>
      <c r="L485" s="90"/>
      <c r="M485" s="87"/>
      <c r="N485" s="87"/>
      <c r="O485" s="90"/>
      <c r="P485" s="87"/>
      <c r="Q485" s="87"/>
      <c r="R485" s="90"/>
      <c r="S485" s="87"/>
      <c r="T485" s="87"/>
      <c r="U485" s="90"/>
      <c r="V485" s="87"/>
      <c r="W485" s="87"/>
      <c r="X485" s="90"/>
      <c r="Y485" s="87"/>
      <c r="Z485" s="87"/>
      <c r="AA485" s="90"/>
      <c r="AB485" s="87"/>
      <c r="AC485" s="87"/>
      <c r="AD485" s="90"/>
      <c r="AE485" s="87"/>
      <c r="AF485" s="87"/>
      <c r="AG485" s="90"/>
    </row>
    <row r="486" spans="1:33" ht="15.75" thickBot="1" x14ac:dyDescent="0.3">
      <c r="A486" s="68"/>
      <c r="B486" s="68"/>
      <c r="D486" s="88"/>
      <c r="E486" s="88"/>
      <c r="F486" s="91"/>
      <c r="G486" s="88"/>
      <c r="H486" s="88"/>
      <c r="I486" s="91"/>
      <c r="J486" s="88"/>
      <c r="K486" s="88"/>
      <c r="L486" s="91"/>
      <c r="M486" s="88"/>
      <c r="N486" s="88"/>
      <c r="O486" s="91"/>
      <c r="P486" s="88"/>
      <c r="Q486" s="88"/>
      <c r="R486" s="91"/>
      <c r="S486" s="88"/>
      <c r="T486" s="88"/>
      <c r="U486" s="91"/>
      <c r="V486" s="88"/>
      <c r="W486" s="88"/>
      <c r="X486" s="91"/>
      <c r="Y486" s="88"/>
      <c r="Z486" s="88"/>
      <c r="AA486" s="91"/>
      <c r="AB486" s="88"/>
      <c r="AC486" s="88"/>
      <c r="AD486" s="91"/>
      <c r="AE486" s="88"/>
      <c r="AF486" s="88"/>
      <c r="AG486" s="91"/>
    </row>
    <row r="488" spans="1:33" ht="15.75" thickBot="1" x14ac:dyDescent="0.3"/>
    <row r="489" spans="1:33" ht="15.75" thickBot="1" x14ac:dyDescent="0.3">
      <c r="A489" s="68" t="s">
        <v>239</v>
      </c>
      <c r="B489" s="68"/>
      <c r="D489" s="52" t="s">
        <v>27</v>
      </c>
      <c r="E489" s="52"/>
      <c r="F489" s="52"/>
      <c r="G489" s="73" t="s">
        <v>28</v>
      </c>
      <c r="H489" s="73"/>
      <c r="I489" s="73"/>
      <c r="J489" s="52" t="s">
        <v>29</v>
      </c>
      <c r="K489" s="52"/>
      <c r="L489" s="52"/>
      <c r="M489" s="73" t="s">
        <v>30</v>
      </c>
      <c r="N489" s="73"/>
      <c r="O489" s="73"/>
      <c r="P489" s="52" t="s">
        <v>31</v>
      </c>
      <c r="Q489" s="52"/>
      <c r="R489" s="52"/>
      <c r="S489" s="73" t="s">
        <v>32</v>
      </c>
      <c r="T489" s="73"/>
      <c r="U489" s="73"/>
      <c r="V489" s="52" t="s">
        <v>33</v>
      </c>
      <c r="W489" s="52"/>
      <c r="X489" s="52"/>
      <c r="Y489" s="73" t="s">
        <v>34</v>
      </c>
      <c r="Z489" s="73"/>
      <c r="AA489" s="73"/>
      <c r="AB489" s="52" t="s">
        <v>35</v>
      </c>
      <c r="AC489" s="52"/>
      <c r="AD489" s="52"/>
      <c r="AE489" s="73" t="s">
        <v>36</v>
      </c>
      <c r="AF489" s="73"/>
      <c r="AG489" s="73"/>
    </row>
    <row r="490" spans="1:33" ht="15.75" thickBot="1" x14ac:dyDescent="0.3">
      <c r="A490" s="68"/>
      <c r="B490" s="68"/>
      <c r="C490" s="105" t="s">
        <v>243</v>
      </c>
      <c r="D490" s="75">
        <v>0</v>
      </c>
      <c r="E490" s="75"/>
      <c r="F490" s="76"/>
      <c r="G490" s="74">
        <v>0</v>
      </c>
      <c r="H490" s="75"/>
      <c r="I490" s="76"/>
      <c r="J490" s="74">
        <v>0</v>
      </c>
      <c r="K490" s="75"/>
      <c r="L490" s="76"/>
      <c r="M490" s="74">
        <v>0</v>
      </c>
      <c r="N490" s="75"/>
      <c r="O490" s="76"/>
      <c r="P490" s="74">
        <v>0</v>
      </c>
      <c r="Q490" s="75"/>
      <c r="R490" s="76"/>
      <c r="S490" s="74">
        <v>0</v>
      </c>
      <c r="T490" s="75"/>
      <c r="U490" s="76"/>
      <c r="V490" s="74">
        <v>0</v>
      </c>
      <c r="W490" s="75"/>
      <c r="X490" s="76"/>
      <c r="Y490" s="74">
        <v>0</v>
      </c>
      <c r="Z490" s="75"/>
      <c r="AA490" s="76"/>
      <c r="AB490" s="74">
        <v>0</v>
      </c>
      <c r="AC490" s="75"/>
      <c r="AD490" s="76"/>
      <c r="AE490" s="74">
        <v>0</v>
      </c>
      <c r="AF490" s="75"/>
      <c r="AG490" s="76"/>
    </row>
    <row r="491" spans="1:33" ht="15.75" thickBot="1" x14ac:dyDescent="0.3">
      <c r="A491" s="68"/>
      <c r="B491" s="68"/>
      <c r="C491" s="106" t="s">
        <v>244</v>
      </c>
      <c r="D491" s="82">
        <v>0</v>
      </c>
      <c r="E491" s="82"/>
      <c r="F491" s="84"/>
      <c r="G491" s="85">
        <v>0</v>
      </c>
      <c r="H491" s="82"/>
      <c r="I491" s="84"/>
      <c r="J491" s="85">
        <v>0</v>
      </c>
      <c r="K491" s="82"/>
      <c r="L491" s="84"/>
      <c r="M491" s="85">
        <v>0</v>
      </c>
      <c r="N491" s="82"/>
      <c r="O491" s="82"/>
      <c r="P491" s="81">
        <v>0</v>
      </c>
      <c r="Q491" s="82"/>
      <c r="R491" s="83"/>
      <c r="S491" s="82">
        <v>0</v>
      </c>
      <c r="T491" s="82"/>
      <c r="U491" s="84"/>
      <c r="V491" s="85">
        <v>0</v>
      </c>
      <c r="W491" s="82"/>
      <c r="X491" s="84"/>
      <c r="Y491" s="85">
        <v>0</v>
      </c>
      <c r="Z491" s="82"/>
      <c r="AA491" s="84"/>
      <c r="AB491" s="85">
        <v>0</v>
      </c>
      <c r="AC491" s="82"/>
      <c r="AD491" s="84"/>
      <c r="AE491" s="85">
        <v>0</v>
      </c>
      <c r="AF491" s="82"/>
      <c r="AG491" s="84"/>
    </row>
    <row r="492" spans="1:33" ht="15.75" thickBot="1" x14ac:dyDescent="0.3">
      <c r="A492" s="68"/>
      <c r="B492" s="68"/>
      <c r="C492" s="107" t="s">
        <v>37</v>
      </c>
      <c r="D492" s="104"/>
      <c r="E492" s="86"/>
      <c r="F492" s="89"/>
      <c r="G492" s="86"/>
      <c r="H492" s="86"/>
      <c r="I492" s="89"/>
      <c r="J492" s="86"/>
      <c r="K492" s="86"/>
      <c r="L492" s="89"/>
      <c r="M492" s="86"/>
      <c r="N492" s="86"/>
      <c r="O492" s="89"/>
      <c r="P492" s="86"/>
      <c r="Q492" s="86"/>
      <c r="R492" s="89"/>
      <c r="S492" s="86"/>
      <c r="T492" s="86"/>
      <c r="U492" s="89"/>
      <c r="V492" s="86"/>
      <c r="W492" s="86"/>
      <c r="X492" s="89"/>
      <c r="Y492" s="86"/>
      <c r="Z492" s="86"/>
      <c r="AA492" s="89"/>
      <c r="AB492" s="86"/>
      <c r="AC492" s="86"/>
      <c r="AD492" s="89"/>
      <c r="AE492" s="86"/>
      <c r="AF492" s="86"/>
      <c r="AG492" s="89"/>
    </row>
    <row r="493" spans="1:33" ht="15.75" thickBot="1" x14ac:dyDescent="0.3">
      <c r="A493" s="68"/>
      <c r="B493" s="68"/>
      <c r="D493" s="87"/>
      <c r="E493" s="87"/>
      <c r="F493" s="90"/>
      <c r="G493" s="87"/>
      <c r="H493" s="87"/>
      <c r="I493" s="90"/>
      <c r="J493" s="87"/>
      <c r="K493" s="87"/>
      <c r="L493" s="90"/>
      <c r="M493" s="87"/>
      <c r="N493" s="87"/>
      <c r="O493" s="90"/>
      <c r="P493" s="87"/>
      <c r="Q493" s="87"/>
      <c r="R493" s="90"/>
      <c r="S493" s="87"/>
      <c r="T493" s="87"/>
      <c r="U493" s="90"/>
      <c r="V493" s="87"/>
      <c r="W493" s="87"/>
      <c r="X493" s="90"/>
      <c r="Y493" s="87"/>
      <c r="Z493" s="87"/>
      <c r="AA493" s="90"/>
      <c r="AB493" s="87"/>
      <c r="AC493" s="87"/>
      <c r="AD493" s="90"/>
      <c r="AE493" s="87"/>
      <c r="AF493" s="87"/>
      <c r="AG493" s="90"/>
    </row>
    <row r="494" spans="1:33" ht="15.75" thickBot="1" x14ac:dyDescent="0.3">
      <c r="A494" s="68"/>
      <c r="B494" s="68"/>
      <c r="D494" s="88"/>
      <c r="E494" s="88"/>
      <c r="F494" s="91"/>
      <c r="G494" s="88"/>
      <c r="H494" s="88"/>
      <c r="I494" s="91"/>
      <c r="J494" s="88"/>
      <c r="K494" s="88"/>
      <c r="L494" s="91"/>
      <c r="M494" s="88"/>
      <c r="N494" s="88"/>
      <c r="O494" s="91"/>
      <c r="P494" s="88"/>
      <c r="Q494" s="88"/>
      <c r="R494" s="91"/>
      <c r="S494" s="88"/>
      <c r="T494" s="88"/>
      <c r="U494" s="91"/>
      <c r="V494" s="88"/>
      <c r="W494" s="88"/>
      <c r="X494" s="91"/>
      <c r="Y494" s="88"/>
      <c r="Z494" s="88"/>
      <c r="AA494" s="91"/>
      <c r="AB494" s="88"/>
      <c r="AC494" s="88"/>
      <c r="AD494" s="91"/>
      <c r="AE494" s="88"/>
      <c r="AF494" s="88"/>
      <c r="AG494" s="91"/>
    </row>
    <row r="496" spans="1:33" ht="15.75" thickBot="1" x14ac:dyDescent="0.3"/>
    <row r="497" spans="1:33" ht="15.75" thickBot="1" x14ac:dyDescent="0.3">
      <c r="A497" s="68" t="s">
        <v>270</v>
      </c>
      <c r="B497" s="68"/>
      <c r="D497" s="52" t="s">
        <v>27</v>
      </c>
      <c r="E497" s="52"/>
      <c r="F497" s="52"/>
      <c r="G497" s="73" t="s">
        <v>28</v>
      </c>
      <c r="H497" s="73"/>
      <c r="I497" s="73"/>
      <c r="J497" s="52" t="s">
        <v>29</v>
      </c>
      <c r="K497" s="52"/>
      <c r="L497" s="52"/>
      <c r="M497" s="73" t="s">
        <v>30</v>
      </c>
      <c r="N497" s="73"/>
      <c r="O497" s="73"/>
      <c r="P497" s="52" t="s">
        <v>31</v>
      </c>
      <c r="Q497" s="52"/>
      <c r="R497" s="52"/>
      <c r="S497" s="73" t="s">
        <v>32</v>
      </c>
      <c r="T497" s="73"/>
      <c r="U497" s="73"/>
      <c r="V497" s="52" t="s">
        <v>33</v>
      </c>
      <c r="W497" s="52"/>
      <c r="X497" s="52"/>
      <c r="Y497" s="73" t="s">
        <v>34</v>
      </c>
      <c r="Z497" s="73"/>
      <c r="AA497" s="73"/>
      <c r="AB497" s="52" t="s">
        <v>35</v>
      </c>
      <c r="AC497" s="52"/>
      <c r="AD497" s="52"/>
      <c r="AE497" s="73" t="s">
        <v>36</v>
      </c>
      <c r="AF497" s="73"/>
      <c r="AG497" s="73"/>
    </row>
    <row r="498" spans="1:33" ht="15.75" thickBot="1" x14ac:dyDescent="0.3">
      <c r="A498" s="68"/>
      <c r="B498" s="68"/>
      <c r="C498" s="105" t="s">
        <v>243</v>
      </c>
      <c r="D498" s="75">
        <v>0</v>
      </c>
      <c r="E498" s="75"/>
      <c r="F498" s="76"/>
      <c r="G498" s="74">
        <v>0</v>
      </c>
      <c r="H498" s="75"/>
      <c r="I498" s="76"/>
      <c r="J498" s="74">
        <v>0</v>
      </c>
      <c r="K498" s="75"/>
      <c r="L498" s="76"/>
      <c r="M498" s="74">
        <v>0</v>
      </c>
      <c r="N498" s="75"/>
      <c r="O498" s="76"/>
      <c r="P498" s="74">
        <v>0</v>
      </c>
      <c r="Q498" s="75"/>
      <c r="R498" s="76"/>
      <c r="S498" s="74">
        <v>0</v>
      </c>
      <c r="T498" s="75"/>
      <c r="U498" s="76"/>
      <c r="V498" s="74">
        <v>0</v>
      </c>
      <c r="W498" s="75"/>
      <c r="X498" s="76"/>
      <c r="Y498" s="74">
        <v>0</v>
      </c>
      <c r="Z498" s="75"/>
      <c r="AA498" s="76"/>
      <c r="AB498" s="74">
        <v>0</v>
      </c>
      <c r="AC498" s="75"/>
      <c r="AD498" s="76"/>
      <c r="AE498" s="74">
        <v>0</v>
      </c>
      <c r="AF498" s="75"/>
      <c r="AG498" s="76"/>
    </row>
    <row r="499" spans="1:33" ht="15.75" thickBot="1" x14ac:dyDescent="0.3">
      <c r="A499" s="68"/>
      <c r="B499" s="68"/>
      <c r="C499" s="106" t="s">
        <v>244</v>
      </c>
      <c r="D499" s="82">
        <v>0</v>
      </c>
      <c r="E499" s="82"/>
      <c r="F499" s="84"/>
      <c r="G499" s="85">
        <v>0</v>
      </c>
      <c r="H499" s="82"/>
      <c r="I499" s="84"/>
      <c r="J499" s="85">
        <v>0</v>
      </c>
      <c r="K499" s="82"/>
      <c r="L499" s="84"/>
      <c r="M499" s="85">
        <v>0</v>
      </c>
      <c r="N499" s="82"/>
      <c r="O499" s="82"/>
      <c r="P499" s="81">
        <v>0</v>
      </c>
      <c r="Q499" s="82"/>
      <c r="R499" s="83"/>
      <c r="S499" s="82">
        <v>0</v>
      </c>
      <c r="T499" s="82"/>
      <c r="U499" s="84"/>
      <c r="V499" s="85">
        <v>0</v>
      </c>
      <c r="W499" s="82"/>
      <c r="X499" s="84"/>
      <c r="Y499" s="85">
        <v>0</v>
      </c>
      <c r="Z499" s="82"/>
      <c r="AA499" s="84"/>
      <c r="AB499" s="85">
        <v>0</v>
      </c>
      <c r="AC499" s="82"/>
      <c r="AD499" s="84"/>
      <c r="AE499" s="85">
        <v>0</v>
      </c>
      <c r="AF499" s="82"/>
      <c r="AG499" s="84"/>
    </row>
    <row r="500" spans="1:33" ht="15.75" thickBot="1" x14ac:dyDescent="0.3">
      <c r="A500" s="68"/>
      <c r="B500" s="68"/>
      <c r="C500" s="107" t="s">
        <v>37</v>
      </c>
      <c r="D500" s="104"/>
      <c r="E500" s="86"/>
      <c r="F500" s="89"/>
      <c r="G500" s="86"/>
      <c r="H500" s="86"/>
      <c r="I500" s="89"/>
      <c r="J500" s="86"/>
      <c r="K500" s="86"/>
      <c r="L500" s="89"/>
      <c r="M500" s="86"/>
      <c r="N500" s="86"/>
      <c r="O500" s="89"/>
      <c r="P500" s="86"/>
      <c r="Q500" s="86"/>
      <c r="R500" s="89"/>
      <c r="S500" s="86"/>
      <c r="T500" s="86"/>
      <c r="U500" s="89"/>
      <c r="V500" s="86"/>
      <c r="W500" s="86"/>
      <c r="X500" s="89"/>
      <c r="Y500" s="86"/>
      <c r="Z500" s="86"/>
      <c r="AA500" s="89"/>
      <c r="AB500" s="86"/>
      <c r="AC500" s="86"/>
      <c r="AD500" s="89"/>
      <c r="AE500" s="86"/>
      <c r="AF500" s="86"/>
      <c r="AG500" s="89"/>
    </row>
    <row r="501" spans="1:33" ht="15.75" thickBot="1" x14ac:dyDescent="0.3">
      <c r="A501" s="68"/>
      <c r="B501" s="68"/>
      <c r="D501" s="87"/>
      <c r="E501" s="87"/>
      <c r="F501" s="90"/>
      <c r="G501" s="87"/>
      <c r="H501" s="87"/>
      <c r="I501" s="90"/>
      <c r="J501" s="87"/>
      <c r="K501" s="87"/>
      <c r="L501" s="90"/>
      <c r="M501" s="87"/>
      <c r="N501" s="87"/>
      <c r="O501" s="90"/>
      <c r="P501" s="87"/>
      <c r="Q501" s="87"/>
      <c r="R501" s="90"/>
      <c r="S501" s="87"/>
      <c r="T501" s="87"/>
      <c r="U501" s="90"/>
      <c r="V501" s="87"/>
      <c r="W501" s="87"/>
      <c r="X501" s="90"/>
      <c r="Y501" s="87"/>
      <c r="Z501" s="87"/>
      <c r="AA501" s="90"/>
      <c r="AB501" s="87"/>
      <c r="AC501" s="87"/>
      <c r="AD501" s="90"/>
      <c r="AE501" s="87"/>
      <c r="AF501" s="87"/>
      <c r="AG501" s="90"/>
    </row>
    <row r="502" spans="1:33" ht="15.75" thickBot="1" x14ac:dyDescent="0.3">
      <c r="A502" s="68"/>
      <c r="B502" s="68"/>
      <c r="D502" s="88"/>
      <c r="E502" s="88"/>
      <c r="F502" s="91"/>
      <c r="G502" s="88"/>
      <c r="H502" s="88"/>
      <c r="I502" s="91"/>
      <c r="J502" s="88"/>
      <c r="K502" s="88"/>
      <c r="L502" s="91"/>
      <c r="M502" s="88"/>
      <c r="N502" s="88"/>
      <c r="O502" s="91"/>
      <c r="P502" s="88"/>
      <c r="Q502" s="88"/>
      <c r="R502" s="91"/>
      <c r="S502" s="88"/>
      <c r="T502" s="88"/>
      <c r="U502" s="91"/>
      <c r="V502" s="88"/>
      <c r="W502" s="88"/>
      <c r="X502" s="91"/>
      <c r="Y502" s="88"/>
      <c r="Z502" s="88"/>
      <c r="AA502" s="91"/>
      <c r="AB502" s="88"/>
      <c r="AC502" s="88"/>
      <c r="AD502" s="91"/>
      <c r="AE502" s="88"/>
      <c r="AF502" s="88"/>
      <c r="AG502" s="91"/>
    </row>
    <row r="504" spans="1:33" ht="15.75" thickBot="1" x14ac:dyDescent="0.3"/>
    <row r="505" spans="1:33" ht="15.75" thickBot="1" x14ac:dyDescent="0.3">
      <c r="A505" s="68" t="s">
        <v>271</v>
      </c>
      <c r="B505" s="68"/>
      <c r="D505" s="52" t="s">
        <v>27</v>
      </c>
      <c r="E505" s="52"/>
      <c r="F505" s="52"/>
      <c r="G505" s="73" t="s">
        <v>28</v>
      </c>
      <c r="H505" s="73"/>
      <c r="I505" s="73"/>
      <c r="J505" s="52" t="s">
        <v>29</v>
      </c>
      <c r="K505" s="52"/>
      <c r="L505" s="52"/>
      <c r="M505" s="73" t="s">
        <v>30</v>
      </c>
      <c r="N505" s="73"/>
      <c r="O505" s="73"/>
      <c r="P505" s="52" t="s">
        <v>31</v>
      </c>
      <c r="Q505" s="52"/>
      <c r="R505" s="52"/>
      <c r="S505" s="73" t="s">
        <v>32</v>
      </c>
      <c r="T505" s="73"/>
      <c r="U505" s="73"/>
      <c r="V505" s="52" t="s">
        <v>33</v>
      </c>
      <c r="W505" s="52"/>
      <c r="X505" s="52"/>
      <c r="Y505" s="73" t="s">
        <v>34</v>
      </c>
      <c r="Z505" s="73"/>
      <c r="AA505" s="73"/>
      <c r="AB505" s="52" t="s">
        <v>35</v>
      </c>
      <c r="AC505" s="52"/>
      <c r="AD505" s="52"/>
      <c r="AE505" s="73" t="s">
        <v>36</v>
      </c>
      <c r="AF505" s="73"/>
      <c r="AG505" s="73"/>
    </row>
    <row r="506" spans="1:33" ht="15.75" thickBot="1" x14ac:dyDescent="0.3">
      <c r="A506" s="68"/>
      <c r="B506" s="68"/>
      <c r="C506" s="105" t="s">
        <v>243</v>
      </c>
      <c r="D506" s="75">
        <v>0</v>
      </c>
      <c r="E506" s="75"/>
      <c r="F506" s="76"/>
      <c r="G506" s="74">
        <v>0</v>
      </c>
      <c r="H506" s="75"/>
      <c r="I506" s="76"/>
      <c r="J506" s="74">
        <v>0</v>
      </c>
      <c r="K506" s="75"/>
      <c r="L506" s="76"/>
      <c r="M506" s="74">
        <v>0</v>
      </c>
      <c r="N506" s="75"/>
      <c r="O506" s="76"/>
      <c r="P506" s="74">
        <v>0</v>
      </c>
      <c r="Q506" s="75"/>
      <c r="R506" s="76"/>
      <c r="S506" s="74">
        <v>0</v>
      </c>
      <c r="T506" s="75"/>
      <c r="U506" s="76"/>
      <c r="V506" s="74">
        <v>0</v>
      </c>
      <c r="W506" s="75"/>
      <c r="X506" s="76"/>
      <c r="Y506" s="74">
        <v>0</v>
      </c>
      <c r="Z506" s="75"/>
      <c r="AA506" s="76"/>
      <c r="AB506" s="74">
        <v>0</v>
      </c>
      <c r="AC506" s="75"/>
      <c r="AD506" s="76"/>
      <c r="AE506" s="74">
        <v>0</v>
      </c>
      <c r="AF506" s="75"/>
      <c r="AG506" s="76"/>
    </row>
    <row r="507" spans="1:33" ht="15.75" thickBot="1" x14ac:dyDescent="0.3">
      <c r="A507" s="68"/>
      <c r="B507" s="68"/>
      <c r="C507" s="106" t="s">
        <v>244</v>
      </c>
      <c r="D507" s="82">
        <v>0</v>
      </c>
      <c r="E507" s="82"/>
      <c r="F507" s="84"/>
      <c r="G507" s="85">
        <v>0</v>
      </c>
      <c r="H507" s="82"/>
      <c r="I507" s="84"/>
      <c r="J507" s="85">
        <v>0</v>
      </c>
      <c r="K507" s="82"/>
      <c r="L507" s="84"/>
      <c r="M507" s="85">
        <v>0</v>
      </c>
      <c r="N507" s="82"/>
      <c r="O507" s="82"/>
      <c r="P507" s="81">
        <v>0</v>
      </c>
      <c r="Q507" s="82"/>
      <c r="R507" s="83"/>
      <c r="S507" s="82">
        <v>0</v>
      </c>
      <c r="T507" s="82"/>
      <c r="U507" s="84"/>
      <c r="V507" s="85">
        <v>0</v>
      </c>
      <c r="W507" s="82"/>
      <c r="X507" s="84"/>
      <c r="Y507" s="85">
        <v>0</v>
      </c>
      <c r="Z507" s="82"/>
      <c r="AA507" s="84"/>
      <c r="AB507" s="85">
        <v>0</v>
      </c>
      <c r="AC507" s="82"/>
      <c r="AD507" s="84"/>
      <c r="AE507" s="85">
        <v>0</v>
      </c>
      <c r="AF507" s="82"/>
      <c r="AG507" s="84"/>
    </row>
    <row r="508" spans="1:33" ht="15.75" thickBot="1" x14ac:dyDescent="0.3">
      <c r="A508" s="68"/>
      <c r="B508" s="68"/>
      <c r="C508" s="107" t="s">
        <v>37</v>
      </c>
      <c r="D508" s="104"/>
      <c r="E508" s="86"/>
      <c r="F508" s="89"/>
      <c r="G508" s="86"/>
      <c r="H508" s="86"/>
      <c r="I508" s="89"/>
      <c r="J508" s="86"/>
      <c r="K508" s="86"/>
      <c r="L508" s="89"/>
      <c r="M508" s="86"/>
      <c r="N508" s="86"/>
      <c r="O508" s="89"/>
      <c r="P508" s="86"/>
      <c r="Q508" s="86"/>
      <c r="R508" s="89"/>
      <c r="S508" s="86"/>
      <c r="T508" s="86"/>
      <c r="U508" s="89"/>
      <c r="V508" s="86"/>
      <c r="W508" s="86"/>
      <c r="X508" s="89"/>
      <c r="Y508" s="86"/>
      <c r="Z508" s="86"/>
      <c r="AA508" s="89"/>
      <c r="AB508" s="86"/>
      <c r="AC508" s="86"/>
      <c r="AD508" s="89"/>
      <c r="AE508" s="86"/>
      <c r="AF508" s="86"/>
      <c r="AG508" s="89"/>
    </row>
    <row r="509" spans="1:33" ht="15.75" thickBot="1" x14ac:dyDescent="0.3">
      <c r="A509" s="68"/>
      <c r="B509" s="68"/>
      <c r="D509" s="87"/>
      <c r="E509" s="87"/>
      <c r="F509" s="90"/>
      <c r="G509" s="87"/>
      <c r="H509" s="87"/>
      <c r="I509" s="90"/>
      <c r="J509" s="87"/>
      <c r="K509" s="87"/>
      <c r="L509" s="90"/>
      <c r="M509" s="87"/>
      <c r="N509" s="87"/>
      <c r="O509" s="90"/>
      <c r="P509" s="87"/>
      <c r="Q509" s="87"/>
      <c r="R509" s="90"/>
      <c r="S509" s="87"/>
      <c r="T509" s="87"/>
      <c r="U509" s="90"/>
      <c r="V509" s="87"/>
      <c r="W509" s="87"/>
      <c r="X509" s="90"/>
      <c r="Y509" s="87"/>
      <c r="Z509" s="87"/>
      <c r="AA509" s="90"/>
      <c r="AB509" s="87"/>
      <c r="AC509" s="87"/>
      <c r="AD509" s="90"/>
      <c r="AE509" s="87"/>
      <c r="AF509" s="87"/>
      <c r="AG509" s="90"/>
    </row>
    <row r="510" spans="1:33" ht="15.75" thickBot="1" x14ac:dyDescent="0.3">
      <c r="A510" s="68"/>
      <c r="B510" s="68"/>
      <c r="D510" s="88"/>
      <c r="E510" s="88"/>
      <c r="F510" s="91"/>
      <c r="G510" s="88"/>
      <c r="H510" s="88"/>
      <c r="I510" s="91"/>
      <c r="J510" s="88"/>
      <c r="K510" s="88"/>
      <c r="L510" s="91"/>
      <c r="M510" s="88"/>
      <c r="N510" s="88"/>
      <c r="O510" s="91"/>
      <c r="P510" s="88"/>
      <c r="Q510" s="88"/>
      <c r="R510" s="91"/>
      <c r="S510" s="88"/>
      <c r="T510" s="88"/>
      <c r="U510" s="91"/>
      <c r="V510" s="88"/>
      <c r="W510" s="88"/>
      <c r="X510" s="91"/>
      <c r="Y510" s="88"/>
      <c r="Z510" s="88"/>
      <c r="AA510" s="91"/>
      <c r="AB510" s="88"/>
      <c r="AC510" s="88"/>
      <c r="AD510" s="91"/>
      <c r="AE510" s="88"/>
      <c r="AF510" s="88"/>
      <c r="AG510" s="91"/>
    </row>
    <row r="512" spans="1:33" ht="15.75" thickBot="1" x14ac:dyDescent="0.3"/>
    <row r="513" spans="1:33" ht="15.75" thickBot="1" x14ac:dyDescent="0.3">
      <c r="A513" s="68" t="s">
        <v>272</v>
      </c>
      <c r="B513" s="68"/>
      <c r="D513" s="52" t="s">
        <v>27</v>
      </c>
      <c r="E513" s="52"/>
      <c r="F513" s="52"/>
      <c r="G513" s="73" t="s">
        <v>28</v>
      </c>
      <c r="H513" s="73"/>
      <c r="I513" s="73"/>
      <c r="J513" s="52" t="s">
        <v>29</v>
      </c>
      <c r="K513" s="52"/>
      <c r="L513" s="52"/>
      <c r="M513" s="73" t="s">
        <v>30</v>
      </c>
      <c r="N513" s="73"/>
      <c r="O513" s="73"/>
      <c r="P513" s="52" t="s">
        <v>31</v>
      </c>
      <c r="Q513" s="52"/>
      <c r="R513" s="52"/>
      <c r="S513" s="73" t="s">
        <v>32</v>
      </c>
      <c r="T513" s="73"/>
      <c r="U513" s="73"/>
      <c r="V513" s="52" t="s">
        <v>33</v>
      </c>
      <c r="W513" s="52"/>
      <c r="X513" s="52"/>
      <c r="Y513" s="73" t="s">
        <v>34</v>
      </c>
      <c r="Z513" s="73"/>
      <c r="AA513" s="73"/>
      <c r="AB513" s="52" t="s">
        <v>35</v>
      </c>
      <c r="AC513" s="52"/>
      <c r="AD513" s="52"/>
      <c r="AE513" s="73" t="s">
        <v>36</v>
      </c>
      <c r="AF513" s="73"/>
      <c r="AG513" s="73"/>
    </row>
    <row r="514" spans="1:33" ht="15.75" thickBot="1" x14ac:dyDescent="0.3">
      <c r="A514" s="68"/>
      <c r="B514" s="68"/>
      <c r="C514" s="105" t="s">
        <v>243</v>
      </c>
      <c r="D514" s="75">
        <v>0</v>
      </c>
      <c r="E514" s="75"/>
      <c r="F514" s="76"/>
      <c r="G514" s="74">
        <v>0</v>
      </c>
      <c r="H514" s="75"/>
      <c r="I514" s="76"/>
      <c r="J514" s="74">
        <v>0</v>
      </c>
      <c r="K514" s="75"/>
      <c r="L514" s="76"/>
      <c r="M514" s="74">
        <v>0</v>
      </c>
      <c r="N514" s="75"/>
      <c r="O514" s="76"/>
      <c r="P514" s="74">
        <v>0</v>
      </c>
      <c r="Q514" s="75"/>
      <c r="R514" s="76"/>
      <c r="S514" s="74">
        <v>0</v>
      </c>
      <c r="T514" s="75"/>
      <c r="U514" s="76"/>
      <c r="V514" s="74">
        <v>0</v>
      </c>
      <c r="W514" s="75"/>
      <c r="X514" s="76"/>
      <c r="Y514" s="74">
        <v>0</v>
      </c>
      <c r="Z514" s="75"/>
      <c r="AA514" s="76"/>
      <c r="AB514" s="74">
        <v>0</v>
      </c>
      <c r="AC514" s="75"/>
      <c r="AD514" s="76"/>
      <c r="AE514" s="74">
        <v>0</v>
      </c>
      <c r="AF514" s="75"/>
      <c r="AG514" s="76"/>
    </row>
    <row r="515" spans="1:33" ht="15.75" thickBot="1" x14ac:dyDescent="0.3">
      <c r="A515" s="68"/>
      <c r="B515" s="68"/>
      <c r="C515" s="106" t="s">
        <v>244</v>
      </c>
      <c r="D515" s="82">
        <v>0</v>
      </c>
      <c r="E515" s="82"/>
      <c r="F515" s="84"/>
      <c r="G515" s="85">
        <v>0</v>
      </c>
      <c r="H515" s="82"/>
      <c r="I515" s="84"/>
      <c r="J515" s="85">
        <v>0</v>
      </c>
      <c r="K515" s="82"/>
      <c r="L515" s="84"/>
      <c r="M515" s="85">
        <v>0</v>
      </c>
      <c r="N515" s="82"/>
      <c r="O515" s="82"/>
      <c r="P515" s="81">
        <v>0</v>
      </c>
      <c r="Q515" s="82"/>
      <c r="R515" s="83"/>
      <c r="S515" s="82">
        <v>0</v>
      </c>
      <c r="T515" s="82"/>
      <c r="U515" s="84"/>
      <c r="V515" s="85">
        <v>0</v>
      </c>
      <c r="W515" s="82"/>
      <c r="X515" s="84"/>
      <c r="Y515" s="85">
        <v>0</v>
      </c>
      <c r="Z515" s="82"/>
      <c r="AA515" s="84"/>
      <c r="AB515" s="85">
        <v>0</v>
      </c>
      <c r="AC515" s="82"/>
      <c r="AD515" s="84"/>
      <c r="AE515" s="85">
        <v>0</v>
      </c>
      <c r="AF515" s="82"/>
      <c r="AG515" s="84"/>
    </row>
    <row r="516" spans="1:33" ht="15.75" thickBot="1" x14ac:dyDescent="0.3">
      <c r="A516" s="68"/>
      <c r="B516" s="68"/>
      <c r="C516" s="107" t="s">
        <v>37</v>
      </c>
      <c r="D516" s="104"/>
      <c r="E516" s="86"/>
      <c r="F516" s="89"/>
      <c r="G516" s="86"/>
      <c r="H516" s="86"/>
      <c r="I516" s="89"/>
      <c r="J516" s="86"/>
      <c r="K516" s="86"/>
      <c r="L516" s="89"/>
      <c r="M516" s="86"/>
      <c r="N516" s="86"/>
      <c r="O516" s="89"/>
      <c r="P516" s="86"/>
      <c r="Q516" s="86"/>
      <c r="R516" s="89"/>
      <c r="S516" s="86"/>
      <c r="T516" s="86"/>
      <c r="U516" s="89"/>
      <c r="V516" s="86"/>
      <c r="W516" s="86"/>
      <c r="X516" s="89"/>
      <c r="Y516" s="86"/>
      <c r="Z516" s="86"/>
      <c r="AA516" s="89"/>
      <c r="AB516" s="86"/>
      <c r="AC516" s="86"/>
      <c r="AD516" s="89"/>
      <c r="AE516" s="86"/>
      <c r="AF516" s="86"/>
      <c r="AG516" s="89"/>
    </row>
    <row r="517" spans="1:33" ht="15.75" thickBot="1" x14ac:dyDescent="0.3">
      <c r="A517" s="68"/>
      <c r="B517" s="68"/>
      <c r="D517" s="87"/>
      <c r="E517" s="87"/>
      <c r="F517" s="90"/>
      <c r="G517" s="87"/>
      <c r="H517" s="87"/>
      <c r="I517" s="90"/>
      <c r="J517" s="87"/>
      <c r="K517" s="87"/>
      <c r="L517" s="90"/>
      <c r="M517" s="87"/>
      <c r="N517" s="87"/>
      <c r="O517" s="90"/>
      <c r="P517" s="87"/>
      <c r="Q517" s="87"/>
      <c r="R517" s="90"/>
      <c r="S517" s="87"/>
      <c r="T517" s="87"/>
      <c r="U517" s="90"/>
      <c r="V517" s="87"/>
      <c r="W517" s="87"/>
      <c r="X517" s="90"/>
      <c r="Y517" s="87"/>
      <c r="Z517" s="87"/>
      <c r="AA517" s="90"/>
      <c r="AB517" s="87"/>
      <c r="AC517" s="87"/>
      <c r="AD517" s="90"/>
      <c r="AE517" s="87"/>
      <c r="AF517" s="87"/>
      <c r="AG517" s="90"/>
    </row>
    <row r="518" spans="1:33" ht="15.75" thickBot="1" x14ac:dyDescent="0.3">
      <c r="A518" s="68"/>
      <c r="B518" s="68"/>
      <c r="D518" s="88"/>
      <c r="E518" s="88"/>
      <c r="F518" s="91"/>
      <c r="G518" s="88"/>
      <c r="H518" s="88"/>
      <c r="I518" s="91"/>
      <c r="J518" s="88"/>
      <c r="K518" s="88"/>
      <c r="L518" s="91"/>
      <c r="M518" s="88"/>
      <c r="N518" s="88"/>
      <c r="O518" s="91"/>
      <c r="P518" s="88"/>
      <c r="Q518" s="88"/>
      <c r="R518" s="91"/>
      <c r="S518" s="88"/>
      <c r="T518" s="88"/>
      <c r="U518" s="91"/>
      <c r="V518" s="88"/>
      <c r="W518" s="88"/>
      <c r="X518" s="91"/>
      <c r="Y518" s="88"/>
      <c r="Z518" s="88"/>
      <c r="AA518" s="91"/>
      <c r="AB518" s="88"/>
      <c r="AC518" s="88"/>
      <c r="AD518" s="91"/>
      <c r="AE518" s="88"/>
      <c r="AF518" s="88"/>
      <c r="AG518" s="91"/>
    </row>
    <row r="520" spans="1:33" ht="15.75" thickBot="1" x14ac:dyDescent="0.3"/>
    <row r="521" spans="1:33" ht="15.75" thickBot="1" x14ac:dyDescent="0.3">
      <c r="A521" s="68" t="s">
        <v>240</v>
      </c>
      <c r="B521" s="68"/>
      <c r="D521" s="52" t="s">
        <v>27</v>
      </c>
      <c r="E521" s="52"/>
      <c r="F521" s="52"/>
      <c r="G521" s="73" t="s">
        <v>28</v>
      </c>
      <c r="H521" s="73"/>
      <c r="I521" s="73"/>
      <c r="J521" s="52" t="s">
        <v>29</v>
      </c>
      <c r="K521" s="52"/>
      <c r="L521" s="52"/>
      <c r="M521" s="73" t="s">
        <v>30</v>
      </c>
      <c r="N521" s="73"/>
      <c r="O521" s="73"/>
      <c r="P521" s="52" t="s">
        <v>31</v>
      </c>
      <c r="Q521" s="52"/>
      <c r="R521" s="52"/>
      <c r="S521" s="73" t="s">
        <v>32</v>
      </c>
      <c r="T521" s="73"/>
      <c r="U521" s="73"/>
      <c r="V521" s="52" t="s">
        <v>33</v>
      </c>
      <c r="W521" s="52"/>
      <c r="X521" s="52"/>
      <c r="Y521" s="73" t="s">
        <v>34</v>
      </c>
      <c r="Z521" s="73"/>
      <c r="AA521" s="73"/>
      <c r="AB521" s="52" t="s">
        <v>35</v>
      </c>
      <c r="AC521" s="52"/>
      <c r="AD521" s="52"/>
      <c r="AE521" s="73" t="s">
        <v>36</v>
      </c>
      <c r="AF521" s="73"/>
      <c r="AG521" s="73"/>
    </row>
    <row r="522" spans="1:33" ht="15.75" thickBot="1" x14ac:dyDescent="0.3">
      <c r="A522" s="68"/>
      <c r="B522" s="68"/>
      <c r="C522" s="105" t="s">
        <v>243</v>
      </c>
      <c r="D522" s="75">
        <v>0</v>
      </c>
      <c r="E522" s="75"/>
      <c r="F522" s="76"/>
      <c r="G522" s="74">
        <v>0</v>
      </c>
      <c r="H522" s="75"/>
      <c r="I522" s="76"/>
      <c r="J522" s="74">
        <v>0</v>
      </c>
      <c r="K522" s="75"/>
      <c r="L522" s="76"/>
      <c r="M522" s="74">
        <v>0</v>
      </c>
      <c r="N522" s="75"/>
      <c r="O522" s="76"/>
      <c r="P522" s="74">
        <v>0</v>
      </c>
      <c r="Q522" s="75"/>
      <c r="R522" s="76"/>
      <c r="S522" s="74">
        <v>0</v>
      </c>
      <c r="T522" s="75"/>
      <c r="U522" s="76"/>
      <c r="V522" s="74">
        <v>0</v>
      </c>
      <c r="W522" s="75"/>
      <c r="X522" s="76"/>
      <c r="Y522" s="74">
        <v>0</v>
      </c>
      <c r="Z522" s="75"/>
      <c r="AA522" s="76"/>
      <c r="AB522" s="74">
        <v>0</v>
      </c>
      <c r="AC522" s="75"/>
      <c r="AD522" s="76"/>
      <c r="AE522" s="74">
        <v>0</v>
      </c>
      <c r="AF522" s="75"/>
      <c r="AG522" s="76"/>
    </row>
    <row r="523" spans="1:33" ht="15.75" thickBot="1" x14ac:dyDescent="0.3">
      <c r="A523" s="68"/>
      <c r="B523" s="68"/>
      <c r="C523" s="106" t="s">
        <v>244</v>
      </c>
      <c r="D523" s="82">
        <v>0</v>
      </c>
      <c r="E523" s="82"/>
      <c r="F523" s="84"/>
      <c r="G523" s="85">
        <v>0</v>
      </c>
      <c r="H523" s="82"/>
      <c r="I523" s="84"/>
      <c r="J523" s="85">
        <v>0</v>
      </c>
      <c r="K523" s="82"/>
      <c r="L523" s="84"/>
      <c r="M523" s="85">
        <v>0</v>
      </c>
      <c r="N523" s="82"/>
      <c r="O523" s="82"/>
      <c r="P523" s="81">
        <v>0</v>
      </c>
      <c r="Q523" s="82"/>
      <c r="R523" s="83"/>
      <c r="S523" s="82">
        <v>0</v>
      </c>
      <c r="T523" s="82"/>
      <c r="U523" s="84"/>
      <c r="V523" s="85">
        <v>0</v>
      </c>
      <c r="W523" s="82"/>
      <c r="X523" s="84"/>
      <c r="Y523" s="85">
        <v>0</v>
      </c>
      <c r="Z523" s="82"/>
      <c r="AA523" s="84"/>
      <c r="AB523" s="85">
        <v>0</v>
      </c>
      <c r="AC523" s="82"/>
      <c r="AD523" s="84"/>
      <c r="AE523" s="85">
        <v>0</v>
      </c>
      <c r="AF523" s="82"/>
      <c r="AG523" s="84"/>
    </row>
    <row r="524" spans="1:33" ht="15.75" thickBot="1" x14ac:dyDescent="0.3">
      <c r="A524" s="68"/>
      <c r="B524" s="68"/>
      <c r="C524" s="107" t="s">
        <v>37</v>
      </c>
      <c r="D524" s="104"/>
      <c r="E524" s="86"/>
      <c r="F524" s="89"/>
      <c r="G524" s="86"/>
      <c r="H524" s="86"/>
      <c r="I524" s="89"/>
      <c r="J524" s="86"/>
      <c r="K524" s="86"/>
      <c r="L524" s="89"/>
      <c r="M524" s="86"/>
      <c r="N524" s="86"/>
      <c r="O524" s="89"/>
      <c r="P524" s="86"/>
      <c r="Q524" s="86"/>
      <c r="R524" s="89"/>
      <c r="S524" s="86"/>
      <c r="T524" s="86"/>
      <c r="U524" s="89"/>
      <c r="V524" s="86"/>
      <c r="W524" s="86"/>
      <c r="X524" s="89"/>
      <c r="Y524" s="86"/>
      <c r="Z524" s="86"/>
      <c r="AA524" s="89"/>
      <c r="AB524" s="86"/>
      <c r="AC524" s="86"/>
      <c r="AD524" s="89"/>
      <c r="AE524" s="86"/>
      <c r="AF524" s="86"/>
      <c r="AG524" s="89"/>
    </row>
    <row r="525" spans="1:33" ht="15.75" thickBot="1" x14ac:dyDescent="0.3">
      <c r="A525" s="68"/>
      <c r="B525" s="68"/>
      <c r="D525" s="87"/>
      <c r="E525" s="87"/>
      <c r="F525" s="90"/>
      <c r="G525" s="87"/>
      <c r="H525" s="87"/>
      <c r="I525" s="90"/>
      <c r="J525" s="87"/>
      <c r="K525" s="87"/>
      <c r="L525" s="90"/>
      <c r="M525" s="87"/>
      <c r="N525" s="87"/>
      <c r="O525" s="90"/>
      <c r="P525" s="87"/>
      <c r="Q525" s="87"/>
      <c r="R525" s="90"/>
      <c r="S525" s="87"/>
      <c r="T525" s="87"/>
      <c r="U525" s="90"/>
      <c r="V525" s="87"/>
      <c r="W525" s="87"/>
      <c r="X525" s="90"/>
      <c r="Y525" s="87"/>
      <c r="Z525" s="87"/>
      <c r="AA525" s="90"/>
      <c r="AB525" s="87"/>
      <c r="AC525" s="87"/>
      <c r="AD525" s="90"/>
      <c r="AE525" s="87"/>
      <c r="AF525" s="87"/>
      <c r="AG525" s="90"/>
    </row>
    <row r="526" spans="1:33" ht="15.75" thickBot="1" x14ac:dyDescent="0.3">
      <c r="A526" s="68"/>
      <c r="B526" s="68"/>
      <c r="D526" s="88"/>
      <c r="E526" s="88"/>
      <c r="F526" s="91"/>
      <c r="G526" s="88"/>
      <c r="H526" s="88"/>
      <c r="I526" s="91"/>
      <c r="J526" s="88"/>
      <c r="K526" s="88"/>
      <c r="L526" s="91"/>
      <c r="M526" s="88"/>
      <c r="N526" s="88"/>
      <c r="O526" s="91"/>
      <c r="P526" s="88"/>
      <c r="Q526" s="88"/>
      <c r="R526" s="91"/>
      <c r="S526" s="88"/>
      <c r="T526" s="88"/>
      <c r="U526" s="91"/>
      <c r="V526" s="88"/>
      <c r="W526" s="88"/>
      <c r="X526" s="91"/>
      <c r="Y526" s="88"/>
      <c r="Z526" s="88"/>
      <c r="AA526" s="91"/>
      <c r="AB526" s="88"/>
      <c r="AC526" s="88"/>
      <c r="AD526" s="91"/>
      <c r="AE526" s="88"/>
      <c r="AF526" s="88"/>
      <c r="AG526" s="91"/>
    </row>
    <row r="528" spans="1:33" ht="15.75" thickBot="1" x14ac:dyDescent="0.3"/>
    <row r="529" spans="1:33" ht="15.75" thickBot="1" x14ac:dyDescent="0.3">
      <c r="A529" s="68" t="s">
        <v>273</v>
      </c>
      <c r="B529" s="68"/>
      <c r="D529" s="52" t="s">
        <v>27</v>
      </c>
      <c r="E529" s="52"/>
      <c r="F529" s="52"/>
      <c r="G529" s="73" t="s">
        <v>28</v>
      </c>
      <c r="H529" s="73"/>
      <c r="I529" s="73"/>
      <c r="J529" s="52" t="s">
        <v>29</v>
      </c>
      <c r="K529" s="52"/>
      <c r="L529" s="52"/>
      <c r="M529" s="73" t="s">
        <v>30</v>
      </c>
      <c r="N529" s="73"/>
      <c r="O529" s="73"/>
      <c r="P529" s="52" t="s">
        <v>31</v>
      </c>
      <c r="Q529" s="52"/>
      <c r="R529" s="52"/>
      <c r="S529" s="73" t="s">
        <v>32</v>
      </c>
      <c r="T529" s="73"/>
      <c r="U529" s="73"/>
      <c r="V529" s="52" t="s">
        <v>33</v>
      </c>
      <c r="W529" s="52"/>
      <c r="X529" s="52"/>
      <c r="Y529" s="73" t="s">
        <v>34</v>
      </c>
      <c r="Z529" s="73"/>
      <c r="AA529" s="73"/>
      <c r="AB529" s="52" t="s">
        <v>35</v>
      </c>
      <c r="AC529" s="52"/>
      <c r="AD529" s="52"/>
      <c r="AE529" s="73" t="s">
        <v>36</v>
      </c>
      <c r="AF529" s="73"/>
      <c r="AG529" s="73"/>
    </row>
    <row r="530" spans="1:33" ht="15.75" thickBot="1" x14ac:dyDescent="0.3">
      <c r="A530" s="68"/>
      <c r="B530" s="68"/>
      <c r="C530" s="105" t="s">
        <v>243</v>
      </c>
      <c r="D530" s="75">
        <v>0</v>
      </c>
      <c r="E530" s="75"/>
      <c r="F530" s="76"/>
      <c r="G530" s="74">
        <v>0</v>
      </c>
      <c r="H530" s="75"/>
      <c r="I530" s="76"/>
      <c r="J530" s="74">
        <v>0</v>
      </c>
      <c r="K530" s="75"/>
      <c r="L530" s="76"/>
      <c r="M530" s="74">
        <v>0</v>
      </c>
      <c r="N530" s="75"/>
      <c r="O530" s="76"/>
      <c r="P530" s="74">
        <v>0</v>
      </c>
      <c r="Q530" s="75"/>
      <c r="R530" s="76"/>
      <c r="S530" s="74">
        <v>0</v>
      </c>
      <c r="T530" s="75"/>
      <c r="U530" s="76"/>
      <c r="V530" s="74">
        <v>0</v>
      </c>
      <c r="W530" s="75"/>
      <c r="X530" s="76"/>
      <c r="Y530" s="74">
        <v>0</v>
      </c>
      <c r="Z530" s="75"/>
      <c r="AA530" s="76"/>
      <c r="AB530" s="74">
        <v>0</v>
      </c>
      <c r="AC530" s="75"/>
      <c r="AD530" s="76"/>
      <c r="AE530" s="74">
        <v>0</v>
      </c>
      <c r="AF530" s="75"/>
      <c r="AG530" s="76"/>
    </row>
    <row r="531" spans="1:33" ht="15.75" thickBot="1" x14ac:dyDescent="0.3">
      <c r="A531" s="68"/>
      <c r="B531" s="68"/>
      <c r="C531" s="106" t="s">
        <v>244</v>
      </c>
      <c r="D531" s="82">
        <v>0</v>
      </c>
      <c r="E531" s="82"/>
      <c r="F531" s="84"/>
      <c r="G531" s="85">
        <v>0</v>
      </c>
      <c r="H531" s="82"/>
      <c r="I531" s="84"/>
      <c r="J531" s="85">
        <v>0</v>
      </c>
      <c r="K531" s="82"/>
      <c r="L531" s="84"/>
      <c r="M531" s="85">
        <v>0</v>
      </c>
      <c r="N531" s="82"/>
      <c r="O531" s="82"/>
      <c r="P531" s="81">
        <v>0</v>
      </c>
      <c r="Q531" s="82"/>
      <c r="R531" s="83"/>
      <c r="S531" s="82">
        <v>0</v>
      </c>
      <c r="T531" s="82"/>
      <c r="U531" s="84"/>
      <c r="V531" s="85">
        <v>0</v>
      </c>
      <c r="W531" s="82"/>
      <c r="X531" s="84"/>
      <c r="Y531" s="85">
        <v>0</v>
      </c>
      <c r="Z531" s="82"/>
      <c r="AA531" s="84"/>
      <c r="AB531" s="85">
        <v>0</v>
      </c>
      <c r="AC531" s="82"/>
      <c r="AD531" s="84"/>
      <c r="AE531" s="85">
        <v>0</v>
      </c>
      <c r="AF531" s="82"/>
      <c r="AG531" s="84"/>
    </row>
    <row r="532" spans="1:33" ht="15.75" thickBot="1" x14ac:dyDescent="0.3">
      <c r="A532" s="68"/>
      <c r="B532" s="68"/>
      <c r="C532" s="107" t="s">
        <v>37</v>
      </c>
      <c r="D532" s="104"/>
      <c r="E532" s="86"/>
      <c r="F532" s="89"/>
      <c r="G532" s="86"/>
      <c r="H532" s="86"/>
      <c r="I532" s="89"/>
      <c r="J532" s="86"/>
      <c r="K532" s="86"/>
      <c r="L532" s="89"/>
      <c r="M532" s="86"/>
      <c r="N532" s="86"/>
      <c r="O532" s="89"/>
      <c r="P532" s="86"/>
      <c r="Q532" s="86"/>
      <c r="R532" s="89"/>
      <c r="S532" s="86"/>
      <c r="T532" s="86"/>
      <c r="U532" s="89"/>
      <c r="V532" s="86"/>
      <c r="W532" s="86"/>
      <c r="X532" s="89"/>
      <c r="Y532" s="86"/>
      <c r="Z532" s="86"/>
      <c r="AA532" s="89"/>
      <c r="AB532" s="86"/>
      <c r="AC532" s="86"/>
      <c r="AD532" s="89"/>
      <c r="AE532" s="86"/>
      <c r="AF532" s="86"/>
      <c r="AG532" s="89"/>
    </row>
    <row r="533" spans="1:33" ht="15.75" thickBot="1" x14ac:dyDescent="0.3">
      <c r="A533" s="68"/>
      <c r="B533" s="68"/>
      <c r="D533" s="87"/>
      <c r="E533" s="87"/>
      <c r="F533" s="90"/>
      <c r="G533" s="87"/>
      <c r="H533" s="87"/>
      <c r="I533" s="90"/>
      <c r="J533" s="87"/>
      <c r="K533" s="87"/>
      <c r="L533" s="90"/>
      <c r="M533" s="87"/>
      <c r="N533" s="87"/>
      <c r="O533" s="90"/>
      <c r="P533" s="87"/>
      <c r="Q533" s="87"/>
      <c r="R533" s="90"/>
      <c r="S533" s="87"/>
      <c r="T533" s="87"/>
      <c r="U533" s="90"/>
      <c r="V533" s="87"/>
      <c r="W533" s="87"/>
      <c r="X533" s="90"/>
      <c r="Y533" s="87"/>
      <c r="Z533" s="87"/>
      <c r="AA533" s="90"/>
      <c r="AB533" s="87"/>
      <c r="AC533" s="87"/>
      <c r="AD533" s="90"/>
      <c r="AE533" s="87"/>
      <c r="AF533" s="87"/>
      <c r="AG533" s="90"/>
    </row>
    <row r="534" spans="1:33" ht="15.75" thickBot="1" x14ac:dyDescent="0.3">
      <c r="A534" s="68"/>
      <c r="B534" s="68"/>
      <c r="D534" s="88"/>
      <c r="E534" s="88"/>
      <c r="F534" s="91"/>
      <c r="G534" s="88"/>
      <c r="H534" s="88"/>
      <c r="I534" s="91"/>
      <c r="J534" s="88"/>
      <c r="K534" s="88"/>
      <c r="L534" s="91"/>
      <c r="M534" s="88"/>
      <c r="N534" s="88"/>
      <c r="O534" s="91"/>
      <c r="P534" s="88"/>
      <c r="Q534" s="88"/>
      <c r="R534" s="91"/>
      <c r="S534" s="88"/>
      <c r="T534" s="88"/>
      <c r="U534" s="91"/>
      <c r="V534" s="88"/>
      <c r="W534" s="88"/>
      <c r="X534" s="91"/>
      <c r="Y534" s="88"/>
      <c r="Z534" s="88"/>
      <c r="AA534" s="91"/>
      <c r="AB534" s="88"/>
      <c r="AC534" s="88"/>
      <c r="AD534" s="91"/>
      <c r="AE534" s="88"/>
      <c r="AF534" s="88"/>
      <c r="AG534" s="91"/>
    </row>
    <row r="536" spans="1:33" ht="15.75" thickBot="1" x14ac:dyDescent="0.3"/>
    <row r="537" spans="1:33" ht="15.75" thickBot="1" x14ac:dyDescent="0.3">
      <c r="A537" s="68" t="s">
        <v>274</v>
      </c>
      <c r="B537" s="68"/>
      <c r="D537" s="52" t="s">
        <v>27</v>
      </c>
      <c r="E537" s="52"/>
      <c r="F537" s="52"/>
      <c r="G537" s="73" t="s">
        <v>28</v>
      </c>
      <c r="H537" s="73"/>
      <c r="I537" s="73"/>
      <c r="J537" s="52" t="s">
        <v>29</v>
      </c>
      <c r="K537" s="52"/>
      <c r="L537" s="52"/>
      <c r="M537" s="73" t="s">
        <v>30</v>
      </c>
      <c r="N537" s="73"/>
      <c r="O537" s="73"/>
      <c r="P537" s="52" t="s">
        <v>31</v>
      </c>
      <c r="Q537" s="52"/>
      <c r="R537" s="52"/>
      <c r="S537" s="73" t="s">
        <v>32</v>
      </c>
      <c r="T537" s="73"/>
      <c r="U537" s="73"/>
      <c r="V537" s="52" t="s">
        <v>33</v>
      </c>
      <c r="W537" s="52"/>
      <c r="X537" s="52"/>
      <c r="Y537" s="73" t="s">
        <v>34</v>
      </c>
      <c r="Z537" s="73"/>
      <c r="AA537" s="73"/>
      <c r="AB537" s="52" t="s">
        <v>35</v>
      </c>
      <c r="AC537" s="52"/>
      <c r="AD537" s="52"/>
      <c r="AE537" s="73" t="s">
        <v>36</v>
      </c>
      <c r="AF537" s="73"/>
      <c r="AG537" s="73"/>
    </row>
    <row r="538" spans="1:33" ht="15.75" thickBot="1" x14ac:dyDescent="0.3">
      <c r="A538" s="68"/>
      <c r="B538" s="68"/>
      <c r="C538" s="105" t="s">
        <v>243</v>
      </c>
      <c r="D538" s="75">
        <v>0</v>
      </c>
      <c r="E538" s="75"/>
      <c r="F538" s="76"/>
      <c r="G538" s="74">
        <v>0</v>
      </c>
      <c r="H538" s="75"/>
      <c r="I538" s="76"/>
      <c r="J538" s="74">
        <v>0</v>
      </c>
      <c r="K538" s="75"/>
      <c r="L538" s="76"/>
      <c r="M538" s="74">
        <v>0</v>
      </c>
      <c r="N538" s="75"/>
      <c r="O538" s="76"/>
      <c r="P538" s="74">
        <v>0</v>
      </c>
      <c r="Q538" s="75"/>
      <c r="R538" s="76"/>
      <c r="S538" s="74">
        <v>0</v>
      </c>
      <c r="T538" s="75"/>
      <c r="U538" s="76"/>
      <c r="V538" s="74">
        <v>0</v>
      </c>
      <c r="W538" s="75"/>
      <c r="X538" s="76"/>
      <c r="Y538" s="74">
        <v>0</v>
      </c>
      <c r="Z538" s="75"/>
      <c r="AA538" s="76"/>
      <c r="AB538" s="74">
        <v>0</v>
      </c>
      <c r="AC538" s="75"/>
      <c r="AD538" s="76"/>
      <c r="AE538" s="74">
        <v>0</v>
      </c>
      <c r="AF538" s="75"/>
      <c r="AG538" s="76"/>
    </row>
    <row r="539" spans="1:33" ht="15.75" thickBot="1" x14ac:dyDescent="0.3">
      <c r="A539" s="68"/>
      <c r="B539" s="68"/>
      <c r="C539" s="106" t="s">
        <v>244</v>
      </c>
      <c r="D539" s="82">
        <v>0</v>
      </c>
      <c r="E539" s="82"/>
      <c r="F539" s="84"/>
      <c r="G539" s="85">
        <v>0</v>
      </c>
      <c r="H539" s="82"/>
      <c r="I539" s="84"/>
      <c r="J539" s="85">
        <v>0</v>
      </c>
      <c r="K539" s="82"/>
      <c r="L539" s="84"/>
      <c r="M539" s="85">
        <v>0</v>
      </c>
      <c r="N539" s="82"/>
      <c r="O539" s="82"/>
      <c r="P539" s="81">
        <v>0</v>
      </c>
      <c r="Q539" s="82"/>
      <c r="R539" s="83"/>
      <c r="S539" s="82">
        <v>0</v>
      </c>
      <c r="T539" s="82"/>
      <c r="U539" s="84"/>
      <c r="V539" s="85">
        <v>0</v>
      </c>
      <c r="W539" s="82"/>
      <c r="X539" s="84"/>
      <c r="Y539" s="85">
        <v>0</v>
      </c>
      <c r="Z539" s="82"/>
      <c r="AA539" s="84"/>
      <c r="AB539" s="85">
        <v>0</v>
      </c>
      <c r="AC539" s="82"/>
      <c r="AD539" s="84"/>
      <c r="AE539" s="85">
        <v>0</v>
      </c>
      <c r="AF539" s="82"/>
      <c r="AG539" s="84"/>
    </row>
    <row r="540" spans="1:33" ht="15.75" thickBot="1" x14ac:dyDescent="0.3">
      <c r="A540" s="68"/>
      <c r="B540" s="68"/>
      <c r="C540" s="107" t="s">
        <v>37</v>
      </c>
      <c r="D540" s="104"/>
      <c r="E540" s="86"/>
      <c r="F540" s="89"/>
      <c r="G540" s="86"/>
      <c r="H540" s="86"/>
      <c r="I540" s="89"/>
      <c r="J540" s="86"/>
      <c r="K540" s="86"/>
      <c r="L540" s="89"/>
      <c r="M540" s="86"/>
      <c r="N540" s="86"/>
      <c r="O540" s="89"/>
      <c r="P540" s="86"/>
      <c r="Q540" s="86"/>
      <c r="R540" s="89"/>
      <c r="S540" s="86"/>
      <c r="T540" s="86"/>
      <c r="U540" s="89"/>
      <c r="V540" s="86"/>
      <c r="W540" s="86"/>
      <c r="X540" s="89"/>
      <c r="Y540" s="86"/>
      <c r="Z540" s="86"/>
      <c r="AA540" s="89"/>
      <c r="AB540" s="86"/>
      <c r="AC540" s="86"/>
      <c r="AD540" s="89"/>
      <c r="AE540" s="86"/>
      <c r="AF540" s="86"/>
      <c r="AG540" s="89"/>
    </row>
    <row r="541" spans="1:33" ht="15.75" thickBot="1" x14ac:dyDescent="0.3">
      <c r="A541" s="68"/>
      <c r="B541" s="68"/>
      <c r="D541" s="87"/>
      <c r="E541" s="87"/>
      <c r="F541" s="90"/>
      <c r="G541" s="87"/>
      <c r="H541" s="87"/>
      <c r="I541" s="90"/>
      <c r="J541" s="87"/>
      <c r="K541" s="87"/>
      <c r="L541" s="90"/>
      <c r="M541" s="87"/>
      <c r="N541" s="87"/>
      <c r="O541" s="90"/>
      <c r="P541" s="87"/>
      <c r="Q541" s="87"/>
      <c r="R541" s="90"/>
      <c r="S541" s="87"/>
      <c r="T541" s="87"/>
      <c r="U541" s="90"/>
      <c r="V541" s="87"/>
      <c r="W541" s="87"/>
      <c r="X541" s="90"/>
      <c r="Y541" s="87"/>
      <c r="Z541" s="87"/>
      <c r="AA541" s="90"/>
      <c r="AB541" s="87"/>
      <c r="AC541" s="87"/>
      <c r="AD541" s="90"/>
      <c r="AE541" s="87"/>
      <c r="AF541" s="87"/>
      <c r="AG541" s="90"/>
    </row>
    <row r="542" spans="1:33" ht="15.75" thickBot="1" x14ac:dyDescent="0.3">
      <c r="A542" s="68"/>
      <c r="B542" s="68"/>
      <c r="D542" s="88"/>
      <c r="E542" s="88"/>
      <c r="F542" s="91"/>
      <c r="G542" s="88"/>
      <c r="H542" s="88"/>
      <c r="I542" s="91"/>
      <c r="J542" s="88"/>
      <c r="K542" s="88"/>
      <c r="L542" s="91"/>
      <c r="M542" s="88"/>
      <c r="N542" s="88"/>
      <c r="O542" s="91"/>
      <c r="P542" s="88"/>
      <c r="Q542" s="88"/>
      <c r="R542" s="91"/>
      <c r="S542" s="88"/>
      <c r="T542" s="88"/>
      <c r="U542" s="91"/>
      <c r="V542" s="88"/>
      <c r="W542" s="88"/>
      <c r="X542" s="91"/>
      <c r="Y542" s="88"/>
      <c r="Z542" s="88"/>
      <c r="AA542" s="91"/>
      <c r="AB542" s="88"/>
      <c r="AC542" s="88"/>
      <c r="AD542" s="91"/>
      <c r="AE542" s="88"/>
      <c r="AF542" s="88"/>
      <c r="AG542" s="91"/>
    </row>
  </sheetData>
  <mergeCells count="4148">
    <mergeCell ref="V542:W542"/>
    <mergeCell ref="Y542:Z542"/>
    <mergeCell ref="AB542:AC542"/>
    <mergeCell ref="AE542:AF542"/>
    <mergeCell ref="V541:W541"/>
    <mergeCell ref="Y541:Z541"/>
    <mergeCell ref="AB541:AC541"/>
    <mergeCell ref="AE541:AF541"/>
    <mergeCell ref="D542:E542"/>
    <mergeCell ref="G542:H542"/>
    <mergeCell ref="J542:K542"/>
    <mergeCell ref="M542:N542"/>
    <mergeCell ref="P542:Q542"/>
    <mergeCell ref="S542:T542"/>
    <mergeCell ref="V540:W540"/>
    <mergeCell ref="Y540:Z540"/>
    <mergeCell ref="AB540:AC540"/>
    <mergeCell ref="AE540:AF540"/>
    <mergeCell ref="D541:E541"/>
    <mergeCell ref="G541:H541"/>
    <mergeCell ref="J541:K541"/>
    <mergeCell ref="M541:N541"/>
    <mergeCell ref="P541:Q541"/>
    <mergeCell ref="S541:T541"/>
    <mergeCell ref="V539:X539"/>
    <mergeCell ref="Y539:AA539"/>
    <mergeCell ref="AB539:AD539"/>
    <mergeCell ref="AE539:AG539"/>
    <mergeCell ref="D540:E540"/>
    <mergeCell ref="G540:H540"/>
    <mergeCell ref="J540:K540"/>
    <mergeCell ref="M540:N540"/>
    <mergeCell ref="P540:Q540"/>
    <mergeCell ref="S540:T540"/>
    <mergeCell ref="V538:X538"/>
    <mergeCell ref="Y538:AA538"/>
    <mergeCell ref="AB538:AD538"/>
    <mergeCell ref="AE538:AG538"/>
    <mergeCell ref="D539:F539"/>
    <mergeCell ref="G539:I539"/>
    <mergeCell ref="J539:L539"/>
    <mergeCell ref="M539:O539"/>
    <mergeCell ref="P539:R539"/>
    <mergeCell ref="S539:U539"/>
    <mergeCell ref="D538:F538"/>
    <mergeCell ref="G538:I538"/>
    <mergeCell ref="J538:L538"/>
    <mergeCell ref="M538:O538"/>
    <mergeCell ref="P538:R538"/>
    <mergeCell ref="S538:U538"/>
    <mergeCell ref="P537:R537"/>
    <mergeCell ref="S537:U537"/>
    <mergeCell ref="V537:X537"/>
    <mergeCell ref="Y537:AA537"/>
    <mergeCell ref="AB537:AD537"/>
    <mergeCell ref="AE537:AG537"/>
    <mergeCell ref="S534:T534"/>
    <mergeCell ref="V534:W534"/>
    <mergeCell ref="Y534:Z534"/>
    <mergeCell ref="AB534:AC534"/>
    <mergeCell ref="AE534:AF534"/>
    <mergeCell ref="A537:B542"/>
    <mergeCell ref="D537:F537"/>
    <mergeCell ref="G537:I537"/>
    <mergeCell ref="J537:L537"/>
    <mergeCell ref="M537:O537"/>
    <mergeCell ref="S533:T533"/>
    <mergeCell ref="V533:W533"/>
    <mergeCell ref="Y533:Z533"/>
    <mergeCell ref="AB533:AC533"/>
    <mergeCell ref="AE533:AF533"/>
    <mergeCell ref="D534:E534"/>
    <mergeCell ref="G534:H534"/>
    <mergeCell ref="J534:K534"/>
    <mergeCell ref="M534:N534"/>
    <mergeCell ref="P534:Q534"/>
    <mergeCell ref="S532:T532"/>
    <mergeCell ref="V532:W532"/>
    <mergeCell ref="Y532:Z532"/>
    <mergeCell ref="AB532:AC532"/>
    <mergeCell ref="AE532:AF532"/>
    <mergeCell ref="D533:E533"/>
    <mergeCell ref="G533:H533"/>
    <mergeCell ref="J533:K533"/>
    <mergeCell ref="M533:N533"/>
    <mergeCell ref="P533:Q533"/>
    <mergeCell ref="S531:U531"/>
    <mergeCell ref="V531:X531"/>
    <mergeCell ref="Y531:AA531"/>
    <mergeCell ref="AB531:AD531"/>
    <mergeCell ref="AE531:AG531"/>
    <mergeCell ref="D532:E532"/>
    <mergeCell ref="G532:H532"/>
    <mergeCell ref="J532:K532"/>
    <mergeCell ref="M532:N532"/>
    <mergeCell ref="P532:Q532"/>
    <mergeCell ref="S530:U530"/>
    <mergeCell ref="V530:X530"/>
    <mergeCell ref="Y530:AA530"/>
    <mergeCell ref="AB530:AD530"/>
    <mergeCell ref="AE530:AG530"/>
    <mergeCell ref="D531:F531"/>
    <mergeCell ref="G531:I531"/>
    <mergeCell ref="J531:L531"/>
    <mergeCell ref="M531:O531"/>
    <mergeCell ref="P531:R531"/>
    <mergeCell ref="S529:U529"/>
    <mergeCell ref="V529:X529"/>
    <mergeCell ref="Y529:AA529"/>
    <mergeCell ref="AB529:AD529"/>
    <mergeCell ref="AE529:AG529"/>
    <mergeCell ref="D530:F530"/>
    <mergeCell ref="G530:I530"/>
    <mergeCell ref="J530:L530"/>
    <mergeCell ref="M530:O530"/>
    <mergeCell ref="P530:R530"/>
    <mergeCell ref="V526:W526"/>
    <mergeCell ref="Y526:Z526"/>
    <mergeCell ref="AB526:AC526"/>
    <mergeCell ref="AE526:AF526"/>
    <mergeCell ref="A529:B534"/>
    <mergeCell ref="D529:F529"/>
    <mergeCell ref="G529:I529"/>
    <mergeCell ref="J529:L529"/>
    <mergeCell ref="M529:O529"/>
    <mergeCell ref="P529:R529"/>
    <mergeCell ref="V525:W525"/>
    <mergeCell ref="Y525:Z525"/>
    <mergeCell ref="AB525:AC525"/>
    <mergeCell ref="AE525:AF525"/>
    <mergeCell ref="D526:E526"/>
    <mergeCell ref="G526:H526"/>
    <mergeCell ref="J526:K526"/>
    <mergeCell ref="M526:N526"/>
    <mergeCell ref="P526:Q526"/>
    <mergeCell ref="S526:T526"/>
    <mergeCell ref="V524:W524"/>
    <mergeCell ref="Y524:Z524"/>
    <mergeCell ref="AB524:AC524"/>
    <mergeCell ref="AE524:AF524"/>
    <mergeCell ref="D525:E525"/>
    <mergeCell ref="G525:H525"/>
    <mergeCell ref="J525:K525"/>
    <mergeCell ref="M525:N525"/>
    <mergeCell ref="P525:Q525"/>
    <mergeCell ref="S525:T525"/>
    <mergeCell ref="V523:X523"/>
    <mergeCell ref="Y523:AA523"/>
    <mergeCell ref="AB523:AD523"/>
    <mergeCell ref="AE523:AG523"/>
    <mergeCell ref="D524:E524"/>
    <mergeCell ref="G524:H524"/>
    <mergeCell ref="J524:K524"/>
    <mergeCell ref="M524:N524"/>
    <mergeCell ref="P524:Q524"/>
    <mergeCell ref="S524:T524"/>
    <mergeCell ref="V522:X522"/>
    <mergeCell ref="Y522:AA522"/>
    <mergeCell ref="AB522:AD522"/>
    <mergeCell ref="AE522:AG522"/>
    <mergeCell ref="D523:F523"/>
    <mergeCell ref="G523:I523"/>
    <mergeCell ref="J523:L523"/>
    <mergeCell ref="M523:O523"/>
    <mergeCell ref="P523:R523"/>
    <mergeCell ref="S523:U523"/>
    <mergeCell ref="D522:F522"/>
    <mergeCell ref="G522:I522"/>
    <mergeCell ref="J522:L522"/>
    <mergeCell ref="M522:O522"/>
    <mergeCell ref="P522:R522"/>
    <mergeCell ref="S522:U522"/>
    <mergeCell ref="P521:R521"/>
    <mergeCell ref="S521:U521"/>
    <mergeCell ref="V521:X521"/>
    <mergeCell ref="Y521:AA521"/>
    <mergeCell ref="AB521:AD521"/>
    <mergeCell ref="AE521:AG521"/>
    <mergeCell ref="S518:T518"/>
    <mergeCell ref="V518:W518"/>
    <mergeCell ref="Y518:Z518"/>
    <mergeCell ref="AB518:AC518"/>
    <mergeCell ref="AE518:AF518"/>
    <mergeCell ref="A521:B526"/>
    <mergeCell ref="D521:F521"/>
    <mergeCell ref="G521:I521"/>
    <mergeCell ref="J521:L521"/>
    <mergeCell ref="M521:O521"/>
    <mergeCell ref="S517:T517"/>
    <mergeCell ref="V517:W517"/>
    <mergeCell ref="Y517:Z517"/>
    <mergeCell ref="AB517:AC517"/>
    <mergeCell ref="AE517:AF517"/>
    <mergeCell ref="D518:E518"/>
    <mergeCell ref="G518:H518"/>
    <mergeCell ref="J518:K518"/>
    <mergeCell ref="M518:N518"/>
    <mergeCell ref="P518:Q518"/>
    <mergeCell ref="S516:T516"/>
    <mergeCell ref="V516:W516"/>
    <mergeCell ref="Y516:Z516"/>
    <mergeCell ref="AB516:AC516"/>
    <mergeCell ref="AE516:AF516"/>
    <mergeCell ref="D517:E517"/>
    <mergeCell ref="G517:H517"/>
    <mergeCell ref="J517:K517"/>
    <mergeCell ref="M517:N517"/>
    <mergeCell ref="P517:Q517"/>
    <mergeCell ref="S515:U515"/>
    <mergeCell ref="V515:X515"/>
    <mergeCell ref="Y515:AA515"/>
    <mergeCell ref="AB515:AD515"/>
    <mergeCell ref="AE515:AG515"/>
    <mergeCell ref="D516:E516"/>
    <mergeCell ref="G516:H516"/>
    <mergeCell ref="J516:K516"/>
    <mergeCell ref="M516:N516"/>
    <mergeCell ref="P516:Q516"/>
    <mergeCell ref="S514:U514"/>
    <mergeCell ref="V514:X514"/>
    <mergeCell ref="Y514:AA514"/>
    <mergeCell ref="AB514:AD514"/>
    <mergeCell ref="AE514:AG514"/>
    <mergeCell ref="D515:F515"/>
    <mergeCell ref="G515:I515"/>
    <mergeCell ref="J515:L515"/>
    <mergeCell ref="M515:O515"/>
    <mergeCell ref="P515:R515"/>
    <mergeCell ref="S513:U513"/>
    <mergeCell ref="V513:X513"/>
    <mergeCell ref="Y513:AA513"/>
    <mergeCell ref="AB513:AD513"/>
    <mergeCell ref="AE513:AG513"/>
    <mergeCell ref="D514:F514"/>
    <mergeCell ref="G514:I514"/>
    <mergeCell ref="J514:L514"/>
    <mergeCell ref="M514:O514"/>
    <mergeCell ref="P514:R514"/>
    <mergeCell ref="V510:W510"/>
    <mergeCell ref="Y510:Z510"/>
    <mergeCell ref="AB510:AC510"/>
    <mergeCell ref="AE510:AF510"/>
    <mergeCell ref="A513:B518"/>
    <mergeCell ref="D513:F513"/>
    <mergeCell ref="G513:I513"/>
    <mergeCell ref="J513:L513"/>
    <mergeCell ref="M513:O513"/>
    <mergeCell ref="P513:R513"/>
    <mergeCell ref="V509:W509"/>
    <mergeCell ref="Y509:Z509"/>
    <mergeCell ref="AB509:AC509"/>
    <mergeCell ref="AE509:AF509"/>
    <mergeCell ref="D510:E510"/>
    <mergeCell ref="G510:H510"/>
    <mergeCell ref="J510:K510"/>
    <mergeCell ref="M510:N510"/>
    <mergeCell ref="P510:Q510"/>
    <mergeCell ref="S510:T510"/>
    <mergeCell ref="V508:W508"/>
    <mergeCell ref="Y508:Z508"/>
    <mergeCell ref="AB508:AC508"/>
    <mergeCell ref="AE508:AF508"/>
    <mergeCell ref="D509:E509"/>
    <mergeCell ref="G509:H509"/>
    <mergeCell ref="J509:K509"/>
    <mergeCell ref="M509:N509"/>
    <mergeCell ref="P509:Q509"/>
    <mergeCell ref="S509:T509"/>
    <mergeCell ref="V507:X507"/>
    <mergeCell ref="Y507:AA507"/>
    <mergeCell ref="AB507:AD507"/>
    <mergeCell ref="AE507:AG507"/>
    <mergeCell ref="D508:E508"/>
    <mergeCell ref="G508:H508"/>
    <mergeCell ref="J508:K508"/>
    <mergeCell ref="M508:N508"/>
    <mergeCell ref="P508:Q508"/>
    <mergeCell ref="S508:T508"/>
    <mergeCell ref="V506:X506"/>
    <mergeCell ref="Y506:AA506"/>
    <mergeCell ref="AB506:AD506"/>
    <mergeCell ref="AE506:AG506"/>
    <mergeCell ref="D507:F507"/>
    <mergeCell ref="G507:I507"/>
    <mergeCell ref="J507:L507"/>
    <mergeCell ref="M507:O507"/>
    <mergeCell ref="P507:R507"/>
    <mergeCell ref="S507:U507"/>
    <mergeCell ref="D506:F506"/>
    <mergeCell ref="G506:I506"/>
    <mergeCell ref="J506:L506"/>
    <mergeCell ref="M506:O506"/>
    <mergeCell ref="P506:R506"/>
    <mergeCell ref="S506:U506"/>
    <mergeCell ref="P505:R505"/>
    <mergeCell ref="S505:U505"/>
    <mergeCell ref="V505:X505"/>
    <mergeCell ref="Y505:AA505"/>
    <mergeCell ref="AB505:AD505"/>
    <mergeCell ref="AE505:AG505"/>
    <mergeCell ref="S502:T502"/>
    <mergeCell ref="V502:W502"/>
    <mergeCell ref="Y502:Z502"/>
    <mergeCell ref="AB502:AC502"/>
    <mergeCell ref="AE502:AF502"/>
    <mergeCell ref="A505:B510"/>
    <mergeCell ref="D505:F505"/>
    <mergeCell ref="G505:I505"/>
    <mergeCell ref="J505:L505"/>
    <mergeCell ref="M505:O505"/>
    <mergeCell ref="S501:T501"/>
    <mergeCell ref="V501:W501"/>
    <mergeCell ref="Y501:Z501"/>
    <mergeCell ref="AB501:AC501"/>
    <mergeCell ref="AE501:AF501"/>
    <mergeCell ref="D502:E502"/>
    <mergeCell ref="G502:H502"/>
    <mergeCell ref="J502:K502"/>
    <mergeCell ref="M502:N502"/>
    <mergeCell ref="P502:Q502"/>
    <mergeCell ref="S500:T500"/>
    <mergeCell ref="V500:W500"/>
    <mergeCell ref="Y500:Z500"/>
    <mergeCell ref="AB500:AC500"/>
    <mergeCell ref="AE500:AF500"/>
    <mergeCell ref="D501:E501"/>
    <mergeCell ref="G501:H501"/>
    <mergeCell ref="J501:K501"/>
    <mergeCell ref="M501:N501"/>
    <mergeCell ref="P501:Q501"/>
    <mergeCell ref="S499:U499"/>
    <mergeCell ref="V499:X499"/>
    <mergeCell ref="Y499:AA499"/>
    <mergeCell ref="AB499:AD499"/>
    <mergeCell ref="AE499:AG499"/>
    <mergeCell ref="D500:E500"/>
    <mergeCell ref="G500:H500"/>
    <mergeCell ref="J500:K500"/>
    <mergeCell ref="M500:N500"/>
    <mergeCell ref="P500:Q500"/>
    <mergeCell ref="S498:U498"/>
    <mergeCell ref="V498:X498"/>
    <mergeCell ref="Y498:AA498"/>
    <mergeCell ref="AB498:AD498"/>
    <mergeCell ref="AE498:AG498"/>
    <mergeCell ref="D499:F499"/>
    <mergeCell ref="G499:I499"/>
    <mergeCell ref="J499:L499"/>
    <mergeCell ref="M499:O499"/>
    <mergeCell ref="P499:R499"/>
    <mergeCell ref="S497:U497"/>
    <mergeCell ref="V497:X497"/>
    <mergeCell ref="Y497:AA497"/>
    <mergeCell ref="AB497:AD497"/>
    <mergeCell ref="AE497:AG497"/>
    <mergeCell ref="D498:F498"/>
    <mergeCell ref="G498:I498"/>
    <mergeCell ref="J498:L498"/>
    <mergeCell ref="M498:O498"/>
    <mergeCell ref="P498:R498"/>
    <mergeCell ref="V494:W494"/>
    <mergeCell ref="Y494:Z494"/>
    <mergeCell ref="AB494:AC494"/>
    <mergeCell ref="AE494:AF494"/>
    <mergeCell ref="A497:B502"/>
    <mergeCell ref="D497:F497"/>
    <mergeCell ref="G497:I497"/>
    <mergeCell ref="J497:L497"/>
    <mergeCell ref="M497:O497"/>
    <mergeCell ref="P497:R497"/>
    <mergeCell ref="V493:W493"/>
    <mergeCell ref="Y493:Z493"/>
    <mergeCell ref="AB493:AC493"/>
    <mergeCell ref="AE493:AF493"/>
    <mergeCell ref="D494:E494"/>
    <mergeCell ref="G494:H494"/>
    <mergeCell ref="J494:K494"/>
    <mergeCell ref="M494:N494"/>
    <mergeCell ref="P494:Q494"/>
    <mergeCell ref="S494:T494"/>
    <mergeCell ref="V492:W492"/>
    <mergeCell ref="Y492:Z492"/>
    <mergeCell ref="AB492:AC492"/>
    <mergeCell ref="AE492:AF492"/>
    <mergeCell ref="D493:E493"/>
    <mergeCell ref="G493:H493"/>
    <mergeCell ref="J493:K493"/>
    <mergeCell ref="M493:N493"/>
    <mergeCell ref="P493:Q493"/>
    <mergeCell ref="S493:T493"/>
    <mergeCell ref="V491:X491"/>
    <mergeCell ref="Y491:AA491"/>
    <mergeCell ref="AB491:AD491"/>
    <mergeCell ref="AE491:AG491"/>
    <mergeCell ref="D492:E492"/>
    <mergeCell ref="G492:H492"/>
    <mergeCell ref="J492:K492"/>
    <mergeCell ref="M492:N492"/>
    <mergeCell ref="P492:Q492"/>
    <mergeCell ref="S492:T492"/>
    <mergeCell ref="V490:X490"/>
    <mergeCell ref="Y490:AA490"/>
    <mergeCell ref="AB490:AD490"/>
    <mergeCell ref="AE490:AG490"/>
    <mergeCell ref="D491:F491"/>
    <mergeCell ref="G491:I491"/>
    <mergeCell ref="J491:L491"/>
    <mergeCell ref="M491:O491"/>
    <mergeCell ref="P491:R491"/>
    <mergeCell ref="S491:U491"/>
    <mergeCell ref="D490:F490"/>
    <mergeCell ref="G490:I490"/>
    <mergeCell ref="J490:L490"/>
    <mergeCell ref="M490:O490"/>
    <mergeCell ref="P490:R490"/>
    <mergeCell ref="S490:U490"/>
    <mergeCell ref="P489:R489"/>
    <mergeCell ref="S489:U489"/>
    <mergeCell ref="V489:X489"/>
    <mergeCell ref="Y489:AA489"/>
    <mergeCell ref="AB489:AD489"/>
    <mergeCell ref="AE489:AG489"/>
    <mergeCell ref="S486:T486"/>
    <mergeCell ref="V486:W486"/>
    <mergeCell ref="Y486:Z486"/>
    <mergeCell ref="AB486:AC486"/>
    <mergeCell ref="AE486:AF486"/>
    <mergeCell ref="A489:B494"/>
    <mergeCell ref="D489:F489"/>
    <mergeCell ref="G489:I489"/>
    <mergeCell ref="J489:L489"/>
    <mergeCell ref="M489:O489"/>
    <mergeCell ref="S485:T485"/>
    <mergeCell ref="V485:W485"/>
    <mergeCell ref="Y485:Z485"/>
    <mergeCell ref="AB485:AC485"/>
    <mergeCell ref="AE485:AF485"/>
    <mergeCell ref="D486:E486"/>
    <mergeCell ref="G486:H486"/>
    <mergeCell ref="J486:K486"/>
    <mergeCell ref="M486:N486"/>
    <mergeCell ref="P486:Q486"/>
    <mergeCell ref="S484:T484"/>
    <mergeCell ref="V484:W484"/>
    <mergeCell ref="Y484:Z484"/>
    <mergeCell ref="AB484:AC484"/>
    <mergeCell ref="AE484:AF484"/>
    <mergeCell ref="D485:E485"/>
    <mergeCell ref="G485:H485"/>
    <mergeCell ref="J485:K485"/>
    <mergeCell ref="M485:N485"/>
    <mergeCell ref="P485:Q485"/>
    <mergeCell ref="S483:U483"/>
    <mergeCell ref="V483:X483"/>
    <mergeCell ref="Y483:AA483"/>
    <mergeCell ref="AB483:AD483"/>
    <mergeCell ref="AE483:AG483"/>
    <mergeCell ref="D484:E484"/>
    <mergeCell ref="G484:H484"/>
    <mergeCell ref="J484:K484"/>
    <mergeCell ref="M484:N484"/>
    <mergeCell ref="P484:Q484"/>
    <mergeCell ref="S482:U482"/>
    <mergeCell ref="V482:X482"/>
    <mergeCell ref="Y482:AA482"/>
    <mergeCell ref="AB482:AD482"/>
    <mergeCell ref="AE482:AG482"/>
    <mergeCell ref="D483:F483"/>
    <mergeCell ref="G483:I483"/>
    <mergeCell ref="J483:L483"/>
    <mergeCell ref="M483:O483"/>
    <mergeCell ref="P483:R483"/>
    <mergeCell ref="S481:U481"/>
    <mergeCell ref="V481:X481"/>
    <mergeCell ref="Y481:AA481"/>
    <mergeCell ref="AB481:AD481"/>
    <mergeCell ref="AE481:AG481"/>
    <mergeCell ref="D482:F482"/>
    <mergeCell ref="G482:I482"/>
    <mergeCell ref="J482:L482"/>
    <mergeCell ref="M482:O482"/>
    <mergeCell ref="P482:R482"/>
    <mergeCell ref="V478:W478"/>
    <mergeCell ref="Y478:Z478"/>
    <mergeCell ref="AB478:AC478"/>
    <mergeCell ref="AE478:AF478"/>
    <mergeCell ref="A481:B486"/>
    <mergeCell ref="D481:F481"/>
    <mergeCell ref="G481:I481"/>
    <mergeCell ref="J481:L481"/>
    <mergeCell ref="M481:O481"/>
    <mergeCell ref="P481:R481"/>
    <mergeCell ref="V477:W477"/>
    <mergeCell ref="Y477:Z477"/>
    <mergeCell ref="AB477:AC477"/>
    <mergeCell ref="AE477:AF477"/>
    <mergeCell ref="D478:E478"/>
    <mergeCell ref="G478:H478"/>
    <mergeCell ref="J478:K478"/>
    <mergeCell ref="M478:N478"/>
    <mergeCell ref="P478:Q478"/>
    <mergeCell ref="S478:T478"/>
    <mergeCell ref="V476:W476"/>
    <mergeCell ref="Y476:Z476"/>
    <mergeCell ref="AB476:AC476"/>
    <mergeCell ref="AE476:AF476"/>
    <mergeCell ref="D477:E477"/>
    <mergeCell ref="G477:H477"/>
    <mergeCell ref="J477:K477"/>
    <mergeCell ref="M477:N477"/>
    <mergeCell ref="P477:Q477"/>
    <mergeCell ref="S477:T477"/>
    <mergeCell ref="V475:X475"/>
    <mergeCell ref="Y475:AA475"/>
    <mergeCell ref="AB475:AD475"/>
    <mergeCell ref="AE475:AG475"/>
    <mergeCell ref="D476:E476"/>
    <mergeCell ref="G476:H476"/>
    <mergeCell ref="J476:K476"/>
    <mergeCell ref="M476:N476"/>
    <mergeCell ref="P476:Q476"/>
    <mergeCell ref="S476:T476"/>
    <mergeCell ref="V474:X474"/>
    <mergeCell ref="Y474:AA474"/>
    <mergeCell ref="AB474:AD474"/>
    <mergeCell ref="AE474:AG474"/>
    <mergeCell ref="D475:F475"/>
    <mergeCell ref="G475:I475"/>
    <mergeCell ref="J475:L475"/>
    <mergeCell ref="M475:O475"/>
    <mergeCell ref="P475:R475"/>
    <mergeCell ref="S475:U475"/>
    <mergeCell ref="D474:F474"/>
    <mergeCell ref="G474:I474"/>
    <mergeCell ref="J474:L474"/>
    <mergeCell ref="M474:O474"/>
    <mergeCell ref="P474:R474"/>
    <mergeCell ref="S474:U474"/>
    <mergeCell ref="P473:R473"/>
    <mergeCell ref="S473:U473"/>
    <mergeCell ref="V473:X473"/>
    <mergeCell ref="Y473:AA473"/>
    <mergeCell ref="AB473:AD473"/>
    <mergeCell ref="AE473:AG473"/>
    <mergeCell ref="S470:T470"/>
    <mergeCell ref="V470:W470"/>
    <mergeCell ref="Y470:Z470"/>
    <mergeCell ref="AB470:AC470"/>
    <mergeCell ref="AE470:AF470"/>
    <mergeCell ref="A473:B478"/>
    <mergeCell ref="D473:F473"/>
    <mergeCell ref="G473:I473"/>
    <mergeCell ref="J473:L473"/>
    <mergeCell ref="M473:O473"/>
    <mergeCell ref="S469:T469"/>
    <mergeCell ref="V469:W469"/>
    <mergeCell ref="Y469:Z469"/>
    <mergeCell ref="AB469:AC469"/>
    <mergeCell ref="AE469:AF469"/>
    <mergeCell ref="D470:E470"/>
    <mergeCell ref="G470:H470"/>
    <mergeCell ref="J470:K470"/>
    <mergeCell ref="M470:N470"/>
    <mergeCell ref="P470:Q470"/>
    <mergeCell ref="S468:T468"/>
    <mergeCell ref="V468:W468"/>
    <mergeCell ref="Y468:Z468"/>
    <mergeCell ref="AB468:AC468"/>
    <mergeCell ref="AE468:AF468"/>
    <mergeCell ref="D469:E469"/>
    <mergeCell ref="G469:H469"/>
    <mergeCell ref="J469:K469"/>
    <mergeCell ref="M469:N469"/>
    <mergeCell ref="P469:Q469"/>
    <mergeCell ref="S467:U467"/>
    <mergeCell ref="V467:X467"/>
    <mergeCell ref="Y467:AA467"/>
    <mergeCell ref="AB467:AD467"/>
    <mergeCell ref="AE467:AG467"/>
    <mergeCell ref="D468:E468"/>
    <mergeCell ref="G468:H468"/>
    <mergeCell ref="J468:K468"/>
    <mergeCell ref="M468:N468"/>
    <mergeCell ref="P468:Q468"/>
    <mergeCell ref="S466:U466"/>
    <mergeCell ref="V466:X466"/>
    <mergeCell ref="Y466:AA466"/>
    <mergeCell ref="AB466:AD466"/>
    <mergeCell ref="AE466:AG466"/>
    <mergeCell ref="D467:F467"/>
    <mergeCell ref="G467:I467"/>
    <mergeCell ref="J467:L467"/>
    <mergeCell ref="M467:O467"/>
    <mergeCell ref="P467:R467"/>
    <mergeCell ref="S465:U465"/>
    <mergeCell ref="V465:X465"/>
    <mergeCell ref="Y465:AA465"/>
    <mergeCell ref="AB465:AD465"/>
    <mergeCell ref="AE465:AG465"/>
    <mergeCell ref="D466:F466"/>
    <mergeCell ref="G466:I466"/>
    <mergeCell ref="J466:L466"/>
    <mergeCell ref="M466:O466"/>
    <mergeCell ref="P466:R466"/>
    <mergeCell ref="V462:W462"/>
    <mergeCell ref="Y462:Z462"/>
    <mergeCell ref="AB462:AC462"/>
    <mergeCell ref="AE462:AF462"/>
    <mergeCell ref="A465:B470"/>
    <mergeCell ref="D465:F465"/>
    <mergeCell ref="G465:I465"/>
    <mergeCell ref="J465:L465"/>
    <mergeCell ref="M465:O465"/>
    <mergeCell ref="P465:R465"/>
    <mergeCell ref="V461:W461"/>
    <mergeCell ref="Y461:Z461"/>
    <mergeCell ref="AB461:AC461"/>
    <mergeCell ref="AE461:AF461"/>
    <mergeCell ref="D462:E462"/>
    <mergeCell ref="G462:H462"/>
    <mergeCell ref="J462:K462"/>
    <mergeCell ref="M462:N462"/>
    <mergeCell ref="P462:Q462"/>
    <mergeCell ref="S462:T462"/>
    <mergeCell ref="V460:W460"/>
    <mergeCell ref="Y460:Z460"/>
    <mergeCell ref="AB460:AC460"/>
    <mergeCell ref="AE460:AF460"/>
    <mergeCell ref="D461:E461"/>
    <mergeCell ref="G461:H461"/>
    <mergeCell ref="J461:K461"/>
    <mergeCell ref="M461:N461"/>
    <mergeCell ref="P461:Q461"/>
    <mergeCell ref="S461:T461"/>
    <mergeCell ref="V459:X459"/>
    <mergeCell ref="Y459:AA459"/>
    <mergeCell ref="AB459:AD459"/>
    <mergeCell ref="AE459:AG459"/>
    <mergeCell ref="D460:E460"/>
    <mergeCell ref="G460:H460"/>
    <mergeCell ref="J460:K460"/>
    <mergeCell ref="M460:N460"/>
    <mergeCell ref="P460:Q460"/>
    <mergeCell ref="S460:T460"/>
    <mergeCell ref="V458:X458"/>
    <mergeCell ref="Y458:AA458"/>
    <mergeCell ref="AB458:AD458"/>
    <mergeCell ref="AE458:AG458"/>
    <mergeCell ref="D459:F459"/>
    <mergeCell ref="G459:I459"/>
    <mergeCell ref="J459:L459"/>
    <mergeCell ref="M459:O459"/>
    <mergeCell ref="P459:R459"/>
    <mergeCell ref="S459:U459"/>
    <mergeCell ref="D458:F458"/>
    <mergeCell ref="G458:I458"/>
    <mergeCell ref="J458:L458"/>
    <mergeCell ref="M458:O458"/>
    <mergeCell ref="P458:R458"/>
    <mergeCell ref="S458:U458"/>
    <mergeCell ref="P457:R457"/>
    <mergeCell ref="S457:U457"/>
    <mergeCell ref="V457:X457"/>
    <mergeCell ref="Y457:AA457"/>
    <mergeCell ref="AB457:AD457"/>
    <mergeCell ref="AE457:AG457"/>
    <mergeCell ref="S454:T454"/>
    <mergeCell ref="V454:W454"/>
    <mergeCell ref="Y454:Z454"/>
    <mergeCell ref="AB454:AC454"/>
    <mergeCell ref="AE454:AF454"/>
    <mergeCell ref="A457:B462"/>
    <mergeCell ref="D457:F457"/>
    <mergeCell ref="G457:I457"/>
    <mergeCell ref="J457:L457"/>
    <mergeCell ref="M457:O457"/>
    <mergeCell ref="S453:T453"/>
    <mergeCell ref="V453:W453"/>
    <mergeCell ref="Y453:Z453"/>
    <mergeCell ref="AB453:AC453"/>
    <mergeCell ref="AE453:AF453"/>
    <mergeCell ref="D454:E454"/>
    <mergeCell ref="G454:H454"/>
    <mergeCell ref="J454:K454"/>
    <mergeCell ref="M454:N454"/>
    <mergeCell ref="P454:Q454"/>
    <mergeCell ref="S452:T452"/>
    <mergeCell ref="V452:W452"/>
    <mergeCell ref="Y452:Z452"/>
    <mergeCell ref="AB452:AC452"/>
    <mergeCell ref="AE452:AF452"/>
    <mergeCell ref="D453:E453"/>
    <mergeCell ref="G453:H453"/>
    <mergeCell ref="J453:K453"/>
    <mergeCell ref="M453:N453"/>
    <mergeCell ref="P453:Q453"/>
    <mergeCell ref="S451:U451"/>
    <mergeCell ref="V451:X451"/>
    <mergeCell ref="Y451:AA451"/>
    <mergeCell ref="AB451:AD451"/>
    <mergeCell ref="AE451:AG451"/>
    <mergeCell ref="D452:E452"/>
    <mergeCell ref="G452:H452"/>
    <mergeCell ref="J452:K452"/>
    <mergeCell ref="M452:N452"/>
    <mergeCell ref="P452:Q452"/>
    <mergeCell ref="S450:U450"/>
    <mergeCell ref="V450:X450"/>
    <mergeCell ref="Y450:AA450"/>
    <mergeCell ref="AB450:AD450"/>
    <mergeCell ref="AE450:AG450"/>
    <mergeCell ref="D451:F451"/>
    <mergeCell ref="G451:I451"/>
    <mergeCell ref="J451:L451"/>
    <mergeCell ref="M451:O451"/>
    <mergeCell ref="P451:R451"/>
    <mergeCell ref="S449:U449"/>
    <mergeCell ref="V449:X449"/>
    <mergeCell ref="Y449:AA449"/>
    <mergeCell ref="AB449:AD449"/>
    <mergeCell ref="AE449:AG449"/>
    <mergeCell ref="D450:F450"/>
    <mergeCell ref="G450:I450"/>
    <mergeCell ref="J450:L450"/>
    <mergeCell ref="M450:O450"/>
    <mergeCell ref="P450:R450"/>
    <mergeCell ref="V446:W446"/>
    <mergeCell ref="Y446:Z446"/>
    <mergeCell ref="AB446:AC446"/>
    <mergeCell ref="AE446:AF446"/>
    <mergeCell ref="A449:B454"/>
    <mergeCell ref="D449:F449"/>
    <mergeCell ref="G449:I449"/>
    <mergeCell ref="J449:L449"/>
    <mergeCell ref="M449:O449"/>
    <mergeCell ref="P449:R449"/>
    <mergeCell ref="V445:W445"/>
    <mergeCell ref="Y445:Z445"/>
    <mergeCell ref="AB445:AC445"/>
    <mergeCell ref="AE445:AF445"/>
    <mergeCell ref="D446:E446"/>
    <mergeCell ref="G446:H446"/>
    <mergeCell ref="J446:K446"/>
    <mergeCell ref="M446:N446"/>
    <mergeCell ref="P446:Q446"/>
    <mergeCell ref="S446:T446"/>
    <mergeCell ref="V444:W444"/>
    <mergeCell ref="Y444:Z444"/>
    <mergeCell ref="AB444:AC444"/>
    <mergeCell ref="AE444:AF444"/>
    <mergeCell ref="D445:E445"/>
    <mergeCell ref="G445:H445"/>
    <mergeCell ref="J445:K445"/>
    <mergeCell ref="M445:N445"/>
    <mergeCell ref="P445:Q445"/>
    <mergeCell ref="S445:T445"/>
    <mergeCell ref="V443:X443"/>
    <mergeCell ref="Y443:AA443"/>
    <mergeCell ref="AB443:AD443"/>
    <mergeCell ref="AE443:AG443"/>
    <mergeCell ref="D444:E444"/>
    <mergeCell ref="G444:H444"/>
    <mergeCell ref="J444:K444"/>
    <mergeCell ref="M444:N444"/>
    <mergeCell ref="P444:Q444"/>
    <mergeCell ref="S444:T444"/>
    <mergeCell ref="V442:X442"/>
    <mergeCell ref="Y442:AA442"/>
    <mergeCell ref="AB442:AD442"/>
    <mergeCell ref="AE442:AG442"/>
    <mergeCell ref="D443:F443"/>
    <mergeCell ref="G443:I443"/>
    <mergeCell ref="J443:L443"/>
    <mergeCell ref="M443:O443"/>
    <mergeCell ref="P443:R443"/>
    <mergeCell ref="S443:U443"/>
    <mergeCell ref="D442:F442"/>
    <mergeCell ref="G442:I442"/>
    <mergeCell ref="J442:L442"/>
    <mergeCell ref="M442:O442"/>
    <mergeCell ref="P442:R442"/>
    <mergeCell ref="S442:U442"/>
    <mergeCell ref="P441:R441"/>
    <mergeCell ref="S441:U441"/>
    <mergeCell ref="V441:X441"/>
    <mergeCell ref="Y441:AA441"/>
    <mergeCell ref="AB441:AD441"/>
    <mergeCell ref="AE441:AG441"/>
    <mergeCell ref="S438:T438"/>
    <mergeCell ref="V438:W438"/>
    <mergeCell ref="Y438:Z438"/>
    <mergeCell ref="AB438:AC438"/>
    <mergeCell ref="AE438:AF438"/>
    <mergeCell ref="A441:B446"/>
    <mergeCell ref="D441:F441"/>
    <mergeCell ref="G441:I441"/>
    <mergeCell ref="J441:L441"/>
    <mergeCell ref="M441:O441"/>
    <mergeCell ref="S437:T437"/>
    <mergeCell ref="V437:W437"/>
    <mergeCell ref="Y437:Z437"/>
    <mergeCell ref="AB437:AC437"/>
    <mergeCell ref="AE437:AF437"/>
    <mergeCell ref="D438:E438"/>
    <mergeCell ref="G438:H438"/>
    <mergeCell ref="J438:K438"/>
    <mergeCell ref="M438:N438"/>
    <mergeCell ref="P438:Q438"/>
    <mergeCell ref="S436:T436"/>
    <mergeCell ref="V436:W436"/>
    <mergeCell ref="Y436:Z436"/>
    <mergeCell ref="AB436:AC436"/>
    <mergeCell ref="AE436:AF436"/>
    <mergeCell ref="D437:E437"/>
    <mergeCell ref="G437:H437"/>
    <mergeCell ref="J437:K437"/>
    <mergeCell ref="M437:N437"/>
    <mergeCell ref="P437:Q437"/>
    <mergeCell ref="S435:U435"/>
    <mergeCell ref="V435:X435"/>
    <mergeCell ref="Y435:AA435"/>
    <mergeCell ref="AB435:AD435"/>
    <mergeCell ref="AE435:AG435"/>
    <mergeCell ref="D436:E436"/>
    <mergeCell ref="G436:H436"/>
    <mergeCell ref="J436:K436"/>
    <mergeCell ref="M436:N436"/>
    <mergeCell ref="P436:Q436"/>
    <mergeCell ref="S434:U434"/>
    <mergeCell ref="V434:X434"/>
    <mergeCell ref="Y434:AA434"/>
    <mergeCell ref="AB434:AD434"/>
    <mergeCell ref="AE434:AG434"/>
    <mergeCell ref="D435:F435"/>
    <mergeCell ref="G435:I435"/>
    <mergeCell ref="J435:L435"/>
    <mergeCell ref="M435:O435"/>
    <mergeCell ref="P435:R435"/>
    <mergeCell ref="S433:U433"/>
    <mergeCell ref="V433:X433"/>
    <mergeCell ref="Y433:AA433"/>
    <mergeCell ref="AB433:AD433"/>
    <mergeCell ref="AE433:AG433"/>
    <mergeCell ref="D434:F434"/>
    <mergeCell ref="G434:I434"/>
    <mergeCell ref="J434:L434"/>
    <mergeCell ref="M434:O434"/>
    <mergeCell ref="P434:R434"/>
    <mergeCell ref="V430:W430"/>
    <mergeCell ref="Y430:Z430"/>
    <mergeCell ref="AB430:AC430"/>
    <mergeCell ref="AE430:AF430"/>
    <mergeCell ref="A433:B438"/>
    <mergeCell ref="D433:F433"/>
    <mergeCell ref="G433:I433"/>
    <mergeCell ref="J433:L433"/>
    <mergeCell ref="M433:O433"/>
    <mergeCell ref="P433:R433"/>
    <mergeCell ref="V429:W429"/>
    <mergeCell ref="Y429:Z429"/>
    <mergeCell ref="AB429:AC429"/>
    <mergeCell ref="AE429:AF429"/>
    <mergeCell ref="D430:E430"/>
    <mergeCell ref="G430:H430"/>
    <mergeCell ref="J430:K430"/>
    <mergeCell ref="M430:N430"/>
    <mergeCell ref="P430:Q430"/>
    <mergeCell ref="S430:T430"/>
    <mergeCell ref="V428:W428"/>
    <mergeCell ref="Y428:Z428"/>
    <mergeCell ref="AB428:AC428"/>
    <mergeCell ref="AE428:AF428"/>
    <mergeCell ref="D429:E429"/>
    <mergeCell ref="G429:H429"/>
    <mergeCell ref="J429:K429"/>
    <mergeCell ref="M429:N429"/>
    <mergeCell ref="P429:Q429"/>
    <mergeCell ref="S429:T429"/>
    <mergeCell ref="V427:X427"/>
    <mergeCell ref="Y427:AA427"/>
    <mergeCell ref="AB427:AD427"/>
    <mergeCell ref="AE427:AG427"/>
    <mergeCell ref="D428:E428"/>
    <mergeCell ref="G428:H428"/>
    <mergeCell ref="J428:K428"/>
    <mergeCell ref="M428:N428"/>
    <mergeCell ref="P428:Q428"/>
    <mergeCell ref="S428:T428"/>
    <mergeCell ref="V426:X426"/>
    <mergeCell ref="Y426:AA426"/>
    <mergeCell ref="AB426:AD426"/>
    <mergeCell ref="AE426:AG426"/>
    <mergeCell ref="D427:F427"/>
    <mergeCell ref="G427:I427"/>
    <mergeCell ref="J427:L427"/>
    <mergeCell ref="M427:O427"/>
    <mergeCell ref="P427:R427"/>
    <mergeCell ref="S427:U427"/>
    <mergeCell ref="D426:F426"/>
    <mergeCell ref="G426:I426"/>
    <mergeCell ref="J426:L426"/>
    <mergeCell ref="M426:O426"/>
    <mergeCell ref="P426:R426"/>
    <mergeCell ref="S426:U426"/>
    <mergeCell ref="P425:R425"/>
    <mergeCell ref="S425:U425"/>
    <mergeCell ref="V425:X425"/>
    <mergeCell ref="Y425:AA425"/>
    <mergeCell ref="AB425:AD425"/>
    <mergeCell ref="AE425:AG425"/>
    <mergeCell ref="S422:T422"/>
    <mergeCell ref="V422:W422"/>
    <mergeCell ref="Y422:Z422"/>
    <mergeCell ref="AB422:AC422"/>
    <mergeCell ref="AE422:AF422"/>
    <mergeCell ref="A425:B430"/>
    <mergeCell ref="D425:F425"/>
    <mergeCell ref="G425:I425"/>
    <mergeCell ref="J425:L425"/>
    <mergeCell ref="M425:O425"/>
    <mergeCell ref="S421:T421"/>
    <mergeCell ref="V421:W421"/>
    <mergeCell ref="Y421:Z421"/>
    <mergeCell ref="AB421:AC421"/>
    <mergeCell ref="AE421:AF421"/>
    <mergeCell ref="D422:E422"/>
    <mergeCell ref="G422:H422"/>
    <mergeCell ref="J422:K422"/>
    <mergeCell ref="M422:N422"/>
    <mergeCell ref="P422:Q422"/>
    <mergeCell ref="S420:T420"/>
    <mergeCell ref="V420:W420"/>
    <mergeCell ref="Y420:Z420"/>
    <mergeCell ref="AB420:AC420"/>
    <mergeCell ref="AE420:AF420"/>
    <mergeCell ref="D421:E421"/>
    <mergeCell ref="G421:H421"/>
    <mergeCell ref="J421:K421"/>
    <mergeCell ref="M421:N421"/>
    <mergeCell ref="P421:Q421"/>
    <mergeCell ref="S419:U419"/>
    <mergeCell ref="V419:X419"/>
    <mergeCell ref="Y419:AA419"/>
    <mergeCell ref="AB419:AD419"/>
    <mergeCell ref="AE419:AG419"/>
    <mergeCell ref="D420:E420"/>
    <mergeCell ref="G420:H420"/>
    <mergeCell ref="J420:K420"/>
    <mergeCell ref="M420:N420"/>
    <mergeCell ref="P420:Q420"/>
    <mergeCell ref="S418:U418"/>
    <mergeCell ref="V418:X418"/>
    <mergeCell ref="Y418:AA418"/>
    <mergeCell ref="AB418:AD418"/>
    <mergeCell ref="AE418:AG418"/>
    <mergeCell ref="D419:F419"/>
    <mergeCell ref="G419:I419"/>
    <mergeCell ref="J419:L419"/>
    <mergeCell ref="M419:O419"/>
    <mergeCell ref="P419:R419"/>
    <mergeCell ref="S417:U417"/>
    <mergeCell ref="V417:X417"/>
    <mergeCell ref="Y417:AA417"/>
    <mergeCell ref="AB417:AD417"/>
    <mergeCell ref="AE417:AG417"/>
    <mergeCell ref="D418:F418"/>
    <mergeCell ref="G418:I418"/>
    <mergeCell ref="J418:L418"/>
    <mergeCell ref="M418:O418"/>
    <mergeCell ref="P418:R418"/>
    <mergeCell ref="V414:W414"/>
    <mergeCell ref="Y414:Z414"/>
    <mergeCell ref="AB414:AC414"/>
    <mergeCell ref="AE414:AF414"/>
    <mergeCell ref="A417:B422"/>
    <mergeCell ref="D417:F417"/>
    <mergeCell ref="G417:I417"/>
    <mergeCell ref="J417:L417"/>
    <mergeCell ref="M417:O417"/>
    <mergeCell ref="P417:R417"/>
    <mergeCell ref="V413:W413"/>
    <mergeCell ref="Y413:Z413"/>
    <mergeCell ref="AB413:AC413"/>
    <mergeCell ref="AE413:AF413"/>
    <mergeCell ref="D414:E414"/>
    <mergeCell ref="G414:H414"/>
    <mergeCell ref="J414:K414"/>
    <mergeCell ref="M414:N414"/>
    <mergeCell ref="P414:Q414"/>
    <mergeCell ref="S414:T414"/>
    <mergeCell ref="V412:W412"/>
    <mergeCell ref="Y412:Z412"/>
    <mergeCell ref="AB412:AC412"/>
    <mergeCell ref="AE412:AF412"/>
    <mergeCell ref="D413:E413"/>
    <mergeCell ref="G413:H413"/>
    <mergeCell ref="J413:K413"/>
    <mergeCell ref="M413:N413"/>
    <mergeCell ref="P413:Q413"/>
    <mergeCell ref="S413:T413"/>
    <mergeCell ref="V411:X411"/>
    <mergeCell ref="Y411:AA411"/>
    <mergeCell ref="AB411:AD411"/>
    <mergeCell ref="AE411:AG411"/>
    <mergeCell ref="D412:E412"/>
    <mergeCell ref="G412:H412"/>
    <mergeCell ref="J412:K412"/>
    <mergeCell ref="M412:N412"/>
    <mergeCell ref="P412:Q412"/>
    <mergeCell ref="S412:T412"/>
    <mergeCell ref="V410:X410"/>
    <mergeCell ref="Y410:AA410"/>
    <mergeCell ref="AB410:AD410"/>
    <mergeCell ref="AE410:AG410"/>
    <mergeCell ref="D411:F411"/>
    <mergeCell ref="G411:I411"/>
    <mergeCell ref="J411:L411"/>
    <mergeCell ref="M411:O411"/>
    <mergeCell ref="P411:R411"/>
    <mergeCell ref="S411:U411"/>
    <mergeCell ref="D410:F410"/>
    <mergeCell ref="G410:I410"/>
    <mergeCell ref="J410:L410"/>
    <mergeCell ref="M410:O410"/>
    <mergeCell ref="P410:R410"/>
    <mergeCell ref="S410:U410"/>
    <mergeCell ref="P409:R409"/>
    <mergeCell ref="S409:U409"/>
    <mergeCell ref="V409:X409"/>
    <mergeCell ref="Y409:AA409"/>
    <mergeCell ref="AB409:AD409"/>
    <mergeCell ref="AE409:AG409"/>
    <mergeCell ref="S406:T406"/>
    <mergeCell ref="V406:W406"/>
    <mergeCell ref="Y406:Z406"/>
    <mergeCell ref="AB406:AC406"/>
    <mergeCell ref="AE406:AF406"/>
    <mergeCell ref="A409:B414"/>
    <mergeCell ref="D409:F409"/>
    <mergeCell ref="G409:I409"/>
    <mergeCell ref="J409:L409"/>
    <mergeCell ref="M409:O409"/>
    <mergeCell ref="S405:T405"/>
    <mergeCell ref="V405:W405"/>
    <mergeCell ref="Y405:Z405"/>
    <mergeCell ref="AB405:AC405"/>
    <mergeCell ref="AE405:AF405"/>
    <mergeCell ref="D406:E406"/>
    <mergeCell ref="G406:H406"/>
    <mergeCell ref="J406:K406"/>
    <mergeCell ref="M406:N406"/>
    <mergeCell ref="P406:Q406"/>
    <mergeCell ref="S404:T404"/>
    <mergeCell ref="V404:W404"/>
    <mergeCell ref="Y404:Z404"/>
    <mergeCell ref="AB404:AC404"/>
    <mergeCell ref="AE404:AF404"/>
    <mergeCell ref="D405:E405"/>
    <mergeCell ref="G405:H405"/>
    <mergeCell ref="J405:K405"/>
    <mergeCell ref="M405:N405"/>
    <mergeCell ref="P405:Q405"/>
    <mergeCell ref="S403:U403"/>
    <mergeCell ref="V403:X403"/>
    <mergeCell ref="Y403:AA403"/>
    <mergeCell ref="AB403:AD403"/>
    <mergeCell ref="AE403:AG403"/>
    <mergeCell ref="D404:E404"/>
    <mergeCell ref="G404:H404"/>
    <mergeCell ref="J404:K404"/>
    <mergeCell ref="M404:N404"/>
    <mergeCell ref="P404:Q404"/>
    <mergeCell ref="S402:U402"/>
    <mergeCell ref="V402:X402"/>
    <mergeCell ref="Y402:AA402"/>
    <mergeCell ref="AB402:AD402"/>
    <mergeCell ref="AE402:AG402"/>
    <mergeCell ref="D403:F403"/>
    <mergeCell ref="G403:I403"/>
    <mergeCell ref="J403:L403"/>
    <mergeCell ref="M403:O403"/>
    <mergeCell ref="P403:R403"/>
    <mergeCell ref="S401:U401"/>
    <mergeCell ref="V401:X401"/>
    <mergeCell ref="Y401:AA401"/>
    <mergeCell ref="AB401:AD401"/>
    <mergeCell ref="AE401:AG401"/>
    <mergeCell ref="D402:F402"/>
    <mergeCell ref="G402:I402"/>
    <mergeCell ref="J402:L402"/>
    <mergeCell ref="M402:O402"/>
    <mergeCell ref="P402:R402"/>
    <mergeCell ref="V398:W398"/>
    <mergeCell ref="Y398:Z398"/>
    <mergeCell ref="AB398:AC398"/>
    <mergeCell ref="AE398:AF398"/>
    <mergeCell ref="A401:B406"/>
    <mergeCell ref="D401:F401"/>
    <mergeCell ref="G401:I401"/>
    <mergeCell ref="J401:L401"/>
    <mergeCell ref="M401:O401"/>
    <mergeCell ref="P401:R401"/>
    <mergeCell ref="V397:W397"/>
    <mergeCell ref="Y397:Z397"/>
    <mergeCell ref="AB397:AC397"/>
    <mergeCell ref="AE397:AF397"/>
    <mergeCell ref="D398:E398"/>
    <mergeCell ref="G398:H398"/>
    <mergeCell ref="J398:K398"/>
    <mergeCell ref="M398:N398"/>
    <mergeCell ref="P398:Q398"/>
    <mergeCell ref="S398:T398"/>
    <mergeCell ref="V396:W396"/>
    <mergeCell ref="Y396:Z396"/>
    <mergeCell ref="AB396:AC396"/>
    <mergeCell ref="AE396:AF396"/>
    <mergeCell ref="D397:E397"/>
    <mergeCell ref="G397:H397"/>
    <mergeCell ref="J397:K397"/>
    <mergeCell ref="M397:N397"/>
    <mergeCell ref="P397:Q397"/>
    <mergeCell ref="S397:T397"/>
    <mergeCell ref="V395:X395"/>
    <mergeCell ref="Y395:AA395"/>
    <mergeCell ref="AB395:AD395"/>
    <mergeCell ref="AE395:AG395"/>
    <mergeCell ref="D396:E396"/>
    <mergeCell ref="G396:H396"/>
    <mergeCell ref="J396:K396"/>
    <mergeCell ref="M396:N396"/>
    <mergeCell ref="P396:Q396"/>
    <mergeCell ref="S396:T396"/>
    <mergeCell ref="V394:X394"/>
    <mergeCell ref="Y394:AA394"/>
    <mergeCell ref="AB394:AD394"/>
    <mergeCell ref="AE394:AG394"/>
    <mergeCell ref="D395:F395"/>
    <mergeCell ref="G395:I395"/>
    <mergeCell ref="J395:L395"/>
    <mergeCell ref="M395:O395"/>
    <mergeCell ref="P395:R395"/>
    <mergeCell ref="S395:U395"/>
    <mergeCell ref="D394:F394"/>
    <mergeCell ref="G394:I394"/>
    <mergeCell ref="J394:L394"/>
    <mergeCell ref="M394:O394"/>
    <mergeCell ref="P394:R394"/>
    <mergeCell ref="S394:U394"/>
    <mergeCell ref="P393:R393"/>
    <mergeCell ref="S393:U393"/>
    <mergeCell ref="V393:X393"/>
    <mergeCell ref="Y393:AA393"/>
    <mergeCell ref="AB393:AD393"/>
    <mergeCell ref="AE393:AG393"/>
    <mergeCell ref="S390:T390"/>
    <mergeCell ref="V390:W390"/>
    <mergeCell ref="Y390:Z390"/>
    <mergeCell ref="AB390:AC390"/>
    <mergeCell ref="AE390:AF390"/>
    <mergeCell ref="A393:B398"/>
    <mergeCell ref="D393:F393"/>
    <mergeCell ref="G393:I393"/>
    <mergeCell ref="J393:L393"/>
    <mergeCell ref="M393:O393"/>
    <mergeCell ref="S389:T389"/>
    <mergeCell ref="V389:W389"/>
    <mergeCell ref="Y389:Z389"/>
    <mergeCell ref="AB389:AC389"/>
    <mergeCell ref="AE389:AF389"/>
    <mergeCell ref="D390:E390"/>
    <mergeCell ref="G390:H390"/>
    <mergeCell ref="J390:K390"/>
    <mergeCell ref="M390:N390"/>
    <mergeCell ref="P390:Q390"/>
    <mergeCell ref="S388:T388"/>
    <mergeCell ref="V388:W388"/>
    <mergeCell ref="Y388:Z388"/>
    <mergeCell ref="AB388:AC388"/>
    <mergeCell ref="AE388:AF388"/>
    <mergeCell ref="D389:E389"/>
    <mergeCell ref="G389:H389"/>
    <mergeCell ref="J389:K389"/>
    <mergeCell ref="M389:N389"/>
    <mergeCell ref="P389:Q389"/>
    <mergeCell ref="S387:U387"/>
    <mergeCell ref="V387:X387"/>
    <mergeCell ref="Y387:AA387"/>
    <mergeCell ref="AB387:AD387"/>
    <mergeCell ref="AE387:AG387"/>
    <mergeCell ref="D388:E388"/>
    <mergeCell ref="G388:H388"/>
    <mergeCell ref="J388:K388"/>
    <mergeCell ref="M388:N388"/>
    <mergeCell ref="P388:Q388"/>
    <mergeCell ref="S386:U386"/>
    <mergeCell ref="V386:X386"/>
    <mergeCell ref="Y386:AA386"/>
    <mergeCell ref="AB386:AD386"/>
    <mergeCell ref="AE386:AG386"/>
    <mergeCell ref="D387:F387"/>
    <mergeCell ref="G387:I387"/>
    <mergeCell ref="J387:L387"/>
    <mergeCell ref="M387:O387"/>
    <mergeCell ref="P387:R387"/>
    <mergeCell ref="S385:U385"/>
    <mergeCell ref="V385:X385"/>
    <mergeCell ref="Y385:AA385"/>
    <mergeCell ref="AB385:AD385"/>
    <mergeCell ref="AE385:AG385"/>
    <mergeCell ref="D386:F386"/>
    <mergeCell ref="G386:I386"/>
    <mergeCell ref="J386:L386"/>
    <mergeCell ref="M386:O386"/>
    <mergeCell ref="P386:R386"/>
    <mergeCell ref="V382:W382"/>
    <mergeCell ref="Y382:Z382"/>
    <mergeCell ref="AB382:AC382"/>
    <mergeCell ref="AE382:AF382"/>
    <mergeCell ref="A385:B390"/>
    <mergeCell ref="D385:F385"/>
    <mergeCell ref="G385:I385"/>
    <mergeCell ref="J385:L385"/>
    <mergeCell ref="M385:O385"/>
    <mergeCell ref="P385:R385"/>
    <mergeCell ref="V381:W381"/>
    <mergeCell ref="Y381:Z381"/>
    <mergeCell ref="AB381:AC381"/>
    <mergeCell ref="AE381:AF381"/>
    <mergeCell ref="D382:E382"/>
    <mergeCell ref="G382:H382"/>
    <mergeCell ref="J382:K382"/>
    <mergeCell ref="M382:N382"/>
    <mergeCell ref="P382:Q382"/>
    <mergeCell ref="S382:T382"/>
    <mergeCell ref="V380:W380"/>
    <mergeCell ref="Y380:Z380"/>
    <mergeCell ref="AB380:AC380"/>
    <mergeCell ref="AE380:AF380"/>
    <mergeCell ref="D381:E381"/>
    <mergeCell ref="G381:H381"/>
    <mergeCell ref="J381:K381"/>
    <mergeCell ref="M381:N381"/>
    <mergeCell ref="P381:Q381"/>
    <mergeCell ref="S381:T381"/>
    <mergeCell ref="V379:X379"/>
    <mergeCell ref="Y379:AA379"/>
    <mergeCell ref="AB379:AD379"/>
    <mergeCell ref="AE379:AG379"/>
    <mergeCell ref="D380:E380"/>
    <mergeCell ref="G380:H380"/>
    <mergeCell ref="J380:K380"/>
    <mergeCell ref="M380:N380"/>
    <mergeCell ref="P380:Q380"/>
    <mergeCell ref="S380:T380"/>
    <mergeCell ref="V378:X378"/>
    <mergeCell ref="Y378:AA378"/>
    <mergeCell ref="AB378:AD378"/>
    <mergeCell ref="AE378:AG378"/>
    <mergeCell ref="D379:F379"/>
    <mergeCell ref="G379:I379"/>
    <mergeCell ref="J379:L379"/>
    <mergeCell ref="M379:O379"/>
    <mergeCell ref="P379:R379"/>
    <mergeCell ref="S379:U379"/>
    <mergeCell ref="D378:F378"/>
    <mergeCell ref="G378:I378"/>
    <mergeCell ref="J378:L378"/>
    <mergeCell ref="M378:O378"/>
    <mergeCell ref="P378:R378"/>
    <mergeCell ref="S378:U378"/>
    <mergeCell ref="P377:R377"/>
    <mergeCell ref="S377:U377"/>
    <mergeCell ref="V377:X377"/>
    <mergeCell ref="Y377:AA377"/>
    <mergeCell ref="AB377:AD377"/>
    <mergeCell ref="AE377:AG377"/>
    <mergeCell ref="S374:T374"/>
    <mergeCell ref="V374:W374"/>
    <mergeCell ref="Y374:Z374"/>
    <mergeCell ref="AB374:AC374"/>
    <mergeCell ref="AE374:AF374"/>
    <mergeCell ref="A377:B382"/>
    <mergeCell ref="D377:F377"/>
    <mergeCell ref="G377:I377"/>
    <mergeCell ref="J377:L377"/>
    <mergeCell ref="M377:O377"/>
    <mergeCell ref="S373:T373"/>
    <mergeCell ref="V373:W373"/>
    <mergeCell ref="Y373:Z373"/>
    <mergeCell ref="AB373:AC373"/>
    <mergeCell ref="AE373:AF373"/>
    <mergeCell ref="D374:E374"/>
    <mergeCell ref="G374:H374"/>
    <mergeCell ref="J374:K374"/>
    <mergeCell ref="M374:N374"/>
    <mergeCell ref="P374:Q374"/>
    <mergeCell ref="S372:T372"/>
    <mergeCell ref="V372:W372"/>
    <mergeCell ref="Y372:Z372"/>
    <mergeCell ref="AB372:AC372"/>
    <mergeCell ref="AE372:AF372"/>
    <mergeCell ref="D373:E373"/>
    <mergeCell ref="G373:H373"/>
    <mergeCell ref="J373:K373"/>
    <mergeCell ref="M373:N373"/>
    <mergeCell ref="P373:Q373"/>
    <mergeCell ref="S371:U371"/>
    <mergeCell ref="V371:X371"/>
    <mergeCell ref="Y371:AA371"/>
    <mergeCell ref="AB371:AD371"/>
    <mergeCell ref="AE371:AG371"/>
    <mergeCell ref="D372:E372"/>
    <mergeCell ref="G372:H372"/>
    <mergeCell ref="J372:K372"/>
    <mergeCell ref="M372:N372"/>
    <mergeCell ref="P372:Q372"/>
    <mergeCell ref="S370:U370"/>
    <mergeCell ref="V370:X370"/>
    <mergeCell ref="Y370:AA370"/>
    <mergeCell ref="AB370:AD370"/>
    <mergeCell ref="AE370:AG370"/>
    <mergeCell ref="D371:F371"/>
    <mergeCell ref="G371:I371"/>
    <mergeCell ref="J371:L371"/>
    <mergeCell ref="M371:O371"/>
    <mergeCell ref="P371:R371"/>
    <mergeCell ref="S369:U369"/>
    <mergeCell ref="V369:X369"/>
    <mergeCell ref="Y369:AA369"/>
    <mergeCell ref="AB369:AD369"/>
    <mergeCell ref="AE369:AG369"/>
    <mergeCell ref="D370:F370"/>
    <mergeCell ref="G370:I370"/>
    <mergeCell ref="J370:L370"/>
    <mergeCell ref="M370:O370"/>
    <mergeCell ref="P370:R370"/>
    <mergeCell ref="V366:W366"/>
    <mergeCell ref="Y366:Z366"/>
    <mergeCell ref="AB366:AC366"/>
    <mergeCell ref="AE366:AF366"/>
    <mergeCell ref="A369:B374"/>
    <mergeCell ref="D369:F369"/>
    <mergeCell ref="G369:I369"/>
    <mergeCell ref="J369:L369"/>
    <mergeCell ref="M369:O369"/>
    <mergeCell ref="P369:R369"/>
    <mergeCell ref="V365:W365"/>
    <mergeCell ref="Y365:Z365"/>
    <mergeCell ref="AB365:AC365"/>
    <mergeCell ref="AE365:AF365"/>
    <mergeCell ref="D366:E366"/>
    <mergeCell ref="G366:H366"/>
    <mergeCell ref="J366:K366"/>
    <mergeCell ref="M366:N366"/>
    <mergeCell ref="P366:Q366"/>
    <mergeCell ref="S366:T366"/>
    <mergeCell ref="V364:W364"/>
    <mergeCell ref="Y364:Z364"/>
    <mergeCell ref="AB364:AC364"/>
    <mergeCell ref="AE364:AF364"/>
    <mergeCell ref="D365:E365"/>
    <mergeCell ref="G365:H365"/>
    <mergeCell ref="J365:K365"/>
    <mergeCell ref="M365:N365"/>
    <mergeCell ref="P365:Q365"/>
    <mergeCell ref="S365:T365"/>
    <mergeCell ref="V363:X363"/>
    <mergeCell ref="Y363:AA363"/>
    <mergeCell ref="AB363:AD363"/>
    <mergeCell ref="AE363:AG363"/>
    <mergeCell ref="D364:E364"/>
    <mergeCell ref="G364:H364"/>
    <mergeCell ref="J364:K364"/>
    <mergeCell ref="M364:N364"/>
    <mergeCell ref="P364:Q364"/>
    <mergeCell ref="S364:T364"/>
    <mergeCell ref="V362:X362"/>
    <mergeCell ref="Y362:AA362"/>
    <mergeCell ref="AB362:AD362"/>
    <mergeCell ref="AE362:AG362"/>
    <mergeCell ref="D363:F363"/>
    <mergeCell ref="G363:I363"/>
    <mergeCell ref="J363:L363"/>
    <mergeCell ref="M363:O363"/>
    <mergeCell ref="P363:R363"/>
    <mergeCell ref="S363:U363"/>
    <mergeCell ref="D362:F362"/>
    <mergeCell ref="G362:I362"/>
    <mergeCell ref="J362:L362"/>
    <mergeCell ref="M362:O362"/>
    <mergeCell ref="P362:R362"/>
    <mergeCell ref="S362:U362"/>
    <mergeCell ref="P361:R361"/>
    <mergeCell ref="S361:U361"/>
    <mergeCell ref="V361:X361"/>
    <mergeCell ref="Y361:AA361"/>
    <mergeCell ref="AB361:AD361"/>
    <mergeCell ref="AE361:AG361"/>
    <mergeCell ref="S358:T358"/>
    <mergeCell ref="V358:W358"/>
    <mergeCell ref="Y358:Z358"/>
    <mergeCell ref="AB358:AC358"/>
    <mergeCell ref="AE358:AF358"/>
    <mergeCell ref="A361:B366"/>
    <mergeCell ref="D361:F361"/>
    <mergeCell ref="G361:I361"/>
    <mergeCell ref="J361:L361"/>
    <mergeCell ref="M361:O361"/>
    <mergeCell ref="S357:T357"/>
    <mergeCell ref="V357:W357"/>
    <mergeCell ref="Y357:Z357"/>
    <mergeCell ref="AB357:AC357"/>
    <mergeCell ref="AE357:AF357"/>
    <mergeCell ref="D358:E358"/>
    <mergeCell ref="G358:H358"/>
    <mergeCell ref="J358:K358"/>
    <mergeCell ref="M358:N358"/>
    <mergeCell ref="P358:Q358"/>
    <mergeCell ref="S356:T356"/>
    <mergeCell ref="V356:W356"/>
    <mergeCell ref="Y356:Z356"/>
    <mergeCell ref="AB356:AC356"/>
    <mergeCell ref="AE356:AF356"/>
    <mergeCell ref="D357:E357"/>
    <mergeCell ref="G357:H357"/>
    <mergeCell ref="J357:K357"/>
    <mergeCell ref="M357:N357"/>
    <mergeCell ref="P357:Q357"/>
    <mergeCell ref="S355:U355"/>
    <mergeCell ref="V355:X355"/>
    <mergeCell ref="Y355:AA355"/>
    <mergeCell ref="AB355:AD355"/>
    <mergeCell ref="AE355:AG355"/>
    <mergeCell ref="D356:E356"/>
    <mergeCell ref="G356:H356"/>
    <mergeCell ref="J356:K356"/>
    <mergeCell ref="M356:N356"/>
    <mergeCell ref="P356:Q356"/>
    <mergeCell ref="S354:U354"/>
    <mergeCell ref="V354:X354"/>
    <mergeCell ref="Y354:AA354"/>
    <mergeCell ref="AB354:AD354"/>
    <mergeCell ref="AE354:AG354"/>
    <mergeCell ref="D355:F355"/>
    <mergeCell ref="G355:I355"/>
    <mergeCell ref="J355:L355"/>
    <mergeCell ref="M355:O355"/>
    <mergeCell ref="P355:R355"/>
    <mergeCell ref="S353:U353"/>
    <mergeCell ref="V353:X353"/>
    <mergeCell ref="Y353:AA353"/>
    <mergeCell ref="AB353:AD353"/>
    <mergeCell ref="AE353:AG353"/>
    <mergeCell ref="D354:F354"/>
    <mergeCell ref="G354:I354"/>
    <mergeCell ref="J354:L354"/>
    <mergeCell ref="M354:O354"/>
    <mergeCell ref="P354:R354"/>
    <mergeCell ref="V350:W350"/>
    <mergeCell ref="Y350:Z350"/>
    <mergeCell ref="AB350:AC350"/>
    <mergeCell ref="AE350:AF350"/>
    <mergeCell ref="A353:B358"/>
    <mergeCell ref="D353:F353"/>
    <mergeCell ref="G353:I353"/>
    <mergeCell ref="J353:L353"/>
    <mergeCell ref="M353:O353"/>
    <mergeCell ref="P353:R353"/>
    <mergeCell ref="V349:W349"/>
    <mergeCell ref="Y349:Z349"/>
    <mergeCell ref="AB349:AC349"/>
    <mergeCell ref="AE349:AF349"/>
    <mergeCell ref="D350:E350"/>
    <mergeCell ref="G350:H350"/>
    <mergeCell ref="J350:K350"/>
    <mergeCell ref="M350:N350"/>
    <mergeCell ref="P350:Q350"/>
    <mergeCell ref="S350:T350"/>
    <mergeCell ref="V348:W348"/>
    <mergeCell ref="Y348:Z348"/>
    <mergeCell ref="AB348:AC348"/>
    <mergeCell ref="AE348:AF348"/>
    <mergeCell ref="D349:E349"/>
    <mergeCell ref="G349:H349"/>
    <mergeCell ref="J349:K349"/>
    <mergeCell ref="M349:N349"/>
    <mergeCell ref="P349:Q349"/>
    <mergeCell ref="S349:T349"/>
    <mergeCell ref="V347:X347"/>
    <mergeCell ref="Y347:AA347"/>
    <mergeCell ref="AB347:AD347"/>
    <mergeCell ref="AE347:AG347"/>
    <mergeCell ref="D348:E348"/>
    <mergeCell ref="G348:H348"/>
    <mergeCell ref="J348:K348"/>
    <mergeCell ref="M348:N348"/>
    <mergeCell ref="P348:Q348"/>
    <mergeCell ref="S348:T348"/>
    <mergeCell ref="V346:X346"/>
    <mergeCell ref="Y346:AA346"/>
    <mergeCell ref="AB346:AD346"/>
    <mergeCell ref="AE346:AG346"/>
    <mergeCell ref="D347:F347"/>
    <mergeCell ref="G347:I347"/>
    <mergeCell ref="J347:L347"/>
    <mergeCell ref="M347:O347"/>
    <mergeCell ref="P347:R347"/>
    <mergeCell ref="S347:U347"/>
    <mergeCell ref="D346:F346"/>
    <mergeCell ref="G346:I346"/>
    <mergeCell ref="J346:L346"/>
    <mergeCell ref="M346:O346"/>
    <mergeCell ref="P346:R346"/>
    <mergeCell ref="S346:U346"/>
    <mergeCell ref="P345:R345"/>
    <mergeCell ref="S345:U345"/>
    <mergeCell ref="V345:X345"/>
    <mergeCell ref="Y345:AA345"/>
    <mergeCell ref="AB345:AD345"/>
    <mergeCell ref="AE345:AG345"/>
    <mergeCell ref="S342:T342"/>
    <mergeCell ref="V342:W342"/>
    <mergeCell ref="Y342:Z342"/>
    <mergeCell ref="AB342:AC342"/>
    <mergeCell ref="AE342:AF342"/>
    <mergeCell ref="A345:B350"/>
    <mergeCell ref="D345:F345"/>
    <mergeCell ref="G345:I345"/>
    <mergeCell ref="J345:L345"/>
    <mergeCell ref="M345:O345"/>
    <mergeCell ref="S341:T341"/>
    <mergeCell ref="V341:W341"/>
    <mergeCell ref="Y341:Z341"/>
    <mergeCell ref="AB341:AC341"/>
    <mergeCell ref="AE341:AF341"/>
    <mergeCell ref="D342:E342"/>
    <mergeCell ref="G342:H342"/>
    <mergeCell ref="J342:K342"/>
    <mergeCell ref="M342:N342"/>
    <mergeCell ref="P342:Q342"/>
    <mergeCell ref="S340:T340"/>
    <mergeCell ref="V340:W340"/>
    <mergeCell ref="Y340:Z340"/>
    <mergeCell ref="AB340:AC340"/>
    <mergeCell ref="AE340:AF340"/>
    <mergeCell ref="D341:E341"/>
    <mergeCell ref="G341:H341"/>
    <mergeCell ref="J341:K341"/>
    <mergeCell ref="M341:N341"/>
    <mergeCell ref="P341:Q341"/>
    <mergeCell ref="S339:U339"/>
    <mergeCell ref="V339:X339"/>
    <mergeCell ref="Y339:AA339"/>
    <mergeCell ref="AB339:AD339"/>
    <mergeCell ref="AE339:AG339"/>
    <mergeCell ref="D340:E340"/>
    <mergeCell ref="G340:H340"/>
    <mergeCell ref="J340:K340"/>
    <mergeCell ref="M340:N340"/>
    <mergeCell ref="P340:Q340"/>
    <mergeCell ref="S338:U338"/>
    <mergeCell ref="V338:X338"/>
    <mergeCell ref="Y338:AA338"/>
    <mergeCell ref="AB338:AD338"/>
    <mergeCell ref="AE338:AG338"/>
    <mergeCell ref="D339:F339"/>
    <mergeCell ref="G339:I339"/>
    <mergeCell ref="J339:L339"/>
    <mergeCell ref="M339:O339"/>
    <mergeCell ref="P339:R339"/>
    <mergeCell ref="S337:U337"/>
    <mergeCell ref="V337:X337"/>
    <mergeCell ref="Y337:AA337"/>
    <mergeCell ref="AB337:AD337"/>
    <mergeCell ref="AE337:AG337"/>
    <mergeCell ref="D338:F338"/>
    <mergeCell ref="G338:I338"/>
    <mergeCell ref="J338:L338"/>
    <mergeCell ref="M338:O338"/>
    <mergeCell ref="P338:R338"/>
    <mergeCell ref="V334:W334"/>
    <mergeCell ref="Y334:Z334"/>
    <mergeCell ref="AB334:AC334"/>
    <mergeCell ref="AE334:AF334"/>
    <mergeCell ref="A337:B342"/>
    <mergeCell ref="D337:F337"/>
    <mergeCell ref="G337:I337"/>
    <mergeCell ref="J337:L337"/>
    <mergeCell ref="M337:O337"/>
    <mergeCell ref="P337:R337"/>
    <mergeCell ref="V333:W333"/>
    <mergeCell ref="Y333:Z333"/>
    <mergeCell ref="AB333:AC333"/>
    <mergeCell ref="AE333:AF333"/>
    <mergeCell ref="D334:E334"/>
    <mergeCell ref="G334:H334"/>
    <mergeCell ref="J334:K334"/>
    <mergeCell ref="M334:N334"/>
    <mergeCell ref="P334:Q334"/>
    <mergeCell ref="S334:T334"/>
    <mergeCell ref="V332:W332"/>
    <mergeCell ref="Y332:Z332"/>
    <mergeCell ref="AB332:AC332"/>
    <mergeCell ref="AE332:AF332"/>
    <mergeCell ref="D333:E333"/>
    <mergeCell ref="G333:H333"/>
    <mergeCell ref="J333:K333"/>
    <mergeCell ref="M333:N333"/>
    <mergeCell ref="P333:Q333"/>
    <mergeCell ref="S333:T333"/>
    <mergeCell ref="V331:X331"/>
    <mergeCell ref="Y331:AA331"/>
    <mergeCell ref="AB331:AD331"/>
    <mergeCell ref="AE331:AG331"/>
    <mergeCell ref="D332:E332"/>
    <mergeCell ref="G332:H332"/>
    <mergeCell ref="J332:K332"/>
    <mergeCell ref="M332:N332"/>
    <mergeCell ref="P332:Q332"/>
    <mergeCell ref="S332:T332"/>
    <mergeCell ref="V330:X330"/>
    <mergeCell ref="Y330:AA330"/>
    <mergeCell ref="AB330:AD330"/>
    <mergeCell ref="AE330:AG330"/>
    <mergeCell ref="D331:F331"/>
    <mergeCell ref="G331:I331"/>
    <mergeCell ref="J331:L331"/>
    <mergeCell ref="M331:O331"/>
    <mergeCell ref="P331:R331"/>
    <mergeCell ref="S331:U331"/>
    <mergeCell ref="D330:F330"/>
    <mergeCell ref="G330:I330"/>
    <mergeCell ref="J330:L330"/>
    <mergeCell ref="M330:O330"/>
    <mergeCell ref="P330:R330"/>
    <mergeCell ref="S330:U330"/>
    <mergeCell ref="P329:R329"/>
    <mergeCell ref="S329:U329"/>
    <mergeCell ref="V329:X329"/>
    <mergeCell ref="Y329:AA329"/>
    <mergeCell ref="AB329:AD329"/>
    <mergeCell ref="AE329:AG329"/>
    <mergeCell ref="S326:T326"/>
    <mergeCell ref="V326:W326"/>
    <mergeCell ref="Y326:Z326"/>
    <mergeCell ref="AB326:AC326"/>
    <mergeCell ref="AE326:AF326"/>
    <mergeCell ref="A329:B334"/>
    <mergeCell ref="D329:F329"/>
    <mergeCell ref="G329:I329"/>
    <mergeCell ref="J329:L329"/>
    <mergeCell ref="M329:O329"/>
    <mergeCell ref="S325:T325"/>
    <mergeCell ref="V325:W325"/>
    <mergeCell ref="Y325:Z325"/>
    <mergeCell ref="AB325:AC325"/>
    <mergeCell ref="AE325:AF325"/>
    <mergeCell ref="D326:E326"/>
    <mergeCell ref="G326:H326"/>
    <mergeCell ref="J326:K326"/>
    <mergeCell ref="M326:N326"/>
    <mergeCell ref="P326:Q326"/>
    <mergeCell ref="S324:T324"/>
    <mergeCell ref="V324:W324"/>
    <mergeCell ref="Y324:Z324"/>
    <mergeCell ref="AB324:AC324"/>
    <mergeCell ref="AE324:AF324"/>
    <mergeCell ref="D325:E325"/>
    <mergeCell ref="G325:H325"/>
    <mergeCell ref="J325:K325"/>
    <mergeCell ref="M325:N325"/>
    <mergeCell ref="P325:Q325"/>
    <mergeCell ref="S323:U323"/>
    <mergeCell ref="V323:X323"/>
    <mergeCell ref="Y323:AA323"/>
    <mergeCell ref="AB323:AD323"/>
    <mergeCell ref="AE323:AG323"/>
    <mergeCell ref="D324:E324"/>
    <mergeCell ref="G324:H324"/>
    <mergeCell ref="J324:K324"/>
    <mergeCell ref="M324:N324"/>
    <mergeCell ref="P324:Q324"/>
    <mergeCell ref="S322:U322"/>
    <mergeCell ref="V322:X322"/>
    <mergeCell ref="Y322:AA322"/>
    <mergeCell ref="AB322:AD322"/>
    <mergeCell ref="AE322:AG322"/>
    <mergeCell ref="D323:F323"/>
    <mergeCell ref="G323:I323"/>
    <mergeCell ref="J323:L323"/>
    <mergeCell ref="M323:O323"/>
    <mergeCell ref="P323:R323"/>
    <mergeCell ref="S321:U321"/>
    <mergeCell ref="V321:X321"/>
    <mergeCell ref="Y321:AA321"/>
    <mergeCell ref="AB321:AD321"/>
    <mergeCell ref="AE321:AG321"/>
    <mergeCell ref="D322:F322"/>
    <mergeCell ref="G322:I322"/>
    <mergeCell ref="J322:L322"/>
    <mergeCell ref="M322:O322"/>
    <mergeCell ref="P322:R322"/>
    <mergeCell ref="V318:W318"/>
    <mergeCell ref="Y318:Z318"/>
    <mergeCell ref="AB318:AC318"/>
    <mergeCell ref="AE318:AF318"/>
    <mergeCell ref="A321:B326"/>
    <mergeCell ref="D321:F321"/>
    <mergeCell ref="G321:I321"/>
    <mergeCell ref="J321:L321"/>
    <mergeCell ref="M321:O321"/>
    <mergeCell ref="P321:R321"/>
    <mergeCell ref="V317:W317"/>
    <mergeCell ref="Y317:Z317"/>
    <mergeCell ref="AB317:AC317"/>
    <mergeCell ref="AE317:AF317"/>
    <mergeCell ref="D318:E318"/>
    <mergeCell ref="G318:H318"/>
    <mergeCell ref="J318:K318"/>
    <mergeCell ref="M318:N318"/>
    <mergeCell ref="P318:Q318"/>
    <mergeCell ref="S318:T318"/>
    <mergeCell ref="V316:W316"/>
    <mergeCell ref="Y316:Z316"/>
    <mergeCell ref="AB316:AC316"/>
    <mergeCell ref="AE316:AF316"/>
    <mergeCell ref="D317:E317"/>
    <mergeCell ref="G317:H317"/>
    <mergeCell ref="J317:K317"/>
    <mergeCell ref="M317:N317"/>
    <mergeCell ref="P317:Q317"/>
    <mergeCell ref="S317:T317"/>
    <mergeCell ref="V315:X315"/>
    <mergeCell ref="Y315:AA315"/>
    <mergeCell ref="AB315:AD315"/>
    <mergeCell ref="AE315:AG315"/>
    <mergeCell ref="D316:E316"/>
    <mergeCell ref="G316:H316"/>
    <mergeCell ref="J316:K316"/>
    <mergeCell ref="M316:N316"/>
    <mergeCell ref="P316:Q316"/>
    <mergeCell ref="S316:T316"/>
    <mergeCell ref="V314:X314"/>
    <mergeCell ref="Y314:AA314"/>
    <mergeCell ref="AB314:AD314"/>
    <mergeCell ref="AE314:AG314"/>
    <mergeCell ref="D315:F315"/>
    <mergeCell ref="G315:I315"/>
    <mergeCell ref="J315:L315"/>
    <mergeCell ref="M315:O315"/>
    <mergeCell ref="P315:R315"/>
    <mergeCell ref="S315:U315"/>
    <mergeCell ref="D314:F314"/>
    <mergeCell ref="G314:I314"/>
    <mergeCell ref="J314:L314"/>
    <mergeCell ref="M314:O314"/>
    <mergeCell ref="P314:R314"/>
    <mergeCell ref="S314:U314"/>
    <mergeCell ref="P313:R313"/>
    <mergeCell ref="S313:U313"/>
    <mergeCell ref="V313:X313"/>
    <mergeCell ref="Y313:AA313"/>
    <mergeCell ref="AB313:AD313"/>
    <mergeCell ref="AE313:AG313"/>
    <mergeCell ref="S310:T310"/>
    <mergeCell ref="V310:W310"/>
    <mergeCell ref="Y310:Z310"/>
    <mergeCell ref="AB310:AC310"/>
    <mergeCell ref="AE310:AF310"/>
    <mergeCell ref="A313:B318"/>
    <mergeCell ref="D313:F313"/>
    <mergeCell ref="G313:I313"/>
    <mergeCell ref="J313:L313"/>
    <mergeCell ref="M313:O313"/>
    <mergeCell ref="S309:T309"/>
    <mergeCell ref="V309:W309"/>
    <mergeCell ref="Y309:Z309"/>
    <mergeCell ref="AB309:AC309"/>
    <mergeCell ref="AE309:AF309"/>
    <mergeCell ref="D310:E310"/>
    <mergeCell ref="G310:H310"/>
    <mergeCell ref="J310:K310"/>
    <mergeCell ref="M310:N310"/>
    <mergeCell ref="P310:Q310"/>
    <mergeCell ref="S308:T308"/>
    <mergeCell ref="V308:W308"/>
    <mergeCell ref="Y308:Z308"/>
    <mergeCell ref="AB308:AC308"/>
    <mergeCell ref="AE308:AF308"/>
    <mergeCell ref="D309:E309"/>
    <mergeCell ref="G309:H309"/>
    <mergeCell ref="J309:K309"/>
    <mergeCell ref="M309:N309"/>
    <mergeCell ref="P309:Q309"/>
    <mergeCell ref="S307:U307"/>
    <mergeCell ref="V307:X307"/>
    <mergeCell ref="Y307:AA307"/>
    <mergeCell ref="AB307:AD307"/>
    <mergeCell ref="AE307:AG307"/>
    <mergeCell ref="D308:E308"/>
    <mergeCell ref="G308:H308"/>
    <mergeCell ref="J308:K308"/>
    <mergeCell ref="M308:N308"/>
    <mergeCell ref="P308:Q308"/>
    <mergeCell ref="S306:U306"/>
    <mergeCell ref="V306:X306"/>
    <mergeCell ref="Y306:AA306"/>
    <mergeCell ref="AB306:AD306"/>
    <mergeCell ref="AE306:AG306"/>
    <mergeCell ref="D307:F307"/>
    <mergeCell ref="G307:I307"/>
    <mergeCell ref="J307:L307"/>
    <mergeCell ref="M307:O307"/>
    <mergeCell ref="P307:R307"/>
    <mergeCell ref="S305:U305"/>
    <mergeCell ref="V305:X305"/>
    <mergeCell ref="Y305:AA305"/>
    <mergeCell ref="AB305:AD305"/>
    <mergeCell ref="AE305:AG305"/>
    <mergeCell ref="D306:F306"/>
    <mergeCell ref="G306:I306"/>
    <mergeCell ref="J306:L306"/>
    <mergeCell ref="M306:O306"/>
    <mergeCell ref="P306:R306"/>
    <mergeCell ref="V302:W302"/>
    <mergeCell ref="Y302:Z302"/>
    <mergeCell ref="AB302:AC302"/>
    <mergeCell ref="AE302:AF302"/>
    <mergeCell ref="A305:B310"/>
    <mergeCell ref="D305:F305"/>
    <mergeCell ref="G305:I305"/>
    <mergeCell ref="J305:L305"/>
    <mergeCell ref="M305:O305"/>
    <mergeCell ref="P305:R305"/>
    <mergeCell ref="V301:W301"/>
    <mergeCell ref="Y301:Z301"/>
    <mergeCell ref="AB301:AC301"/>
    <mergeCell ref="AE301:AF301"/>
    <mergeCell ref="D302:E302"/>
    <mergeCell ref="G302:H302"/>
    <mergeCell ref="J302:K302"/>
    <mergeCell ref="M302:N302"/>
    <mergeCell ref="P302:Q302"/>
    <mergeCell ref="S302:T302"/>
    <mergeCell ref="V300:W300"/>
    <mergeCell ref="Y300:Z300"/>
    <mergeCell ref="AB300:AC300"/>
    <mergeCell ref="AE300:AF300"/>
    <mergeCell ref="D301:E301"/>
    <mergeCell ref="G301:H301"/>
    <mergeCell ref="J301:K301"/>
    <mergeCell ref="M301:N301"/>
    <mergeCell ref="P301:Q301"/>
    <mergeCell ref="S301:T301"/>
    <mergeCell ref="V299:X299"/>
    <mergeCell ref="Y299:AA299"/>
    <mergeCell ref="AB299:AD299"/>
    <mergeCell ref="AE299:AG299"/>
    <mergeCell ref="D300:E300"/>
    <mergeCell ref="G300:H300"/>
    <mergeCell ref="J300:K300"/>
    <mergeCell ref="M300:N300"/>
    <mergeCell ref="P300:Q300"/>
    <mergeCell ref="S300:T300"/>
    <mergeCell ref="V298:X298"/>
    <mergeCell ref="Y298:AA298"/>
    <mergeCell ref="AB298:AD298"/>
    <mergeCell ref="AE298:AG298"/>
    <mergeCell ref="D299:F299"/>
    <mergeCell ref="G299:I299"/>
    <mergeCell ref="J299:L299"/>
    <mergeCell ref="M299:O299"/>
    <mergeCell ref="P299:R299"/>
    <mergeCell ref="S299:U299"/>
    <mergeCell ref="D298:F298"/>
    <mergeCell ref="G298:I298"/>
    <mergeCell ref="J298:L298"/>
    <mergeCell ref="M298:O298"/>
    <mergeCell ref="P298:R298"/>
    <mergeCell ref="S298:U298"/>
    <mergeCell ref="P297:R297"/>
    <mergeCell ref="S297:U297"/>
    <mergeCell ref="V297:X297"/>
    <mergeCell ref="Y297:AA297"/>
    <mergeCell ref="AB297:AD297"/>
    <mergeCell ref="AE297:AG297"/>
    <mergeCell ref="S294:T294"/>
    <mergeCell ref="V294:W294"/>
    <mergeCell ref="Y294:Z294"/>
    <mergeCell ref="AB294:AC294"/>
    <mergeCell ref="AE294:AF294"/>
    <mergeCell ref="A297:B302"/>
    <mergeCell ref="D297:F297"/>
    <mergeCell ref="G297:I297"/>
    <mergeCell ref="J297:L297"/>
    <mergeCell ref="M297:O297"/>
    <mergeCell ref="S293:T293"/>
    <mergeCell ref="V293:W293"/>
    <mergeCell ref="Y293:Z293"/>
    <mergeCell ref="AB293:AC293"/>
    <mergeCell ref="AE293:AF293"/>
    <mergeCell ref="D294:E294"/>
    <mergeCell ref="G294:H294"/>
    <mergeCell ref="J294:K294"/>
    <mergeCell ref="M294:N294"/>
    <mergeCell ref="P294:Q294"/>
    <mergeCell ref="S292:T292"/>
    <mergeCell ref="V292:W292"/>
    <mergeCell ref="Y292:Z292"/>
    <mergeCell ref="AB292:AC292"/>
    <mergeCell ref="AE292:AF292"/>
    <mergeCell ref="D293:E293"/>
    <mergeCell ref="G293:H293"/>
    <mergeCell ref="J293:K293"/>
    <mergeCell ref="M293:N293"/>
    <mergeCell ref="P293:Q293"/>
    <mergeCell ref="S291:U291"/>
    <mergeCell ref="V291:X291"/>
    <mergeCell ref="Y291:AA291"/>
    <mergeCell ref="AB291:AD291"/>
    <mergeCell ref="AE291:AG291"/>
    <mergeCell ref="D292:E292"/>
    <mergeCell ref="G292:H292"/>
    <mergeCell ref="J292:K292"/>
    <mergeCell ref="M292:N292"/>
    <mergeCell ref="P292:Q292"/>
    <mergeCell ref="S290:U290"/>
    <mergeCell ref="V290:X290"/>
    <mergeCell ref="Y290:AA290"/>
    <mergeCell ref="AB290:AD290"/>
    <mergeCell ref="AE290:AG290"/>
    <mergeCell ref="D291:F291"/>
    <mergeCell ref="G291:I291"/>
    <mergeCell ref="J291:L291"/>
    <mergeCell ref="M291:O291"/>
    <mergeCell ref="P291:R291"/>
    <mergeCell ref="S289:U289"/>
    <mergeCell ref="V289:X289"/>
    <mergeCell ref="Y289:AA289"/>
    <mergeCell ref="AB289:AD289"/>
    <mergeCell ref="AE289:AG289"/>
    <mergeCell ref="D290:F290"/>
    <mergeCell ref="G290:I290"/>
    <mergeCell ref="J290:L290"/>
    <mergeCell ref="M290:O290"/>
    <mergeCell ref="P290:R290"/>
    <mergeCell ref="V286:W286"/>
    <mergeCell ref="Y286:Z286"/>
    <mergeCell ref="AB286:AC286"/>
    <mergeCell ref="AE286:AF286"/>
    <mergeCell ref="A289:B294"/>
    <mergeCell ref="D289:F289"/>
    <mergeCell ref="G289:I289"/>
    <mergeCell ref="J289:L289"/>
    <mergeCell ref="M289:O289"/>
    <mergeCell ref="P289:R289"/>
    <mergeCell ref="V285:W285"/>
    <mergeCell ref="Y285:Z285"/>
    <mergeCell ref="AB285:AC285"/>
    <mergeCell ref="AE285:AF285"/>
    <mergeCell ref="D286:E286"/>
    <mergeCell ref="G286:H286"/>
    <mergeCell ref="J286:K286"/>
    <mergeCell ref="M286:N286"/>
    <mergeCell ref="P286:Q286"/>
    <mergeCell ref="S286:T286"/>
    <mergeCell ref="V284:W284"/>
    <mergeCell ref="Y284:Z284"/>
    <mergeCell ref="AB284:AC284"/>
    <mergeCell ref="AE284:AF284"/>
    <mergeCell ref="D285:E285"/>
    <mergeCell ref="G285:H285"/>
    <mergeCell ref="J285:K285"/>
    <mergeCell ref="M285:N285"/>
    <mergeCell ref="P285:Q285"/>
    <mergeCell ref="S285:T285"/>
    <mergeCell ref="V283:X283"/>
    <mergeCell ref="Y283:AA283"/>
    <mergeCell ref="AB283:AD283"/>
    <mergeCell ref="AE283:AG283"/>
    <mergeCell ref="D284:E284"/>
    <mergeCell ref="G284:H284"/>
    <mergeCell ref="J284:K284"/>
    <mergeCell ref="M284:N284"/>
    <mergeCell ref="P284:Q284"/>
    <mergeCell ref="S284:T284"/>
    <mergeCell ref="V282:X282"/>
    <mergeCell ref="Y282:AA282"/>
    <mergeCell ref="AB282:AD282"/>
    <mergeCell ref="AE282:AG282"/>
    <mergeCell ref="D283:F283"/>
    <mergeCell ref="G283:I283"/>
    <mergeCell ref="J283:L283"/>
    <mergeCell ref="M283:O283"/>
    <mergeCell ref="P283:R283"/>
    <mergeCell ref="S283:U283"/>
    <mergeCell ref="D282:F282"/>
    <mergeCell ref="G282:I282"/>
    <mergeCell ref="J282:L282"/>
    <mergeCell ref="M282:O282"/>
    <mergeCell ref="P282:R282"/>
    <mergeCell ref="S282:U282"/>
    <mergeCell ref="P281:R281"/>
    <mergeCell ref="S281:U281"/>
    <mergeCell ref="V281:X281"/>
    <mergeCell ref="Y281:AA281"/>
    <mergeCell ref="AB281:AD281"/>
    <mergeCell ref="AE281:AG281"/>
    <mergeCell ref="S278:T278"/>
    <mergeCell ref="V278:W278"/>
    <mergeCell ref="Y278:Z278"/>
    <mergeCell ref="AB278:AC278"/>
    <mergeCell ref="AE278:AF278"/>
    <mergeCell ref="A281:B286"/>
    <mergeCell ref="D281:F281"/>
    <mergeCell ref="G281:I281"/>
    <mergeCell ref="J281:L281"/>
    <mergeCell ref="M281:O281"/>
    <mergeCell ref="S277:T277"/>
    <mergeCell ref="V277:W277"/>
    <mergeCell ref="Y277:Z277"/>
    <mergeCell ref="AB277:AC277"/>
    <mergeCell ref="AE277:AF277"/>
    <mergeCell ref="D278:E278"/>
    <mergeCell ref="G278:H278"/>
    <mergeCell ref="J278:K278"/>
    <mergeCell ref="M278:N278"/>
    <mergeCell ref="P278:Q278"/>
    <mergeCell ref="S276:T276"/>
    <mergeCell ref="V276:W276"/>
    <mergeCell ref="Y276:Z276"/>
    <mergeCell ref="AB276:AC276"/>
    <mergeCell ref="AE276:AF276"/>
    <mergeCell ref="D277:E277"/>
    <mergeCell ref="G277:H277"/>
    <mergeCell ref="J277:K277"/>
    <mergeCell ref="M277:N277"/>
    <mergeCell ref="P277:Q277"/>
    <mergeCell ref="S275:U275"/>
    <mergeCell ref="V275:X275"/>
    <mergeCell ref="Y275:AA275"/>
    <mergeCell ref="AB275:AD275"/>
    <mergeCell ref="AE275:AG275"/>
    <mergeCell ref="D276:E276"/>
    <mergeCell ref="G276:H276"/>
    <mergeCell ref="J276:K276"/>
    <mergeCell ref="M276:N276"/>
    <mergeCell ref="P276:Q276"/>
    <mergeCell ref="S274:U274"/>
    <mergeCell ref="V274:X274"/>
    <mergeCell ref="Y274:AA274"/>
    <mergeCell ref="AB274:AD274"/>
    <mergeCell ref="AE274:AG274"/>
    <mergeCell ref="D275:F275"/>
    <mergeCell ref="G275:I275"/>
    <mergeCell ref="J275:L275"/>
    <mergeCell ref="M275:O275"/>
    <mergeCell ref="P275:R275"/>
    <mergeCell ref="S273:U273"/>
    <mergeCell ref="V273:X273"/>
    <mergeCell ref="Y273:AA273"/>
    <mergeCell ref="AB273:AD273"/>
    <mergeCell ref="AE273:AG273"/>
    <mergeCell ref="D274:F274"/>
    <mergeCell ref="G274:I274"/>
    <mergeCell ref="J274:L274"/>
    <mergeCell ref="M274:O274"/>
    <mergeCell ref="P274:R274"/>
    <mergeCell ref="V270:W270"/>
    <mergeCell ref="Y270:Z270"/>
    <mergeCell ref="AB270:AC270"/>
    <mergeCell ref="AE270:AF270"/>
    <mergeCell ref="A273:B278"/>
    <mergeCell ref="D273:F273"/>
    <mergeCell ref="G273:I273"/>
    <mergeCell ref="J273:L273"/>
    <mergeCell ref="M273:O273"/>
    <mergeCell ref="P273:R273"/>
    <mergeCell ref="V269:W269"/>
    <mergeCell ref="Y269:Z269"/>
    <mergeCell ref="AB269:AC269"/>
    <mergeCell ref="AE269:AF269"/>
    <mergeCell ref="D270:E270"/>
    <mergeCell ref="G270:H270"/>
    <mergeCell ref="J270:K270"/>
    <mergeCell ref="M270:N270"/>
    <mergeCell ref="P270:Q270"/>
    <mergeCell ref="S270:T270"/>
    <mergeCell ref="V268:W268"/>
    <mergeCell ref="Y268:Z268"/>
    <mergeCell ref="AB268:AC268"/>
    <mergeCell ref="AE268:AF268"/>
    <mergeCell ref="D269:E269"/>
    <mergeCell ref="G269:H269"/>
    <mergeCell ref="J269:K269"/>
    <mergeCell ref="M269:N269"/>
    <mergeCell ref="P269:Q269"/>
    <mergeCell ref="S269:T269"/>
    <mergeCell ref="V267:X267"/>
    <mergeCell ref="Y267:AA267"/>
    <mergeCell ref="AB267:AD267"/>
    <mergeCell ref="AE267:AG267"/>
    <mergeCell ref="D268:E268"/>
    <mergeCell ref="G268:H268"/>
    <mergeCell ref="J268:K268"/>
    <mergeCell ref="M268:N268"/>
    <mergeCell ref="P268:Q268"/>
    <mergeCell ref="S268:T268"/>
    <mergeCell ref="V266:X266"/>
    <mergeCell ref="Y266:AA266"/>
    <mergeCell ref="AB266:AD266"/>
    <mergeCell ref="AE266:AG266"/>
    <mergeCell ref="D267:F267"/>
    <mergeCell ref="G267:I267"/>
    <mergeCell ref="J267:L267"/>
    <mergeCell ref="M267:O267"/>
    <mergeCell ref="P267:R267"/>
    <mergeCell ref="S267:U267"/>
    <mergeCell ref="D266:F266"/>
    <mergeCell ref="G266:I266"/>
    <mergeCell ref="J266:L266"/>
    <mergeCell ref="M266:O266"/>
    <mergeCell ref="P266:R266"/>
    <mergeCell ref="S266:U266"/>
    <mergeCell ref="P265:R265"/>
    <mergeCell ref="S265:U265"/>
    <mergeCell ref="V265:X265"/>
    <mergeCell ref="Y265:AA265"/>
    <mergeCell ref="AB265:AD265"/>
    <mergeCell ref="AE265:AG265"/>
    <mergeCell ref="S262:T262"/>
    <mergeCell ref="V262:W262"/>
    <mergeCell ref="Y262:Z262"/>
    <mergeCell ref="AB262:AC262"/>
    <mergeCell ref="AE262:AF262"/>
    <mergeCell ref="A265:B270"/>
    <mergeCell ref="D265:F265"/>
    <mergeCell ref="G265:I265"/>
    <mergeCell ref="J265:L265"/>
    <mergeCell ref="M265:O265"/>
    <mergeCell ref="S261:T261"/>
    <mergeCell ref="V261:W261"/>
    <mergeCell ref="Y261:Z261"/>
    <mergeCell ref="AB261:AC261"/>
    <mergeCell ref="AE261:AF261"/>
    <mergeCell ref="D262:E262"/>
    <mergeCell ref="G262:H262"/>
    <mergeCell ref="J262:K262"/>
    <mergeCell ref="M262:N262"/>
    <mergeCell ref="P262:Q262"/>
    <mergeCell ref="S260:T260"/>
    <mergeCell ref="V260:W260"/>
    <mergeCell ref="Y260:Z260"/>
    <mergeCell ref="AB260:AC260"/>
    <mergeCell ref="AE260:AF260"/>
    <mergeCell ref="D261:E261"/>
    <mergeCell ref="G261:H261"/>
    <mergeCell ref="J261:K261"/>
    <mergeCell ref="M261:N261"/>
    <mergeCell ref="P261:Q261"/>
    <mergeCell ref="S259:U259"/>
    <mergeCell ref="V259:X259"/>
    <mergeCell ref="Y259:AA259"/>
    <mergeCell ref="AB259:AD259"/>
    <mergeCell ref="AE259:AG259"/>
    <mergeCell ref="D260:E260"/>
    <mergeCell ref="G260:H260"/>
    <mergeCell ref="J260:K260"/>
    <mergeCell ref="M260:N260"/>
    <mergeCell ref="P260:Q260"/>
    <mergeCell ref="S258:U258"/>
    <mergeCell ref="V258:X258"/>
    <mergeCell ref="Y258:AA258"/>
    <mergeCell ref="AB258:AD258"/>
    <mergeCell ref="AE258:AG258"/>
    <mergeCell ref="D259:F259"/>
    <mergeCell ref="G259:I259"/>
    <mergeCell ref="J259:L259"/>
    <mergeCell ref="M259:O259"/>
    <mergeCell ref="P259:R259"/>
    <mergeCell ref="S257:U257"/>
    <mergeCell ref="V257:X257"/>
    <mergeCell ref="Y257:AA257"/>
    <mergeCell ref="AB257:AD257"/>
    <mergeCell ref="AE257:AG257"/>
    <mergeCell ref="D258:F258"/>
    <mergeCell ref="G258:I258"/>
    <mergeCell ref="J258:L258"/>
    <mergeCell ref="M258:O258"/>
    <mergeCell ref="P258:R258"/>
    <mergeCell ref="V254:W254"/>
    <mergeCell ref="Y254:Z254"/>
    <mergeCell ref="AB254:AC254"/>
    <mergeCell ref="AE254:AF254"/>
    <mergeCell ref="A257:B262"/>
    <mergeCell ref="D257:F257"/>
    <mergeCell ref="G257:I257"/>
    <mergeCell ref="J257:L257"/>
    <mergeCell ref="M257:O257"/>
    <mergeCell ref="P257:R257"/>
    <mergeCell ref="V253:W253"/>
    <mergeCell ref="Y253:Z253"/>
    <mergeCell ref="AB253:AC253"/>
    <mergeCell ref="AE253:AF253"/>
    <mergeCell ref="D254:E254"/>
    <mergeCell ref="G254:H254"/>
    <mergeCell ref="J254:K254"/>
    <mergeCell ref="M254:N254"/>
    <mergeCell ref="P254:Q254"/>
    <mergeCell ref="S254:T254"/>
    <mergeCell ref="V252:W252"/>
    <mergeCell ref="Y252:Z252"/>
    <mergeCell ref="AB252:AC252"/>
    <mergeCell ref="AE252:AF252"/>
    <mergeCell ref="D253:E253"/>
    <mergeCell ref="G253:H253"/>
    <mergeCell ref="J253:K253"/>
    <mergeCell ref="M253:N253"/>
    <mergeCell ref="P253:Q253"/>
    <mergeCell ref="S253:T253"/>
    <mergeCell ref="V251:X251"/>
    <mergeCell ref="Y251:AA251"/>
    <mergeCell ref="AB251:AD251"/>
    <mergeCell ref="AE251:AG251"/>
    <mergeCell ref="D252:E252"/>
    <mergeCell ref="G252:H252"/>
    <mergeCell ref="J252:K252"/>
    <mergeCell ref="M252:N252"/>
    <mergeCell ref="P252:Q252"/>
    <mergeCell ref="S252:T252"/>
    <mergeCell ref="V250:X250"/>
    <mergeCell ref="Y250:AA250"/>
    <mergeCell ref="AB250:AD250"/>
    <mergeCell ref="AE250:AG250"/>
    <mergeCell ref="D251:F251"/>
    <mergeCell ref="G251:I251"/>
    <mergeCell ref="J251:L251"/>
    <mergeCell ref="M251:O251"/>
    <mergeCell ref="P251:R251"/>
    <mergeCell ref="S251:U251"/>
    <mergeCell ref="D250:F250"/>
    <mergeCell ref="G250:I250"/>
    <mergeCell ref="J250:L250"/>
    <mergeCell ref="M250:O250"/>
    <mergeCell ref="P250:R250"/>
    <mergeCell ref="S250:U250"/>
    <mergeCell ref="P249:R249"/>
    <mergeCell ref="S249:U249"/>
    <mergeCell ref="V249:X249"/>
    <mergeCell ref="Y249:AA249"/>
    <mergeCell ref="AB249:AD249"/>
    <mergeCell ref="AE249:AG249"/>
    <mergeCell ref="S246:T246"/>
    <mergeCell ref="V246:W246"/>
    <mergeCell ref="Y246:Z246"/>
    <mergeCell ref="AB246:AC246"/>
    <mergeCell ref="AE246:AF246"/>
    <mergeCell ref="A249:B254"/>
    <mergeCell ref="D249:F249"/>
    <mergeCell ref="G249:I249"/>
    <mergeCell ref="J249:L249"/>
    <mergeCell ref="M249:O249"/>
    <mergeCell ref="S245:T245"/>
    <mergeCell ref="V245:W245"/>
    <mergeCell ref="Y245:Z245"/>
    <mergeCell ref="AB245:AC245"/>
    <mergeCell ref="AE245:AF245"/>
    <mergeCell ref="D246:E246"/>
    <mergeCell ref="G246:H246"/>
    <mergeCell ref="J246:K246"/>
    <mergeCell ref="M246:N246"/>
    <mergeCell ref="P246:Q246"/>
    <mergeCell ref="S244:T244"/>
    <mergeCell ref="V244:W244"/>
    <mergeCell ref="Y244:Z244"/>
    <mergeCell ref="AB244:AC244"/>
    <mergeCell ref="AE244:AF244"/>
    <mergeCell ref="D245:E245"/>
    <mergeCell ref="G245:H245"/>
    <mergeCell ref="J245:K245"/>
    <mergeCell ref="M245:N245"/>
    <mergeCell ref="P245:Q245"/>
    <mergeCell ref="S243:U243"/>
    <mergeCell ref="V243:X243"/>
    <mergeCell ref="Y243:AA243"/>
    <mergeCell ref="AB243:AD243"/>
    <mergeCell ref="AE243:AG243"/>
    <mergeCell ref="D244:E244"/>
    <mergeCell ref="G244:H244"/>
    <mergeCell ref="J244:K244"/>
    <mergeCell ref="M244:N244"/>
    <mergeCell ref="P244:Q244"/>
    <mergeCell ref="S242:U242"/>
    <mergeCell ref="V242:X242"/>
    <mergeCell ref="Y242:AA242"/>
    <mergeCell ref="AB242:AD242"/>
    <mergeCell ref="AE242:AG242"/>
    <mergeCell ref="D243:F243"/>
    <mergeCell ref="G243:I243"/>
    <mergeCell ref="J243:L243"/>
    <mergeCell ref="M243:O243"/>
    <mergeCell ref="P243:R243"/>
    <mergeCell ref="S241:U241"/>
    <mergeCell ref="V241:X241"/>
    <mergeCell ref="Y241:AA241"/>
    <mergeCell ref="AB241:AD241"/>
    <mergeCell ref="AE241:AG241"/>
    <mergeCell ref="D242:F242"/>
    <mergeCell ref="G242:I242"/>
    <mergeCell ref="J242:L242"/>
    <mergeCell ref="M242:O242"/>
    <mergeCell ref="P242:R242"/>
    <mergeCell ref="V238:W238"/>
    <mergeCell ref="Y238:Z238"/>
    <mergeCell ref="AB238:AC238"/>
    <mergeCell ref="AE238:AF238"/>
    <mergeCell ref="A241:B246"/>
    <mergeCell ref="D241:F241"/>
    <mergeCell ref="G241:I241"/>
    <mergeCell ref="J241:L241"/>
    <mergeCell ref="M241:O241"/>
    <mergeCell ref="P241:R241"/>
    <mergeCell ref="V237:W237"/>
    <mergeCell ref="Y237:Z237"/>
    <mergeCell ref="AB237:AC237"/>
    <mergeCell ref="AE237:AF237"/>
    <mergeCell ref="D238:E238"/>
    <mergeCell ref="G238:H238"/>
    <mergeCell ref="J238:K238"/>
    <mergeCell ref="M238:N238"/>
    <mergeCell ref="P238:Q238"/>
    <mergeCell ref="S238:T238"/>
    <mergeCell ref="V236:W236"/>
    <mergeCell ref="Y236:Z236"/>
    <mergeCell ref="AB236:AC236"/>
    <mergeCell ref="AE236:AF236"/>
    <mergeCell ref="D237:E237"/>
    <mergeCell ref="G237:H237"/>
    <mergeCell ref="J237:K237"/>
    <mergeCell ref="M237:N237"/>
    <mergeCell ref="P237:Q237"/>
    <mergeCell ref="S237:T237"/>
    <mergeCell ref="V235:X235"/>
    <mergeCell ref="Y235:AA235"/>
    <mergeCell ref="AB235:AD235"/>
    <mergeCell ref="AE235:AG235"/>
    <mergeCell ref="D236:E236"/>
    <mergeCell ref="G236:H236"/>
    <mergeCell ref="J236:K236"/>
    <mergeCell ref="M236:N236"/>
    <mergeCell ref="P236:Q236"/>
    <mergeCell ref="S236:T236"/>
    <mergeCell ref="V234:X234"/>
    <mergeCell ref="Y234:AA234"/>
    <mergeCell ref="AB234:AD234"/>
    <mergeCell ref="AE234:AG234"/>
    <mergeCell ref="D235:F235"/>
    <mergeCell ref="G235:I235"/>
    <mergeCell ref="J235:L235"/>
    <mergeCell ref="M235:O235"/>
    <mergeCell ref="P235:R235"/>
    <mergeCell ref="S235:U235"/>
    <mergeCell ref="D234:F234"/>
    <mergeCell ref="G234:I234"/>
    <mergeCell ref="J234:L234"/>
    <mergeCell ref="M234:O234"/>
    <mergeCell ref="P234:R234"/>
    <mergeCell ref="S234:U234"/>
    <mergeCell ref="P233:R233"/>
    <mergeCell ref="S233:U233"/>
    <mergeCell ref="V233:X233"/>
    <mergeCell ref="Y233:AA233"/>
    <mergeCell ref="AB233:AD233"/>
    <mergeCell ref="AE233:AG233"/>
    <mergeCell ref="S230:T230"/>
    <mergeCell ref="V230:W230"/>
    <mergeCell ref="Y230:Z230"/>
    <mergeCell ref="AB230:AC230"/>
    <mergeCell ref="AE230:AF230"/>
    <mergeCell ref="A233:B238"/>
    <mergeCell ref="D233:F233"/>
    <mergeCell ref="G233:I233"/>
    <mergeCell ref="J233:L233"/>
    <mergeCell ref="M233:O233"/>
    <mergeCell ref="S229:T229"/>
    <mergeCell ref="V229:W229"/>
    <mergeCell ref="Y229:Z229"/>
    <mergeCell ref="AB229:AC229"/>
    <mergeCell ref="AE229:AF229"/>
    <mergeCell ref="D230:E230"/>
    <mergeCell ref="G230:H230"/>
    <mergeCell ref="J230:K230"/>
    <mergeCell ref="M230:N230"/>
    <mergeCell ref="P230:Q230"/>
    <mergeCell ref="S228:T228"/>
    <mergeCell ref="V228:W228"/>
    <mergeCell ref="Y228:Z228"/>
    <mergeCell ref="AB228:AC228"/>
    <mergeCell ref="AE228:AF228"/>
    <mergeCell ref="D229:E229"/>
    <mergeCell ref="G229:H229"/>
    <mergeCell ref="J229:K229"/>
    <mergeCell ref="M229:N229"/>
    <mergeCell ref="P229:Q229"/>
    <mergeCell ref="S227:U227"/>
    <mergeCell ref="V227:X227"/>
    <mergeCell ref="Y227:AA227"/>
    <mergeCell ref="AB227:AD227"/>
    <mergeCell ref="AE227:AG227"/>
    <mergeCell ref="D228:E228"/>
    <mergeCell ref="G228:H228"/>
    <mergeCell ref="J228:K228"/>
    <mergeCell ref="M228:N228"/>
    <mergeCell ref="P228:Q228"/>
    <mergeCell ref="S226:U226"/>
    <mergeCell ref="V226:X226"/>
    <mergeCell ref="Y226:AA226"/>
    <mergeCell ref="AB226:AD226"/>
    <mergeCell ref="AE226:AG226"/>
    <mergeCell ref="D227:F227"/>
    <mergeCell ref="G227:I227"/>
    <mergeCell ref="J227:L227"/>
    <mergeCell ref="M227:O227"/>
    <mergeCell ref="P227:R227"/>
    <mergeCell ref="S225:U225"/>
    <mergeCell ref="V225:X225"/>
    <mergeCell ref="Y225:AA225"/>
    <mergeCell ref="AB225:AD225"/>
    <mergeCell ref="AE225:AG225"/>
    <mergeCell ref="D226:F226"/>
    <mergeCell ref="G226:I226"/>
    <mergeCell ref="J226:L226"/>
    <mergeCell ref="M226:O226"/>
    <mergeCell ref="P226:R226"/>
    <mergeCell ref="V222:W222"/>
    <mergeCell ref="Y222:Z222"/>
    <mergeCell ref="AB222:AC222"/>
    <mergeCell ref="AE222:AF222"/>
    <mergeCell ref="A225:B230"/>
    <mergeCell ref="D225:F225"/>
    <mergeCell ref="G225:I225"/>
    <mergeCell ref="J225:L225"/>
    <mergeCell ref="M225:O225"/>
    <mergeCell ref="P225:R225"/>
    <mergeCell ref="V221:W221"/>
    <mergeCell ref="Y221:Z221"/>
    <mergeCell ref="AB221:AC221"/>
    <mergeCell ref="AE221:AF221"/>
    <mergeCell ref="D222:E222"/>
    <mergeCell ref="G222:H222"/>
    <mergeCell ref="J222:K222"/>
    <mergeCell ref="M222:N222"/>
    <mergeCell ref="P222:Q222"/>
    <mergeCell ref="S222:T222"/>
    <mergeCell ref="V220:W220"/>
    <mergeCell ref="Y220:Z220"/>
    <mergeCell ref="AB220:AC220"/>
    <mergeCell ref="AE220:AF220"/>
    <mergeCell ref="D221:E221"/>
    <mergeCell ref="G221:H221"/>
    <mergeCell ref="J221:K221"/>
    <mergeCell ref="M221:N221"/>
    <mergeCell ref="P221:Q221"/>
    <mergeCell ref="S221:T221"/>
    <mergeCell ref="V219:X219"/>
    <mergeCell ref="Y219:AA219"/>
    <mergeCell ref="AB219:AD219"/>
    <mergeCell ref="AE219:AG219"/>
    <mergeCell ref="D220:E220"/>
    <mergeCell ref="G220:H220"/>
    <mergeCell ref="J220:K220"/>
    <mergeCell ref="M220:N220"/>
    <mergeCell ref="P220:Q220"/>
    <mergeCell ref="S220:T220"/>
    <mergeCell ref="V218:X218"/>
    <mergeCell ref="Y218:AA218"/>
    <mergeCell ref="AB218:AD218"/>
    <mergeCell ref="AE218:AG218"/>
    <mergeCell ref="D219:F219"/>
    <mergeCell ref="G219:I219"/>
    <mergeCell ref="J219:L219"/>
    <mergeCell ref="M219:O219"/>
    <mergeCell ref="P219:R219"/>
    <mergeCell ref="S219:U219"/>
    <mergeCell ref="D218:F218"/>
    <mergeCell ref="G218:I218"/>
    <mergeCell ref="J218:L218"/>
    <mergeCell ref="M218:O218"/>
    <mergeCell ref="P218:R218"/>
    <mergeCell ref="S218:U218"/>
    <mergeCell ref="P217:R217"/>
    <mergeCell ref="S217:U217"/>
    <mergeCell ref="V217:X217"/>
    <mergeCell ref="Y217:AA217"/>
    <mergeCell ref="AB217:AD217"/>
    <mergeCell ref="AE217:AG217"/>
    <mergeCell ref="S214:T214"/>
    <mergeCell ref="V214:W214"/>
    <mergeCell ref="Y214:Z214"/>
    <mergeCell ref="AB214:AC214"/>
    <mergeCell ref="AE214:AF214"/>
    <mergeCell ref="A217:B222"/>
    <mergeCell ref="D217:F217"/>
    <mergeCell ref="G217:I217"/>
    <mergeCell ref="J217:L217"/>
    <mergeCell ref="M217:O217"/>
    <mergeCell ref="S213:T213"/>
    <mergeCell ref="V213:W213"/>
    <mergeCell ref="Y213:Z213"/>
    <mergeCell ref="AB213:AC213"/>
    <mergeCell ref="AE213:AF213"/>
    <mergeCell ref="D214:E214"/>
    <mergeCell ref="G214:H214"/>
    <mergeCell ref="J214:K214"/>
    <mergeCell ref="M214:N214"/>
    <mergeCell ref="P214:Q214"/>
    <mergeCell ref="S212:T212"/>
    <mergeCell ref="V212:W212"/>
    <mergeCell ref="Y212:Z212"/>
    <mergeCell ref="AB212:AC212"/>
    <mergeCell ref="AE212:AF212"/>
    <mergeCell ref="D213:E213"/>
    <mergeCell ref="G213:H213"/>
    <mergeCell ref="J213:K213"/>
    <mergeCell ref="M213:N213"/>
    <mergeCell ref="P213:Q213"/>
    <mergeCell ref="S211:U211"/>
    <mergeCell ref="V211:X211"/>
    <mergeCell ref="Y211:AA211"/>
    <mergeCell ref="AB211:AD211"/>
    <mergeCell ref="AE211:AG211"/>
    <mergeCell ref="D212:E212"/>
    <mergeCell ref="G212:H212"/>
    <mergeCell ref="J212:K212"/>
    <mergeCell ref="M212:N212"/>
    <mergeCell ref="P212:Q212"/>
    <mergeCell ref="S210:U210"/>
    <mergeCell ref="V210:X210"/>
    <mergeCell ref="Y210:AA210"/>
    <mergeCell ref="AB210:AD210"/>
    <mergeCell ref="AE210:AG210"/>
    <mergeCell ref="D211:F211"/>
    <mergeCell ref="G211:I211"/>
    <mergeCell ref="J211:L211"/>
    <mergeCell ref="M211:O211"/>
    <mergeCell ref="P211:R211"/>
    <mergeCell ref="S209:U209"/>
    <mergeCell ref="V209:X209"/>
    <mergeCell ref="Y209:AA209"/>
    <mergeCell ref="AB209:AD209"/>
    <mergeCell ref="AE209:AG209"/>
    <mergeCell ref="D210:F210"/>
    <mergeCell ref="G210:I210"/>
    <mergeCell ref="J210:L210"/>
    <mergeCell ref="M210:O210"/>
    <mergeCell ref="P210:R210"/>
    <mergeCell ref="V206:W206"/>
    <mergeCell ref="Y206:Z206"/>
    <mergeCell ref="AB206:AC206"/>
    <mergeCell ref="AE206:AF206"/>
    <mergeCell ref="A209:B214"/>
    <mergeCell ref="D209:F209"/>
    <mergeCell ref="G209:I209"/>
    <mergeCell ref="J209:L209"/>
    <mergeCell ref="M209:O209"/>
    <mergeCell ref="P209:R209"/>
    <mergeCell ref="V205:W205"/>
    <mergeCell ref="Y205:Z205"/>
    <mergeCell ref="AB205:AC205"/>
    <mergeCell ref="AE205:AF205"/>
    <mergeCell ref="D206:E206"/>
    <mergeCell ref="G206:H206"/>
    <mergeCell ref="J206:K206"/>
    <mergeCell ref="M206:N206"/>
    <mergeCell ref="P206:Q206"/>
    <mergeCell ref="S206:T206"/>
    <mergeCell ref="V204:W204"/>
    <mergeCell ref="Y204:Z204"/>
    <mergeCell ref="AB204:AC204"/>
    <mergeCell ref="AE204:AF204"/>
    <mergeCell ref="D205:E205"/>
    <mergeCell ref="G205:H205"/>
    <mergeCell ref="J205:K205"/>
    <mergeCell ref="M205:N205"/>
    <mergeCell ref="P205:Q205"/>
    <mergeCell ref="S205:T205"/>
    <mergeCell ref="V203:X203"/>
    <mergeCell ref="Y203:AA203"/>
    <mergeCell ref="AB203:AD203"/>
    <mergeCell ref="AE203:AG203"/>
    <mergeCell ref="D204:E204"/>
    <mergeCell ref="G204:H204"/>
    <mergeCell ref="J204:K204"/>
    <mergeCell ref="M204:N204"/>
    <mergeCell ref="P204:Q204"/>
    <mergeCell ref="S204:T204"/>
    <mergeCell ref="V202:X202"/>
    <mergeCell ref="Y202:AA202"/>
    <mergeCell ref="AB202:AD202"/>
    <mergeCell ref="AE202:AG202"/>
    <mergeCell ref="D203:F203"/>
    <mergeCell ref="G203:I203"/>
    <mergeCell ref="J203:L203"/>
    <mergeCell ref="M203:O203"/>
    <mergeCell ref="P203:R203"/>
    <mergeCell ref="S203:U203"/>
    <mergeCell ref="D202:F202"/>
    <mergeCell ref="G202:I202"/>
    <mergeCell ref="J202:L202"/>
    <mergeCell ref="M202:O202"/>
    <mergeCell ref="P202:R202"/>
    <mergeCell ref="S202:U202"/>
    <mergeCell ref="P201:R201"/>
    <mergeCell ref="S201:U201"/>
    <mergeCell ref="V201:X201"/>
    <mergeCell ref="Y201:AA201"/>
    <mergeCell ref="AB201:AD201"/>
    <mergeCell ref="AE201:AG201"/>
    <mergeCell ref="S198:T198"/>
    <mergeCell ref="V198:W198"/>
    <mergeCell ref="Y198:Z198"/>
    <mergeCell ref="AB198:AC198"/>
    <mergeCell ref="AE198:AF198"/>
    <mergeCell ref="A201:B206"/>
    <mergeCell ref="D201:F201"/>
    <mergeCell ref="G201:I201"/>
    <mergeCell ref="J201:L201"/>
    <mergeCell ref="M201:O201"/>
    <mergeCell ref="S197:T197"/>
    <mergeCell ref="V197:W197"/>
    <mergeCell ref="Y197:Z197"/>
    <mergeCell ref="AB197:AC197"/>
    <mergeCell ref="AE197:AF197"/>
    <mergeCell ref="D198:E198"/>
    <mergeCell ref="G198:H198"/>
    <mergeCell ref="J198:K198"/>
    <mergeCell ref="M198:N198"/>
    <mergeCell ref="P198:Q198"/>
    <mergeCell ref="S196:T196"/>
    <mergeCell ref="V196:W196"/>
    <mergeCell ref="Y196:Z196"/>
    <mergeCell ref="AB196:AC196"/>
    <mergeCell ref="AE196:AF196"/>
    <mergeCell ref="D197:E197"/>
    <mergeCell ref="G197:H197"/>
    <mergeCell ref="J197:K197"/>
    <mergeCell ref="M197:N197"/>
    <mergeCell ref="P197:Q197"/>
    <mergeCell ref="S195:U195"/>
    <mergeCell ref="V195:X195"/>
    <mergeCell ref="Y195:AA195"/>
    <mergeCell ref="AB195:AD195"/>
    <mergeCell ref="AE195:AG195"/>
    <mergeCell ref="D196:E196"/>
    <mergeCell ref="G196:H196"/>
    <mergeCell ref="J196:K196"/>
    <mergeCell ref="M196:N196"/>
    <mergeCell ref="P196:Q196"/>
    <mergeCell ref="S194:U194"/>
    <mergeCell ref="V194:X194"/>
    <mergeCell ref="Y194:AA194"/>
    <mergeCell ref="AB194:AD194"/>
    <mergeCell ref="AE194:AG194"/>
    <mergeCell ref="D195:F195"/>
    <mergeCell ref="G195:I195"/>
    <mergeCell ref="J195:L195"/>
    <mergeCell ref="M195:O195"/>
    <mergeCell ref="P195:R195"/>
    <mergeCell ref="S193:U193"/>
    <mergeCell ref="V193:X193"/>
    <mergeCell ref="Y193:AA193"/>
    <mergeCell ref="AB193:AD193"/>
    <mergeCell ref="AE193:AG193"/>
    <mergeCell ref="D194:F194"/>
    <mergeCell ref="G194:I194"/>
    <mergeCell ref="J194:L194"/>
    <mergeCell ref="M194:O194"/>
    <mergeCell ref="P194:R194"/>
    <mergeCell ref="V190:W190"/>
    <mergeCell ref="Y190:Z190"/>
    <mergeCell ref="AB190:AC190"/>
    <mergeCell ref="AE190:AF190"/>
    <mergeCell ref="A193:B198"/>
    <mergeCell ref="D193:F193"/>
    <mergeCell ref="G193:I193"/>
    <mergeCell ref="J193:L193"/>
    <mergeCell ref="M193:O193"/>
    <mergeCell ref="P193:R193"/>
    <mergeCell ref="V189:W189"/>
    <mergeCell ref="Y189:Z189"/>
    <mergeCell ref="AB189:AC189"/>
    <mergeCell ref="AE189:AF189"/>
    <mergeCell ref="D190:E190"/>
    <mergeCell ref="G190:H190"/>
    <mergeCell ref="J190:K190"/>
    <mergeCell ref="M190:N190"/>
    <mergeCell ref="P190:Q190"/>
    <mergeCell ref="S190:T190"/>
    <mergeCell ref="V188:W188"/>
    <mergeCell ref="Y188:Z188"/>
    <mergeCell ref="AB188:AC188"/>
    <mergeCell ref="AE188:AF188"/>
    <mergeCell ref="D189:E189"/>
    <mergeCell ref="G189:H189"/>
    <mergeCell ref="J189:K189"/>
    <mergeCell ref="M189:N189"/>
    <mergeCell ref="P189:Q189"/>
    <mergeCell ref="S189:T189"/>
    <mergeCell ref="V187:X187"/>
    <mergeCell ref="Y187:AA187"/>
    <mergeCell ref="AB187:AD187"/>
    <mergeCell ref="AE187:AG187"/>
    <mergeCell ref="D188:E188"/>
    <mergeCell ref="G188:H188"/>
    <mergeCell ref="J188:K188"/>
    <mergeCell ref="M188:N188"/>
    <mergeCell ref="P188:Q188"/>
    <mergeCell ref="S188:T188"/>
    <mergeCell ref="V186:X186"/>
    <mergeCell ref="Y186:AA186"/>
    <mergeCell ref="AB186:AD186"/>
    <mergeCell ref="AE186:AG186"/>
    <mergeCell ref="D187:F187"/>
    <mergeCell ref="G187:I187"/>
    <mergeCell ref="J187:L187"/>
    <mergeCell ref="M187:O187"/>
    <mergeCell ref="P187:R187"/>
    <mergeCell ref="S187:U187"/>
    <mergeCell ref="D186:F186"/>
    <mergeCell ref="G186:I186"/>
    <mergeCell ref="J186:L186"/>
    <mergeCell ref="M186:O186"/>
    <mergeCell ref="P186:R186"/>
    <mergeCell ref="S186:U186"/>
    <mergeCell ref="P185:R185"/>
    <mergeCell ref="S185:U185"/>
    <mergeCell ref="V185:X185"/>
    <mergeCell ref="Y185:AA185"/>
    <mergeCell ref="AB185:AD185"/>
    <mergeCell ref="AE185:AG185"/>
    <mergeCell ref="S182:T182"/>
    <mergeCell ref="V182:W182"/>
    <mergeCell ref="Y182:Z182"/>
    <mergeCell ref="AB182:AC182"/>
    <mergeCell ref="AE182:AF182"/>
    <mergeCell ref="A185:B190"/>
    <mergeCell ref="D185:F185"/>
    <mergeCell ref="G185:I185"/>
    <mergeCell ref="J185:L185"/>
    <mergeCell ref="M185:O185"/>
    <mergeCell ref="S181:T181"/>
    <mergeCell ref="V181:W181"/>
    <mergeCell ref="Y181:Z181"/>
    <mergeCell ref="AB181:AC181"/>
    <mergeCell ref="AE181:AF181"/>
    <mergeCell ref="D182:E182"/>
    <mergeCell ref="G182:H182"/>
    <mergeCell ref="J182:K182"/>
    <mergeCell ref="M182:N182"/>
    <mergeCell ref="P182:Q182"/>
    <mergeCell ref="S180:T180"/>
    <mergeCell ref="V180:W180"/>
    <mergeCell ref="Y180:Z180"/>
    <mergeCell ref="AB180:AC180"/>
    <mergeCell ref="AE180:AF180"/>
    <mergeCell ref="D181:E181"/>
    <mergeCell ref="G181:H181"/>
    <mergeCell ref="J181:K181"/>
    <mergeCell ref="M181:N181"/>
    <mergeCell ref="P181:Q181"/>
    <mergeCell ref="S179:U179"/>
    <mergeCell ref="V179:X179"/>
    <mergeCell ref="Y179:AA179"/>
    <mergeCell ref="AB179:AD179"/>
    <mergeCell ref="AE179:AG179"/>
    <mergeCell ref="D180:E180"/>
    <mergeCell ref="G180:H180"/>
    <mergeCell ref="J180:K180"/>
    <mergeCell ref="M180:N180"/>
    <mergeCell ref="P180:Q180"/>
    <mergeCell ref="S178:U178"/>
    <mergeCell ref="V178:X178"/>
    <mergeCell ref="Y178:AA178"/>
    <mergeCell ref="AB178:AD178"/>
    <mergeCell ref="AE178:AG178"/>
    <mergeCell ref="D179:F179"/>
    <mergeCell ref="G179:I179"/>
    <mergeCell ref="J179:L179"/>
    <mergeCell ref="M179:O179"/>
    <mergeCell ref="P179:R179"/>
    <mergeCell ref="S177:U177"/>
    <mergeCell ref="V177:X177"/>
    <mergeCell ref="Y177:AA177"/>
    <mergeCell ref="AB177:AD177"/>
    <mergeCell ref="AE177:AG177"/>
    <mergeCell ref="D178:F178"/>
    <mergeCell ref="G178:I178"/>
    <mergeCell ref="J178:L178"/>
    <mergeCell ref="M178:O178"/>
    <mergeCell ref="P178:R178"/>
    <mergeCell ref="V174:W174"/>
    <mergeCell ref="Y174:Z174"/>
    <mergeCell ref="AB174:AC174"/>
    <mergeCell ref="AE174:AF174"/>
    <mergeCell ref="A177:B182"/>
    <mergeCell ref="D177:F177"/>
    <mergeCell ref="G177:I177"/>
    <mergeCell ref="J177:L177"/>
    <mergeCell ref="M177:O177"/>
    <mergeCell ref="P177:R177"/>
    <mergeCell ref="V173:W173"/>
    <mergeCell ref="Y173:Z173"/>
    <mergeCell ref="AB173:AC173"/>
    <mergeCell ref="AE173:AF173"/>
    <mergeCell ref="D174:E174"/>
    <mergeCell ref="G174:H174"/>
    <mergeCell ref="J174:K174"/>
    <mergeCell ref="M174:N174"/>
    <mergeCell ref="P174:Q174"/>
    <mergeCell ref="S174:T174"/>
    <mergeCell ref="V172:W172"/>
    <mergeCell ref="Y172:Z172"/>
    <mergeCell ref="AB172:AC172"/>
    <mergeCell ref="AE172:AF172"/>
    <mergeCell ref="D173:E173"/>
    <mergeCell ref="G173:H173"/>
    <mergeCell ref="J173:K173"/>
    <mergeCell ref="M173:N173"/>
    <mergeCell ref="P173:Q173"/>
    <mergeCell ref="S173:T173"/>
    <mergeCell ref="V171:X171"/>
    <mergeCell ref="Y171:AA171"/>
    <mergeCell ref="AB171:AD171"/>
    <mergeCell ref="AE171:AG171"/>
    <mergeCell ref="D172:E172"/>
    <mergeCell ref="G172:H172"/>
    <mergeCell ref="J172:K172"/>
    <mergeCell ref="M172:N172"/>
    <mergeCell ref="P172:Q172"/>
    <mergeCell ref="S172:T172"/>
    <mergeCell ref="V170:X170"/>
    <mergeCell ref="Y170:AA170"/>
    <mergeCell ref="AB170:AD170"/>
    <mergeCell ref="AE170:AG170"/>
    <mergeCell ref="D171:F171"/>
    <mergeCell ref="G171:I171"/>
    <mergeCell ref="J171:L171"/>
    <mergeCell ref="M171:O171"/>
    <mergeCell ref="P171:R171"/>
    <mergeCell ref="S171:U171"/>
    <mergeCell ref="D170:F170"/>
    <mergeCell ref="G170:I170"/>
    <mergeCell ref="J170:L170"/>
    <mergeCell ref="M170:O170"/>
    <mergeCell ref="P170:R170"/>
    <mergeCell ref="S170:U170"/>
    <mergeCell ref="P169:R169"/>
    <mergeCell ref="S169:U169"/>
    <mergeCell ref="V169:X169"/>
    <mergeCell ref="Y169:AA169"/>
    <mergeCell ref="AB169:AD169"/>
    <mergeCell ref="AE169:AG169"/>
    <mergeCell ref="S166:T166"/>
    <mergeCell ref="V166:W166"/>
    <mergeCell ref="Y166:Z166"/>
    <mergeCell ref="AB166:AC166"/>
    <mergeCell ref="AE166:AF166"/>
    <mergeCell ref="A169:B174"/>
    <mergeCell ref="D169:F169"/>
    <mergeCell ref="G169:I169"/>
    <mergeCell ref="J169:L169"/>
    <mergeCell ref="M169:O169"/>
    <mergeCell ref="S165:T165"/>
    <mergeCell ref="V165:W165"/>
    <mergeCell ref="Y165:Z165"/>
    <mergeCell ref="AB165:AC165"/>
    <mergeCell ref="AE165:AF165"/>
    <mergeCell ref="D166:E166"/>
    <mergeCell ref="G166:H166"/>
    <mergeCell ref="J166:K166"/>
    <mergeCell ref="M166:N166"/>
    <mergeCell ref="P166:Q166"/>
    <mergeCell ref="S164:T164"/>
    <mergeCell ref="V164:W164"/>
    <mergeCell ref="Y164:Z164"/>
    <mergeCell ref="AB164:AC164"/>
    <mergeCell ref="AE164:AF164"/>
    <mergeCell ref="D165:E165"/>
    <mergeCell ref="G165:H165"/>
    <mergeCell ref="J165:K165"/>
    <mergeCell ref="M165:N165"/>
    <mergeCell ref="P165:Q165"/>
    <mergeCell ref="S163:U163"/>
    <mergeCell ref="V163:X163"/>
    <mergeCell ref="Y163:AA163"/>
    <mergeCell ref="AB163:AD163"/>
    <mergeCell ref="AE163:AG163"/>
    <mergeCell ref="D164:E164"/>
    <mergeCell ref="G164:H164"/>
    <mergeCell ref="J164:K164"/>
    <mergeCell ref="M164:N164"/>
    <mergeCell ref="P164:Q164"/>
    <mergeCell ref="S162:U162"/>
    <mergeCell ref="V162:X162"/>
    <mergeCell ref="Y162:AA162"/>
    <mergeCell ref="AB162:AD162"/>
    <mergeCell ref="AE162:AG162"/>
    <mergeCell ref="D163:F163"/>
    <mergeCell ref="G163:I163"/>
    <mergeCell ref="J163:L163"/>
    <mergeCell ref="M163:O163"/>
    <mergeCell ref="P163:R163"/>
    <mergeCell ref="S161:U161"/>
    <mergeCell ref="V161:X161"/>
    <mergeCell ref="Y161:AA161"/>
    <mergeCell ref="AB161:AD161"/>
    <mergeCell ref="AE161:AG161"/>
    <mergeCell ref="D162:F162"/>
    <mergeCell ref="G162:I162"/>
    <mergeCell ref="J162:L162"/>
    <mergeCell ref="M162:O162"/>
    <mergeCell ref="P162:R162"/>
    <mergeCell ref="V158:W158"/>
    <mergeCell ref="Y158:Z158"/>
    <mergeCell ref="AB158:AC158"/>
    <mergeCell ref="AE158:AF158"/>
    <mergeCell ref="A161:B166"/>
    <mergeCell ref="D161:F161"/>
    <mergeCell ref="G161:I161"/>
    <mergeCell ref="J161:L161"/>
    <mergeCell ref="M161:O161"/>
    <mergeCell ref="P161:R161"/>
    <mergeCell ref="V157:W157"/>
    <mergeCell ref="Y157:Z157"/>
    <mergeCell ref="AB157:AC157"/>
    <mergeCell ref="AE157:AF157"/>
    <mergeCell ref="D158:E158"/>
    <mergeCell ref="G158:H158"/>
    <mergeCell ref="J158:K158"/>
    <mergeCell ref="M158:N158"/>
    <mergeCell ref="P158:Q158"/>
    <mergeCell ref="S158:T158"/>
    <mergeCell ref="V156:W156"/>
    <mergeCell ref="Y156:Z156"/>
    <mergeCell ref="AB156:AC156"/>
    <mergeCell ref="AE156:AF156"/>
    <mergeCell ref="D157:E157"/>
    <mergeCell ref="G157:H157"/>
    <mergeCell ref="J157:K157"/>
    <mergeCell ref="M157:N157"/>
    <mergeCell ref="P157:Q157"/>
    <mergeCell ref="S157:T157"/>
    <mergeCell ref="V155:X155"/>
    <mergeCell ref="Y155:AA155"/>
    <mergeCell ref="AB155:AD155"/>
    <mergeCell ref="AE155:AG155"/>
    <mergeCell ref="D156:E156"/>
    <mergeCell ref="G156:H156"/>
    <mergeCell ref="J156:K156"/>
    <mergeCell ref="M156:N156"/>
    <mergeCell ref="P156:Q156"/>
    <mergeCell ref="S156:T156"/>
    <mergeCell ref="V154:X154"/>
    <mergeCell ref="Y154:AA154"/>
    <mergeCell ref="AB154:AD154"/>
    <mergeCell ref="AE154:AG154"/>
    <mergeCell ref="D155:F155"/>
    <mergeCell ref="G155:I155"/>
    <mergeCell ref="J155:L155"/>
    <mergeCell ref="M155:O155"/>
    <mergeCell ref="P155:R155"/>
    <mergeCell ref="S155:U155"/>
    <mergeCell ref="D154:F154"/>
    <mergeCell ref="G154:I154"/>
    <mergeCell ref="J154:L154"/>
    <mergeCell ref="M154:O154"/>
    <mergeCell ref="P154:R154"/>
    <mergeCell ref="S154:U154"/>
    <mergeCell ref="P153:R153"/>
    <mergeCell ref="S153:U153"/>
    <mergeCell ref="V153:X153"/>
    <mergeCell ref="Y153:AA153"/>
    <mergeCell ref="AB153:AD153"/>
    <mergeCell ref="AE153:AG153"/>
    <mergeCell ref="S150:T150"/>
    <mergeCell ref="V150:W150"/>
    <mergeCell ref="Y150:Z150"/>
    <mergeCell ref="AB150:AC150"/>
    <mergeCell ref="AE150:AF150"/>
    <mergeCell ref="A153:B158"/>
    <mergeCell ref="D153:F153"/>
    <mergeCell ref="G153:I153"/>
    <mergeCell ref="J153:L153"/>
    <mergeCell ref="M153:O153"/>
    <mergeCell ref="S149:T149"/>
    <mergeCell ref="V149:W149"/>
    <mergeCell ref="Y149:Z149"/>
    <mergeCell ref="AB149:AC149"/>
    <mergeCell ref="AE149:AF149"/>
    <mergeCell ref="D150:E150"/>
    <mergeCell ref="G150:H150"/>
    <mergeCell ref="J150:K150"/>
    <mergeCell ref="M150:N150"/>
    <mergeCell ref="P150:Q150"/>
    <mergeCell ref="S148:T148"/>
    <mergeCell ref="V148:W148"/>
    <mergeCell ref="Y148:Z148"/>
    <mergeCell ref="AB148:AC148"/>
    <mergeCell ref="AE148:AF148"/>
    <mergeCell ref="D149:E149"/>
    <mergeCell ref="G149:H149"/>
    <mergeCell ref="J149:K149"/>
    <mergeCell ref="M149:N149"/>
    <mergeCell ref="P149:Q149"/>
    <mergeCell ref="S147:U147"/>
    <mergeCell ref="V147:X147"/>
    <mergeCell ref="Y147:AA147"/>
    <mergeCell ref="AB147:AD147"/>
    <mergeCell ref="AE147:AG147"/>
    <mergeCell ref="D148:E148"/>
    <mergeCell ref="G148:H148"/>
    <mergeCell ref="J148:K148"/>
    <mergeCell ref="M148:N148"/>
    <mergeCell ref="P148:Q148"/>
    <mergeCell ref="S146:U146"/>
    <mergeCell ref="V146:X146"/>
    <mergeCell ref="Y146:AA146"/>
    <mergeCell ref="AB146:AD146"/>
    <mergeCell ref="AE146:AG146"/>
    <mergeCell ref="D147:F147"/>
    <mergeCell ref="G147:I147"/>
    <mergeCell ref="J147:L147"/>
    <mergeCell ref="M147:O147"/>
    <mergeCell ref="P147:R147"/>
    <mergeCell ref="S145:U145"/>
    <mergeCell ref="V145:X145"/>
    <mergeCell ref="Y145:AA145"/>
    <mergeCell ref="AB145:AD145"/>
    <mergeCell ref="AE145:AG145"/>
    <mergeCell ref="D146:F146"/>
    <mergeCell ref="G146:I146"/>
    <mergeCell ref="J146:L146"/>
    <mergeCell ref="M146:O146"/>
    <mergeCell ref="P146:R146"/>
    <mergeCell ref="V142:W142"/>
    <mergeCell ref="Y142:Z142"/>
    <mergeCell ref="AB142:AC142"/>
    <mergeCell ref="AE142:AF142"/>
    <mergeCell ref="A145:B150"/>
    <mergeCell ref="D145:F145"/>
    <mergeCell ref="G145:I145"/>
    <mergeCell ref="J145:L145"/>
    <mergeCell ref="M145:O145"/>
    <mergeCell ref="P145:R145"/>
    <mergeCell ref="V141:W141"/>
    <mergeCell ref="Y141:Z141"/>
    <mergeCell ref="AB141:AC141"/>
    <mergeCell ref="AE141:AF141"/>
    <mergeCell ref="D142:E142"/>
    <mergeCell ref="G142:H142"/>
    <mergeCell ref="J142:K142"/>
    <mergeCell ref="M142:N142"/>
    <mergeCell ref="P142:Q142"/>
    <mergeCell ref="S142:T142"/>
    <mergeCell ref="V140:W140"/>
    <mergeCell ref="Y140:Z140"/>
    <mergeCell ref="AB140:AC140"/>
    <mergeCell ref="AE140:AF140"/>
    <mergeCell ref="D141:E141"/>
    <mergeCell ref="G141:H141"/>
    <mergeCell ref="J141:K141"/>
    <mergeCell ref="M141:N141"/>
    <mergeCell ref="P141:Q141"/>
    <mergeCell ref="S141:T141"/>
    <mergeCell ref="V139:X139"/>
    <mergeCell ref="Y139:AA139"/>
    <mergeCell ref="AB139:AD139"/>
    <mergeCell ref="AE139:AG139"/>
    <mergeCell ref="D140:E140"/>
    <mergeCell ref="G140:H140"/>
    <mergeCell ref="J140:K140"/>
    <mergeCell ref="M140:N140"/>
    <mergeCell ref="P140:Q140"/>
    <mergeCell ref="S140:T140"/>
    <mergeCell ref="V138:X138"/>
    <mergeCell ref="Y138:AA138"/>
    <mergeCell ref="AB138:AD138"/>
    <mergeCell ref="AE138:AG138"/>
    <mergeCell ref="D139:F139"/>
    <mergeCell ref="G139:I139"/>
    <mergeCell ref="J139:L139"/>
    <mergeCell ref="M139:O139"/>
    <mergeCell ref="P139:R139"/>
    <mergeCell ref="S139:U139"/>
    <mergeCell ref="D138:F138"/>
    <mergeCell ref="G138:I138"/>
    <mergeCell ref="J138:L138"/>
    <mergeCell ref="M138:O138"/>
    <mergeCell ref="P138:R138"/>
    <mergeCell ref="S138:U138"/>
    <mergeCell ref="P137:R137"/>
    <mergeCell ref="S137:U137"/>
    <mergeCell ref="V137:X137"/>
    <mergeCell ref="Y137:AA137"/>
    <mergeCell ref="AB137:AD137"/>
    <mergeCell ref="AE137:AG137"/>
    <mergeCell ref="S134:T134"/>
    <mergeCell ref="V134:W134"/>
    <mergeCell ref="Y134:Z134"/>
    <mergeCell ref="AB134:AC134"/>
    <mergeCell ref="AE134:AF134"/>
    <mergeCell ref="A137:B142"/>
    <mergeCell ref="D137:F137"/>
    <mergeCell ref="G137:I137"/>
    <mergeCell ref="J137:L137"/>
    <mergeCell ref="M137:O137"/>
    <mergeCell ref="S133:T133"/>
    <mergeCell ref="V133:W133"/>
    <mergeCell ref="Y133:Z133"/>
    <mergeCell ref="AB133:AC133"/>
    <mergeCell ref="AE133:AF133"/>
    <mergeCell ref="D134:E134"/>
    <mergeCell ref="G134:H134"/>
    <mergeCell ref="J134:K134"/>
    <mergeCell ref="M134:N134"/>
    <mergeCell ref="P134:Q134"/>
    <mergeCell ref="S132:T132"/>
    <mergeCell ref="V132:W132"/>
    <mergeCell ref="Y132:Z132"/>
    <mergeCell ref="AB132:AC132"/>
    <mergeCell ref="AE132:AF132"/>
    <mergeCell ref="D133:E133"/>
    <mergeCell ref="G133:H133"/>
    <mergeCell ref="J133:K133"/>
    <mergeCell ref="M133:N133"/>
    <mergeCell ref="P133:Q133"/>
    <mergeCell ref="S131:U131"/>
    <mergeCell ref="V131:X131"/>
    <mergeCell ref="Y131:AA131"/>
    <mergeCell ref="AB131:AD131"/>
    <mergeCell ref="AE131:AG131"/>
    <mergeCell ref="D132:E132"/>
    <mergeCell ref="G132:H132"/>
    <mergeCell ref="J132:K132"/>
    <mergeCell ref="M132:N132"/>
    <mergeCell ref="P132:Q132"/>
    <mergeCell ref="S130:U130"/>
    <mergeCell ref="V130:X130"/>
    <mergeCell ref="Y130:AA130"/>
    <mergeCell ref="AB130:AD130"/>
    <mergeCell ref="AE130:AG130"/>
    <mergeCell ref="D131:F131"/>
    <mergeCell ref="G131:I131"/>
    <mergeCell ref="J131:L131"/>
    <mergeCell ref="M131:O131"/>
    <mergeCell ref="P131:R131"/>
    <mergeCell ref="S129:U129"/>
    <mergeCell ref="V129:X129"/>
    <mergeCell ref="Y129:AA129"/>
    <mergeCell ref="AB129:AD129"/>
    <mergeCell ref="AE129:AG129"/>
    <mergeCell ref="D130:F130"/>
    <mergeCell ref="G130:I130"/>
    <mergeCell ref="J130:L130"/>
    <mergeCell ref="M130:O130"/>
    <mergeCell ref="P130:R130"/>
    <mergeCell ref="V126:W126"/>
    <mergeCell ref="Y126:Z126"/>
    <mergeCell ref="AB126:AC126"/>
    <mergeCell ref="AE126:AF126"/>
    <mergeCell ref="A129:B134"/>
    <mergeCell ref="D129:F129"/>
    <mergeCell ref="G129:I129"/>
    <mergeCell ref="J129:L129"/>
    <mergeCell ref="M129:O129"/>
    <mergeCell ref="P129:R129"/>
    <mergeCell ref="V125:W125"/>
    <mergeCell ref="Y125:Z125"/>
    <mergeCell ref="AB125:AC125"/>
    <mergeCell ref="AE125:AF125"/>
    <mergeCell ref="D126:E126"/>
    <mergeCell ref="G126:H126"/>
    <mergeCell ref="J126:K126"/>
    <mergeCell ref="M126:N126"/>
    <mergeCell ref="P126:Q126"/>
    <mergeCell ref="S126:T126"/>
    <mergeCell ref="V124:W124"/>
    <mergeCell ref="Y124:Z124"/>
    <mergeCell ref="AB124:AC124"/>
    <mergeCell ref="AE124:AF124"/>
    <mergeCell ref="D125:E125"/>
    <mergeCell ref="G125:H125"/>
    <mergeCell ref="J125:K125"/>
    <mergeCell ref="M125:N125"/>
    <mergeCell ref="P125:Q125"/>
    <mergeCell ref="S125:T125"/>
    <mergeCell ref="V123:X123"/>
    <mergeCell ref="Y123:AA123"/>
    <mergeCell ref="AB123:AD123"/>
    <mergeCell ref="AE123:AG123"/>
    <mergeCell ref="D124:E124"/>
    <mergeCell ref="G124:H124"/>
    <mergeCell ref="J124:K124"/>
    <mergeCell ref="M124:N124"/>
    <mergeCell ref="P124:Q124"/>
    <mergeCell ref="S124:T124"/>
    <mergeCell ref="V122:X122"/>
    <mergeCell ref="Y122:AA122"/>
    <mergeCell ref="AB122:AD122"/>
    <mergeCell ref="AE122:AG122"/>
    <mergeCell ref="D123:F123"/>
    <mergeCell ref="G123:I123"/>
    <mergeCell ref="J123:L123"/>
    <mergeCell ref="M123:O123"/>
    <mergeCell ref="P123:R123"/>
    <mergeCell ref="S123:U123"/>
    <mergeCell ref="D122:F122"/>
    <mergeCell ref="G122:I122"/>
    <mergeCell ref="J122:L122"/>
    <mergeCell ref="M122:O122"/>
    <mergeCell ref="P122:R122"/>
    <mergeCell ref="S122:U122"/>
    <mergeCell ref="P121:R121"/>
    <mergeCell ref="S121:U121"/>
    <mergeCell ref="V121:X121"/>
    <mergeCell ref="Y121:AA121"/>
    <mergeCell ref="AB121:AD121"/>
    <mergeCell ref="AE121:AG121"/>
    <mergeCell ref="S118:T118"/>
    <mergeCell ref="V118:W118"/>
    <mergeCell ref="Y118:Z118"/>
    <mergeCell ref="AB118:AC118"/>
    <mergeCell ref="AE118:AF118"/>
    <mergeCell ref="A121:B126"/>
    <mergeCell ref="D121:F121"/>
    <mergeCell ref="G121:I121"/>
    <mergeCell ref="J121:L121"/>
    <mergeCell ref="M121:O121"/>
    <mergeCell ref="S117:T117"/>
    <mergeCell ref="V117:W117"/>
    <mergeCell ref="Y117:Z117"/>
    <mergeCell ref="AB117:AC117"/>
    <mergeCell ref="AE117:AF117"/>
    <mergeCell ref="D118:E118"/>
    <mergeCell ref="G118:H118"/>
    <mergeCell ref="J118:K118"/>
    <mergeCell ref="M118:N118"/>
    <mergeCell ref="P118:Q118"/>
    <mergeCell ref="S116:T116"/>
    <mergeCell ref="V116:W116"/>
    <mergeCell ref="Y116:Z116"/>
    <mergeCell ref="AB116:AC116"/>
    <mergeCell ref="AE116:AF116"/>
    <mergeCell ref="D117:E117"/>
    <mergeCell ref="G117:H117"/>
    <mergeCell ref="J117:K117"/>
    <mergeCell ref="M117:N117"/>
    <mergeCell ref="P117:Q117"/>
    <mergeCell ref="S115:U115"/>
    <mergeCell ref="V115:X115"/>
    <mergeCell ref="Y115:AA115"/>
    <mergeCell ref="AB115:AD115"/>
    <mergeCell ref="AE115:AG115"/>
    <mergeCell ref="D116:E116"/>
    <mergeCell ref="G116:H116"/>
    <mergeCell ref="J116:K116"/>
    <mergeCell ref="M116:N116"/>
    <mergeCell ref="P116:Q116"/>
    <mergeCell ref="S114:U114"/>
    <mergeCell ref="V114:X114"/>
    <mergeCell ref="Y114:AA114"/>
    <mergeCell ref="AB114:AD114"/>
    <mergeCell ref="AE114:AG114"/>
    <mergeCell ref="D115:F115"/>
    <mergeCell ref="G115:I115"/>
    <mergeCell ref="J115:L115"/>
    <mergeCell ref="M115:O115"/>
    <mergeCell ref="P115:R115"/>
    <mergeCell ref="S113:U113"/>
    <mergeCell ref="V113:X113"/>
    <mergeCell ref="Y113:AA113"/>
    <mergeCell ref="AB113:AD113"/>
    <mergeCell ref="AE113:AG113"/>
    <mergeCell ref="D114:F114"/>
    <mergeCell ref="G114:I114"/>
    <mergeCell ref="J114:L114"/>
    <mergeCell ref="M114:O114"/>
    <mergeCell ref="P114:R114"/>
    <mergeCell ref="V110:W110"/>
    <mergeCell ref="Y110:Z110"/>
    <mergeCell ref="AB110:AC110"/>
    <mergeCell ref="AE110:AF110"/>
    <mergeCell ref="A113:B118"/>
    <mergeCell ref="D113:F113"/>
    <mergeCell ref="G113:I113"/>
    <mergeCell ref="J113:L113"/>
    <mergeCell ref="M113:O113"/>
    <mergeCell ref="P113:R113"/>
    <mergeCell ref="V109:W109"/>
    <mergeCell ref="Y109:Z109"/>
    <mergeCell ref="AB109:AC109"/>
    <mergeCell ref="AE109:AF109"/>
    <mergeCell ref="D110:E110"/>
    <mergeCell ref="G110:H110"/>
    <mergeCell ref="J110:K110"/>
    <mergeCell ref="M110:N110"/>
    <mergeCell ref="P110:Q110"/>
    <mergeCell ref="S110:T110"/>
    <mergeCell ref="V108:W108"/>
    <mergeCell ref="Y108:Z108"/>
    <mergeCell ref="AB108:AC108"/>
    <mergeCell ref="AE108:AF108"/>
    <mergeCell ref="D109:E109"/>
    <mergeCell ref="G109:H109"/>
    <mergeCell ref="J109:K109"/>
    <mergeCell ref="M109:N109"/>
    <mergeCell ref="P109:Q109"/>
    <mergeCell ref="S109:T109"/>
    <mergeCell ref="V107:X107"/>
    <mergeCell ref="Y107:AA107"/>
    <mergeCell ref="AB107:AD107"/>
    <mergeCell ref="AE107:AG107"/>
    <mergeCell ref="D108:E108"/>
    <mergeCell ref="G108:H108"/>
    <mergeCell ref="J108:K108"/>
    <mergeCell ref="M108:N108"/>
    <mergeCell ref="P108:Q108"/>
    <mergeCell ref="S108:T108"/>
    <mergeCell ref="V106:X106"/>
    <mergeCell ref="Y106:AA106"/>
    <mergeCell ref="AB106:AD106"/>
    <mergeCell ref="AE106:AG106"/>
    <mergeCell ref="D107:F107"/>
    <mergeCell ref="G107:I107"/>
    <mergeCell ref="J107:L107"/>
    <mergeCell ref="M107:O107"/>
    <mergeCell ref="P107:R107"/>
    <mergeCell ref="S107:U107"/>
    <mergeCell ref="D106:F106"/>
    <mergeCell ref="G106:I106"/>
    <mergeCell ref="J106:L106"/>
    <mergeCell ref="M106:O106"/>
    <mergeCell ref="P106:R106"/>
    <mergeCell ref="S106:U106"/>
    <mergeCell ref="P105:R105"/>
    <mergeCell ref="S105:U105"/>
    <mergeCell ref="V105:X105"/>
    <mergeCell ref="Y105:AA105"/>
    <mergeCell ref="AB105:AD105"/>
    <mergeCell ref="AE105:AG105"/>
    <mergeCell ref="S102:T102"/>
    <mergeCell ref="V102:W102"/>
    <mergeCell ref="Y102:Z102"/>
    <mergeCell ref="AB102:AC102"/>
    <mergeCell ref="AE102:AF102"/>
    <mergeCell ref="A105:B110"/>
    <mergeCell ref="D105:F105"/>
    <mergeCell ref="G105:I105"/>
    <mergeCell ref="J105:L105"/>
    <mergeCell ref="M105:O105"/>
    <mergeCell ref="S101:T101"/>
    <mergeCell ref="V101:W101"/>
    <mergeCell ref="Y101:Z101"/>
    <mergeCell ref="AB101:AC101"/>
    <mergeCell ref="AE101:AF101"/>
    <mergeCell ref="D102:E102"/>
    <mergeCell ref="G102:H102"/>
    <mergeCell ref="J102:K102"/>
    <mergeCell ref="M102:N102"/>
    <mergeCell ref="P102:Q102"/>
    <mergeCell ref="S100:T100"/>
    <mergeCell ref="V100:W100"/>
    <mergeCell ref="Y100:Z100"/>
    <mergeCell ref="AB100:AC100"/>
    <mergeCell ref="AE100:AF100"/>
    <mergeCell ref="D101:E101"/>
    <mergeCell ref="G101:H101"/>
    <mergeCell ref="J101:K101"/>
    <mergeCell ref="M101:N101"/>
    <mergeCell ref="P101:Q101"/>
    <mergeCell ref="S99:U99"/>
    <mergeCell ref="V99:X99"/>
    <mergeCell ref="Y99:AA99"/>
    <mergeCell ref="AB99:AD99"/>
    <mergeCell ref="AE99:AG99"/>
    <mergeCell ref="D100:E100"/>
    <mergeCell ref="G100:H100"/>
    <mergeCell ref="J100:K100"/>
    <mergeCell ref="M100:N100"/>
    <mergeCell ref="P100:Q100"/>
    <mergeCell ref="S98:U98"/>
    <mergeCell ref="V98:X98"/>
    <mergeCell ref="Y98:AA98"/>
    <mergeCell ref="AB98:AD98"/>
    <mergeCell ref="AE98:AG98"/>
    <mergeCell ref="D99:F99"/>
    <mergeCell ref="G99:I99"/>
    <mergeCell ref="J99:L99"/>
    <mergeCell ref="M99:O99"/>
    <mergeCell ref="P99:R99"/>
    <mergeCell ref="S97:U97"/>
    <mergeCell ref="V97:X97"/>
    <mergeCell ref="Y97:AA97"/>
    <mergeCell ref="AB97:AD97"/>
    <mergeCell ref="AE97:AG97"/>
    <mergeCell ref="D98:F98"/>
    <mergeCell ref="G98:I98"/>
    <mergeCell ref="J98:L98"/>
    <mergeCell ref="M98:O98"/>
    <mergeCell ref="P98:R98"/>
    <mergeCell ref="V94:W94"/>
    <mergeCell ref="Y94:Z94"/>
    <mergeCell ref="AB94:AC94"/>
    <mergeCell ref="AE94:AF94"/>
    <mergeCell ref="A97:B102"/>
    <mergeCell ref="D97:F97"/>
    <mergeCell ref="G97:I97"/>
    <mergeCell ref="J97:L97"/>
    <mergeCell ref="M97:O97"/>
    <mergeCell ref="P97:R97"/>
    <mergeCell ref="V93:W93"/>
    <mergeCell ref="Y93:Z93"/>
    <mergeCell ref="AB93:AC93"/>
    <mergeCell ref="AE93:AF93"/>
    <mergeCell ref="D94:E94"/>
    <mergeCell ref="G94:H94"/>
    <mergeCell ref="J94:K94"/>
    <mergeCell ref="M94:N94"/>
    <mergeCell ref="P94:Q94"/>
    <mergeCell ref="S94:T94"/>
    <mergeCell ref="V92:W92"/>
    <mergeCell ref="Y92:Z92"/>
    <mergeCell ref="AB92:AC92"/>
    <mergeCell ref="AE92:AF92"/>
    <mergeCell ref="D93:E93"/>
    <mergeCell ref="G93:H93"/>
    <mergeCell ref="J93:K93"/>
    <mergeCell ref="M93:N93"/>
    <mergeCell ref="P93:Q93"/>
    <mergeCell ref="S93:T93"/>
    <mergeCell ref="V91:X91"/>
    <mergeCell ref="Y91:AA91"/>
    <mergeCell ref="AB91:AD91"/>
    <mergeCell ref="AE91:AG91"/>
    <mergeCell ref="D92:E92"/>
    <mergeCell ref="G92:H92"/>
    <mergeCell ref="J92:K92"/>
    <mergeCell ref="M92:N92"/>
    <mergeCell ref="P92:Q92"/>
    <mergeCell ref="S92:T92"/>
    <mergeCell ref="V90:X90"/>
    <mergeCell ref="Y90:AA90"/>
    <mergeCell ref="AB90:AD90"/>
    <mergeCell ref="AE90:AG90"/>
    <mergeCell ref="D91:F91"/>
    <mergeCell ref="G91:I91"/>
    <mergeCell ref="J91:L91"/>
    <mergeCell ref="M91:O91"/>
    <mergeCell ref="P91:R91"/>
    <mergeCell ref="S91:U91"/>
    <mergeCell ref="D90:F90"/>
    <mergeCell ref="G90:I90"/>
    <mergeCell ref="J90:L90"/>
    <mergeCell ref="M90:O90"/>
    <mergeCell ref="P90:R90"/>
    <mergeCell ref="S90:U90"/>
    <mergeCell ref="P89:R89"/>
    <mergeCell ref="S89:U89"/>
    <mergeCell ref="V89:X89"/>
    <mergeCell ref="Y89:AA89"/>
    <mergeCell ref="AB89:AD89"/>
    <mergeCell ref="AE89:AG89"/>
    <mergeCell ref="S86:T86"/>
    <mergeCell ref="V86:W86"/>
    <mergeCell ref="Y86:Z86"/>
    <mergeCell ref="AB86:AC86"/>
    <mergeCell ref="AE86:AF86"/>
    <mergeCell ref="A89:B94"/>
    <mergeCell ref="D89:F89"/>
    <mergeCell ref="G89:I89"/>
    <mergeCell ref="J89:L89"/>
    <mergeCell ref="M89:O89"/>
    <mergeCell ref="S85:T85"/>
    <mergeCell ref="V85:W85"/>
    <mergeCell ref="Y85:Z85"/>
    <mergeCell ref="AB85:AC85"/>
    <mergeCell ref="AE85:AF85"/>
    <mergeCell ref="D86:E86"/>
    <mergeCell ref="G86:H86"/>
    <mergeCell ref="J86:K86"/>
    <mergeCell ref="M86:N86"/>
    <mergeCell ref="P86:Q86"/>
    <mergeCell ref="S84:T84"/>
    <mergeCell ref="V84:W84"/>
    <mergeCell ref="Y84:Z84"/>
    <mergeCell ref="AB84:AC84"/>
    <mergeCell ref="AE84:AF84"/>
    <mergeCell ref="D85:E85"/>
    <mergeCell ref="G85:H85"/>
    <mergeCell ref="J85:K85"/>
    <mergeCell ref="M85:N85"/>
    <mergeCell ref="P85:Q85"/>
    <mergeCell ref="S83:U83"/>
    <mergeCell ref="V83:X83"/>
    <mergeCell ref="Y83:AA83"/>
    <mergeCell ref="AB83:AD83"/>
    <mergeCell ref="AE83:AG83"/>
    <mergeCell ref="D84:E84"/>
    <mergeCell ref="G84:H84"/>
    <mergeCell ref="J84:K84"/>
    <mergeCell ref="M84:N84"/>
    <mergeCell ref="P84:Q84"/>
    <mergeCell ref="S82:U82"/>
    <mergeCell ref="V82:X82"/>
    <mergeCell ref="Y82:AA82"/>
    <mergeCell ref="AB82:AD82"/>
    <mergeCell ref="AE82:AG82"/>
    <mergeCell ref="D83:F83"/>
    <mergeCell ref="G83:I83"/>
    <mergeCell ref="J83:L83"/>
    <mergeCell ref="M83:O83"/>
    <mergeCell ref="P83:R83"/>
    <mergeCell ref="S81:U81"/>
    <mergeCell ref="V81:X81"/>
    <mergeCell ref="Y81:AA81"/>
    <mergeCell ref="AB81:AD81"/>
    <mergeCell ref="AE81:AG81"/>
    <mergeCell ref="D82:F82"/>
    <mergeCell ref="G82:I82"/>
    <mergeCell ref="J82:L82"/>
    <mergeCell ref="M82:O82"/>
    <mergeCell ref="P82:R82"/>
    <mergeCell ref="V78:W78"/>
    <mergeCell ref="Y78:Z78"/>
    <mergeCell ref="AB78:AC78"/>
    <mergeCell ref="AE78:AF78"/>
    <mergeCell ref="A81:B86"/>
    <mergeCell ref="D81:F81"/>
    <mergeCell ref="G81:I81"/>
    <mergeCell ref="J81:L81"/>
    <mergeCell ref="M81:O81"/>
    <mergeCell ref="P81:R81"/>
    <mergeCell ref="V77:W77"/>
    <mergeCell ref="Y77:Z77"/>
    <mergeCell ref="AB77:AC77"/>
    <mergeCell ref="AE77:AF77"/>
    <mergeCell ref="D78:E78"/>
    <mergeCell ref="G78:H78"/>
    <mergeCell ref="J78:K78"/>
    <mergeCell ref="M78:N78"/>
    <mergeCell ref="P78:Q78"/>
    <mergeCell ref="S78:T78"/>
    <mergeCell ref="V76:W76"/>
    <mergeCell ref="Y76:Z76"/>
    <mergeCell ref="AB76:AC76"/>
    <mergeCell ref="AE76:AF76"/>
    <mergeCell ref="D77:E77"/>
    <mergeCell ref="G77:H77"/>
    <mergeCell ref="J77:K77"/>
    <mergeCell ref="M77:N77"/>
    <mergeCell ref="P77:Q77"/>
    <mergeCell ref="S77:T77"/>
    <mergeCell ref="V75:X75"/>
    <mergeCell ref="Y75:AA75"/>
    <mergeCell ref="AB75:AD75"/>
    <mergeCell ref="AE75:AG75"/>
    <mergeCell ref="D76:E76"/>
    <mergeCell ref="G76:H76"/>
    <mergeCell ref="J76:K76"/>
    <mergeCell ref="M76:N76"/>
    <mergeCell ref="P76:Q76"/>
    <mergeCell ref="S76:T76"/>
    <mergeCell ref="V74:X74"/>
    <mergeCell ref="Y74:AA74"/>
    <mergeCell ref="AB74:AD74"/>
    <mergeCell ref="AE74:AG74"/>
    <mergeCell ref="D75:F75"/>
    <mergeCell ref="G75:I75"/>
    <mergeCell ref="J75:L75"/>
    <mergeCell ref="M75:O75"/>
    <mergeCell ref="P75:R75"/>
    <mergeCell ref="S75:U75"/>
    <mergeCell ref="D74:F74"/>
    <mergeCell ref="G74:I74"/>
    <mergeCell ref="J74:L74"/>
    <mergeCell ref="M74:O74"/>
    <mergeCell ref="P74:R74"/>
    <mergeCell ref="S74:U74"/>
    <mergeCell ref="P73:R73"/>
    <mergeCell ref="S73:U73"/>
    <mergeCell ref="V73:X73"/>
    <mergeCell ref="Y73:AA73"/>
    <mergeCell ref="AB73:AD73"/>
    <mergeCell ref="AE73:AG73"/>
    <mergeCell ref="S70:T70"/>
    <mergeCell ref="V70:W70"/>
    <mergeCell ref="Y70:Z70"/>
    <mergeCell ref="AB70:AC70"/>
    <mergeCell ref="AE70:AF70"/>
    <mergeCell ref="A73:B78"/>
    <mergeCell ref="D73:F73"/>
    <mergeCell ref="G73:I73"/>
    <mergeCell ref="J73:L73"/>
    <mergeCell ref="M73:O73"/>
    <mergeCell ref="S69:T69"/>
    <mergeCell ref="V69:W69"/>
    <mergeCell ref="Y69:Z69"/>
    <mergeCell ref="AB69:AC69"/>
    <mergeCell ref="AE69:AF69"/>
    <mergeCell ref="D70:E70"/>
    <mergeCell ref="G70:H70"/>
    <mergeCell ref="J70:K70"/>
    <mergeCell ref="M70:N70"/>
    <mergeCell ref="P70:Q70"/>
    <mergeCell ref="S68:T68"/>
    <mergeCell ref="V68:W68"/>
    <mergeCell ref="Y68:Z68"/>
    <mergeCell ref="AB68:AC68"/>
    <mergeCell ref="AE68:AF68"/>
    <mergeCell ref="D69:E69"/>
    <mergeCell ref="G69:H69"/>
    <mergeCell ref="J69:K69"/>
    <mergeCell ref="M69:N69"/>
    <mergeCell ref="P69:Q69"/>
    <mergeCell ref="S67:U67"/>
    <mergeCell ref="V67:X67"/>
    <mergeCell ref="Y67:AA67"/>
    <mergeCell ref="AB67:AD67"/>
    <mergeCell ref="AE67:AG67"/>
    <mergeCell ref="D68:E68"/>
    <mergeCell ref="G68:H68"/>
    <mergeCell ref="J68:K68"/>
    <mergeCell ref="M68:N68"/>
    <mergeCell ref="P68:Q68"/>
    <mergeCell ref="S66:U66"/>
    <mergeCell ref="V66:X66"/>
    <mergeCell ref="Y66:AA66"/>
    <mergeCell ref="AB66:AD66"/>
    <mergeCell ref="AE66:AG66"/>
    <mergeCell ref="D67:F67"/>
    <mergeCell ref="G67:I67"/>
    <mergeCell ref="J67:L67"/>
    <mergeCell ref="M67:O67"/>
    <mergeCell ref="P67:R67"/>
    <mergeCell ref="S65:U65"/>
    <mergeCell ref="V65:X65"/>
    <mergeCell ref="Y65:AA65"/>
    <mergeCell ref="AB65:AD65"/>
    <mergeCell ref="AE65:AG65"/>
    <mergeCell ref="D66:F66"/>
    <mergeCell ref="G66:I66"/>
    <mergeCell ref="J66:L66"/>
    <mergeCell ref="M66:O66"/>
    <mergeCell ref="P66:R66"/>
    <mergeCell ref="V62:W62"/>
    <mergeCell ref="Y62:Z62"/>
    <mergeCell ref="AB62:AC62"/>
    <mergeCell ref="AE62:AF62"/>
    <mergeCell ref="A65:B70"/>
    <mergeCell ref="D65:F65"/>
    <mergeCell ref="G65:I65"/>
    <mergeCell ref="J65:L65"/>
    <mergeCell ref="M65:O65"/>
    <mergeCell ref="P65:R65"/>
    <mergeCell ref="V61:W61"/>
    <mergeCell ref="Y61:Z61"/>
    <mergeCell ref="AB61:AC61"/>
    <mergeCell ref="AE61:AF61"/>
    <mergeCell ref="D62:E62"/>
    <mergeCell ref="G62:H62"/>
    <mergeCell ref="J62:K62"/>
    <mergeCell ref="M62:N62"/>
    <mergeCell ref="P62:Q62"/>
    <mergeCell ref="S62:T62"/>
    <mergeCell ref="V60:W60"/>
    <mergeCell ref="Y60:Z60"/>
    <mergeCell ref="AB60:AC60"/>
    <mergeCell ref="AE60:AF60"/>
    <mergeCell ref="D61:E61"/>
    <mergeCell ref="G61:H61"/>
    <mergeCell ref="J61:K61"/>
    <mergeCell ref="M61:N61"/>
    <mergeCell ref="P61:Q61"/>
    <mergeCell ref="S61:T61"/>
    <mergeCell ref="V59:X59"/>
    <mergeCell ref="Y59:AA59"/>
    <mergeCell ref="AB59:AD59"/>
    <mergeCell ref="AE59:AG59"/>
    <mergeCell ref="D60:E60"/>
    <mergeCell ref="G60:H60"/>
    <mergeCell ref="J60:K60"/>
    <mergeCell ref="M60:N60"/>
    <mergeCell ref="P60:Q60"/>
    <mergeCell ref="S60:T60"/>
    <mergeCell ref="V58:X58"/>
    <mergeCell ref="Y58:AA58"/>
    <mergeCell ref="AB58:AD58"/>
    <mergeCell ref="AE58:AG58"/>
    <mergeCell ref="D59:F59"/>
    <mergeCell ref="G59:I59"/>
    <mergeCell ref="J59:L59"/>
    <mergeCell ref="M59:O59"/>
    <mergeCell ref="P59:R59"/>
    <mergeCell ref="S59:U59"/>
    <mergeCell ref="D58:F58"/>
    <mergeCell ref="G58:I58"/>
    <mergeCell ref="J58:L58"/>
    <mergeCell ref="M58:O58"/>
    <mergeCell ref="P58:R58"/>
    <mergeCell ref="S58:U58"/>
    <mergeCell ref="P57:R57"/>
    <mergeCell ref="S57:U57"/>
    <mergeCell ref="V57:X57"/>
    <mergeCell ref="Y57:AA57"/>
    <mergeCell ref="AB57:AD57"/>
    <mergeCell ref="AE57:AG57"/>
    <mergeCell ref="S54:T54"/>
    <mergeCell ref="V54:W54"/>
    <mergeCell ref="Y54:Z54"/>
    <mergeCell ref="AB54:AC54"/>
    <mergeCell ref="AE54:AF54"/>
    <mergeCell ref="A57:B62"/>
    <mergeCell ref="D57:F57"/>
    <mergeCell ref="G57:I57"/>
    <mergeCell ref="J57:L57"/>
    <mergeCell ref="M57:O57"/>
    <mergeCell ref="S53:T53"/>
    <mergeCell ref="V53:W53"/>
    <mergeCell ref="Y53:Z53"/>
    <mergeCell ref="AB53:AC53"/>
    <mergeCell ref="AE53:AF53"/>
    <mergeCell ref="D54:E54"/>
    <mergeCell ref="G54:H54"/>
    <mergeCell ref="J54:K54"/>
    <mergeCell ref="M54:N54"/>
    <mergeCell ref="P54:Q54"/>
    <mergeCell ref="S52:T52"/>
    <mergeCell ref="V52:W52"/>
    <mergeCell ref="Y52:Z52"/>
    <mergeCell ref="AB52:AC52"/>
    <mergeCell ref="AE52:AF52"/>
    <mergeCell ref="D53:E53"/>
    <mergeCell ref="G53:H53"/>
    <mergeCell ref="J53:K53"/>
    <mergeCell ref="M53:N53"/>
    <mergeCell ref="P53:Q53"/>
    <mergeCell ref="S51:U51"/>
    <mergeCell ref="V51:X51"/>
    <mergeCell ref="Y51:AA51"/>
    <mergeCell ref="AB51:AD51"/>
    <mergeCell ref="AE51:AG51"/>
    <mergeCell ref="D52:E52"/>
    <mergeCell ref="G52:H52"/>
    <mergeCell ref="J52:K52"/>
    <mergeCell ref="M52:N52"/>
    <mergeCell ref="P52:Q52"/>
    <mergeCell ref="S50:U50"/>
    <mergeCell ref="V50:X50"/>
    <mergeCell ref="Y50:AA50"/>
    <mergeCell ref="AB50:AD50"/>
    <mergeCell ref="AE50:AG50"/>
    <mergeCell ref="D51:F51"/>
    <mergeCell ref="G51:I51"/>
    <mergeCell ref="J51:L51"/>
    <mergeCell ref="M51:O51"/>
    <mergeCell ref="P51:R51"/>
    <mergeCell ref="S49:U49"/>
    <mergeCell ref="V49:X49"/>
    <mergeCell ref="Y49:AA49"/>
    <mergeCell ref="AB49:AD49"/>
    <mergeCell ref="AE49:AG49"/>
    <mergeCell ref="D50:F50"/>
    <mergeCell ref="G50:I50"/>
    <mergeCell ref="J50:L50"/>
    <mergeCell ref="M50:O50"/>
    <mergeCell ref="P50:R50"/>
    <mergeCell ref="V46:W46"/>
    <mergeCell ref="Y46:Z46"/>
    <mergeCell ref="AB46:AC46"/>
    <mergeCell ref="AE46:AF46"/>
    <mergeCell ref="A49:B54"/>
    <mergeCell ref="D49:F49"/>
    <mergeCell ref="G49:I49"/>
    <mergeCell ref="J49:L49"/>
    <mergeCell ref="M49:O49"/>
    <mergeCell ref="P49:R49"/>
    <mergeCell ref="V45:W45"/>
    <mergeCell ref="Y45:Z45"/>
    <mergeCell ref="AB45:AC45"/>
    <mergeCell ref="AE45:AF45"/>
    <mergeCell ref="D46:E46"/>
    <mergeCell ref="G46:H46"/>
    <mergeCell ref="J46:K46"/>
    <mergeCell ref="M46:N46"/>
    <mergeCell ref="P46:Q46"/>
    <mergeCell ref="S46:T46"/>
    <mergeCell ref="V44:W44"/>
    <mergeCell ref="Y44:Z44"/>
    <mergeCell ref="AB44:AC44"/>
    <mergeCell ref="AE44:AF44"/>
    <mergeCell ref="D45:E45"/>
    <mergeCell ref="G45:H45"/>
    <mergeCell ref="J45:K45"/>
    <mergeCell ref="M45:N45"/>
    <mergeCell ref="P45:Q45"/>
    <mergeCell ref="S45:T45"/>
    <mergeCell ref="V43:X43"/>
    <mergeCell ref="Y43:AA43"/>
    <mergeCell ref="AB43:AD43"/>
    <mergeCell ref="AE43:AG43"/>
    <mergeCell ref="D44:E44"/>
    <mergeCell ref="G44:H44"/>
    <mergeCell ref="J44:K44"/>
    <mergeCell ref="M44:N44"/>
    <mergeCell ref="P44:Q44"/>
    <mergeCell ref="S44:T44"/>
    <mergeCell ref="V42:X42"/>
    <mergeCell ref="Y42:AA42"/>
    <mergeCell ref="AB42:AD42"/>
    <mergeCell ref="AE42:AG42"/>
    <mergeCell ref="D43:F43"/>
    <mergeCell ref="G43:I43"/>
    <mergeCell ref="J43:L43"/>
    <mergeCell ref="M43:O43"/>
    <mergeCell ref="P43:R43"/>
    <mergeCell ref="S43:U43"/>
    <mergeCell ref="D42:F42"/>
    <mergeCell ref="G42:I42"/>
    <mergeCell ref="J42:L42"/>
    <mergeCell ref="M42:O42"/>
    <mergeCell ref="P42:R42"/>
    <mergeCell ref="S42:U42"/>
    <mergeCell ref="P41:R41"/>
    <mergeCell ref="S41:U41"/>
    <mergeCell ref="V41:X41"/>
    <mergeCell ref="Y41:AA41"/>
    <mergeCell ref="AB41:AD41"/>
    <mergeCell ref="AE41:AG41"/>
    <mergeCell ref="S38:T38"/>
    <mergeCell ref="V38:W38"/>
    <mergeCell ref="Y38:Z38"/>
    <mergeCell ref="AB38:AC38"/>
    <mergeCell ref="AE38:AF38"/>
    <mergeCell ref="A41:B46"/>
    <mergeCell ref="D41:F41"/>
    <mergeCell ref="G41:I41"/>
    <mergeCell ref="J41:L41"/>
    <mergeCell ref="M41:O41"/>
    <mergeCell ref="S37:T37"/>
    <mergeCell ref="V37:W37"/>
    <mergeCell ref="Y37:Z37"/>
    <mergeCell ref="AB37:AC37"/>
    <mergeCell ref="AE37:AF37"/>
    <mergeCell ref="D38:E38"/>
    <mergeCell ref="G38:H38"/>
    <mergeCell ref="J38:K38"/>
    <mergeCell ref="M38:N38"/>
    <mergeCell ref="P38:Q38"/>
    <mergeCell ref="S36:T36"/>
    <mergeCell ref="V36:W36"/>
    <mergeCell ref="Y36:Z36"/>
    <mergeCell ref="AB36:AC36"/>
    <mergeCell ref="AE36:AF36"/>
    <mergeCell ref="D37:E37"/>
    <mergeCell ref="G37:H37"/>
    <mergeCell ref="J37:K37"/>
    <mergeCell ref="M37:N37"/>
    <mergeCell ref="P37:Q37"/>
    <mergeCell ref="S35:U35"/>
    <mergeCell ref="V35:X35"/>
    <mergeCell ref="Y35:AA35"/>
    <mergeCell ref="AB35:AD35"/>
    <mergeCell ref="AE35:AG35"/>
    <mergeCell ref="D36:E36"/>
    <mergeCell ref="G36:H36"/>
    <mergeCell ref="J36:K36"/>
    <mergeCell ref="M36:N36"/>
    <mergeCell ref="P36:Q36"/>
    <mergeCell ref="S34:U34"/>
    <mergeCell ref="V34:X34"/>
    <mergeCell ref="Y34:AA34"/>
    <mergeCell ref="AB34:AD34"/>
    <mergeCell ref="AE34:AG34"/>
    <mergeCell ref="D35:F35"/>
    <mergeCell ref="G35:I35"/>
    <mergeCell ref="J35:L35"/>
    <mergeCell ref="M35:O35"/>
    <mergeCell ref="P35:R35"/>
    <mergeCell ref="S33:U33"/>
    <mergeCell ref="V33:X33"/>
    <mergeCell ref="Y33:AA33"/>
    <mergeCell ref="AB33:AD33"/>
    <mergeCell ref="AE33:AG33"/>
    <mergeCell ref="D34:F34"/>
    <mergeCell ref="G34:I34"/>
    <mergeCell ref="J34:L34"/>
    <mergeCell ref="M34:O34"/>
    <mergeCell ref="P34:R34"/>
    <mergeCell ref="V30:W30"/>
    <mergeCell ref="Y30:Z30"/>
    <mergeCell ref="AB30:AC30"/>
    <mergeCell ref="AE30:AF30"/>
    <mergeCell ref="A33:B38"/>
    <mergeCell ref="D33:F33"/>
    <mergeCell ref="G33:I33"/>
    <mergeCell ref="J33:L33"/>
    <mergeCell ref="M33:O33"/>
    <mergeCell ref="P33:R33"/>
    <mergeCell ref="V29:W29"/>
    <mergeCell ref="Y29:Z29"/>
    <mergeCell ref="AB29:AC29"/>
    <mergeCell ref="AE29:AF29"/>
    <mergeCell ref="D30:E30"/>
    <mergeCell ref="G30:H30"/>
    <mergeCell ref="J30:K30"/>
    <mergeCell ref="M30:N30"/>
    <mergeCell ref="P30:Q30"/>
    <mergeCell ref="S30:T30"/>
    <mergeCell ref="V28:W28"/>
    <mergeCell ref="Y28:Z28"/>
    <mergeCell ref="AB28:AC28"/>
    <mergeCell ref="AE28:AF28"/>
    <mergeCell ref="D29:E29"/>
    <mergeCell ref="G29:H29"/>
    <mergeCell ref="J29:K29"/>
    <mergeCell ref="M29:N29"/>
    <mergeCell ref="P29:Q29"/>
    <mergeCell ref="S29:T29"/>
    <mergeCell ref="V27:X27"/>
    <mergeCell ref="Y27:AA27"/>
    <mergeCell ref="AB27:AD27"/>
    <mergeCell ref="AE27:AG27"/>
    <mergeCell ref="D28:E28"/>
    <mergeCell ref="G28:H28"/>
    <mergeCell ref="J28:K28"/>
    <mergeCell ref="M28:N28"/>
    <mergeCell ref="P28:Q28"/>
    <mergeCell ref="S28:T28"/>
    <mergeCell ref="V26:X26"/>
    <mergeCell ref="Y26:AA26"/>
    <mergeCell ref="AB26:AD26"/>
    <mergeCell ref="AE26:AG26"/>
    <mergeCell ref="D27:F27"/>
    <mergeCell ref="G27:I27"/>
    <mergeCell ref="J27:L27"/>
    <mergeCell ref="M27:O27"/>
    <mergeCell ref="P27:R27"/>
    <mergeCell ref="S27:U27"/>
    <mergeCell ref="D26:F26"/>
    <mergeCell ref="G26:I26"/>
    <mergeCell ref="J26:L26"/>
    <mergeCell ref="M26:O26"/>
    <mergeCell ref="P26:R26"/>
    <mergeCell ref="S26:U26"/>
    <mergeCell ref="P25:R25"/>
    <mergeCell ref="S25:U25"/>
    <mergeCell ref="V25:X25"/>
    <mergeCell ref="Y25:AA25"/>
    <mergeCell ref="AB25:AD25"/>
    <mergeCell ref="AE25:AG25"/>
    <mergeCell ref="S22:T22"/>
    <mergeCell ref="V22:W22"/>
    <mergeCell ref="Y22:Z22"/>
    <mergeCell ref="AB22:AC22"/>
    <mergeCell ref="AE22:AF22"/>
    <mergeCell ref="A25:B30"/>
    <mergeCell ref="D25:F25"/>
    <mergeCell ref="G25:I25"/>
    <mergeCell ref="J25:L25"/>
    <mergeCell ref="M25:O25"/>
    <mergeCell ref="S21:T21"/>
    <mergeCell ref="V21:W21"/>
    <mergeCell ref="Y21:Z21"/>
    <mergeCell ref="AB21:AC21"/>
    <mergeCell ref="AE21:AF21"/>
    <mergeCell ref="D22:E22"/>
    <mergeCell ref="G22:H22"/>
    <mergeCell ref="J22:K22"/>
    <mergeCell ref="M22:N22"/>
    <mergeCell ref="P22:Q22"/>
    <mergeCell ref="S20:T20"/>
    <mergeCell ref="V20:W20"/>
    <mergeCell ref="Y20:Z20"/>
    <mergeCell ref="AB20:AC20"/>
    <mergeCell ref="AE20:AF20"/>
    <mergeCell ref="D21:E21"/>
    <mergeCell ref="G21:H21"/>
    <mergeCell ref="J21:K21"/>
    <mergeCell ref="M21:N21"/>
    <mergeCell ref="P21:Q21"/>
    <mergeCell ref="S19:U19"/>
    <mergeCell ref="V19:X19"/>
    <mergeCell ref="Y19:AA19"/>
    <mergeCell ref="AB19:AD19"/>
    <mergeCell ref="AE19:AG19"/>
    <mergeCell ref="D20:E20"/>
    <mergeCell ref="G20:H20"/>
    <mergeCell ref="J20:K20"/>
    <mergeCell ref="M20:N20"/>
    <mergeCell ref="P20:Q20"/>
    <mergeCell ref="S18:U18"/>
    <mergeCell ref="V18:X18"/>
    <mergeCell ref="Y18:AA18"/>
    <mergeCell ref="AB18:AD18"/>
    <mergeCell ref="AE18:AG18"/>
    <mergeCell ref="D19:F19"/>
    <mergeCell ref="G19:I19"/>
    <mergeCell ref="J19:L19"/>
    <mergeCell ref="M19:O19"/>
    <mergeCell ref="P19:R19"/>
    <mergeCell ref="S17:U17"/>
    <mergeCell ref="V17:X17"/>
    <mergeCell ref="Y17:AA17"/>
    <mergeCell ref="AB17:AD17"/>
    <mergeCell ref="AE17:AG17"/>
    <mergeCell ref="D18:F18"/>
    <mergeCell ref="G18:I18"/>
    <mergeCell ref="J18:L18"/>
    <mergeCell ref="M18:O18"/>
    <mergeCell ref="P18:R18"/>
    <mergeCell ref="V14:W14"/>
    <mergeCell ref="Y14:Z14"/>
    <mergeCell ref="AB14:AC14"/>
    <mergeCell ref="AE14:AF14"/>
    <mergeCell ref="A17:B22"/>
    <mergeCell ref="D17:F17"/>
    <mergeCell ref="G17:I17"/>
    <mergeCell ref="J17:L17"/>
    <mergeCell ref="M17:O17"/>
    <mergeCell ref="P17:R17"/>
    <mergeCell ref="V13:W13"/>
    <mergeCell ref="Y13:Z13"/>
    <mergeCell ref="AB13:AC13"/>
    <mergeCell ref="AE13:AF13"/>
    <mergeCell ref="D14:E14"/>
    <mergeCell ref="G14:H14"/>
    <mergeCell ref="J14:K14"/>
    <mergeCell ref="M14:N14"/>
    <mergeCell ref="P14:Q14"/>
    <mergeCell ref="S14:T14"/>
    <mergeCell ref="V12:W12"/>
    <mergeCell ref="Y12:Z12"/>
    <mergeCell ref="AB12:AC12"/>
    <mergeCell ref="AE12:AF12"/>
    <mergeCell ref="D13:E13"/>
    <mergeCell ref="G13:H13"/>
    <mergeCell ref="J13:K13"/>
    <mergeCell ref="M13:N13"/>
    <mergeCell ref="P13:Q13"/>
    <mergeCell ref="S13:T13"/>
    <mergeCell ref="V11:X11"/>
    <mergeCell ref="Y11:AA11"/>
    <mergeCell ref="AB11:AD11"/>
    <mergeCell ref="AE11:AG11"/>
    <mergeCell ref="D12:E12"/>
    <mergeCell ref="G12:H12"/>
    <mergeCell ref="J12:K12"/>
    <mergeCell ref="M12:N12"/>
    <mergeCell ref="P12:Q12"/>
    <mergeCell ref="S12:T12"/>
    <mergeCell ref="V10:X10"/>
    <mergeCell ref="Y10:AA10"/>
    <mergeCell ref="AB10:AD10"/>
    <mergeCell ref="AE10:AG10"/>
    <mergeCell ref="D11:F11"/>
    <mergeCell ref="G11:I11"/>
    <mergeCell ref="J11:L11"/>
    <mergeCell ref="M11:O11"/>
    <mergeCell ref="P11:R11"/>
    <mergeCell ref="S11:U11"/>
    <mergeCell ref="D10:F10"/>
    <mergeCell ref="G10:I10"/>
    <mergeCell ref="J10:L10"/>
    <mergeCell ref="M10:O10"/>
    <mergeCell ref="P10:R10"/>
    <mergeCell ref="S10:U10"/>
    <mergeCell ref="P9:R9"/>
    <mergeCell ref="S9:U9"/>
    <mergeCell ref="V9:X9"/>
    <mergeCell ref="Y9:AA9"/>
    <mergeCell ref="AB9:AD9"/>
    <mergeCell ref="AE9:AG9"/>
    <mergeCell ref="S6:T6"/>
    <mergeCell ref="V6:W6"/>
    <mergeCell ref="Y6:Z6"/>
    <mergeCell ref="AB6:AC6"/>
    <mergeCell ref="AE6:AF6"/>
    <mergeCell ref="A9:B14"/>
    <mergeCell ref="D9:F9"/>
    <mergeCell ref="G9:I9"/>
    <mergeCell ref="J9:L9"/>
    <mergeCell ref="M9:O9"/>
    <mergeCell ref="S5:T5"/>
    <mergeCell ref="V5:W5"/>
    <mergeCell ref="Y5:Z5"/>
    <mergeCell ref="AB5:AC5"/>
    <mergeCell ref="AE5:AF5"/>
    <mergeCell ref="D6:E6"/>
    <mergeCell ref="G6:H6"/>
    <mergeCell ref="J6:K6"/>
    <mergeCell ref="M6:N6"/>
    <mergeCell ref="P6:Q6"/>
    <mergeCell ref="S4:T4"/>
    <mergeCell ref="V4:W4"/>
    <mergeCell ref="Y4:Z4"/>
    <mergeCell ref="AB4:AC4"/>
    <mergeCell ref="AE4:AF4"/>
    <mergeCell ref="D5:E5"/>
    <mergeCell ref="G5:H5"/>
    <mergeCell ref="J5:K5"/>
    <mergeCell ref="M5:N5"/>
    <mergeCell ref="P5:Q5"/>
    <mergeCell ref="S3:U3"/>
    <mergeCell ref="V3:X3"/>
    <mergeCell ref="Y3:AA3"/>
    <mergeCell ref="AB3:AD3"/>
    <mergeCell ref="AE3:AG3"/>
    <mergeCell ref="D4:E4"/>
    <mergeCell ref="G4:H4"/>
    <mergeCell ref="J4:K4"/>
    <mergeCell ref="M4:N4"/>
    <mergeCell ref="P4:Q4"/>
    <mergeCell ref="S2:U2"/>
    <mergeCell ref="V2:X2"/>
    <mergeCell ref="Y2:AA2"/>
    <mergeCell ref="AB2:AD2"/>
    <mergeCell ref="AE2:AG2"/>
    <mergeCell ref="D3:F3"/>
    <mergeCell ref="G3:I3"/>
    <mergeCell ref="J3:L3"/>
    <mergeCell ref="M3:O3"/>
    <mergeCell ref="P3:R3"/>
    <mergeCell ref="S1:U1"/>
    <mergeCell ref="V1:X1"/>
    <mergeCell ref="Y1:AA1"/>
    <mergeCell ref="AB1:AD1"/>
    <mergeCell ref="AE1:AG1"/>
    <mergeCell ref="D2:F2"/>
    <mergeCell ref="G2:I2"/>
    <mergeCell ref="J2:L2"/>
    <mergeCell ref="M2:O2"/>
    <mergeCell ref="P2:R2"/>
    <mergeCell ref="A1:B6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3166-774A-4EB8-AC09-18BD152001E7}">
  <dimension ref="A1:AG542"/>
  <sheetViews>
    <sheetView topLeftCell="A15" workbookViewId="0">
      <selection sqref="A1:B542"/>
    </sheetView>
  </sheetViews>
  <sheetFormatPr defaultRowHeight="15" x14ac:dyDescent="0.25"/>
  <sheetData>
    <row r="1" spans="1:33" ht="15.75" thickBot="1" x14ac:dyDescent="0.3">
      <c r="A1" s="68" t="s">
        <v>245</v>
      </c>
      <c r="B1" s="68"/>
      <c r="D1" s="52" t="s">
        <v>27</v>
      </c>
      <c r="E1" s="52"/>
      <c r="F1" s="52"/>
      <c r="G1" s="73" t="s">
        <v>28</v>
      </c>
      <c r="H1" s="73"/>
      <c r="I1" s="73"/>
      <c r="J1" s="52" t="s">
        <v>29</v>
      </c>
      <c r="K1" s="52"/>
      <c r="L1" s="52"/>
      <c r="M1" s="73" t="s">
        <v>30</v>
      </c>
      <c r="N1" s="73"/>
      <c r="O1" s="73"/>
      <c r="P1" s="52" t="s">
        <v>31</v>
      </c>
      <c r="Q1" s="52"/>
      <c r="R1" s="52"/>
      <c r="S1" s="73" t="s">
        <v>32</v>
      </c>
      <c r="T1" s="73"/>
      <c r="U1" s="73"/>
      <c r="V1" s="52" t="s">
        <v>33</v>
      </c>
      <c r="W1" s="52"/>
      <c r="X1" s="52"/>
      <c r="Y1" s="73" t="s">
        <v>34</v>
      </c>
      <c r="Z1" s="73"/>
      <c r="AA1" s="73"/>
      <c r="AB1" s="52" t="s">
        <v>35</v>
      </c>
      <c r="AC1" s="52"/>
      <c r="AD1" s="52"/>
      <c r="AE1" s="73" t="s">
        <v>36</v>
      </c>
      <c r="AF1" s="73"/>
      <c r="AG1" s="73"/>
    </row>
    <row r="2" spans="1:33" ht="15.75" thickBot="1" x14ac:dyDescent="0.3">
      <c r="A2" s="68"/>
      <c r="B2" s="68"/>
      <c r="C2" s="105" t="s">
        <v>243</v>
      </c>
      <c r="D2" s="75">
        <v>0</v>
      </c>
      <c r="E2" s="75"/>
      <c r="F2" s="76"/>
      <c r="G2" s="74">
        <v>0</v>
      </c>
      <c r="H2" s="75"/>
      <c r="I2" s="76"/>
      <c r="J2" s="74">
        <v>0</v>
      </c>
      <c r="K2" s="75"/>
      <c r="L2" s="76"/>
      <c r="M2" s="74">
        <v>0</v>
      </c>
      <c r="N2" s="75"/>
      <c r="O2" s="76"/>
      <c r="P2" s="74">
        <v>0</v>
      </c>
      <c r="Q2" s="75"/>
      <c r="R2" s="76"/>
      <c r="S2" s="74">
        <v>0</v>
      </c>
      <c r="T2" s="75"/>
      <c r="U2" s="76"/>
      <c r="V2" s="74">
        <v>0</v>
      </c>
      <c r="W2" s="75"/>
      <c r="X2" s="76"/>
      <c r="Y2" s="74">
        <v>0</v>
      </c>
      <c r="Z2" s="75"/>
      <c r="AA2" s="76"/>
      <c r="AB2" s="74">
        <v>0</v>
      </c>
      <c r="AC2" s="75"/>
      <c r="AD2" s="76"/>
      <c r="AE2" s="74">
        <v>0</v>
      </c>
      <c r="AF2" s="75"/>
      <c r="AG2" s="76"/>
    </row>
    <row r="3" spans="1:33" ht="15.75" thickBot="1" x14ac:dyDescent="0.3">
      <c r="A3" s="68"/>
      <c r="B3" s="68"/>
      <c r="C3" s="106" t="s">
        <v>244</v>
      </c>
      <c r="D3" s="82">
        <v>0</v>
      </c>
      <c r="E3" s="82"/>
      <c r="F3" s="84"/>
      <c r="G3" s="85">
        <v>0</v>
      </c>
      <c r="H3" s="82"/>
      <c r="I3" s="84"/>
      <c r="J3" s="85">
        <v>0</v>
      </c>
      <c r="K3" s="82"/>
      <c r="L3" s="84"/>
      <c r="M3" s="85">
        <v>0</v>
      </c>
      <c r="N3" s="82"/>
      <c r="O3" s="82"/>
      <c r="P3" s="81">
        <v>0</v>
      </c>
      <c r="Q3" s="82"/>
      <c r="R3" s="83"/>
      <c r="S3" s="82">
        <v>0</v>
      </c>
      <c r="T3" s="82"/>
      <c r="U3" s="84"/>
      <c r="V3" s="85">
        <v>0</v>
      </c>
      <c r="W3" s="82"/>
      <c r="X3" s="84"/>
      <c r="Y3" s="85">
        <v>0</v>
      </c>
      <c r="Z3" s="82"/>
      <c r="AA3" s="84"/>
      <c r="AB3" s="85">
        <v>0</v>
      </c>
      <c r="AC3" s="82"/>
      <c r="AD3" s="84"/>
      <c r="AE3" s="85">
        <v>0</v>
      </c>
      <c r="AF3" s="82"/>
      <c r="AG3" s="84"/>
    </row>
    <row r="4" spans="1:33" ht="15.75" thickBot="1" x14ac:dyDescent="0.3">
      <c r="A4" s="68"/>
      <c r="B4" s="68"/>
      <c r="C4" s="107" t="s">
        <v>37</v>
      </c>
      <c r="D4" s="104"/>
      <c r="E4" s="86"/>
      <c r="F4" s="89"/>
      <c r="G4" s="86"/>
      <c r="H4" s="86"/>
      <c r="I4" s="89"/>
      <c r="J4" s="86"/>
      <c r="K4" s="86"/>
      <c r="L4" s="89"/>
      <c r="M4" s="86"/>
      <c r="N4" s="86"/>
      <c r="O4" s="89"/>
      <c r="P4" s="86"/>
      <c r="Q4" s="86"/>
      <c r="R4" s="89"/>
      <c r="S4" s="86"/>
      <c r="T4" s="86"/>
      <c r="U4" s="89"/>
      <c r="V4" s="86"/>
      <c r="W4" s="86"/>
      <c r="X4" s="89"/>
      <c r="Y4" s="86"/>
      <c r="Z4" s="86"/>
      <c r="AA4" s="89"/>
      <c r="AB4" s="86"/>
      <c r="AC4" s="86"/>
      <c r="AD4" s="89"/>
      <c r="AE4" s="86"/>
      <c r="AF4" s="86"/>
      <c r="AG4" s="89"/>
    </row>
    <row r="5" spans="1:33" ht="15.75" thickBot="1" x14ac:dyDescent="0.3">
      <c r="A5" s="68"/>
      <c r="B5" s="68"/>
      <c r="D5" s="87"/>
      <c r="E5" s="87"/>
      <c r="F5" s="90"/>
      <c r="G5" s="87"/>
      <c r="H5" s="87"/>
      <c r="I5" s="90"/>
      <c r="J5" s="87"/>
      <c r="K5" s="87"/>
      <c r="L5" s="90"/>
      <c r="M5" s="87"/>
      <c r="N5" s="87"/>
      <c r="O5" s="90"/>
      <c r="P5" s="87"/>
      <c r="Q5" s="87"/>
      <c r="R5" s="90"/>
      <c r="S5" s="87"/>
      <c r="T5" s="87"/>
      <c r="U5" s="90"/>
      <c r="V5" s="87"/>
      <c r="W5" s="87"/>
      <c r="X5" s="90"/>
      <c r="Y5" s="87"/>
      <c r="Z5" s="87"/>
      <c r="AA5" s="90"/>
      <c r="AB5" s="87"/>
      <c r="AC5" s="87"/>
      <c r="AD5" s="90"/>
      <c r="AE5" s="87"/>
      <c r="AF5" s="87"/>
      <c r="AG5" s="90"/>
    </row>
    <row r="6" spans="1:33" ht="15.75" thickBot="1" x14ac:dyDescent="0.3">
      <c r="A6" s="68"/>
      <c r="B6" s="68"/>
      <c r="D6" s="88"/>
      <c r="E6" s="88"/>
      <c r="F6" s="91"/>
      <c r="G6" s="88"/>
      <c r="H6" s="88"/>
      <c r="I6" s="91"/>
      <c r="J6" s="88"/>
      <c r="K6" s="88"/>
      <c r="L6" s="91"/>
      <c r="M6" s="88"/>
      <c r="N6" s="88"/>
      <c r="O6" s="91"/>
      <c r="P6" s="88"/>
      <c r="Q6" s="88"/>
      <c r="R6" s="91"/>
      <c r="S6" s="88"/>
      <c r="T6" s="88"/>
      <c r="U6" s="91"/>
      <c r="V6" s="88"/>
      <c r="W6" s="88"/>
      <c r="X6" s="91"/>
      <c r="Y6" s="88"/>
      <c r="Z6" s="88"/>
      <c r="AA6" s="91"/>
      <c r="AB6" s="88"/>
      <c r="AC6" s="88"/>
      <c r="AD6" s="91"/>
      <c r="AE6" s="88"/>
      <c r="AF6" s="88"/>
      <c r="AG6" s="91"/>
    </row>
    <row r="8" spans="1:33" ht="15.75" thickBot="1" x14ac:dyDescent="0.3"/>
    <row r="9" spans="1:33" ht="15.75" thickBot="1" x14ac:dyDescent="0.3">
      <c r="A9" s="68" t="s">
        <v>246</v>
      </c>
      <c r="B9" s="68"/>
      <c r="D9" s="52" t="s">
        <v>27</v>
      </c>
      <c r="E9" s="52"/>
      <c r="F9" s="52"/>
      <c r="G9" s="73" t="s">
        <v>28</v>
      </c>
      <c r="H9" s="73"/>
      <c r="I9" s="73"/>
      <c r="J9" s="52" t="s">
        <v>29</v>
      </c>
      <c r="K9" s="52"/>
      <c r="L9" s="52"/>
      <c r="M9" s="73" t="s">
        <v>30</v>
      </c>
      <c r="N9" s="73"/>
      <c r="O9" s="73"/>
      <c r="P9" s="52" t="s">
        <v>31</v>
      </c>
      <c r="Q9" s="52"/>
      <c r="R9" s="52"/>
      <c r="S9" s="73" t="s">
        <v>32</v>
      </c>
      <c r="T9" s="73"/>
      <c r="U9" s="73"/>
      <c r="V9" s="52" t="s">
        <v>33</v>
      </c>
      <c r="W9" s="52"/>
      <c r="X9" s="52"/>
      <c r="Y9" s="73" t="s">
        <v>34</v>
      </c>
      <c r="Z9" s="73"/>
      <c r="AA9" s="73"/>
      <c r="AB9" s="52" t="s">
        <v>35</v>
      </c>
      <c r="AC9" s="52"/>
      <c r="AD9" s="52"/>
      <c r="AE9" s="73" t="s">
        <v>36</v>
      </c>
      <c r="AF9" s="73"/>
      <c r="AG9" s="73"/>
    </row>
    <row r="10" spans="1:33" ht="15.75" thickBot="1" x14ac:dyDescent="0.3">
      <c r="A10" s="68"/>
      <c r="B10" s="68"/>
      <c r="C10" s="105" t="s">
        <v>243</v>
      </c>
      <c r="D10" s="75">
        <v>0</v>
      </c>
      <c r="E10" s="75"/>
      <c r="F10" s="76"/>
      <c r="G10" s="74">
        <v>0</v>
      </c>
      <c r="H10" s="75"/>
      <c r="I10" s="76"/>
      <c r="J10" s="74">
        <v>0</v>
      </c>
      <c r="K10" s="75"/>
      <c r="L10" s="76"/>
      <c r="M10" s="74">
        <v>0</v>
      </c>
      <c r="N10" s="75"/>
      <c r="O10" s="76"/>
      <c r="P10" s="74">
        <v>0</v>
      </c>
      <c r="Q10" s="75"/>
      <c r="R10" s="76"/>
      <c r="S10" s="74">
        <v>0</v>
      </c>
      <c r="T10" s="75"/>
      <c r="U10" s="76"/>
      <c r="V10" s="74">
        <v>0</v>
      </c>
      <c r="W10" s="75"/>
      <c r="X10" s="76"/>
      <c r="Y10" s="74">
        <v>0</v>
      </c>
      <c r="Z10" s="75"/>
      <c r="AA10" s="76"/>
      <c r="AB10" s="74">
        <v>0</v>
      </c>
      <c r="AC10" s="75"/>
      <c r="AD10" s="76"/>
      <c r="AE10" s="74">
        <v>0</v>
      </c>
      <c r="AF10" s="75"/>
      <c r="AG10" s="76"/>
    </row>
    <row r="11" spans="1:33" ht="15.75" thickBot="1" x14ac:dyDescent="0.3">
      <c r="A11" s="68"/>
      <c r="B11" s="68"/>
      <c r="C11" s="106" t="s">
        <v>244</v>
      </c>
      <c r="D11" s="82">
        <v>0</v>
      </c>
      <c r="E11" s="82"/>
      <c r="F11" s="84"/>
      <c r="G11" s="85">
        <v>0</v>
      </c>
      <c r="H11" s="82"/>
      <c r="I11" s="84"/>
      <c r="J11" s="85">
        <v>0</v>
      </c>
      <c r="K11" s="82"/>
      <c r="L11" s="84"/>
      <c r="M11" s="85">
        <v>0</v>
      </c>
      <c r="N11" s="82"/>
      <c r="O11" s="82"/>
      <c r="P11" s="81">
        <v>0</v>
      </c>
      <c r="Q11" s="82"/>
      <c r="R11" s="83"/>
      <c r="S11" s="82">
        <v>0</v>
      </c>
      <c r="T11" s="82"/>
      <c r="U11" s="84"/>
      <c r="V11" s="85">
        <v>0</v>
      </c>
      <c r="W11" s="82"/>
      <c r="X11" s="84"/>
      <c r="Y11" s="85">
        <v>0</v>
      </c>
      <c r="Z11" s="82"/>
      <c r="AA11" s="84"/>
      <c r="AB11" s="85">
        <v>0</v>
      </c>
      <c r="AC11" s="82"/>
      <c r="AD11" s="84"/>
      <c r="AE11" s="85">
        <v>0</v>
      </c>
      <c r="AF11" s="82"/>
      <c r="AG11" s="84"/>
    </row>
    <row r="12" spans="1:33" ht="15.75" thickBot="1" x14ac:dyDescent="0.3">
      <c r="A12" s="68"/>
      <c r="B12" s="68"/>
      <c r="C12" s="107" t="s">
        <v>37</v>
      </c>
      <c r="D12" s="104"/>
      <c r="E12" s="86"/>
      <c r="F12" s="89"/>
      <c r="G12" s="86"/>
      <c r="H12" s="86"/>
      <c r="I12" s="89"/>
      <c r="J12" s="86"/>
      <c r="K12" s="86"/>
      <c r="L12" s="89"/>
      <c r="M12" s="86"/>
      <c r="N12" s="86"/>
      <c r="O12" s="89"/>
      <c r="P12" s="86"/>
      <c r="Q12" s="86"/>
      <c r="R12" s="89"/>
      <c r="S12" s="86"/>
      <c r="T12" s="86"/>
      <c r="U12" s="89"/>
      <c r="V12" s="86"/>
      <c r="W12" s="86"/>
      <c r="X12" s="89"/>
      <c r="Y12" s="86"/>
      <c r="Z12" s="86"/>
      <c r="AA12" s="89"/>
      <c r="AB12" s="86"/>
      <c r="AC12" s="86"/>
      <c r="AD12" s="89"/>
      <c r="AE12" s="86"/>
      <c r="AF12" s="86"/>
      <c r="AG12" s="89"/>
    </row>
    <row r="13" spans="1:33" ht="15.75" thickBot="1" x14ac:dyDescent="0.3">
      <c r="A13" s="68"/>
      <c r="B13" s="68"/>
      <c r="D13" s="87"/>
      <c r="E13" s="87"/>
      <c r="F13" s="90"/>
      <c r="G13" s="87"/>
      <c r="H13" s="87"/>
      <c r="I13" s="90"/>
      <c r="J13" s="87"/>
      <c r="K13" s="87"/>
      <c r="L13" s="90"/>
      <c r="M13" s="87"/>
      <c r="N13" s="87"/>
      <c r="O13" s="90"/>
      <c r="P13" s="87"/>
      <c r="Q13" s="87"/>
      <c r="R13" s="90"/>
      <c r="S13" s="87"/>
      <c r="T13" s="87"/>
      <c r="U13" s="90"/>
      <c r="V13" s="87"/>
      <c r="W13" s="87"/>
      <c r="X13" s="90"/>
      <c r="Y13" s="87"/>
      <c r="Z13" s="87"/>
      <c r="AA13" s="90"/>
      <c r="AB13" s="87"/>
      <c r="AC13" s="87"/>
      <c r="AD13" s="90"/>
      <c r="AE13" s="87"/>
      <c r="AF13" s="87"/>
      <c r="AG13" s="90"/>
    </row>
    <row r="14" spans="1:33" ht="15.75" thickBot="1" x14ac:dyDescent="0.3">
      <c r="A14" s="68"/>
      <c r="B14" s="68"/>
      <c r="D14" s="88"/>
      <c r="E14" s="88"/>
      <c r="F14" s="91"/>
      <c r="G14" s="88"/>
      <c r="H14" s="88"/>
      <c r="I14" s="91"/>
      <c r="J14" s="88"/>
      <c r="K14" s="88"/>
      <c r="L14" s="91"/>
      <c r="M14" s="88"/>
      <c r="N14" s="88"/>
      <c r="O14" s="91"/>
      <c r="P14" s="88"/>
      <c r="Q14" s="88"/>
      <c r="R14" s="91"/>
      <c r="S14" s="88"/>
      <c r="T14" s="88"/>
      <c r="U14" s="91"/>
      <c r="V14" s="88"/>
      <c r="W14" s="88"/>
      <c r="X14" s="91"/>
      <c r="Y14" s="88"/>
      <c r="Z14" s="88"/>
      <c r="AA14" s="91"/>
      <c r="AB14" s="88"/>
      <c r="AC14" s="88"/>
      <c r="AD14" s="91"/>
      <c r="AE14" s="88"/>
      <c r="AF14" s="88"/>
      <c r="AG14" s="91"/>
    </row>
    <row r="16" spans="1:33" ht="15.75" thickBot="1" x14ac:dyDescent="0.3"/>
    <row r="17" spans="1:33" ht="15.75" thickBot="1" x14ac:dyDescent="0.3">
      <c r="A17" s="68" t="s">
        <v>56</v>
      </c>
      <c r="B17" s="68"/>
      <c r="D17" s="52" t="s">
        <v>27</v>
      </c>
      <c r="E17" s="52"/>
      <c r="F17" s="52"/>
      <c r="G17" s="73" t="s">
        <v>28</v>
      </c>
      <c r="H17" s="73"/>
      <c r="I17" s="73"/>
      <c r="J17" s="52" t="s">
        <v>29</v>
      </c>
      <c r="K17" s="52"/>
      <c r="L17" s="52"/>
      <c r="M17" s="73" t="s">
        <v>30</v>
      </c>
      <c r="N17" s="73"/>
      <c r="O17" s="73"/>
      <c r="P17" s="52" t="s">
        <v>31</v>
      </c>
      <c r="Q17" s="52"/>
      <c r="R17" s="52"/>
      <c r="S17" s="73" t="s">
        <v>32</v>
      </c>
      <c r="T17" s="73"/>
      <c r="U17" s="73"/>
      <c r="V17" s="52" t="s">
        <v>33</v>
      </c>
      <c r="W17" s="52"/>
      <c r="X17" s="52"/>
      <c r="Y17" s="73" t="s">
        <v>34</v>
      </c>
      <c r="Z17" s="73"/>
      <c r="AA17" s="73"/>
      <c r="AB17" s="52" t="s">
        <v>35</v>
      </c>
      <c r="AC17" s="52"/>
      <c r="AD17" s="52"/>
      <c r="AE17" s="73" t="s">
        <v>36</v>
      </c>
      <c r="AF17" s="73"/>
      <c r="AG17" s="73"/>
    </row>
    <row r="18" spans="1:33" ht="15.75" thickBot="1" x14ac:dyDescent="0.3">
      <c r="A18" s="68"/>
      <c r="B18" s="68"/>
      <c r="C18" s="105" t="s">
        <v>243</v>
      </c>
      <c r="D18" s="75">
        <v>0</v>
      </c>
      <c r="E18" s="75"/>
      <c r="F18" s="76"/>
      <c r="G18" s="74">
        <v>0</v>
      </c>
      <c r="H18" s="75"/>
      <c r="I18" s="76"/>
      <c r="J18" s="74">
        <v>0</v>
      </c>
      <c r="K18" s="75"/>
      <c r="L18" s="76"/>
      <c r="M18" s="74">
        <v>0</v>
      </c>
      <c r="N18" s="75"/>
      <c r="O18" s="76"/>
      <c r="P18" s="74">
        <v>0</v>
      </c>
      <c r="Q18" s="75"/>
      <c r="R18" s="76"/>
      <c r="S18" s="74">
        <v>0</v>
      </c>
      <c r="T18" s="75"/>
      <c r="U18" s="76"/>
      <c r="V18" s="74">
        <v>0</v>
      </c>
      <c r="W18" s="75"/>
      <c r="X18" s="76"/>
      <c r="Y18" s="74">
        <v>0</v>
      </c>
      <c r="Z18" s="75"/>
      <c r="AA18" s="76"/>
      <c r="AB18" s="74">
        <v>0</v>
      </c>
      <c r="AC18" s="75"/>
      <c r="AD18" s="76"/>
      <c r="AE18" s="74">
        <v>0</v>
      </c>
      <c r="AF18" s="75"/>
      <c r="AG18" s="76"/>
    </row>
    <row r="19" spans="1:33" ht="15.75" thickBot="1" x14ac:dyDescent="0.3">
      <c r="A19" s="68"/>
      <c r="B19" s="68"/>
      <c r="C19" s="106" t="s">
        <v>244</v>
      </c>
      <c r="D19" s="82">
        <v>0</v>
      </c>
      <c r="E19" s="82"/>
      <c r="F19" s="84"/>
      <c r="G19" s="85">
        <v>0</v>
      </c>
      <c r="H19" s="82"/>
      <c r="I19" s="84"/>
      <c r="J19" s="85">
        <v>0</v>
      </c>
      <c r="K19" s="82"/>
      <c r="L19" s="84"/>
      <c r="M19" s="85">
        <v>0</v>
      </c>
      <c r="N19" s="82"/>
      <c r="O19" s="82"/>
      <c r="P19" s="81">
        <v>0</v>
      </c>
      <c r="Q19" s="82"/>
      <c r="R19" s="83"/>
      <c r="S19" s="82">
        <v>0</v>
      </c>
      <c r="T19" s="82"/>
      <c r="U19" s="84"/>
      <c r="V19" s="85">
        <v>0</v>
      </c>
      <c r="W19" s="82"/>
      <c r="X19" s="84"/>
      <c r="Y19" s="85">
        <v>0</v>
      </c>
      <c r="Z19" s="82"/>
      <c r="AA19" s="84"/>
      <c r="AB19" s="85">
        <v>0</v>
      </c>
      <c r="AC19" s="82"/>
      <c r="AD19" s="84"/>
      <c r="AE19" s="85">
        <v>0</v>
      </c>
      <c r="AF19" s="82"/>
      <c r="AG19" s="84"/>
    </row>
    <row r="20" spans="1:33" ht="15.75" thickBot="1" x14ac:dyDescent="0.3">
      <c r="A20" s="68"/>
      <c r="B20" s="68"/>
      <c r="C20" s="107" t="s">
        <v>37</v>
      </c>
      <c r="D20" s="104"/>
      <c r="E20" s="86"/>
      <c r="F20" s="89"/>
      <c r="G20" s="86"/>
      <c r="H20" s="86"/>
      <c r="I20" s="89"/>
      <c r="J20" s="86"/>
      <c r="K20" s="86"/>
      <c r="L20" s="89"/>
      <c r="M20" s="86"/>
      <c r="N20" s="86"/>
      <c r="O20" s="89"/>
      <c r="P20" s="86"/>
      <c r="Q20" s="86"/>
      <c r="R20" s="89"/>
      <c r="S20" s="86"/>
      <c r="T20" s="86"/>
      <c r="U20" s="89"/>
      <c r="V20" s="86"/>
      <c r="W20" s="86"/>
      <c r="X20" s="89"/>
      <c r="Y20" s="86"/>
      <c r="Z20" s="86"/>
      <c r="AA20" s="89"/>
      <c r="AB20" s="86"/>
      <c r="AC20" s="86"/>
      <c r="AD20" s="89"/>
      <c r="AE20" s="86"/>
      <c r="AF20" s="86"/>
      <c r="AG20" s="89"/>
    </row>
    <row r="21" spans="1:33" ht="15.75" thickBot="1" x14ac:dyDescent="0.3">
      <c r="A21" s="68"/>
      <c r="B21" s="68"/>
      <c r="D21" s="87"/>
      <c r="E21" s="87"/>
      <c r="F21" s="90"/>
      <c r="G21" s="87"/>
      <c r="H21" s="87"/>
      <c r="I21" s="90"/>
      <c r="J21" s="87"/>
      <c r="K21" s="87"/>
      <c r="L21" s="90"/>
      <c r="M21" s="87"/>
      <c r="N21" s="87"/>
      <c r="O21" s="90"/>
      <c r="P21" s="87"/>
      <c r="Q21" s="87"/>
      <c r="R21" s="90"/>
      <c r="S21" s="87"/>
      <c r="T21" s="87"/>
      <c r="U21" s="90"/>
      <c r="V21" s="87"/>
      <c r="W21" s="87"/>
      <c r="X21" s="90"/>
      <c r="Y21" s="87"/>
      <c r="Z21" s="87"/>
      <c r="AA21" s="90"/>
      <c r="AB21" s="87"/>
      <c r="AC21" s="87"/>
      <c r="AD21" s="90"/>
      <c r="AE21" s="87"/>
      <c r="AF21" s="87"/>
      <c r="AG21" s="90"/>
    </row>
    <row r="22" spans="1:33" ht="15.75" thickBot="1" x14ac:dyDescent="0.3">
      <c r="A22" s="68"/>
      <c r="B22" s="68"/>
      <c r="D22" s="88"/>
      <c r="E22" s="88"/>
      <c r="F22" s="91"/>
      <c r="G22" s="88"/>
      <c r="H22" s="88"/>
      <c r="I22" s="91"/>
      <c r="J22" s="88"/>
      <c r="K22" s="88"/>
      <c r="L22" s="91"/>
      <c r="M22" s="88"/>
      <c r="N22" s="88"/>
      <c r="O22" s="91"/>
      <c r="P22" s="88"/>
      <c r="Q22" s="88"/>
      <c r="R22" s="91"/>
      <c r="S22" s="88"/>
      <c r="T22" s="88"/>
      <c r="U22" s="91"/>
      <c r="V22" s="88"/>
      <c r="W22" s="88"/>
      <c r="X22" s="91"/>
      <c r="Y22" s="88"/>
      <c r="Z22" s="88"/>
      <c r="AA22" s="91"/>
      <c r="AB22" s="88"/>
      <c r="AC22" s="88"/>
      <c r="AD22" s="91"/>
      <c r="AE22" s="88"/>
      <c r="AF22" s="88"/>
      <c r="AG22" s="91"/>
    </row>
    <row r="24" spans="1:33" ht="15.75" thickBot="1" x14ac:dyDescent="0.3"/>
    <row r="25" spans="1:33" ht="15.75" thickBot="1" x14ac:dyDescent="0.3">
      <c r="A25" s="68" t="s">
        <v>247</v>
      </c>
      <c r="B25" s="68"/>
      <c r="D25" s="52" t="s">
        <v>27</v>
      </c>
      <c r="E25" s="52"/>
      <c r="F25" s="52"/>
      <c r="G25" s="73" t="s">
        <v>28</v>
      </c>
      <c r="H25" s="73"/>
      <c r="I25" s="73"/>
      <c r="J25" s="52" t="s">
        <v>29</v>
      </c>
      <c r="K25" s="52"/>
      <c r="L25" s="52"/>
      <c r="M25" s="73" t="s">
        <v>30</v>
      </c>
      <c r="N25" s="73"/>
      <c r="O25" s="73"/>
      <c r="P25" s="52" t="s">
        <v>31</v>
      </c>
      <c r="Q25" s="52"/>
      <c r="R25" s="52"/>
      <c r="S25" s="73" t="s">
        <v>32</v>
      </c>
      <c r="T25" s="73"/>
      <c r="U25" s="73"/>
      <c r="V25" s="52" t="s">
        <v>33</v>
      </c>
      <c r="W25" s="52"/>
      <c r="X25" s="52"/>
      <c r="Y25" s="73" t="s">
        <v>34</v>
      </c>
      <c r="Z25" s="73"/>
      <c r="AA25" s="73"/>
      <c r="AB25" s="52" t="s">
        <v>35</v>
      </c>
      <c r="AC25" s="52"/>
      <c r="AD25" s="52"/>
      <c r="AE25" s="73" t="s">
        <v>36</v>
      </c>
      <c r="AF25" s="73"/>
      <c r="AG25" s="73"/>
    </row>
    <row r="26" spans="1:33" ht="15.75" thickBot="1" x14ac:dyDescent="0.3">
      <c r="A26" s="68"/>
      <c r="B26" s="68"/>
      <c r="C26" s="105" t="s">
        <v>243</v>
      </c>
      <c r="D26" s="75">
        <v>0</v>
      </c>
      <c r="E26" s="75"/>
      <c r="F26" s="76"/>
      <c r="G26" s="74">
        <v>0</v>
      </c>
      <c r="H26" s="75"/>
      <c r="I26" s="76"/>
      <c r="J26" s="74">
        <v>0</v>
      </c>
      <c r="K26" s="75"/>
      <c r="L26" s="76"/>
      <c r="M26" s="74">
        <v>0</v>
      </c>
      <c r="N26" s="75"/>
      <c r="O26" s="76"/>
      <c r="P26" s="74">
        <v>0</v>
      </c>
      <c r="Q26" s="75"/>
      <c r="R26" s="76"/>
      <c r="S26" s="74">
        <v>0</v>
      </c>
      <c r="T26" s="75"/>
      <c r="U26" s="76"/>
      <c r="V26" s="74">
        <v>0</v>
      </c>
      <c r="W26" s="75"/>
      <c r="X26" s="76"/>
      <c r="Y26" s="74">
        <v>0</v>
      </c>
      <c r="Z26" s="75"/>
      <c r="AA26" s="76"/>
      <c r="AB26" s="74">
        <v>0</v>
      </c>
      <c r="AC26" s="75"/>
      <c r="AD26" s="76"/>
      <c r="AE26" s="74">
        <v>0</v>
      </c>
      <c r="AF26" s="75"/>
      <c r="AG26" s="76"/>
    </row>
    <row r="27" spans="1:33" ht="15.75" thickBot="1" x14ac:dyDescent="0.3">
      <c r="A27" s="68"/>
      <c r="B27" s="68"/>
      <c r="C27" s="106" t="s">
        <v>244</v>
      </c>
      <c r="D27" s="82">
        <v>0</v>
      </c>
      <c r="E27" s="82"/>
      <c r="F27" s="84"/>
      <c r="G27" s="85">
        <v>0</v>
      </c>
      <c r="H27" s="82"/>
      <c r="I27" s="84"/>
      <c r="J27" s="85">
        <v>0</v>
      </c>
      <c r="K27" s="82"/>
      <c r="L27" s="84"/>
      <c r="M27" s="85">
        <v>0</v>
      </c>
      <c r="N27" s="82"/>
      <c r="O27" s="82"/>
      <c r="P27" s="81">
        <v>0</v>
      </c>
      <c r="Q27" s="82"/>
      <c r="R27" s="83"/>
      <c r="S27" s="82">
        <v>0</v>
      </c>
      <c r="T27" s="82"/>
      <c r="U27" s="84"/>
      <c r="V27" s="85">
        <v>0</v>
      </c>
      <c r="W27" s="82"/>
      <c r="X27" s="84"/>
      <c r="Y27" s="85">
        <v>0</v>
      </c>
      <c r="Z27" s="82"/>
      <c r="AA27" s="84"/>
      <c r="AB27" s="85">
        <v>0</v>
      </c>
      <c r="AC27" s="82"/>
      <c r="AD27" s="84"/>
      <c r="AE27" s="85">
        <v>0</v>
      </c>
      <c r="AF27" s="82"/>
      <c r="AG27" s="84"/>
    </row>
    <row r="28" spans="1:33" ht="15.75" thickBot="1" x14ac:dyDescent="0.3">
      <c r="A28" s="68"/>
      <c r="B28" s="68"/>
      <c r="C28" s="107" t="s">
        <v>37</v>
      </c>
      <c r="D28" s="104"/>
      <c r="E28" s="86"/>
      <c r="F28" s="89"/>
      <c r="G28" s="86"/>
      <c r="H28" s="86"/>
      <c r="I28" s="89"/>
      <c r="J28" s="86"/>
      <c r="K28" s="86"/>
      <c r="L28" s="89"/>
      <c r="M28" s="86"/>
      <c r="N28" s="86"/>
      <c r="O28" s="89"/>
      <c r="P28" s="86"/>
      <c r="Q28" s="86"/>
      <c r="R28" s="89"/>
      <c r="S28" s="86"/>
      <c r="T28" s="86"/>
      <c r="U28" s="89"/>
      <c r="V28" s="86"/>
      <c r="W28" s="86"/>
      <c r="X28" s="89"/>
      <c r="Y28" s="86"/>
      <c r="Z28" s="86"/>
      <c r="AA28" s="89"/>
      <c r="AB28" s="86"/>
      <c r="AC28" s="86"/>
      <c r="AD28" s="89"/>
      <c r="AE28" s="86"/>
      <c r="AF28" s="86"/>
      <c r="AG28" s="89"/>
    </row>
    <row r="29" spans="1:33" ht="15.75" thickBot="1" x14ac:dyDescent="0.3">
      <c r="A29" s="68"/>
      <c r="B29" s="68"/>
      <c r="D29" s="87"/>
      <c r="E29" s="87"/>
      <c r="F29" s="90"/>
      <c r="G29" s="87"/>
      <c r="H29" s="87"/>
      <c r="I29" s="90"/>
      <c r="J29" s="87"/>
      <c r="K29" s="87"/>
      <c r="L29" s="90"/>
      <c r="M29" s="87"/>
      <c r="N29" s="87"/>
      <c r="O29" s="90"/>
      <c r="P29" s="87"/>
      <c r="Q29" s="87"/>
      <c r="R29" s="90"/>
      <c r="S29" s="87"/>
      <c r="T29" s="87"/>
      <c r="U29" s="90"/>
      <c r="V29" s="87"/>
      <c r="W29" s="87"/>
      <c r="X29" s="90"/>
      <c r="Y29" s="87"/>
      <c r="Z29" s="87"/>
      <c r="AA29" s="90"/>
      <c r="AB29" s="87"/>
      <c r="AC29" s="87"/>
      <c r="AD29" s="90"/>
      <c r="AE29" s="87"/>
      <c r="AF29" s="87"/>
      <c r="AG29" s="90"/>
    </row>
    <row r="30" spans="1:33" ht="15.75" thickBot="1" x14ac:dyDescent="0.3">
      <c r="A30" s="68"/>
      <c r="B30" s="68"/>
      <c r="D30" s="88"/>
      <c r="E30" s="88"/>
      <c r="F30" s="91"/>
      <c r="G30" s="88"/>
      <c r="H30" s="88"/>
      <c r="I30" s="91"/>
      <c r="J30" s="88"/>
      <c r="K30" s="88"/>
      <c r="L30" s="91"/>
      <c r="M30" s="88"/>
      <c r="N30" s="88"/>
      <c r="O30" s="91"/>
      <c r="P30" s="88"/>
      <c r="Q30" s="88"/>
      <c r="R30" s="91"/>
      <c r="S30" s="88"/>
      <c r="T30" s="88"/>
      <c r="U30" s="91"/>
      <c r="V30" s="88"/>
      <c r="W30" s="88"/>
      <c r="X30" s="91"/>
      <c r="Y30" s="88"/>
      <c r="Z30" s="88"/>
      <c r="AA30" s="91"/>
      <c r="AB30" s="88"/>
      <c r="AC30" s="88"/>
      <c r="AD30" s="91"/>
      <c r="AE30" s="88"/>
      <c r="AF30" s="88"/>
      <c r="AG30" s="91"/>
    </row>
    <row r="32" spans="1:33" ht="15.75" thickBot="1" x14ac:dyDescent="0.3"/>
    <row r="33" spans="1:33" ht="15.75" thickBot="1" x14ac:dyDescent="0.3">
      <c r="A33" s="68" t="s">
        <v>248</v>
      </c>
      <c r="B33" s="68"/>
      <c r="D33" s="52" t="s">
        <v>27</v>
      </c>
      <c r="E33" s="52"/>
      <c r="F33" s="52"/>
      <c r="G33" s="73" t="s">
        <v>28</v>
      </c>
      <c r="H33" s="73"/>
      <c r="I33" s="73"/>
      <c r="J33" s="52" t="s">
        <v>29</v>
      </c>
      <c r="K33" s="52"/>
      <c r="L33" s="52"/>
      <c r="M33" s="73" t="s">
        <v>30</v>
      </c>
      <c r="N33" s="73"/>
      <c r="O33" s="73"/>
      <c r="P33" s="52" t="s">
        <v>31</v>
      </c>
      <c r="Q33" s="52"/>
      <c r="R33" s="52"/>
      <c r="S33" s="73" t="s">
        <v>32</v>
      </c>
      <c r="T33" s="73"/>
      <c r="U33" s="73"/>
      <c r="V33" s="52" t="s">
        <v>33</v>
      </c>
      <c r="W33" s="52"/>
      <c r="X33" s="52"/>
      <c r="Y33" s="73" t="s">
        <v>34</v>
      </c>
      <c r="Z33" s="73"/>
      <c r="AA33" s="73"/>
      <c r="AB33" s="52" t="s">
        <v>35</v>
      </c>
      <c r="AC33" s="52"/>
      <c r="AD33" s="52"/>
      <c r="AE33" s="73" t="s">
        <v>36</v>
      </c>
      <c r="AF33" s="73"/>
      <c r="AG33" s="73"/>
    </row>
    <row r="34" spans="1:33" ht="15.75" thickBot="1" x14ac:dyDescent="0.3">
      <c r="A34" s="68"/>
      <c r="B34" s="68"/>
      <c r="C34" s="105" t="s">
        <v>243</v>
      </c>
      <c r="D34" s="75">
        <v>0</v>
      </c>
      <c r="E34" s="75"/>
      <c r="F34" s="76"/>
      <c r="G34" s="74">
        <v>0</v>
      </c>
      <c r="H34" s="75"/>
      <c r="I34" s="76"/>
      <c r="J34" s="74">
        <v>0</v>
      </c>
      <c r="K34" s="75"/>
      <c r="L34" s="76"/>
      <c r="M34" s="74">
        <v>0</v>
      </c>
      <c r="N34" s="75"/>
      <c r="O34" s="76"/>
      <c r="P34" s="74">
        <v>0</v>
      </c>
      <c r="Q34" s="75"/>
      <c r="R34" s="76"/>
      <c r="S34" s="74">
        <v>0</v>
      </c>
      <c r="T34" s="75"/>
      <c r="U34" s="76"/>
      <c r="V34" s="74">
        <v>0</v>
      </c>
      <c r="W34" s="75"/>
      <c r="X34" s="76"/>
      <c r="Y34" s="74">
        <v>0</v>
      </c>
      <c r="Z34" s="75"/>
      <c r="AA34" s="76"/>
      <c r="AB34" s="74">
        <v>0</v>
      </c>
      <c r="AC34" s="75"/>
      <c r="AD34" s="76"/>
      <c r="AE34" s="74">
        <v>0</v>
      </c>
      <c r="AF34" s="75"/>
      <c r="AG34" s="76"/>
    </row>
    <row r="35" spans="1:33" ht="15.75" thickBot="1" x14ac:dyDescent="0.3">
      <c r="A35" s="68"/>
      <c r="B35" s="68"/>
      <c r="C35" s="106" t="s">
        <v>244</v>
      </c>
      <c r="D35" s="82">
        <v>0</v>
      </c>
      <c r="E35" s="82"/>
      <c r="F35" s="84"/>
      <c r="G35" s="85">
        <v>0</v>
      </c>
      <c r="H35" s="82"/>
      <c r="I35" s="84"/>
      <c r="J35" s="85">
        <v>0</v>
      </c>
      <c r="K35" s="82"/>
      <c r="L35" s="84"/>
      <c r="M35" s="85">
        <v>0</v>
      </c>
      <c r="N35" s="82"/>
      <c r="O35" s="82"/>
      <c r="P35" s="81">
        <v>0</v>
      </c>
      <c r="Q35" s="82"/>
      <c r="R35" s="83"/>
      <c r="S35" s="82">
        <v>0</v>
      </c>
      <c r="T35" s="82"/>
      <c r="U35" s="84"/>
      <c r="V35" s="85">
        <v>0</v>
      </c>
      <c r="W35" s="82"/>
      <c r="X35" s="84"/>
      <c r="Y35" s="85">
        <v>0</v>
      </c>
      <c r="Z35" s="82"/>
      <c r="AA35" s="84"/>
      <c r="AB35" s="85">
        <v>0</v>
      </c>
      <c r="AC35" s="82"/>
      <c r="AD35" s="84"/>
      <c r="AE35" s="85">
        <v>0</v>
      </c>
      <c r="AF35" s="82"/>
      <c r="AG35" s="84"/>
    </row>
    <row r="36" spans="1:33" ht="15.75" thickBot="1" x14ac:dyDescent="0.3">
      <c r="A36" s="68"/>
      <c r="B36" s="68"/>
      <c r="C36" s="107" t="s">
        <v>37</v>
      </c>
      <c r="D36" s="104"/>
      <c r="E36" s="86"/>
      <c r="F36" s="89"/>
      <c r="G36" s="86"/>
      <c r="H36" s="86"/>
      <c r="I36" s="89"/>
      <c r="J36" s="86"/>
      <c r="K36" s="86"/>
      <c r="L36" s="89"/>
      <c r="M36" s="86"/>
      <c r="N36" s="86"/>
      <c r="O36" s="89"/>
      <c r="P36" s="86"/>
      <c r="Q36" s="86"/>
      <c r="R36" s="89"/>
      <c r="S36" s="86"/>
      <c r="T36" s="86"/>
      <c r="U36" s="89"/>
      <c r="V36" s="86"/>
      <c r="W36" s="86"/>
      <c r="X36" s="89"/>
      <c r="Y36" s="86"/>
      <c r="Z36" s="86"/>
      <c r="AA36" s="89"/>
      <c r="AB36" s="86"/>
      <c r="AC36" s="86"/>
      <c r="AD36" s="89"/>
      <c r="AE36" s="86"/>
      <c r="AF36" s="86"/>
      <c r="AG36" s="89"/>
    </row>
    <row r="37" spans="1:33" ht="15.75" thickBot="1" x14ac:dyDescent="0.3">
      <c r="A37" s="68"/>
      <c r="B37" s="68"/>
      <c r="D37" s="87"/>
      <c r="E37" s="87"/>
      <c r="F37" s="90"/>
      <c r="G37" s="87"/>
      <c r="H37" s="87"/>
      <c r="I37" s="90"/>
      <c r="J37" s="87"/>
      <c r="K37" s="87"/>
      <c r="L37" s="90"/>
      <c r="M37" s="87"/>
      <c r="N37" s="87"/>
      <c r="O37" s="90"/>
      <c r="P37" s="87"/>
      <c r="Q37" s="87"/>
      <c r="R37" s="90"/>
      <c r="S37" s="87"/>
      <c r="T37" s="87"/>
      <c r="U37" s="90"/>
      <c r="V37" s="87"/>
      <c r="W37" s="87"/>
      <c r="X37" s="90"/>
      <c r="Y37" s="87"/>
      <c r="Z37" s="87"/>
      <c r="AA37" s="90"/>
      <c r="AB37" s="87"/>
      <c r="AC37" s="87"/>
      <c r="AD37" s="90"/>
      <c r="AE37" s="87"/>
      <c r="AF37" s="87"/>
      <c r="AG37" s="90"/>
    </row>
    <row r="38" spans="1:33" ht="15.75" thickBot="1" x14ac:dyDescent="0.3">
      <c r="A38" s="68"/>
      <c r="B38" s="68"/>
      <c r="D38" s="88"/>
      <c r="E38" s="88"/>
      <c r="F38" s="91"/>
      <c r="G38" s="88"/>
      <c r="H38" s="88"/>
      <c r="I38" s="91"/>
      <c r="J38" s="88"/>
      <c r="K38" s="88"/>
      <c r="L38" s="91"/>
      <c r="M38" s="88"/>
      <c r="N38" s="88"/>
      <c r="O38" s="91"/>
      <c r="P38" s="88"/>
      <c r="Q38" s="88"/>
      <c r="R38" s="91"/>
      <c r="S38" s="88"/>
      <c r="T38" s="88"/>
      <c r="U38" s="91"/>
      <c r="V38" s="88"/>
      <c r="W38" s="88"/>
      <c r="X38" s="91"/>
      <c r="Y38" s="88"/>
      <c r="Z38" s="88"/>
      <c r="AA38" s="91"/>
      <c r="AB38" s="88"/>
      <c r="AC38" s="88"/>
      <c r="AD38" s="91"/>
      <c r="AE38" s="88"/>
      <c r="AF38" s="88"/>
      <c r="AG38" s="91"/>
    </row>
    <row r="40" spans="1:33" ht="15.75" thickBot="1" x14ac:dyDescent="0.3"/>
    <row r="41" spans="1:33" ht="15.75" thickBot="1" x14ac:dyDescent="0.3">
      <c r="A41" s="68" t="s">
        <v>249</v>
      </c>
      <c r="B41" s="68"/>
      <c r="D41" s="52" t="s">
        <v>27</v>
      </c>
      <c r="E41" s="52"/>
      <c r="F41" s="52"/>
      <c r="G41" s="73" t="s">
        <v>28</v>
      </c>
      <c r="H41" s="73"/>
      <c r="I41" s="73"/>
      <c r="J41" s="52" t="s">
        <v>29</v>
      </c>
      <c r="K41" s="52"/>
      <c r="L41" s="52"/>
      <c r="M41" s="73" t="s">
        <v>30</v>
      </c>
      <c r="N41" s="73"/>
      <c r="O41" s="73"/>
      <c r="P41" s="52" t="s">
        <v>31</v>
      </c>
      <c r="Q41" s="52"/>
      <c r="R41" s="52"/>
      <c r="S41" s="73" t="s">
        <v>32</v>
      </c>
      <c r="T41" s="73"/>
      <c r="U41" s="73"/>
      <c r="V41" s="52" t="s">
        <v>33</v>
      </c>
      <c r="W41" s="52"/>
      <c r="X41" s="52"/>
      <c r="Y41" s="73" t="s">
        <v>34</v>
      </c>
      <c r="Z41" s="73"/>
      <c r="AA41" s="73"/>
      <c r="AB41" s="52" t="s">
        <v>35</v>
      </c>
      <c r="AC41" s="52"/>
      <c r="AD41" s="52"/>
      <c r="AE41" s="73" t="s">
        <v>36</v>
      </c>
      <c r="AF41" s="73"/>
      <c r="AG41" s="73"/>
    </row>
    <row r="42" spans="1:33" ht="15.75" thickBot="1" x14ac:dyDescent="0.3">
      <c r="A42" s="68"/>
      <c r="B42" s="68"/>
      <c r="C42" s="105" t="s">
        <v>243</v>
      </c>
      <c r="D42" s="75">
        <v>0</v>
      </c>
      <c r="E42" s="75"/>
      <c r="F42" s="76"/>
      <c r="G42" s="74">
        <v>0</v>
      </c>
      <c r="H42" s="75"/>
      <c r="I42" s="76"/>
      <c r="J42" s="74">
        <v>0</v>
      </c>
      <c r="K42" s="75"/>
      <c r="L42" s="76"/>
      <c r="M42" s="74">
        <v>0</v>
      </c>
      <c r="N42" s="75"/>
      <c r="O42" s="76"/>
      <c r="P42" s="74">
        <v>0</v>
      </c>
      <c r="Q42" s="75"/>
      <c r="R42" s="76"/>
      <c r="S42" s="74">
        <v>0</v>
      </c>
      <c r="T42" s="75"/>
      <c r="U42" s="76"/>
      <c r="V42" s="74">
        <v>0</v>
      </c>
      <c r="W42" s="75"/>
      <c r="X42" s="76"/>
      <c r="Y42" s="74">
        <v>0</v>
      </c>
      <c r="Z42" s="75"/>
      <c r="AA42" s="76"/>
      <c r="AB42" s="74">
        <v>0</v>
      </c>
      <c r="AC42" s="75"/>
      <c r="AD42" s="76"/>
      <c r="AE42" s="74">
        <v>0</v>
      </c>
      <c r="AF42" s="75"/>
      <c r="AG42" s="76"/>
    </row>
    <row r="43" spans="1:33" ht="15.75" thickBot="1" x14ac:dyDescent="0.3">
      <c r="A43" s="68"/>
      <c r="B43" s="68"/>
      <c r="C43" s="106" t="s">
        <v>244</v>
      </c>
      <c r="D43" s="82">
        <v>0</v>
      </c>
      <c r="E43" s="82"/>
      <c r="F43" s="84"/>
      <c r="G43" s="85">
        <v>0</v>
      </c>
      <c r="H43" s="82"/>
      <c r="I43" s="84"/>
      <c r="J43" s="85">
        <v>0</v>
      </c>
      <c r="K43" s="82"/>
      <c r="L43" s="84"/>
      <c r="M43" s="85">
        <v>0</v>
      </c>
      <c r="N43" s="82"/>
      <c r="O43" s="82"/>
      <c r="P43" s="81">
        <v>0</v>
      </c>
      <c r="Q43" s="82"/>
      <c r="R43" s="83"/>
      <c r="S43" s="82">
        <v>0</v>
      </c>
      <c r="T43" s="82"/>
      <c r="U43" s="84"/>
      <c r="V43" s="85">
        <v>0</v>
      </c>
      <c r="W43" s="82"/>
      <c r="X43" s="84"/>
      <c r="Y43" s="85">
        <v>0</v>
      </c>
      <c r="Z43" s="82"/>
      <c r="AA43" s="84"/>
      <c r="AB43" s="85">
        <v>0</v>
      </c>
      <c r="AC43" s="82"/>
      <c r="AD43" s="84"/>
      <c r="AE43" s="85">
        <v>0</v>
      </c>
      <c r="AF43" s="82"/>
      <c r="AG43" s="84"/>
    </row>
    <row r="44" spans="1:33" ht="15.75" thickBot="1" x14ac:dyDescent="0.3">
      <c r="A44" s="68"/>
      <c r="B44" s="68"/>
      <c r="C44" s="107" t="s">
        <v>37</v>
      </c>
      <c r="D44" s="104"/>
      <c r="E44" s="86"/>
      <c r="F44" s="89"/>
      <c r="G44" s="86"/>
      <c r="H44" s="86"/>
      <c r="I44" s="89"/>
      <c r="J44" s="86"/>
      <c r="K44" s="86"/>
      <c r="L44" s="89"/>
      <c r="M44" s="86"/>
      <c r="N44" s="86"/>
      <c r="O44" s="89"/>
      <c r="P44" s="86"/>
      <c r="Q44" s="86"/>
      <c r="R44" s="89"/>
      <c r="S44" s="86"/>
      <c r="T44" s="86"/>
      <c r="U44" s="89"/>
      <c r="V44" s="86"/>
      <c r="W44" s="86"/>
      <c r="X44" s="89"/>
      <c r="Y44" s="86"/>
      <c r="Z44" s="86"/>
      <c r="AA44" s="89"/>
      <c r="AB44" s="86"/>
      <c r="AC44" s="86"/>
      <c r="AD44" s="89"/>
      <c r="AE44" s="86"/>
      <c r="AF44" s="86"/>
      <c r="AG44" s="89"/>
    </row>
    <row r="45" spans="1:33" ht="15.75" thickBot="1" x14ac:dyDescent="0.3">
      <c r="A45" s="68"/>
      <c r="B45" s="68"/>
      <c r="D45" s="87"/>
      <c r="E45" s="87"/>
      <c r="F45" s="90"/>
      <c r="G45" s="87"/>
      <c r="H45" s="87"/>
      <c r="I45" s="90"/>
      <c r="J45" s="87"/>
      <c r="K45" s="87"/>
      <c r="L45" s="90"/>
      <c r="M45" s="87"/>
      <c r="N45" s="87"/>
      <c r="O45" s="90"/>
      <c r="P45" s="87"/>
      <c r="Q45" s="87"/>
      <c r="R45" s="90"/>
      <c r="S45" s="87"/>
      <c r="T45" s="87"/>
      <c r="U45" s="90"/>
      <c r="V45" s="87"/>
      <c r="W45" s="87"/>
      <c r="X45" s="90"/>
      <c r="Y45" s="87"/>
      <c r="Z45" s="87"/>
      <c r="AA45" s="90"/>
      <c r="AB45" s="87"/>
      <c r="AC45" s="87"/>
      <c r="AD45" s="90"/>
      <c r="AE45" s="87"/>
      <c r="AF45" s="87"/>
      <c r="AG45" s="90"/>
    </row>
    <row r="46" spans="1:33" ht="15.75" thickBot="1" x14ac:dyDescent="0.3">
      <c r="A46" s="68"/>
      <c r="B46" s="68"/>
      <c r="D46" s="88"/>
      <c r="E46" s="88"/>
      <c r="F46" s="91"/>
      <c r="G46" s="88"/>
      <c r="H46" s="88"/>
      <c r="I46" s="91"/>
      <c r="J46" s="88"/>
      <c r="K46" s="88"/>
      <c r="L46" s="91"/>
      <c r="M46" s="88"/>
      <c r="N46" s="88"/>
      <c r="O46" s="91"/>
      <c r="P46" s="88"/>
      <c r="Q46" s="88"/>
      <c r="R46" s="91"/>
      <c r="S46" s="88"/>
      <c r="T46" s="88"/>
      <c r="U46" s="91"/>
      <c r="V46" s="88"/>
      <c r="W46" s="88"/>
      <c r="X46" s="91"/>
      <c r="Y46" s="88"/>
      <c r="Z46" s="88"/>
      <c r="AA46" s="91"/>
      <c r="AB46" s="88"/>
      <c r="AC46" s="88"/>
      <c r="AD46" s="91"/>
      <c r="AE46" s="88"/>
      <c r="AF46" s="88"/>
      <c r="AG46" s="91"/>
    </row>
    <row r="48" spans="1:33" ht="15.75" thickBot="1" x14ac:dyDescent="0.3"/>
    <row r="49" spans="1:33" ht="15.75" thickBot="1" x14ac:dyDescent="0.3">
      <c r="A49" s="68" t="s">
        <v>26</v>
      </c>
      <c r="B49" s="68"/>
      <c r="D49" s="52" t="s">
        <v>27</v>
      </c>
      <c r="E49" s="52"/>
      <c r="F49" s="52"/>
      <c r="G49" s="73" t="s">
        <v>28</v>
      </c>
      <c r="H49" s="73"/>
      <c r="I49" s="73"/>
      <c r="J49" s="52" t="s">
        <v>29</v>
      </c>
      <c r="K49" s="52"/>
      <c r="L49" s="52"/>
      <c r="M49" s="73" t="s">
        <v>30</v>
      </c>
      <c r="N49" s="73"/>
      <c r="O49" s="73"/>
      <c r="P49" s="52" t="s">
        <v>31</v>
      </c>
      <c r="Q49" s="52"/>
      <c r="R49" s="52"/>
      <c r="S49" s="73" t="s">
        <v>32</v>
      </c>
      <c r="T49" s="73"/>
      <c r="U49" s="73"/>
      <c r="V49" s="52" t="s">
        <v>33</v>
      </c>
      <c r="W49" s="52"/>
      <c r="X49" s="52"/>
      <c r="Y49" s="73" t="s">
        <v>34</v>
      </c>
      <c r="Z49" s="73"/>
      <c r="AA49" s="73"/>
      <c r="AB49" s="52" t="s">
        <v>35</v>
      </c>
      <c r="AC49" s="52"/>
      <c r="AD49" s="52"/>
      <c r="AE49" s="73" t="s">
        <v>36</v>
      </c>
      <c r="AF49" s="73"/>
      <c r="AG49" s="73"/>
    </row>
    <row r="50" spans="1:33" ht="15.75" thickBot="1" x14ac:dyDescent="0.3">
      <c r="A50" s="68"/>
      <c r="B50" s="68"/>
      <c r="C50" s="105" t="s">
        <v>243</v>
      </c>
      <c r="D50" s="75">
        <v>0</v>
      </c>
      <c r="E50" s="75"/>
      <c r="F50" s="76"/>
      <c r="G50" s="74">
        <v>0</v>
      </c>
      <c r="H50" s="75"/>
      <c r="I50" s="76"/>
      <c r="J50" s="74">
        <v>0</v>
      </c>
      <c r="K50" s="75"/>
      <c r="L50" s="76"/>
      <c r="M50" s="74">
        <v>0</v>
      </c>
      <c r="N50" s="75"/>
      <c r="O50" s="76"/>
      <c r="P50" s="74">
        <v>0</v>
      </c>
      <c r="Q50" s="75"/>
      <c r="R50" s="76"/>
      <c r="S50" s="74">
        <v>0</v>
      </c>
      <c r="T50" s="75"/>
      <c r="U50" s="76"/>
      <c r="V50" s="74">
        <v>0</v>
      </c>
      <c r="W50" s="75"/>
      <c r="X50" s="76"/>
      <c r="Y50" s="74">
        <v>0</v>
      </c>
      <c r="Z50" s="75"/>
      <c r="AA50" s="76"/>
      <c r="AB50" s="74">
        <v>0</v>
      </c>
      <c r="AC50" s="75"/>
      <c r="AD50" s="76"/>
      <c r="AE50" s="74">
        <v>0</v>
      </c>
      <c r="AF50" s="75"/>
      <c r="AG50" s="76"/>
    </row>
    <row r="51" spans="1:33" ht="15.75" thickBot="1" x14ac:dyDescent="0.3">
      <c r="A51" s="68"/>
      <c r="B51" s="68"/>
      <c r="C51" s="106" t="s">
        <v>244</v>
      </c>
      <c r="D51" s="82">
        <v>0</v>
      </c>
      <c r="E51" s="82"/>
      <c r="F51" s="84"/>
      <c r="G51" s="85">
        <v>0</v>
      </c>
      <c r="H51" s="82"/>
      <c r="I51" s="84"/>
      <c r="J51" s="85">
        <v>0</v>
      </c>
      <c r="K51" s="82"/>
      <c r="L51" s="84"/>
      <c r="M51" s="85">
        <v>0</v>
      </c>
      <c r="N51" s="82"/>
      <c r="O51" s="82"/>
      <c r="P51" s="81">
        <v>0</v>
      </c>
      <c r="Q51" s="82"/>
      <c r="R51" s="83"/>
      <c r="S51" s="82">
        <v>0</v>
      </c>
      <c r="T51" s="82"/>
      <c r="U51" s="84"/>
      <c r="V51" s="85">
        <v>0</v>
      </c>
      <c r="W51" s="82"/>
      <c r="X51" s="84"/>
      <c r="Y51" s="85">
        <v>0</v>
      </c>
      <c r="Z51" s="82"/>
      <c r="AA51" s="84"/>
      <c r="AB51" s="85">
        <v>0</v>
      </c>
      <c r="AC51" s="82"/>
      <c r="AD51" s="84"/>
      <c r="AE51" s="85">
        <v>0</v>
      </c>
      <c r="AF51" s="82"/>
      <c r="AG51" s="84"/>
    </row>
    <row r="52" spans="1:33" ht="15.75" thickBot="1" x14ac:dyDescent="0.3">
      <c r="A52" s="68"/>
      <c r="B52" s="68"/>
      <c r="C52" s="107" t="s">
        <v>37</v>
      </c>
      <c r="D52" s="104"/>
      <c r="E52" s="86"/>
      <c r="F52" s="89"/>
      <c r="G52" s="86"/>
      <c r="H52" s="86"/>
      <c r="I52" s="89"/>
      <c r="J52" s="86"/>
      <c r="K52" s="86"/>
      <c r="L52" s="89"/>
      <c r="M52" s="86"/>
      <c r="N52" s="86"/>
      <c r="O52" s="89"/>
      <c r="P52" s="86"/>
      <c r="Q52" s="86"/>
      <c r="R52" s="89"/>
      <c r="S52" s="86"/>
      <c r="T52" s="86"/>
      <c r="U52" s="89"/>
      <c r="V52" s="86"/>
      <c r="W52" s="86"/>
      <c r="X52" s="89"/>
      <c r="Y52" s="86"/>
      <c r="Z52" s="86"/>
      <c r="AA52" s="89"/>
      <c r="AB52" s="86"/>
      <c r="AC52" s="86"/>
      <c r="AD52" s="89"/>
      <c r="AE52" s="86"/>
      <c r="AF52" s="86"/>
      <c r="AG52" s="89"/>
    </row>
    <row r="53" spans="1:33" ht="15.75" thickBot="1" x14ac:dyDescent="0.3">
      <c r="A53" s="68"/>
      <c r="B53" s="68"/>
      <c r="D53" s="87"/>
      <c r="E53" s="87"/>
      <c r="F53" s="90"/>
      <c r="G53" s="87"/>
      <c r="H53" s="87"/>
      <c r="I53" s="90"/>
      <c r="J53" s="87"/>
      <c r="K53" s="87"/>
      <c r="L53" s="90"/>
      <c r="M53" s="87"/>
      <c r="N53" s="87"/>
      <c r="O53" s="90"/>
      <c r="P53" s="87"/>
      <c r="Q53" s="87"/>
      <c r="R53" s="90"/>
      <c r="S53" s="87"/>
      <c r="T53" s="87"/>
      <c r="U53" s="90"/>
      <c r="V53" s="87"/>
      <c r="W53" s="87"/>
      <c r="X53" s="90"/>
      <c r="Y53" s="87"/>
      <c r="Z53" s="87"/>
      <c r="AA53" s="90"/>
      <c r="AB53" s="87"/>
      <c r="AC53" s="87"/>
      <c r="AD53" s="90"/>
      <c r="AE53" s="87"/>
      <c r="AF53" s="87"/>
      <c r="AG53" s="90"/>
    </row>
    <row r="54" spans="1:33" ht="15.75" thickBot="1" x14ac:dyDescent="0.3">
      <c r="A54" s="68"/>
      <c r="B54" s="68"/>
      <c r="D54" s="88"/>
      <c r="E54" s="88"/>
      <c r="F54" s="91"/>
      <c r="G54" s="88"/>
      <c r="H54" s="88"/>
      <c r="I54" s="91"/>
      <c r="J54" s="88"/>
      <c r="K54" s="88"/>
      <c r="L54" s="91"/>
      <c r="M54" s="88"/>
      <c r="N54" s="88"/>
      <c r="O54" s="91"/>
      <c r="P54" s="88"/>
      <c r="Q54" s="88"/>
      <c r="R54" s="91"/>
      <c r="S54" s="88"/>
      <c r="T54" s="88"/>
      <c r="U54" s="91"/>
      <c r="V54" s="88"/>
      <c r="W54" s="88"/>
      <c r="X54" s="91"/>
      <c r="Y54" s="88"/>
      <c r="Z54" s="88"/>
      <c r="AA54" s="91"/>
      <c r="AB54" s="88"/>
      <c r="AC54" s="88"/>
      <c r="AD54" s="91"/>
      <c r="AE54" s="88"/>
      <c r="AF54" s="88"/>
      <c r="AG54" s="91"/>
    </row>
    <row r="56" spans="1:33" ht="15.75" thickBot="1" x14ac:dyDescent="0.3"/>
    <row r="57" spans="1:33" ht="15.75" thickBot="1" x14ac:dyDescent="0.3">
      <c r="A57" s="68" t="s">
        <v>77</v>
      </c>
      <c r="B57" s="68"/>
      <c r="D57" s="52" t="s">
        <v>27</v>
      </c>
      <c r="E57" s="52"/>
      <c r="F57" s="52"/>
      <c r="G57" s="73" t="s">
        <v>28</v>
      </c>
      <c r="H57" s="73"/>
      <c r="I57" s="73"/>
      <c r="J57" s="52" t="s">
        <v>29</v>
      </c>
      <c r="K57" s="52"/>
      <c r="L57" s="52"/>
      <c r="M57" s="73" t="s">
        <v>30</v>
      </c>
      <c r="N57" s="73"/>
      <c r="O57" s="73"/>
      <c r="P57" s="52" t="s">
        <v>31</v>
      </c>
      <c r="Q57" s="52"/>
      <c r="R57" s="52"/>
      <c r="S57" s="73" t="s">
        <v>32</v>
      </c>
      <c r="T57" s="73"/>
      <c r="U57" s="73"/>
      <c r="V57" s="52" t="s">
        <v>33</v>
      </c>
      <c r="W57" s="52"/>
      <c r="X57" s="52"/>
      <c r="Y57" s="73" t="s">
        <v>34</v>
      </c>
      <c r="Z57" s="73"/>
      <c r="AA57" s="73"/>
      <c r="AB57" s="52" t="s">
        <v>35</v>
      </c>
      <c r="AC57" s="52"/>
      <c r="AD57" s="52"/>
      <c r="AE57" s="73" t="s">
        <v>36</v>
      </c>
      <c r="AF57" s="73"/>
      <c r="AG57" s="73"/>
    </row>
    <row r="58" spans="1:33" ht="15.75" thickBot="1" x14ac:dyDescent="0.3">
      <c r="A58" s="68"/>
      <c r="B58" s="68"/>
      <c r="C58" s="105" t="s">
        <v>243</v>
      </c>
      <c r="D58" s="75">
        <v>0</v>
      </c>
      <c r="E58" s="75"/>
      <c r="F58" s="76"/>
      <c r="G58" s="74">
        <v>0</v>
      </c>
      <c r="H58" s="75"/>
      <c r="I58" s="76"/>
      <c r="J58" s="74">
        <v>0</v>
      </c>
      <c r="K58" s="75"/>
      <c r="L58" s="76"/>
      <c r="M58" s="74">
        <v>0</v>
      </c>
      <c r="N58" s="75"/>
      <c r="O58" s="76"/>
      <c r="P58" s="74">
        <v>0</v>
      </c>
      <c r="Q58" s="75"/>
      <c r="R58" s="76"/>
      <c r="S58" s="74">
        <v>0</v>
      </c>
      <c r="T58" s="75"/>
      <c r="U58" s="76"/>
      <c r="V58" s="74">
        <v>0</v>
      </c>
      <c r="W58" s="75"/>
      <c r="X58" s="76"/>
      <c r="Y58" s="74">
        <v>0</v>
      </c>
      <c r="Z58" s="75"/>
      <c r="AA58" s="76"/>
      <c r="AB58" s="74">
        <v>0</v>
      </c>
      <c r="AC58" s="75"/>
      <c r="AD58" s="76"/>
      <c r="AE58" s="74">
        <v>0</v>
      </c>
      <c r="AF58" s="75"/>
      <c r="AG58" s="76"/>
    </row>
    <row r="59" spans="1:33" ht="15.75" thickBot="1" x14ac:dyDescent="0.3">
      <c r="A59" s="68"/>
      <c r="B59" s="68"/>
      <c r="C59" s="106" t="s">
        <v>244</v>
      </c>
      <c r="D59" s="82">
        <v>0</v>
      </c>
      <c r="E59" s="82"/>
      <c r="F59" s="84"/>
      <c r="G59" s="85">
        <v>0</v>
      </c>
      <c r="H59" s="82"/>
      <c r="I59" s="84"/>
      <c r="J59" s="85">
        <v>0</v>
      </c>
      <c r="K59" s="82"/>
      <c r="L59" s="84"/>
      <c r="M59" s="85">
        <v>0</v>
      </c>
      <c r="N59" s="82"/>
      <c r="O59" s="82"/>
      <c r="P59" s="81">
        <v>0</v>
      </c>
      <c r="Q59" s="82"/>
      <c r="R59" s="83"/>
      <c r="S59" s="82">
        <v>0</v>
      </c>
      <c r="T59" s="82"/>
      <c r="U59" s="84"/>
      <c r="V59" s="85">
        <v>0</v>
      </c>
      <c r="W59" s="82"/>
      <c r="X59" s="84"/>
      <c r="Y59" s="85">
        <v>0</v>
      </c>
      <c r="Z59" s="82"/>
      <c r="AA59" s="84"/>
      <c r="AB59" s="85">
        <v>0</v>
      </c>
      <c r="AC59" s="82"/>
      <c r="AD59" s="84"/>
      <c r="AE59" s="85">
        <v>0</v>
      </c>
      <c r="AF59" s="82"/>
      <c r="AG59" s="84"/>
    </row>
    <row r="60" spans="1:33" ht="15.75" thickBot="1" x14ac:dyDescent="0.3">
      <c r="A60" s="68"/>
      <c r="B60" s="68"/>
      <c r="C60" s="107" t="s">
        <v>37</v>
      </c>
      <c r="D60" s="104"/>
      <c r="E60" s="86"/>
      <c r="F60" s="89"/>
      <c r="G60" s="86"/>
      <c r="H60" s="86"/>
      <c r="I60" s="89"/>
      <c r="J60" s="86"/>
      <c r="K60" s="86"/>
      <c r="L60" s="89"/>
      <c r="M60" s="86"/>
      <c r="N60" s="86"/>
      <c r="O60" s="89"/>
      <c r="P60" s="86"/>
      <c r="Q60" s="86"/>
      <c r="R60" s="89"/>
      <c r="S60" s="86"/>
      <c r="T60" s="86"/>
      <c r="U60" s="89"/>
      <c r="V60" s="86"/>
      <c r="W60" s="86"/>
      <c r="X60" s="89"/>
      <c r="Y60" s="86"/>
      <c r="Z60" s="86"/>
      <c r="AA60" s="89"/>
      <c r="AB60" s="86"/>
      <c r="AC60" s="86"/>
      <c r="AD60" s="89"/>
      <c r="AE60" s="86"/>
      <c r="AF60" s="86"/>
      <c r="AG60" s="89"/>
    </row>
    <row r="61" spans="1:33" ht="15.75" thickBot="1" x14ac:dyDescent="0.3">
      <c r="A61" s="68"/>
      <c r="B61" s="68"/>
      <c r="D61" s="87"/>
      <c r="E61" s="87"/>
      <c r="F61" s="90"/>
      <c r="G61" s="87"/>
      <c r="H61" s="87"/>
      <c r="I61" s="90"/>
      <c r="J61" s="87"/>
      <c r="K61" s="87"/>
      <c r="L61" s="90"/>
      <c r="M61" s="87"/>
      <c r="N61" s="87"/>
      <c r="O61" s="90"/>
      <c r="P61" s="87"/>
      <c r="Q61" s="87"/>
      <c r="R61" s="90"/>
      <c r="S61" s="87"/>
      <c r="T61" s="87"/>
      <c r="U61" s="90"/>
      <c r="V61" s="87"/>
      <c r="W61" s="87"/>
      <c r="X61" s="90"/>
      <c r="Y61" s="87"/>
      <c r="Z61" s="87"/>
      <c r="AA61" s="90"/>
      <c r="AB61" s="87"/>
      <c r="AC61" s="87"/>
      <c r="AD61" s="90"/>
      <c r="AE61" s="87"/>
      <c r="AF61" s="87"/>
      <c r="AG61" s="90"/>
    </row>
    <row r="62" spans="1:33" ht="15.75" thickBot="1" x14ac:dyDescent="0.3">
      <c r="A62" s="68"/>
      <c r="B62" s="68"/>
      <c r="D62" s="88"/>
      <c r="E62" s="88"/>
      <c r="F62" s="91"/>
      <c r="G62" s="88"/>
      <c r="H62" s="88"/>
      <c r="I62" s="91"/>
      <c r="J62" s="88"/>
      <c r="K62" s="88"/>
      <c r="L62" s="91"/>
      <c r="M62" s="88"/>
      <c r="N62" s="88"/>
      <c r="O62" s="91"/>
      <c r="P62" s="88"/>
      <c r="Q62" s="88"/>
      <c r="R62" s="91"/>
      <c r="S62" s="88"/>
      <c r="T62" s="88"/>
      <c r="U62" s="91"/>
      <c r="V62" s="88"/>
      <c r="W62" s="88"/>
      <c r="X62" s="91"/>
      <c r="Y62" s="88"/>
      <c r="Z62" s="88"/>
      <c r="AA62" s="91"/>
      <c r="AB62" s="88"/>
      <c r="AC62" s="88"/>
      <c r="AD62" s="91"/>
      <c r="AE62" s="88"/>
      <c r="AF62" s="88"/>
      <c r="AG62" s="91"/>
    </row>
    <row r="64" spans="1:33" ht="15.75" thickBot="1" x14ac:dyDescent="0.3"/>
    <row r="65" spans="1:33" ht="15.75" thickBot="1" x14ac:dyDescent="0.3">
      <c r="A65" s="68" t="s">
        <v>78</v>
      </c>
      <c r="B65" s="68"/>
      <c r="D65" s="52" t="s">
        <v>27</v>
      </c>
      <c r="E65" s="52"/>
      <c r="F65" s="52"/>
      <c r="G65" s="73" t="s">
        <v>28</v>
      </c>
      <c r="H65" s="73"/>
      <c r="I65" s="73"/>
      <c r="J65" s="52" t="s">
        <v>29</v>
      </c>
      <c r="K65" s="52"/>
      <c r="L65" s="52"/>
      <c r="M65" s="73" t="s">
        <v>30</v>
      </c>
      <c r="N65" s="73"/>
      <c r="O65" s="73"/>
      <c r="P65" s="52" t="s">
        <v>31</v>
      </c>
      <c r="Q65" s="52"/>
      <c r="R65" s="52"/>
      <c r="S65" s="73" t="s">
        <v>32</v>
      </c>
      <c r="T65" s="73"/>
      <c r="U65" s="73"/>
      <c r="V65" s="52" t="s">
        <v>33</v>
      </c>
      <c r="W65" s="52"/>
      <c r="X65" s="52"/>
      <c r="Y65" s="73" t="s">
        <v>34</v>
      </c>
      <c r="Z65" s="73"/>
      <c r="AA65" s="73"/>
      <c r="AB65" s="52" t="s">
        <v>35</v>
      </c>
      <c r="AC65" s="52"/>
      <c r="AD65" s="52"/>
      <c r="AE65" s="73" t="s">
        <v>36</v>
      </c>
      <c r="AF65" s="73"/>
      <c r="AG65" s="73"/>
    </row>
    <row r="66" spans="1:33" ht="15.75" thickBot="1" x14ac:dyDescent="0.3">
      <c r="A66" s="68"/>
      <c r="B66" s="68"/>
      <c r="C66" s="105" t="s">
        <v>243</v>
      </c>
      <c r="D66" s="75">
        <v>0</v>
      </c>
      <c r="E66" s="75"/>
      <c r="F66" s="76"/>
      <c r="G66" s="74">
        <v>0</v>
      </c>
      <c r="H66" s="75"/>
      <c r="I66" s="76"/>
      <c r="J66" s="74">
        <v>0</v>
      </c>
      <c r="K66" s="75"/>
      <c r="L66" s="76"/>
      <c r="M66" s="74">
        <v>0</v>
      </c>
      <c r="N66" s="75"/>
      <c r="O66" s="76"/>
      <c r="P66" s="74">
        <v>0</v>
      </c>
      <c r="Q66" s="75"/>
      <c r="R66" s="76"/>
      <c r="S66" s="74">
        <v>0</v>
      </c>
      <c r="T66" s="75"/>
      <c r="U66" s="76"/>
      <c r="V66" s="74">
        <v>0</v>
      </c>
      <c r="W66" s="75"/>
      <c r="X66" s="76"/>
      <c r="Y66" s="74">
        <v>0</v>
      </c>
      <c r="Z66" s="75"/>
      <c r="AA66" s="76"/>
      <c r="AB66" s="74">
        <v>0</v>
      </c>
      <c r="AC66" s="75"/>
      <c r="AD66" s="76"/>
      <c r="AE66" s="74">
        <v>0</v>
      </c>
      <c r="AF66" s="75"/>
      <c r="AG66" s="76"/>
    </row>
    <row r="67" spans="1:33" ht="15.75" thickBot="1" x14ac:dyDescent="0.3">
      <c r="A67" s="68"/>
      <c r="B67" s="68"/>
      <c r="C67" s="106" t="s">
        <v>244</v>
      </c>
      <c r="D67" s="82">
        <v>0</v>
      </c>
      <c r="E67" s="82"/>
      <c r="F67" s="84"/>
      <c r="G67" s="85">
        <v>0</v>
      </c>
      <c r="H67" s="82"/>
      <c r="I67" s="84"/>
      <c r="J67" s="85">
        <v>0</v>
      </c>
      <c r="K67" s="82"/>
      <c r="L67" s="84"/>
      <c r="M67" s="85">
        <v>0</v>
      </c>
      <c r="N67" s="82"/>
      <c r="O67" s="82"/>
      <c r="P67" s="81">
        <v>0</v>
      </c>
      <c r="Q67" s="82"/>
      <c r="R67" s="83"/>
      <c r="S67" s="82">
        <v>0</v>
      </c>
      <c r="T67" s="82"/>
      <c r="U67" s="84"/>
      <c r="V67" s="85">
        <v>0</v>
      </c>
      <c r="W67" s="82"/>
      <c r="X67" s="84"/>
      <c r="Y67" s="85">
        <v>0</v>
      </c>
      <c r="Z67" s="82"/>
      <c r="AA67" s="84"/>
      <c r="AB67" s="85">
        <v>0</v>
      </c>
      <c r="AC67" s="82"/>
      <c r="AD67" s="84"/>
      <c r="AE67" s="85">
        <v>0</v>
      </c>
      <c r="AF67" s="82"/>
      <c r="AG67" s="84"/>
    </row>
    <row r="68" spans="1:33" ht="15.75" thickBot="1" x14ac:dyDescent="0.3">
      <c r="A68" s="68"/>
      <c r="B68" s="68"/>
      <c r="C68" s="107" t="s">
        <v>37</v>
      </c>
      <c r="D68" s="104"/>
      <c r="E68" s="86"/>
      <c r="F68" s="89"/>
      <c r="G68" s="86"/>
      <c r="H68" s="86"/>
      <c r="I68" s="89"/>
      <c r="J68" s="86"/>
      <c r="K68" s="86"/>
      <c r="L68" s="89"/>
      <c r="M68" s="86"/>
      <c r="N68" s="86"/>
      <c r="O68" s="89"/>
      <c r="P68" s="86"/>
      <c r="Q68" s="86"/>
      <c r="R68" s="89"/>
      <c r="S68" s="86"/>
      <c r="T68" s="86"/>
      <c r="U68" s="89"/>
      <c r="V68" s="86"/>
      <c r="W68" s="86"/>
      <c r="X68" s="89"/>
      <c r="Y68" s="86"/>
      <c r="Z68" s="86"/>
      <c r="AA68" s="89"/>
      <c r="AB68" s="86"/>
      <c r="AC68" s="86"/>
      <c r="AD68" s="89"/>
      <c r="AE68" s="86"/>
      <c r="AF68" s="86"/>
      <c r="AG68" s="89"/>
    </row>
    <row r="69" spans="1:33" ht="15.75" thickBot="1" x14ac:dyDescent="0.3">
      <c r="A69" s="68"/>
      <c r="B69" s="68"/>
      <c r="D69" s="87"/>
      <c r="E69" s="87"/>
      <c r="F69" s="90"/>
      <c r="G69" s="87"/>
      <c r="H69" s="87"/>
      <c r="I69" s="90"/>
      <c r="J69" s="87"/>
      <c r="K69" s="87"/>
      <c r="L69" s="90"/>
      <c r="M69" s="87"/>
      <c r="N69" s="87"/>
      <c r="O69" s="90"/>
      <c r="P69" s="87"/>
      <c r="Q69" s="87"/>
      <c r="R69" s="90"/>
      <c r="S69" s="87"/>
      <c r="T69" s="87"/>
      <c r="U69" s="90"/>
      <c r="V69" s="87"/>
      <c r="W69" s="87"/>
      <c r="X69" s="90"/>
      <c r="Y69" s="87"/>
      <c r="Z69" s="87"/>
      <c r="AA69" s="90"/>
      <c r="AB69" s="87"/>
      <c r="AC69" s="87"/>
      <c r="AD69" s="90"/>
      <c r="AE69" s="87"/>
      <c r="AF69" s="87"/>
      <c r="AG69" s="90"/>
    </row>
    <row r="70" spans="1:33" ht="15.75" thickBot="1" x14ac:dyDescent="0.3">
      <c r="A70" s="68"/>
      <c r="B70" s="68"/>
      <c r="D70" s="88"/>
      <c r="E70" s="88"/>
      <c r="F70" s="91"/>
      <c r="G70" s="88"/>
      <c r="H70" s="88"/>
      <c r="I70" s="91"/>
      <c r="J70" s="88"/>
      <c r="K70" s="88"/>
      <c r="L70" s="91"/>
      <c r="M70" s="88"/>
      <c r="N70" s="88"/>
      <c r="O70" s="91"/>
      <c r="P70" s="88"/>
      <c r="Q70" s="88"/>
      <c r="R70" s="91"/>
      <c r="S70" s="88"/>
      <c r="T70" s="88"/>
      <c r="U70" s="91"/>
      <c r="V70" s="88"/>
      <c r="W70" s="88"/>
      <c r="X70" s="91"/>
      <c r="Y70" s="88"/>
      <c r="Z70" s="88"/>
      <c r="AA70" s="91"/>
      <c r="AB70" s="88"/>
      <c r="AC70" s="88"/>
      <c r="AD70" s="91"/>
      <c r="AE70" s="88"/>
      <c r="AF70" s="88"/>
      <c r="AG70" s="91"/>
    </row>
    <row r="72" spans="1:33" ht="15.75" thickBot="1" x14ac:dyDescent="0.3"/>
    <row r="73" spans="1:33" ht="15.75" thickBot="1" x14ac:dyDescent="0.3">
      <c r="A73" s="68" t="s">
        <v>250</v>
      </c>
      <c r="B73" s="68"/>
      <c r="D73" s="52" t="s">
        <v>27</v>
      </c>
      <c r="E73" s="52"/>
      <c r="F73" s="52"/>
      <c r="G73" s="73" t="s">
        <v>28</v>
      </c>
      <c r="H73" s="73"/>
      <c r="I73" s="73"/>
      <c r="J73" s="52" t="s">
        <v>29</v>
      </c>
      <c r="K73" s="52"/>
      <c r="L73" s="52"/>
      <c r="M73" s="73" t="s">
        <v>30</v>
      </c>
      <c r="N73" s="73"/>
      <c r="O73" s="73"/>
      <c r="P73" s="52" t="s">
        <v>31</v>
      </c>
      <c r="Q73" s="52"/>
      <c r="R73" s="52"/>
      <c r="S73" s="73" t="s">
        <v>32</v>
      </c>
      <c r="T73" s="73"/>
      <c r="U73" s="73"/>
      <c r="V73" s="52" t="s">
        <v>33</v>
      </c>
      <c r="W73" s="52"/>
      <c r="X73" s="52"/>
      <c r="Y73" s="73" t="s">
        <v>34</v>
      </c>
      <c r="Z73" s="73"/>
      <c r="AA73" s="73"/>
      <c r="AB73" s="52" t="s">
        <v>35</v>
      </c>
      <c r="AC73" s="52"/>
      <c r="AD73" s="52"/>
      <c r="AE73" s="73" t="s">
        <v>36</v>
      </c>
      <c r="AF73" s="73"/>
      <c r="AG73" s="73"/>
    </row>
    <row r="74" spans="1:33" ht="15.75" thickBot="1" x14ac:dyDescent="0.3">
      <c r="A74" s="68"/>
      <c r="B74" s="68"/>
      <c r="C74" s="105" t="s">
        <v>243</v>
      </c>
      <c r="D74" s="75">
        <v>0</v>
      </c>
      <c r="E74" s="75"/>
      <c r="F74" s="76"/>
      <c r="G74" s="74">
        <v>0</v>
      </c>
      <c r="H74" s="75"/>
      <c r="I74" s="76"/>
      <c r="J74" s="74">
        <v>0</v>
      </c>
      <c r="K74" s="75"/>
      <c r="L74" s="76"/>
      <c r="M74" s="74">
        <v>0</v>
      </c>
      <c r="N74" s="75"/>
      <c r="O74" s="76"/>
      <c r="P74" s="74">
        <v>0</v>
      </c>
      <c r="Q74" s="75"/>
      <c r="R74" s="76"/>
      <c r="S74" s="74">
        <v>0</v>
      </c>
      <c r="T74" s="75"/>
      <c r="U74" s="76"/>
      <c r="V74" s="74">
        <v>0</v>
      </c>
      <c r="W74" s="75"/>
      <c r="X74" s="76"/>
      <c r="Y74" s="74">
        <v>0</v>
      </c>
      <c r="Z74" s="75"/>
      <c r="AA74" s="76"/>
      <c r="AB74" s="74">
        <v>0</v>
      </c>
      <c r="AC74" s="75"/>
      <c r="AD74" s="76"/>
      <c r="AE74" s="74">
        <v>0</v>
      </c>
      <c r="AF74" s="75"/>
      <c r="AG74" s="76"/>
    </row>
    <row r="75" spans="1:33" ht="15.75" thickBot="1" x14ac:dyDescent="0.3">
      <c r="A75" s="68"/>
      <c r="B75" s="68"/>
      <c r="C75" s="106" t="s">
        <v>244</v>
      </c>
      <c r="D75" s="82">
        <v>0</v>
      </c>
      <c r="E75" s="82"/>
      <c r="F75" s="84"/>
      <c r="G75" s="85">
        <v>0</v>
      </c>
      <c r="H75" s="82"/>
      <c r="I75" s="84"/>
      <c r="J75" s="85">
        <v>0</v>
      </c>
      <c r="K75" s="82"/>
      <c r="L75" s="84"/>
      <c r="M75" s="85">
        <v>0</v>
      </c>
      <c r="N75" s="82"/>
      <c r="O75" s="82"/>
      <c r="P75" s="81">
        <v>0</v>
      </c>
      <c r="Q75" s="82"/>
      <c r="R75" s="83"/>
      <c r="S75" s="82">
        <v>0</v>
      </c>
      <c r="T75" s="82"/>
      <c r="U75" s="84"/>
      <c r="V75" s="85">
        <v>0</v>
      </c>
      <c r="W75" s="82"/>
      <c r="X75" s="84"/>
      <c r="Y75" s="85">
        <v>0</v>
      </c>
      <c r="Z75" s="82"/>
      <c r="AA75" s="84"/>
      <c r="AB75" s="85">
        <v>0</v>
      </c>
      <c r="AC75" s="82"/>
      <c r="AD75" s="84"/>
      <c r="AE75" s="85">
        <v>0</v>
      </c>
      <c r="AF75" s="82"/>
      <c r="AG75" s="84"/>
    </row>
    <row r="76" spans="1:33" ht="15.75" thickBot="1" x14ac:dyDescent="0.3">
      <c r="A76" s="68"/>
      <c r="B76" s="68"/>
      <c r="C76" s="107" t="s">
        <v>37</v>
      </c>
      <c r="D76" s="104"/>
      <c r="E76" s="86"/>
      <c r="F76" s="89"/>
      <c r="G76" s="86"/>
      <c r="H76" s="86"/>
      <c r="I76" s="89"/>
      <c r="J76" s="86"/>
      <c r="K76" s="86"/>
      <c r="L76" s="89"/>
      <c r="M76" s="86"/>
      <c r="N76" s="86"/>
      <c r="O76" s="89"/>
      <c r="P76" s="86"/>
      <c r="Q76" s="86"/>
      <c r="R76" s="89"/>
      <c r="S76" s="86"/>
      <c r="T76" s="86"/>
      <c r="U76" s="89"/>
      <c r="V76" s="86"/>
      <c r="W76" s="86"/>
      <c r="X76" s="89"/>
      <c r="Y76" s="86"/>
      <c r="Z76" s="86"/>
      <c r="AA76" s="89"/>
      <c r="AB76" s="86"/>
      <c r="AC76" s="86"/>
      <c r="AD76" s="89"/>
      <c r="AE76" s="86"/>
      <c r="AF76" s="86"/>
      <c r="AG76" s="89"/>
    </row>
    <row r="77" spans="1:33" ht="15.75" thickBot="1" x14ac:dyDescent="0.3">
      <c r="A77" s="68"/>
      <c r="B77" s="68"/>
      <c r="D77" s="87"/>
      <c r="E77" s="87"/>
      <c r="F77" s="90"/>
      <c r="G77" s="87"/>
      <c r="H77" s="87"/>
      <c r="I77" s="90"/>
      <c r="J77" s="87"/>
      <c r="K77" s="87"/>
      <c r="L77" s="90"/>
      <c r="M77" s="87"/>
      <c r="N77" s="87"/>
      <c r="O77" s="90"/>
      <c r="P77" s="87"/>
      <c r="Q77" s="87"/>
      <c r="R77" s="90"/>
      <c r="S77" s="87"/>
      <c r="T77" s="87"/>
      <c r="U77" s="90"/>
      <c r="V77" s="87"/>
      <c r="W77" s="87"/>
      <c r="X77" s="90"/>
      <c r="Y77" s="87"/>
      <c r="Z77" s="87"/>
      <c r="AA77" s="90"/>
      <c r="AB77" s="87"/>
      <c r="AC77" s="87"/>
      <c r="AD77" s="90"/>
      <c r="AE77" s="87"/>
      <c r="AF77" s="87"/>
      <c r="AG77" s="90"/>
    </row>
    <row r="78" spans="1:33" ht="15.75" thickBot="1" x14ac:dyDescent="0.3">
      <c r="A78" s="68"/>
      <c r="B78" s="68"/>
      <c r="D78" s="88"/>
      <c r="E78" s="88"/>
      <c r="F78" s="91"/>
      <c r="G78" s="88"/>
      <c r="H78" s="88"/>
      <c r="I78" s="91"/>
      <c r="J78" s="88"/>
      <c r="K78" s="88"/>
      <c r="L78" s="91"/>
      <c r="M78" s="88"/>
      <c r="N78" s="88"/>
      <c r="O78" s="91"/>
      <c r="P78" s="88"/>
      <c r="Q78" s="88"/>
      <c r="R78" s="91"/>
      <c r="S78" s="88"/>
      <c r="T78" s="88"/>
      <c r="U78" s="91"/>
      <c r="V78" s="88"/>
      <c r="W78" s="88"/>
      <c r="X78" s="91"/>
      <c r="Y78" s="88"/>
      <c r="Z78" s="88"/>
      <c r="AA78" s="91"/>
      <c r="AB78" s="88"/>
      <c r="AC78" s="88"/>
      <c r="AD78" s="91"/>
      <c r="AE78" s="88"/>
      <c r="AF78" s="88"/>
      <c r="AG78" s="91"/>
    </row>
    <row r="80" spans="1:33" ht="15.75" thickBot="1" x14ac:dyDescent="0.3"/>
    <row r="81" spans="1:33" ht="15.75" thickBot="1" x14ac:dyDescent="0.3">
      <c r="A81" s="68" t="s">
        <v>251</v>
      </c>
      <c r="B81" s="68"/>
      <c r="D81" s="52" t="s">
        <v>27</v>
      </c>
      <c r="E81" s="52"/>
      <c r="F81" s="52"/>
      <c r="G81" s="73" t="s">
        <v>28</v>
      </c>
      <c r="H81" s="73"/>
      <c r="I81" s="73"/>
      <c r="J81" s="52" t="s">
        <v>29</v>
      </c>
      <c r="K81" s="52"/>
      <c r="L81" s="52"/>
      <c r="M81" s="73" t="s">
        <v>30</v>
      </c>
      <c r="N81" s="73"/>
      <c r="O81" s="73"/>
      <c r="P81" s="52" t="s">
        <v>31</v>
      </c>
      <c r="Q81" s="52"/>
      <c r="R81" s="52"/>
      <c r="S81" s="73" t="s">
        <v>32</v>
      </c>
      <c r="T81" s="73"/>
      <c r="U81" s="73"/>
      <c r="V81" s="52" t="s">
        <v>33</v>
      </c>
      <c r="W81" s="52"/>
      <c r="X81" s="52"/>
      <c r="Y81" s="73" t="s">
        <v>34</v>
      </c>
      <c r="Z81" s="73"/>
      <c r="AA81" s="73"/>
      <c r="AB81" s="52" t="s">
        <v>35</v>
      </c>
      <c r="AC81" s="52"/>
      <c r="AD81" s="52"/>
      <c r="AE81" s="73" t="s">
        <v>36</v>
      </c>
      <c r="AF81" s="73"/>
      <c r="AG81" s="73"/>
    </row>
    <row r="82" spans="1:33" ht="15.75" thickBot="1" x14ac:dyDescent="0.3">
      <c r="A82" s="68"/>
      <c r="B82" s="68"/>
      <c r="C82" s="105" t="s">
        <v>243</v>
      </c>
      <c r="D82" s="75">
        <v>0</v>
      </c>
      <c r="E82" s="75"/>
      <c r="F82" s="76"/>
      <c r="G82" s="74">
        <v>0</v>
      </c>
      <c r="H82" s="75"/>
      <c r="I82" s="76"/>
      <c r="J82" s="74">
        <v>0</v>
      </c>
      <c r="K82" s="75"/>
      <c r="L82" s="76"/>
      <c r="M82" s="74">
        <v>0</v>
      </c>
      <c r="N82" s="75"/>
      <c r="O82" s="76"/>
      <c r="P82" s="74">
        <v>0</v>
      </c>
      <c r="Q82" s="75"/>
      <c r="R82" s="76"/>
      <c r="S82" s="74">
        <v>0</v>
      </c>
      <c r="T82" s="75"/>
      <c r="U82" s="76"/>
      <c r="V82" s="74">
        <v>0</v>
      </c>
      <c r="W82" s="75"/>
      <c r="X82" s="76"/>
      <c r="Y82" s="74">
        <v>0</v>
      </c>
      <c r="Z82" s="75"/>
      <c r="AA82" s="76"/>
      <c r="AB82" s="74">
        <v>0</v>
      </c>
      <c r="AC82" s="75"/>
      <c r="AD82" s="76"/>
      <c r="AE82" s="74">
        <v>0</v>
      </c>
      <c r="AF82" s="75"/>
      <c r="AG82" s="76"/>
    </row>
    <row r="83" spans="1:33" ht="15.75" thickBot="1" x14ac:dyDescent="0.3">
      <c r="A83" s="68"/>
      <c r="B83" s="68"/>
      <c r="C83" s="106" t="s">
        <v>244</v>
      </c>
      <c r="D83" s="82">
        <v>0</v>
      </c>
      <c r="E83" s="82"/>
      <c r="F83" s="84"/>
      <c r="G83" s="85">
        <v>0</v>
      </c>
      <c r="H83" s="82"/>
      <c r="I83" s="84"/>
      <c r="J83" s="85">
        <v>0</v>
      </c>
      <c r="K83" s="82"/>
      <c r="L83" s="84"/>
      <c r="M83" s="85">
        <v>0</v>
      </c>
      <c r="N83" s="82"/>
      <c r="O83" s="82"/>
      <c r="P83" s="81">
        <v>0</v>
      </c>
      <c r="Q83" s="82"/>
      <c r="R83" s="83"/>
      <c r="S83" s="82">
        <v>0</v>
      </c>
      <c r="T83" s="82"/>
      <c r="U83" s="84"/>
      <c r="V83" s="85">
        <v>0</v>
      </c>
      <c r="W83" s="82"/>
      <c r="X83" s="84"/>
      <c r="Y83" s="85">
        <v>0</v>
      </c>
      <c r="Z83" s="82"/>
      <c r="AA83" s="84"/>
      <c r="AB83" s="85">
        <v>0</v>
      </c>
      <c r="AC83" s="82"/>
      <c r="AD83" s="84"/>
      <c r="AE83" s="85">
        <v>0</v>
      </c>
      <c r="AF83" s="82"/>
      <c r="AG83" s="84"/>
    </row>
    <row r="84" spans="1:33" ht="15.75" thickBot="1" x14ac:dyDescent="0.3">
      <c r="A84" s="68"/>
      <c r="B84" s="68"/>
      <c r="C84" s="107" t="s">
        <v>37</v>
      </c>
      <c r="D84" s="104"/>
      <c r="E84" s="86"/>
      <c r="F84" s="89"/>
      <c r="G84" s="86"/>
      <c r="H84" s="86"/>
      <c r="I84" s="89"/>
      <c r="J84" s="86"/>
      <c r="K84" s="86"/>
      <c r="L84" s="89"/>
      <c r="M84" s="86"/>
      <c r="N84" s="86"/>
      <c r="O84" s="89"/>
      <c r="P84" s="86"/>
      <c r="Q84" s="86"/>
      <c r="R84" s="89"/>
      <c r="S84" s="86"/>
      <c r="T84" s="86"/>
      <c r="U84" s="89"/>
      <c r="V84" s="86"/>
      <c r="W84" s="86"/>
      <c r="X84" s="89"/>
      <c r="Y84" s="86"/>
      <c r="Z84" s="86"/>
      <c r="AA84" s="89"/>
      <c r="AB84" s="86"/>
      <c r="AC84" s="86"/>
      <c r="AD84" s="89"/>
      <c r="AE84" s="86"/>
      <c r="AF84" s="86"/>
      <c r="AG84" s="89"/>
    </row>
    <row r="85" spans="1:33" ht="15.75" thickBot="1" x14ac:dyDescent="0.3">
      <c r="A85" s="68"/>
      <c r="B85" s="68"/>
      <c r="D85" s="87"/>
      <c r="E85" s="87"/>
      <c r="F85" s="90"/>
      <c r="G85" s="87"/>
      <c r="H85" s="87"/>
      <c r="I85" s="90"/>
      <c r="J85" s="87"/>
      <c r="K85" s="87"/>
      <c r="L85" s="90"/>
      <c r="M85" s="87"/>
      <c r="N85" s="87"/>
      <c r="O85" s="90"/>
      <c r="P85" s="87"/>
      <c r="Q85" s="87"/>
      <c r="R85" s="90"/>
      <c r="S85" s="87"/>
      <c r="T85" s="87"/>
      <c r="U85" s="90"/>
      <c r="V85" s="87"/>
      <c r="W85" s="87"/>
      <c r="X85" s="90"/>
      <c r="Y85" s="87"/>
      <c r="Z85" s="87"/>
      <c r="AA85" s="90"/>
      <c r="AB85" s="87"/>
      <c r="AC85" s="87"/>
      <c r="AD85" s="90"/>
      <c r="AE85" s="87"/>
      <c r="AF85" s="87"/>
      <c r="AG85" s="90"/>
    </row>
    <row r="86" spans="1:33" ht="15.75" thickBot="1" x14ac:dyDescent="0.3">
      <c r="A86" s="68"/>
      <c r="B86" s="68"/>
      <c r="D86" s="88"/>
      <c r="E86" s="88"/>
      <c r="F86" s="91"/>
      <c r="G86" s="88"/>
      <c r="H86" s="88"/>
      <c r="I86" s="91"/>
      <c r="J86" s="88"/>
      <c r="K86" s="88"/>
      <c r="L86" s="91"/>
      <c r="M86" s="88"/>
      <c r="N86" s="88"/>
      <c r="O86" s="91"/>
      <c r="P86" s="88"/>
      <c r="Q86" s="88"/>
      <c r="R86" s="91"/>
      <c r="S86" s="88"/>
      <c r="T86" s="88"/>
      <c r="U86" s="91"/>
      <c r="V86" s="88"/>
      <c r="W86" s="88"/>
      <c r="X86" s="91"/>
      <c r="Y86" s="88"/>
      <c r="Z86" s="88"/>
      <c r="AA86" s="91"/>
      <c r="AB86" s="88"/>
      <c r="AC86" s="88"/>
      <c r="AD86" s="91"/>
      <c r="AE86" s="88"/>
      <c r="AF86" s="88"/>
      <c r="AG86" s="91"/>
    </row>
    <row r="88" spans="1:33" ht="15.75" thickBot="1" x14ac:dyDescent="0.3"/>
    <row r="89" spans="1:33" ht="15.75" thickBot="1" x14ac:dyDescent="0.3">
      <c r="A89" s="68" t="s">
        <v>252</v>
      </c>
      <c r="B89" s="68"/>
      <c r="D89" s="52" t="s">
        <v>27</v>
      </c>
      <c r="E89" s="52"/>
      <c r="F89" s="52"/>
      <c r="G89" s="73" t="s">
        <v>28</v>
      </c>
      <c r="H89" s="73"/>
      <c r="I89" s="73"/>
      <c r="J89" s="52" t="s">
        <v>29</v>
      </c>
      <c r="K89" s="52"/>
      <c r="L89" s="52"/>
      <c r="M89" s="73" t="s">
        <v>30</v>
      </c>
      <c r="N89" s="73"/>
      <c r="O89" s="73"/>
      <c r="P89" s="52" t="s">
        <v>31</v>
      </c>
      <c r="Q89" s="52"/>
      <c r="R89" s="52"/>
      <c r="S89" s="73" t="s">
        <v>32</v>
      </c>
      <c r="T89" s="73"/>
      <c r="U89" s="73"/>
      <c r="V89" s="52" t="s">
        <v>33</v>
      </c>
      <c r="W89" s="52"/>
      <c r="X89" s="52"/>
      <c r="Y89" s="73" t="s">
        <v>34</v>
      </c>
      <c r="Z89" s="73"/>
      <c r="AA89" s="73"/>
      <c r="AB89" s="52" t="s">
        <v>35</v>
      </c>
      <c r="AC89" s="52"/>
      <c r="AD89" s="52"/>
      <c r="AE89" s="73" t="s">
        <v>36</v>
      </c>
      <c r="AF89" s="73"/>
      <c r="AG89" s="73"/>
    </row>
    <row r="90" spans="1:33" ht="15.75" thickBot="1" x14ac:dyDescent="0.3">
      <c r="A90" s="68"/>
      <c r="B90" s="68"/>
      <c r="C90" s="105" t="s">
        <v>243</v>
      </c>
      <c r="D90" s="75">
        <v>0</v>
      </c>
      <c r="E90" s="75"/>
      <c r="F90" s="76"/>
      <c r="G90" s="74">
        <v>0</v>
      </c>
      <c r="H90" s="75"/>
      <c r="I90" s="76"/>
      <c r="J90" s="74">
        <v>0</v>
      </c>
      <c r="K90" s="75"/>
      <c r="L90" s="76"/>
      <c r="M90" s="74">
        <v>0</v>
      </c>
      <c r="N90" s="75"/>
      <c r="O90" s="76"/>
      <c r="P90" s="74">
        <v>0</v>
      </c>
      <c r="Q90" s="75"/>
      <c r="R90" s="76"/>
      <c r="S90" s="74">
        <v>0</v>
      </c>
      <c r="T90" s="75"/>
      <c r="U90" s="76"/>
      <c r="V90" s="74">
        <v>0</v>
      </c>
      <c r="W90" s="75"/>
      <c r="X90" s="76"/>
      <c r="Y90" s="74">
        <v>0</v>
      </c>
      <c r="Z90" s="75"/>
      <c r="AA90" s="76"/>
      <c r="AB90" s="74">
        <v>0</v>
      </c>
      <c r="AC90" s="75"/>
      <c r="AD90" s="76"/>
      <c r="AE90" s="74">
        <v>0</v>
      </c>
      <c r="AF90" s="75"/>
      <c r="AG90" s="76"/>
    </row>
    <row r="91" spans="1:33" ht="15.75" thickBot="1" x14ac:dyDescent="0.3">
      <c r="A91" s="68"/>
      <c r="B91" s="68"/>
      <c r="C91" s="106" t="s">
        <v>244</v>
      </c>
      <c r="D91" s="82">
        <v>0</v>
      </c>
      <c r="E91" s="82"/>
      <c r="F91" s="84"/>
      <c r="G91" s="85">
        <v>0</v>
      </c>
      <c r="H91" s="82"/>
      <c r="I91" s="84"/>
      <c r="J91" s="85">
        <v>0</v>
      </c>
      <c r="K91" s="82"/>
      <c r="L91" s="84"/>
      <c r="M91" s="85">
        <v>0</v>
      </c>
      <c r="N91" s="82"/>
      <c r="O91" s="82"/>
      <c r="P91" s="81">
        <v>0</v>
      </c>
      <c r="Q91" s="82"/>
      <c r="R91" s="83"/>
      <c r="S91" s="82">
        <v>0</v>
      </c>
      <c r="T91" s="82"/>
      <c r="U91" s="84"/>
      <c r="V91" s="85">
        <v>0</v>
      </c>
      <c r="W91" s="82"/>
      <c r="X91" s="84"/>
      <c r="Y91" s="85">
        <v>0</v>
      </c>
      <c r="Z91" s="82"/>
      <c r="AA91" s="84"/>
      <c r="AB91" s="85">
        <v>0</v>
      </c>
      <c r="AC91" s="82"/>
      <c r="AD91" s="84"/>
      <c r="AE91" s="85">
        <v>0</v>
      </c>
      <c r="AF91" s="82"/>
      <c r="AG91" s="84"/>
    </row>
    <row r="92" spans="1:33" ht="15.75" thickBot="1" x14ac:dyDescent="0.3">
      <c r="A92" s="68"/>
      <c r="B92" s="68"/>
      <c r="C92" s="107" t="s">
        <v>37</v>
      </c>
      <c r="D92" s="104"/>
      <c r="E92" s="86"/>
      <c r="F92" s="89"/>
      <c r="G92" s="86"/>
      <c r="H92" s="86"/>
      <c r="I92" s="89"/>
      <c r="J92" s="86"/>
      <c r="K92" s="86"/>
      <c r="L92" s="89"/>
      <c r="M92" s="86"/>
      <c r="N92" s="86"/>
      <c r="O92" s="89"/>
      <c r="P92" s="86"/>
      <c r="Q92" s="86"/>
      <c r="R92" s="89"/>
      <c r="S92" s="86"/>
      <c r="T92" s="86"/>
      <c r="U92" s="89"/>
      <c r="V92" s="86"/>
      <c r="W92" s="86"/>
      <c r="X92" s="89"/>
      <c r="Y92" s="86"/>
      <c r="Z92" s="86"/>
      <c r="AA92" s="89"/>
      <c r="AB92" s="86"/>
      <c r="AC92" s="86"/>
      <c r="AD92" s="89"/>
      <c r="AE92" s="86"/>
      <c r="AF92" s="86"/>
      <c r="AG92" s="89"/>
    </row>
    <row r="93" spans="1:33" ht="15.75" thickBot="1" x14ac:dyDescent="0.3">
      <c r="A93" s="68"/>
      <c r="B93" s="68"/>
      <c r="D93" s="87"/>
      <c r="E93" s="87"/>
      <c r="F93" s="90"/>
      <c r="G93" s="87"/>
      <c r="H93" s="87"/>
      <c r="I93" s="90"/>
      <c r="J93" s="87"/>
      <c r="K93" s="87"/>
      <c r="L93" s="90"/>
      <c r="M93" s="87"/>
      <c r="N93" s="87"/>
      <c r="O93" s="90"/>
      <c r="P93" s="87"/>
      <c r="Q93" s="87"/>
      <c r="R93" s="90"/>
      <c r="S93" s="87"/>
      <c r="T93" s="87"/>
      <c r="U93" s="90"/>
      <c r="V93" s="87"/>
      <c r="W93" s="87"/>
      <c r="X93" s="90"/>
      <c r="Y93" s="87"/>
      <c r="Z93" s="87"/>
      <c r="AA93" s="90"/>
      <c r="AB93" s="87"/>
      <c r="AC93" s="87"/>
      <c r="AD93" s="90"/>
      <c r="AE93" s="87"/>
      <c r="AF93" s="87"/>
      <c r="AG93" s="90"/>
    </row>
    <row r="94" spans="1:33" ht="15.75" thickBot="1" x14ac:dyDescent="0.3">
      <c r="A94" s="68"/>
      <c r="B94" s="68"/>
      <c r="D94" s="88"/>
      <c r="E94" s="88"/>
      <c r="F94" s="91"/>
      <c r="G94" s="88"/>
      <c r="H94" s="88"/>
      <c r="I94" s="91"/>
      <c r="J94" s="88"/>
      <c r="K94" s="88"/>
      <c r="L94" s="91"/>
      <c r="M94" s="88"/>
      <c r="N94" s="88"/>
      <c r="O94" s="91"/>
      <c r="P94" s="88"/>
      <c r="Q94" s="88"/>
      <c r="R94" s="91"/>
      <c r="S94" s="88"/>
      <c r="T94" s="88"/>
      <c r="U94" s="91"/>
      <c r="V94" s="88"/>
      <c r="W94" s="88"/>
      <c r="X94" s="91"/>
      <c r="Y94" s="88"/>
      <c r="Z94" s="88"/>
      <c r="AA94" s="91"/>
      <c r="AB94" s="88"/>
      <c r="AC94" s="88"/>
      <c r="AD94" s="91"/>
      <c r="AE94" s="88"/>
      <c r="AF94" s="88"/>
      <c r="AG94" s="91"/>
    </row>
    <row r="96" spans="1:33" ht="15.75" thickBot="1" x14ac:dyDescent="0.3"/>
    <row r="97" spans="1:33" ht="15.75" thickBot="1" x14ac:dyDescent="0.3">
      <c r="A97" s="68" t="s">
        <v>80</v>
      </c>
      <c r="B97" s="68"/>
      <c r="D97" s="52" t="s">
        <v>27</v>
      </c>
      <c r="E97" s="52"/>
      <c r="F97" s="52"/>
      <c r="G97" s="73" t="s">
        <v>28</v>
      </c>
      <c r="H97" s="73"/>
      <c r="I97" s="73"/>
      <c r="J97" s="52" t="s">
        <v>29</v>
      </c>
      <c r="K97" s="52"/>
      <c r="L97" s="52"/>
      <c r="M97" s="73" t="s">
        <v>30</v>
      </c>
      <c r="N97" s="73"/>
      <c r="O97" s="73"/>
      <c r="P97" s="52" t="s">
        <v>31</v>
      </c>
      <c r="Q97" s="52"/>
      <c r="R97" s="52"/>
      <c r="S97" s="73" t="s">
        <v>32</v>
      </c>
      <c r="T97" s="73"/>
      <c r="U97" s="73"/>
      <c r="V97" s="52" t="s">
        <v>33</v>
      </c>
      <c r="W97" s="52"/>
      <c r="X97" s="52"/>
      <c r="Y97" s="73" t="s">
        <v>34</v>
      </c>
      <c r="Z97" s="73"/>
      <c r="AA97" s="73"/>
      <c r="AB97" s="52" t="s">
        <v>35</v>
      </c>
      <c r="AC97" s="52"/>
      <c r="AD97" s="52"/>
      <c r="AE97" s="73" t="s">
        <v>36</v>
      </c>
      <c r="AF97" s="73"/>
      <c r="AG97" s="73"/>
    </row>
    <row r="98" spans="1:33" ht="15.75" thickBot="1" x14ac:dyDescent="0.3">
      <c r="A98" s="68"/>
      <c r="B98" s="68"/>
      <c r="C98" s="105" t="s">
        <v>243</v>
      </c>
      <c r="D98" s="75">
        <v>0</v>
      </c>
      <c r="E98" s="75"/>
      <c r="F98" s="76"/>
      <c r="G98" s="74">
        <v>0</v>
      </c>
      <c r="H98" s="75"/>
      <c r="I98" s="76"/>
      <c r="J98" s="74">
        <v>0</v>
      </c>
      <c r="K98" s="75"/>
      <c r="L98" s="76"/>
      <c r="M98" s="74">
        <v>0</v>
      </c>
      <c r="N98" s="75"/>
      <c r="O98" s="76"/>
      <c r="P98" s="74">
        <v>0</v>
      </c>
      <c r="Q98" s="75"/>
      <c r="R98" s="76"/>
      <c r="S98" s="74">
        <v>0</v>
      </c>
      <c r="T98" s="75"/>
      <c r="U98" s="76"/>
      <c r="V98" s="74">
        <v>0</v>
      </c>
      <c r="W98" s="75"/>
      <c r="X98" s="76"/>
      <c r="Y98" s="74">
        <v>0</v>
      </c>
      <c r="Z98" s="75"/>
      <c r="AA98" s="76"/>
      <c r="AB98" s="74">
        <v>0</v>
      </c>
      <c r="AC98" s="75"/>
      <c r="AD98" s="76"/>
      <c r="AE98" s="74">
        <v>0</v>
      </c>
      <c r="AF98" s="75"/>
      <c r="AG98" s="76"/>
    </row>
    <row r="99" spans="1:33" ht="15.75" thickBot="1" x14ac:dyDescent="0.3">
      <c r="A99" s="68"/>
      <c r="B99" s="68"/>
      <c r="C99" s="106" t="s">
        <v>244</v>
      </c>
      <c r="D99" s="82">
        <v>0</v>
      </c>
      <c r="E99" s="82"/>
      <c r="F99" s="84"/>
      <c r="G99" s="85">
        <v>0</v>
      </c>
      <c r="H99" s="82"/>
      <c r="I99" s="84"/>
      <c r="J99" s="85">
        <v>0</v>
      </c>
      <c r="K99" s="82"/>
      <c r="L99" s="84"/>
      <c r="M99" s="85">
        <v>0</v>
      </c>
      <c r="N99" s="82"/>
      <c r="O99" s="82"/>
      <c r="P99" s="81">
        <v>0</v>
      </c>
      <c r="Q99" s="82"/>
      <c r="R99" s="83"/>
      <c r="S99" s="82">
        <v>0</v>
      </c>
      <c r="T99" s="82"/>
      <c r="U99" s="84"/>
      <c r="V99" s="85">
        <v>0</v>
      </c>
      <c r="W99" s="82"/>
      <c r="X99" s="84"/>
      <c r="Y99" s="85">
        <v>0</v>
      </c>
      <c r="Z99" s="82"/>
      <c r="AA99" s="84"/>
      <c r="AB99" s="85">
        <v>0</v>
      </c>
      <c r="AC99" s="82"/>
      <c r="AD99" s="84"/>
      <c r="AE99" s="85">
        <v>0</v>
      </c>
      <c r="AF99" s="82"/>
      <c r="AG99" s="84"/>
    </row>
    <row r="100" spans="1:33" ht="15.75" thickBot="1" x14ac:dyDescent="0.3">
      <c r="A100" s="68"/>
      <c r="B100" s="68"/>
      <c r="C100" s="107" t="s">
        <v>37</v>
      </c>
      <c r="D100" s="104"/>
      <c r="E100" s="86"/>
      <c r="F100" s="89"/>
      <c r="G100" s="86"/>
      <c r="H100" s="86"/>
      <c r="I100" s="89"/>
      <c r="J100" s="86"/>
      <c r="K100" s="86"/>
      <c r="L100" s="89"/>
      <c r="M100" s="86"/>
      <c r="N100" s="86"/>
      <c r="O100" s="89"/>
      <c r="P100" s="86"/>
      <c r="Q100" s="86"/>
      <c r="R100" s="89"/>
      <c r="S100" s="86"/>
      <c r="T100" s="86"/>
      <c r="U100" s="89"/>
      <c r="V100" s="86"/>
      <c r="W100" s="86"/>
      <c r="X100" s="89"/>
      <c r="Y100" s="86"/>
      <c r="Z100" s="86"/>
      <c r="AA100" s="89"/>
      <c r="AB100" s="86"/>
      <c r="AC100" s="86"/>
      <c r="AD100" s="89"/>
      <c r="AE100" s="86"/>
      <c r="AF100" s="86"/>
      <c r="AG100" s="89"/>
    </row>
    <row r="101" spans="1:33" ht="15.75" thickBot="1" x14ac:dyDescent="0.3">
      <c r="A101" s="68"/>
      <c r="B101" s="68"/>
      <c r="D101" s="87"/>
      <c r="E101" s="87"/>
      <c r="F101" s="90"/>
      <c r="G101" s="87"/>
      <c r="H101" s="87"/>
      <c r="I101" s="90"/>
      <c r="J101" s="87"/>
      <c r="K101" s="87"/>
      <c r="L101" s="90"/>
      <c r="M101" s="87"/>
      <c r="N101" s="87"/>
      <c r="O101" s="90"/>
      <c r="P101" s="87"/>
      <c r="Q101" s="87"/>
      <c r="R101" s="90"/>
      <c r="S101" s="87"/>
      <c r="T101" s="87"/>
      <c r="U101" s="90"/>
      <c r="V101" s="87"/>
      <c r="W101" s="87"/>
      <c r="X101" s="90"/>
      <c r="Y101" s="87"/>
      <c r="Z101" s="87"/>
      <c r="AA101" s="90"/>
      <c r="AB101" s="87"/>
      <c r="AC101" s="87"/>
      <c r="AD101" s="90"/>
      <c r="AE101" s="87"/>
      <c r="AF101" s="87"/>
      <c r="AG101" s="90"/>
    </row>
    <row r="102" spans="1:33" ht="15.75" thickBot="1" x14ac:dyDescent="0.3">
      <c r="A102" s="68"/>
      <c r="B102" s="68"/>
      <c r="D102" s="88"/>
      <c r="E102" s="88"/>
      <c r="F102" s="91"/>
      <c r="G102" s="88"/>
      <c r="H102" s="88"/>
      <c r="I102" s="91"/>
      <c r="J102" s="88"/>
      <c r="K102" s="88"/>
      <c r="L102" s="91"/>
      <c r="M102" s="88"/>
      <c r="N102" s="88"/>
      <c r="O102" s="91"/>
      <c r="P102" s="88"/>
      <c r="Q102" s="88"/>
      <c r="R102" s="91"/>
      <c r="S102" s="88"/>
      <c r="T102" s="88"/>
      <c r="U102" s="91"/>
      <c r="V102" s="88"/>
      <c r="W102" s="88"/>
      <c r="X102" s="91"/>
      <c r="Y102" s="88"/>
      <c r="Z102" s="88"/>
      <c r="AA102" s="91"/>
      <c r="AB102" s="88"/>
      <c r="AC102" s="88"/>
      <c r="AD102" s="91"/>
      <c r="AE102" s="88"/>
      <c r="AF102" s="88"/>
      <c r="AG102" s="91"/>
    </row>
    <row r="104" spans="1:33" ht="15.75" thickBot="1" x14ac:dyDescent="0.3"/>
    <row r="105" spans="1:33" ht="15.75" thickBot="1" x14ac:dyDescent="0.3">
      <c r="A105" s="68" t="s">
        <v>81</v>
      </c>
      <c r="B105" s="68"/>
      <c r="D105" s="52" t="s">
        <v>27</v>
      </c>
      <c r="E105" s="52"/>
      <c r="F105" s="52"/>
      <c r="G105" s="73" t="s">
        <v>28</v>
      </c>
      <c r="H105" s="73"/>
      <c r="I105" s="73"/>
      <c r="J105" s="52" t="s">
        <v>29</v>
      </c>
      <c r="K105" s="52"/>
      <c r="L105" s="52"/>
      <c r="M105" s="73" t="s">
        <v>30</v>
      </c>
      <c r="N105" s="73"/>
      <c r="O105" s="73"/>
      <c r="P105" s="52" t="s">
        <v>31</v>
      </c>
      <c r="Q105" s="52"/>
      <c r="R105" s="52"/>
      <c r="S105" s="73" t="s">
        <v>32</v>
      </c>
      <c r="T105" s="73"/>
      <c r="U105" s="73"/>
      <c r="V105" s="52" t="s">
        <v>33</v>
      </c>
      <c r="W105" s="52"/>
      <c r="X105" s="52"/>
      <c r="Y105" s="73" t="s">
        <v>34</v>
      </c>
      <c r="Z105" s="73"/>
      <c r="AA105" s="73"/>
      <c r="AB105" s="52" t="s">
        <v>35</v>
      </c>
      <c r="AC105" s="52"/>
      <c r="AD105" s="52"/>
      <c r="AE105" s="73" t="s">
        <v>36</v>
      </c>
      <c r="AF105" s="73"/>
      <c r="AG105" s="73"/>
    </row>
    <row r="106" spans="1:33" ht="15.75" thickBot="1" x14ac:dyDescent="0.3">
      <c r="A106" s="68"/>
      <c r="B106" s="68"/>
      <c r="C106" s="105" t="s">
        <v>243</v>
      </c>
      <c r="D106" s="75">
        <v>0</v>
      </c>
      <c r="E106" s="75"/>
      <c r="F106" s="76"/>
      <c r="G106" s="74">
        <v>0</v>
      </c>
      <c r="H106" s="75"/>
      <c r="I106" s="76"/>
      <c r="J106" s="74">
        <v>0</v>
      </c>
      <c r="K106" s="75"/>
      <c r="L106" s="76"/>
      <c r="M106" s="74">
        <v>0</v>
      </c>
      <c r="N106" s="75"/>
      <c r="O106" s="76"/>
      <c r="P106" s="74">
        <v>0</v>
      </c>
      <c r="Q106" s="75"/>
      <c r="R106" s="76"/>
      <c r="S106" s="74">
        <v>0</v>
      </c>
      <c r="T106" s="75"/>
      <c r="U106" s="76"/>
      <c r="V106" s="74">
        <v>0</v>
      </c>
      <c r="W106" s="75"/>
      <c r="X106" s="76"/>
      <c r="Y106" s="74">
        <v>0</v>
      </c>
      <c r="Z106" s="75"/>
      <c r="AA106" s="76"/>
      <c r="AB106" s="74">
        <v>0</v>
      </c>
      <c r="AC106" s="75"/>
      <c r="AD106" s="76"/>
      <c r="AE106" s="74">
        <v>0</v>
      </c>
      <c r="AF106" s="75"/>
      <c r="AG106" s="76"/>
    </row>
    <row r="107" spans="1:33" ht="15.75" thickBot="1" x14ac:dyDescent="0.3">
      <c r="A107" s="68"/>
      <c r="B107" s="68"/>
      <c r="C107" s="106" t="s">
        <v>244</v>
      </c>
      <c r="D107" s="82">
        <v>0</v>
      </c>
      <c r="E107" s="82"/>
      <c r="F107" s="84"/>
      <c r="G107" s="85">
        <v>0</v>
      </c>
      <c r="H107" s="82"/>
      <c r="I107" s="84"/>
      <c r="J107" s="85">
        <v>0</v>
      </c>
      <c r="K107" s="82"/>
      <c r="L107" s="84"/>
      <c r="M107" s="85">
        <v>0</v>
      </c>
      <c r="N107" s="82"/>
      <c r="O107" s="82"/>
      <c r="P107" s="81">
        <v>0</v>
      </c>
      <c r="Q107" s="82"/>
      <c r="R107" s="83"/>
      <c r="S107" s="82">
        <v>0</v>
      </c>
      <c r="T107" s="82"/>
      <c r="U107" s="84"/>
      <c r="V107" s="85">
        <v>0</v>
      </c>
      <c r="W107" s="82"/>
      <c r="X107" s="84"/>
      <c r="Y107" s="85">
        <v>0</v>
      </c>
      <c r="Z107" s="82"/>
      <c r="AA107" s="84"/>
      <c r="AB107" s="85">
        <v>0</v>
      </c>
      <c r="AC107" s="82"/>
      <c r="AD107" s="84"/>
      <c r="AE107" s="85">
        <v>0</v>
      </c>
      <c r="AF107" s="82"/>
      <c r="AG107" s="84"/>
    </row>
    <row r="108" spans="1:33" ht="15.75" thickBot="1" x14ac:dyDescent="0.3">
      <c r="A108" s="68"/>
      <c r="B108" s="68"/>
      <c r="C108" s="107" t="s">
        <v>37</v>
      </c>
      <c r="D108" s="104"/>
      <c r="E108" s="86"/>
      <c r="F108" s="89"/>
      <c r="G108" s="86"/>
      <c r="H108" s="86"/>
      <c r="I108" s="89"/>
      <c r="J108" s="86"/>
      <c r="K108" s="86"/>
      <c r="L108" s="89"/>
      <c r="M108" s="86"/>
      <c r="N108" s="86"/>
      <c r="O108" s="89"/>
      <c r="P108" s="86"/>
      <c r="Q108" s="86"/>
      <c r="R108" s="89"/>
      <c r="S108" s="86"/>
      <c r="T108" s="86"/>
      <c r="U108" s="89"/>
      <c r="V108" s="86"/>
      <c r="W108" s="86"/>
      <c r="X108" s="89"/>
      <c r="Y108" s="86"/>
      <c r="Z108" s="86"/>
      <c r="AA108" s="89"/>
      <c r="AB108" s="86"/>
      <c r="AC108" s="86"/>
      <c r="AD108" s="89"/>
      <c r="AE108" s="86"/>
      <c r="AF108" s="86"/>
      <c r="AG108" s="89"/>
    </row>
    <row r="109" spans="1:33" ht="15.75" thickBot="1" x14ac:dyDescent="0.3">
      <c r="A109" s="68"/>
      <c r="B109" s="68"/>
      <c r="D109" s="87"/>
      <c r="E109" s="87"/>
      <c r="F109" s="90"/>
      <c r="G109" s="87"/>
      <c r="H109" s="87"/>
      <c r="I109" s="90"/>
      <c r="J109" s="87"/>
      <c r="K109" s="87"/>
      <c r="L109" s="90"/>
      <c r="M109" s="87"/>
      <c r="N109" s="87"/>
      <c r="O109" s="90"/>
      <c r="P109" s="87"/>
      <c r="Q109" s="87"/>
      <c r="R109" s="90"/>
      <c r="S109" s="87"/>
      <c r="T109" s="87"/>
      <c r="U109" s="90"/>
      <c r="V109" s="87"/>
      <c r="W109" s="87"/>
      <c r="X109" s="90"/>
      <c r="Y109" s="87"/>
      <c r="Z109" s="87"/>
      <c r="AA109" s="90"/>
      <c r="AB109" s="87"/>
      <c r="AC109" s="87"/>
      <c r="AD109" s="90"/>
      <c r="AE109" s="87"/>
      <c r="AF109" s="87"/>
      <c r="AG109" s="90"/>
    </row>
    <row r="110" spans="1:33" ht="15.75" thickBot="1" x14ac:dyDescent="0.3">
      <c r="A110" s="68"/>
      <c r="B110" s="68"/>
      <c r="D110" s="88"/>
      <c r="E110" s="88"/>
      <c r="F110" s="91"/>
      <c r="G110" s="88"/>
      <c r="H110" s="88"/>
      <c r="I110" s="91"/>
      <c r="J110" s="88"/>
      <c r="K110" s="88"/>
      <c r="L110" s="91"/>
      <c r="M110" s="88"/>
      <c r="N110" s="88"/>
      <c r="O110" s="91"/>
      <c r="P110" s="88"/>
      <c r="Q110" s="88"/>
      <c r="R110" s="91"/>
      <c r="S110" s="88"/>
      <c r="T110" s="88"/>
      <c r="U110" s="91"/>
      <c r="V110" s="88"/>
      <c r="W110" s="88"/>
      <c r="X110" s="91"/>
      <c r="Y110" s="88"/>
      <c r="Z110" s="88"/>
      <c r="AA110" s="91"/>
      <c r="AB110" s="88"/>
      <c r="AC110" s="88"/>
      <c r="AD110" s="91"/>
      <c r="AE110" s="88"/>
      <c r="AF110" s="88"/>
      <c r="AG110" s="91"/>
    </row>
    <row r="112" spans="1:33" ht="15.75" thickBot="1" x14ac:dyDescent="0.3"/>
    <row r="113" spans="1:33" ht="15.75" thickBot="1" x14ac:dyDescent="0.3">
      <c r="A113" s="68" t="s">
        <v>82</v>
      </c>
      <c r="B113" s="68"/>
      <c r="D113" s="52" t="s">
        <v>27</v>
      </c>
      <c r="E113" s="52"/>
      <c r="F113" s="52"/>
      <c r="G113" s="73" t="s">
        <v>28</v>
      </c>
      <c r="H113" s="73"/>
      <c r="I113" s="73"/>
      <c r="J113" s="52" t="s">
        <v>29</v>
      </c>
      <c r="K113" s="52"/>
      <c r="L113" s="52"/>
      <c r="M113" s="73" t="s">
        <v>30</v>
      </c>
      <c r="N113" s="73"/>
      <c r="O113" s="73"/>
      <c r="P113" s="52" t="s">
        <v>31</v>
      </c>
      <c r="Q113" s="52"/>
      <c r="R113" s="52"/>
      <c r="S113" s="73" t="s">
        <v>32</v>
      </c>
      <c r="T113" s="73"/>
      <c r="U113" s="73"/>
      <c r="V113" s="52" t="s">
        <v>33</v>
      </c>
      <c r="W113" s="52"/>
      <c r="X113" s="52"/>
      <c r="Y113" s="73" t="s">
        <v>34</v>
      </c>
      <c r="Z113" s="73"/>
      <c r="AA113" s="73"/>
      <c r="AB113" s="52" t="s">
        <v>35</v>
      </c>
      <c r="AC113" s="52"/>
      <c r="AD113" s="52"/>
      <c r="AE113" s="73" t="s">
        <v>36</v>
      </c>
      <c r="AF113" s="73"/>
      <c r="AG113" s="73"/>
    </row>
    <row r="114" spans="1:33" ht="15.75" thickBot="1" x14ac:dyDescent="0.3">
      <c r="A114" s="68"/>
      <c r="B114" s="68"/>
      <c r="C114" s="105" t="s">
        <v>243</v>
      </c>
      <c r="D114" s="75">
        <v>0</v>
      </c>
      <c r="E114" s="75"/>
      <c r="F114" s="76"/>
      <c r="G114" s="74">
        <v>0</v>
      </c>
      <c r="H114" s="75"/>
      <c r="I114" s="76"/>
      <c r="J114" s="74">
        <v>0</v>
      </c>
      <c r="K114" s="75"/>
      <c r="L114" s="76"/>
      <c r="M114" s="74">
        <v>0</v>
      </c>
      <c r="N114" s="75"/>
      <c r="O114" s="76"/>
      <c r="P114" s="74">
        <v>0</v>
      </c>
      <c r="Q114" s="75"/>
      <c r="R114" s="76"/>
      <c r="S114" s="74">
        <v>0</v>
      </c>
      <c r="T114" s="75"/>
      <c r="U114" s="76"/>
      <c r="V114" s="74">
        <v>0</v>
      </c>
      <c r="W114" s="75"/>
      <c r="X114" s="76"/>
      <c r="Y114" s="74">
        <v>0</v>
      </c>
      <c r="Z114" s="75"/>
      <c r="AA114" s="76"/>
      <c r="AB114" s="74">
        <v>0</v>
      </c>
      <c r="AC114" s="75"/>
      <c r="AD114" s="76"/>
      <c r="AE114" s="74">
        <v>0</v>
      </c>
      <c r="AF114" s="75"/>
      <c r="AG114" s="76"/>
    </row>
    <row r="115" spans="1:33" ht="15.75" thickBot="1" x14ac:dyDescent="0.3">
      <c r="A115" s="68"/>
      <c r="B115" s="68"/>
      <c r="C115" s="106" t="s">
        <v>244</v>
      </c>
      <c r="D115" s="82">
        <v>0</v>
      </c>
      <c r="E115" s="82"/>
      <c r="F115" s="84"/>
      <c r="G115" s="85">
        <v>0</v>
      </c>
      <c r="H115" s="82"/>
      <c r="I115" s="84"/>
      <c r="J115" s="85">
        <v>0</v>
      </c>
      <c r="K115" s="82"/>
      <c r="L115" s="84"/>
      <c r="M115" s="85">
        <v>0</v>
      </c>
      <c r="N115" s="82"/>
      <c r="O115" s="82"/>
      <c r="P115" s="81">
        <v>0</v>
      </c>
      <c r="Q115" s="82"/>
      <c r="R115" s="83"/>
      <c r="S115" s="82">
        <v>0</v>
      </c>
      <c r="T115" s="82"/>
      <c r="U115" s="84"/>
      <c r="V115" s="85">
        <v>0</v>
      </c>
      <c r="W115" s="82"/>
      <c r="X115" s="84"/>
      <c r="Y115" s="85">
        <v>0</v>
      </c>
      <c r="Z115" s="82"/>
      <c r="AA115" s="84"/>
      <c r="AB115" s="85">
        <v>0</v>
      </c>
      <c r="AC115" s="82"/>
      <c r="AD115" s="84"/>
      <c r="AE115" s="85">
        <v>0</v>
      </c>
      <c r="AF115" s="82"/>
      <c r="AG115" s="84"/>
    </row>
    <row r="116" spans="1:33" ht="15.75" thickBot="1" x14ac:dyDescent="0.3">
      <c r="A116" s="68"/>
      <c r="B116" s="68"/>
      <c r="C116" s="107" t="s">
        <v>37</v>
      </c>
      <c r="D116" s="104"/>
      <c r="E116" s="86"/>
      <c r="F116" s="89"/>
      <c r="G116" s="86"/>
      <c r="H116" s="86"/>
      <c r="I116" s="89"/>
      <c r="J116" s="86"/>
      <c r="K116" s="86"/>
      <c r="L116" s="89"/>
      <c r="M116" s="86"/>
      <c r="N116" s="86"/>
      <c r="O116" s="89"/>
      <c r="P116" s="86"/>
      <c r="Q116" s="86"/>
      <c r="R116" s="89"/>
      <c r="S116" s="86"/>
      <c r="T116" s="86"/>
      <c r="U116" s="89"/>
      <c r="V116" s="86"/>
      <c r="W116" s="86"/>
      <c r="X116" s="89"/>
      <c r="Y116" s="86"/>
      <c r="Z116" s="86"/>
      <c r="AA116" s="89"/>
      <c r="AB116" s="86"/>
      <c r="AC116" s="86"/>
      <c r="AD116" s="89"/>
      <c r="AE116" s="86"/>
      <c r="AF116" s="86"/>
      <c r="AG116" s="89"/>
    </row>
    <row r="117" spans="1:33" ht="15.75" thickBot="1" x14ac:dyDescent="0.3">
      <c r="A117" s="68"/>
      <c r="B117" s="68"/>
      <c r="D117" s="87"/>
      <c r="E117" s="87"/>
      <c r="F117" s="90"/>
      <c r="G117" s="87"/>
      <c r="H117" s="87"/>
      <c r="I117" s="90"/>
      <c r="J117" s="87"/>
      <c r="K117" s="87"/>
      <c r="L117" s="90"/>
      <c r="M117" s="87"/>
      <c r="N117" s="87"/>
      <c r="O117" s="90"/>
      <c r="P117" s="87"/>
      <c r="Q117" s="87"/>
      <c r="R117" s="90"/>
      <c r="S117" s="87"/>
      <c r="T117" s="87"/>
      <c r="U117" s="90"/>
      <c r="V117" s="87"/>
      <c r="W117" s="87"/>
      <c r="X117" s="90"/>
      <c r="Y117" s="87"/>
      <c r="Z117" s="87"/>
      <c r="AA117" s="90"/>
      <c r="AB117" s="87"/>
      <c r="AC117" s="87"/>
      <c r="AD117" s="90"/>
      <c r="AE117" s="87"/>
      <c r="AF117" s="87"/>
      <c r="AG117" s="90"/>
    </row>
    <row r="118" spans="1:33" ht="15.75" thickBot="1" x14ac:dyDescent="0.3">
      <c r="A118" s="68"/>
      <c r="B118" s="68"/>
      <c r="D118" s="88"/>
      <c r="E118" s="88"/>
      <c r="F118" s="91"/>
      <c r="G118" s="88"/>
      <c r="H118" s="88"/>
      <c r="I118" s="91"/>
      <c r="J118" s="88"/>
      <c r="K118" s="88"/>
      <c r="L118" s="91"/>
      <c r="M118" s="88"/>
      <c r="N118" s="88"/>
      <c r="O118" s="91"/>
      <c r="P118" s="88"/>
      <c r="Q118" s="88"/>
      <c r="R118" s="91"/>
      <c r="S118" s="88"/>
      <c r="T118" s="88"/>
      <c r="U118" s="91"/>
      <c r="V118" s="88"/>
      <c r="W118" s="88"/>
      <c r="X118" s="91"/>
      <c r="Y118" s="88"/>
      <c r="Z118" s="88"/>
      <c r="AA118" s="91"/>
      <c r="AB118" s="88"/>
      <c r="AC118" s="88"/>
      <c r="AD118" s="91"/>
      <c r="AE118" s="88"/>
      <c r="AF118" s="88"/>
      <c r="AG118" s="91"/>
    </row>
    <row r="120" spans="1:33" ht="15.75" thickBot="1" x14ac:dyDescent="0.3"/>
    <row r="121" spans="1:33" ht="15.75" thickBot="1" x14ac:dyDescent="0.3">
      <c r="A121" s="68" t="s">
        <v>86</v>
      </c>
      <c r="B121" s="68"/>
      <c r="D121" s="52" t="s">
        <v>27</v>
      </c>
      <c r="E121" s="52"/>
      <c r="F121" s="52"/>
      <c r="G121" s="73" t="s">
        <v>28</v>
      </c>
      <c r="H121" s="73"/>
      <c r="I121" s="73"/>
      <c r="J121" s="52" t="s">
        <v>29</v>
      </c>
      <c r="K121" s="52"/>
      <c r="L121" s="52"/>
      <c r="M121" s="73" t="s">
        <v>30</v>
      </c>
      <c r="N121" s="73"/>
      <c r="O121" s="73"/>
      <c r="P121" s="52" t="s">
        <v>31</v>
      </c>
      <c r="Q121" s="52"/>
      <c r="R121" s="52"/>
      <c r="S121" s="73" t="s">
        <v>32</v>
      </c>
      <c r="T121" s="73"/>
      <c r="U121" s="73"/>
      <c r="V121" s="52" t="s">
        <v>33</v>
      </c>
      <c r="W121" s="52"/>
      <c r="X121" s="52"/>
      <c r="Y121" s="73" t="s">
        <v>34</v>
      </c>
      <c r="Z121" s="73"/>
      <c r="AA121" s="73"/>
      <c r="AB121" s="52" t="s">
        <v>35</v>
      </c>
      <c r="AC121" s="52"/>
      <c r="AD121" s="52"/>
      <c r="AE121" s="73" t="s">
        <v>36</v>
      </c>
      <c r="AF121" s="73"/>
      <c r="AG121" s="73"/>
    </row>
    <row r="122" spans="1:33" ht="15.75" thickBot="1" x14ac:dyDescent="0.3">
      <c r="A122" s="68"/>
      <c r="B122" s="68"/>
      <c r="C122" s="105" t="s">
        <v>243</v>
      </c>
      <c r="D122" s="75">
        <v>0</v>
      </c>
      <c r="E122" s="75"/>
      <c r="F122" s="76"/>
      <c r="G122" s="74">
        <v>0</v>
      </c>
      <c r="H122" s="75"/>
      <c r="I122" s="76"/>
      <c r="J122" s="74">
        <v>0</v>
      </c>
      <c r="K122" s="75"/>
      <c r="L122" s="76"/>
      <c r="M122" s="74">
        <v>0</v>
      </c>
      <c r="N122" s="75"/>
      <c r="O122" s="76"/>
      <c r="P122" s="74">
        <v>0</v>
      </c>
      <c r="Q122" s="75"/>
      <c r="R122" s="76"/>
      <c r="S122" s="74">
        <v>0</v>
      </c>
      <c r="T122" s="75"/>
      <c r="U122" s="76"/>
      <c r="V122" s="74">
        <v>0</v>
      </c>
      <c r="W122" s="75"/>
      <c r="X122" s="76"/>
      <c r="Y122" s="74">
        <v>0</v>
      </c>
      <c r="Z122" s="75"/>
      <c r="AA122" s="76"/>
      <c r="AB122" s="74">
        <v>0</v>
      </c>
      <c r="AC122" s="75"/>
      <c r="AD122" s="76"/>
      <c r="AE122" s="74">
        <v>0</v>
      </c>
      <c r="AF122" s="75"/>
      <c r="AG122" s="76"/>
    </row>
    <row r="123" spans="1:33" ht="15.75" thickBot="1" x14ac:dyDescent="0.3">
      <c r="A123" s="68"/>
      <c r="B123" s="68"/>
      <c r="C123" s="106" t="s">
        <v>244</v>
      </c>
      <c r="D123" s="82">
        <v>0</v>
      </c>
      <c r="E123" s="82"/>
      <c r="F123" s="84"/>
      <c r="G123" s="85">
        <v>0</v>
      </c>
      <c r="H123" s="82"/>
      <c r="I123" s="84"/>
      <c r="J123" s="85">
        <v>0</v>
      </c>
      <c r="K123" s="82"/>
      <c r="L123" s="84"/>
      <c r="M123" s="85">
        <v>0</v>
      </c>
      <c r="N123" s="82"/>
      <c r="O123" s="82"/>
      <c r="P123" s="81">
        <v>0</v>
      </c>
      <c r="Q123" s="82"/>
      <c r="R123" s="83"/>
      <c r="S123" s="82">
        <v>0</v>
      </c>
      <c r="T123" s="82"/>
      <c r="U123" s="84"/>
      <c r="V123" s="85">
        <v>0</v>
      </c>
      <c r="W123" s="82"/>
      <c r="X123" s="84"/>
      <c r="Y123" s="85">
        <v>0</v>
      </c>
      <c r="Z123" s="82"/>
      <c r="AA123" s="84"/>
      <c r="AB123" s="85">
        <v>0</v>
      </c>
      <c r="AC123" s="82"/>
      <c r="AD123" s="84"/>
      <c r="AE123" s="85">
        <v>0</v>
      </c>
      <c r="AF123" s="82"/>
      <c r="AG123" s="84"/>
    </row>
    <row r="124" spans="1:33" ht="15.75" thickBot="1" x14ac:dyDescent="0.3">
      <c r="A124" s="68"/>
      <c r="B124" s="68"/>
      <c r="C124" s="107" t="s">
        <v>37</v>
      </c>
      <c r="D124" s="104"/>
      <c r="E124" s="86"/>
      <c r="F124" s="89"/>
      <c r="G124" s="86"/>
      <c r="H124" s="86"/>
      <c r="I124" s="89"/>
      <c r="J124" s="86"/>
      <c r="K124" s="86"/>
      <c r="L124" s="89"/>
      <c r="M124" s="86"/>
      <c r="N124" s="86"/>
      <c r="O124" s="89"/>
      <c r="P124" s="86"/>
      <c r="Q124" s="86"/>
      <c r="R124" s="89"/>
      <c r="S124" s="86"/>
      <c r="T124" s="86"/>
      <c r="U124" s="89"/>
      <c r="V124" s="86"/>
      <c r="W124" s="86"/>
      <c r="X124" s="89"/>
      <c r="Y124" s="86"/>
      <c r="Z124" s="86"/>
      <c r="AA124" s="89"/>
      <c r="AB124" s="86"/>
      <c r="AC124" s="86"/>
      <c r="AD124" s="89"/>
      <c r="AE124" s="86"/>
      <c r="AF124" s="86"/>
      <c r="AG124" s="89"/>
    </row>
    <row r="125" spans="1:33" ht="15.75" thickBot="1" x14ac:dyDescent="0.3">
      <c r="A125" s="68"/>
      <c r="B125" s="68"/>
      <c r="D125" s="87"/>
      <c r="E125" s="87"/>
      <c r="F125" s="90"/>
      <c r="G125" s="87"/>
      <c r="H125" s="87"/>
      <c r="I125" s="90"/>
      <c r="J125" s="87"/>
      <c r="K125" s="87"/>
      <c r="L125" s="90"/>
      <c r="M125" s="87"/>
      <c r="N125" s="87"/>
      <c r="O125" s="90"/>
      <c r="P125" s="87"/>
      <c r="Q125" s="87"/>
      <c r="R125" s="90"/>
      <c r="S125" s="87"/>
      <c r="T125" s="87"/>
      <c r="U125" s="90"/>
      <c r="V125" s="87"/>
      <c r="W125" s="87"/>
      <c r="X125" s="90"/>
      <c r="Y125" s="87"/>
      <c r="Z125" s="87"/>
      <c r="AA125" s="90"/>
      <c r="AB125" s="87"/>
      <c r="AC125" s="87"/>
      <c r="AD125" s="90"/>
      <c r="AE125" s="87"/>
      <c r="AF125" s="87"/>
      <c r="AG125" s="90"/>
    </row>
    <row r="126" spans="1:33" ht="15.75" thickBot="1" x14ac:dyDescent="0.3">
      <c r="A126" s="68"/>
      <c r="B126" s="68"/>
      <c r="D126" s="88"/>
      <c r="E126" s="88"/>
      <c r="F126" s="91"/>
      <c r="G126" s="88"/>
      <c r="H126" s="88"/>
      <c r="I126" s="91"/>
      <c r="J126" s="88"/>
      <c r="K126" s="88"/>
      <c r="L126" s="91"/>
      <c r="M126" s="88"/>
      <c r="N126" s="88"/>
      <c r="O126" s="91"/>
      <c r="P126" s="88"/>
      <c r="Q126" s="88"/>
      <c r="R126" s="91"/>
      <c r="S126" s="88"/>
      <c r="T126" s="88"/>
      <c r="U126" s="91"/>
      <c r="V126" s="88"/>
      <c r="W126" s="88"/>
      <c r="X126" s="91"/>
      <c r="Y126" s="88"/>
      <c r="Z126" s="88"/>
      <c r="AA126" s="91"/>
      <c r="AB126" s="88"/>
      <c r="AC126" s="88"/>
      <c r="AD126" s="91"/>
      <c r="AE126" s="88"/>
      <c r="AF126" s="88"/>
      <c r="AG126" s="91"/>
    </row>
    <row r="128" spans="1:33" ht="15.75" thickBot="1" x14ac:dyDescent="0.3"/>
    <row r="129" spans="1:33" ht="15.75" thickBot="1" x14ac:dyDescent="0.3">
      <c r="A129" s="68" t="s">
        <v>84</v>
      </c>
      <c r="B129" s="68"/>
      <c r="D129" s="52" t="s">
        <v>27</v>
      </c>
      <c r="E129" s="52"/>
      <c r="F129" s="52"/>
      <c r="G129" s="73" t="s">
        <v>28</v>
      </c>
      <c r="H129" s="73"/>
      <c r="I129" s="73"/>
      <c r="J129" s="52" t="s">
        <v>29</v>
      </c>
      <c r="K129" s="52"/>
      <c r="L129" s="52"/>
      <c r="M129" s="73" t="s">
        <v>30</v>
      </c>
      <c r="N129" s="73"/>
      <c r="O129" s="73"/>
      <c r="P129" s="52" t="s">
        <v>31</v>
      </c>
      <c r="Q129" s="52"/>
      <c r="R129" s="52"/>
      <c r="S129" s="73" t="s">
        <v>32</v>
      </c>
      <c r="T129" s="73"/>
      <c r="U129" s="73"/>
      <c r="V129" s="52" t="s">
        <v>33</v>
      </c>
      <c r="W129" s="52"/>
      <c r="X129" s="52"/>
      <c r="Y129" s="73" t="s">
        <v>34</v>
      </c>
      <c r="Z129" s="73"/>
      <c r="AA129" s="73"/>
      <c r="AB129" s="52" t="s">
        <v>35</v>
      </c>
      <c r="AC129" s="52"/>
      <c r="AD129" s="52"/>
      <c r="AE129" s="73" t="s">
        <v>36</v>
      </c>
      <c r="AF129" s="73"/>
      <c r="AG129" s="73"/>
    </row>
    <row r="130" spans="1:33" ht="15.75" thickBot="1" x14ac:dyDescent="0.3">
      <c r="A130" s="68"/>
      <c r="B130" s="68"/>
      <c r="C130" s="105" t="s">
        <v>243</v>
      </c>
      <c r="D130" s="75">
        <v>0</v>
      </c>
      <c r="E130" s="75"/>
      <c r="F130" s="76"/>
      <c r="G130" s="74">
        <v>0</v>
      </c>
      <c r="H130" s="75"/>
      <c r="I130" s="76"/>
      <c r="J130" s="74">
        <v>0</v>
      </c>
      <c r="K130" s="75"/>
      <c r="L130" s="76"/>
      <c r="M130" s="74">
        <v>0</v>
      </c>
      <c r="N130" s="75"/>
      <c r="O130" s="76"/>
      <c r="P130" s="74">
        <v>0</v>
      </c>
      <c r="Q130" s="75"/>
      <c r="R130" s="76"/>
      <c r="S130" s="74">
        <v>0</v>
      </c>
      <c r="T130" s="75"/>
      <c r="U130" s="76"/>
      <c r="V130" s="74">
        <v>0</v>
      </c>
      <c r="W130" s="75"/>
      <c r="X130" s="76"/>
      <c r="Y130" s="74">
        <v>0</v>
      </c>
      <c r="Z130" s="75"/>
      <c r="AA130" s="76"/>
      <c r="AB130" s="74">
        <v>0</v>
      </c>
      <c r="AC130" s="75"/>
      <c r="AD130" s="76"/>
      <c r="AE130" s="74">
        <v>0</v>
      </c>
      <c r="AF130" s="75"/>
      <c r="AG130" s="76"/>
    </row>
    <row r="131" spans="1:33" ht="15.75" thickBot="1" x14ac:dyDescent="0.3">
      <c r="A131" s="68"/>
      <c r="B131" s="68"/>
      <c r="C131" s="106" t="s">
        <v>244</v>
      </c>
      <c r="D131" s="82">
        <v>0</v>
      </c>
      <c r="E131" s="82"/>
      <c r="F131" s="84"/>
      <c r="G131" s="85">
        <v>0</v>
      </c>
      <c r="H131" s="82"/>
      <c r="I131" s="84"/>
      <c r="J131" s="85">
        <v>0</v>
      </c>
      <c r="K131" s="82"/>
      <c r="L131" s="84"/>
      <c r="M131" s="85">
        <v>0</v>
      </c>
      <c r="N131" s="82"/>
      <c r="O131" s="82"/>
      <c r="P131" s="81">
        <v>0</v>
      </c>
      <c r="Q131" s="82"/>
      <c r="R131" s="83"/>
      <c r="S131" s="82">
        <v>0</v>
      </c>
      <c r="T131" s="82"/>
      <c r="U131" s="84"/>
      <c r="V131" s="85">
        <v>0</v>
      </c>
      <c r="W131" s="82"/>
      <c r="X131" s="84"/>
      <c r="Y131" s="85">
        <v>0</v>
      </c>
      <c r="Z131" s="82"/>
      <c r="AA131" s="84"/>
      <c r="AB131" s="85">
        <v>0</v>
      </c>
      <c r="AC131" s="82"/>
      <c r="AD131" s="84"/>
      <c r="AE131" s="85">
        <v>0</v>
      </c>
      <c r="AF131" s="82"/>
      <c r="AG131" s="84"/>
    </row>
    <row r="132" spans="1:33" ht="15.75" thickBot="1" x14ac:dyDescent="0.3">
      <c r="A132" s="68"/>
      <c r="B132" s="68"/>
      <c r="C132" s="107" t="s">
        <v>37</v>
      </c>
      <c r="D132" s="104"/>
      <c r="E132" s="86"/>
      <c r="F132" s="89"/>
      <c r="G132" s="86"/>
      <c r="H132" s="86"/>
      <c r="I132" s="89"/>
      <c r="J132" s="86"/>
      <c r="K132" s="86"/>
      <c r="L132" s="89"/>
      <c r="M132" s="86"/>
      <c r="N132" s="86"/>
      <c r="O132" s="89"/>
      <c r="P132" s="86"/>
      <c r="Q132" s="86"/>
      <c r="R132" s="89"/>
      <c r="S132" s="86"/>
      <c r="T132" s="86"/>
      <c r="U132" s="89"/>
      <c r="V132" s="86"/>
      <c r="W132" s="86"/>
      <c r="X132" s="89"/>
      <c r="Y132" s="86"/>
      <c r="Z132" s="86"/>
      <c r="AA132" s="89"/>
      <c r="AB132" s="86"/>
      <c r="AC132" s="86"/>
      <c r="AD132" s="89"/>
      <c r="AE132" s="86"/>
      <c r="AF132" s="86"/>
      <c r="AG132" s="89"/>
    </row>
    <row r="133" spans="1:33" ht="15.75" thickBot="1" x14ac:dyDescent="0.3">
      <c r="A133" s="68"/>
      <c r="B133" s="68"/>
      <c r="D133" s="87"/>
      <c r="E133" s="87"/>
      <c r="F133" s="90"/>
      <c r="G133" s="87"/>
      <c r="H133" s="87"/>
      <c r="I133" s="90"/>
      <c r="J133" s="87"/>
      <c r="K133" s="87"/>
      <c r="L133" s="90"/>
      <c r="M133" s="87"/>
      <c r="N133" s="87"/>
      <c r="O133" s="90"/>
      <c r="P133" s="87"/>
      <c r="Q133" s="87"/>
      <c r="R133" s="90"/>
      <c r="S133" s="87"/>
      <c r="T133" s="87"/>
      <c r="U133" s="90"/>
      <c r="V133" s="87"/>
      <c r="W133" s="87"/>
      <c r="X133" s="90"/>
      <c r="Y133" s="87"/>
      <c r="Z133" s="87"/>
      <c r="AA133" s="90"/>
      <c r="AB133" s="87"/>
      <c r="AC133" s="87"/>
      <c r="AD133" s="90"/>
      <c r="AE133" s="87"/>
      <c r="AF133" s="87"/>
      <c r="AG133" s="90"/>
    </row>
    <row r="134" spans="1:33" ht="15.75" thickBot="1" x14ac:dyDescent="0.3">
      <c r="A134" s="68"/>
      <c r="B134" s="68"/>
      <c r="D134" s="88"/>
      <c r="E134" s="88"/>
      <c r="F134" s="91"/>
      <c r="G134" s="88"/>
      <c r="H134" s="88"/>
      <c r="I134" s="91"/>
      <c r="J134" s="88"/>
      <c r="K134" s="88"/>
      <c r="L134" s="91"/>
      <c r="M134" s="88"/>
      <c r="N134" s="88"/>
      <c r="O134" s="91"/>
      <c r="P134" s="88"/>
      <c r="Q134" s="88"/>
      <c r="R134" s="91"/>
      <c r="S134" s="88"/>
      <c r="T134" s="88"/>
      <c r="U134" s="91"/>
      <c r="V134" s="88"/>
      <c r="W134" s="88"/>
      <c r="X134" s="91"/>
      <c r="Y134" s="88"/>
      <c r="Z134" s="88"/>
      <c r="AA134" s="91"/>
      <c r="AB134" s="88"/>
      <c r="AC134" s="88"/>
      <c r="AD134" s="91"/>
      <c r="AE134" s="88"/>
      <c r="AF134" s="88"/>
      <c r="AG134" s="91"/>
    </row>
    <row r="136" spans="1:33" ht="15.75" thickBot="1" x14ac:dyDescent="0.3"/>
    <row r="137" spans="1:33" ht="15.75" thickBot="1" x14ac:dyDescent="0.3">
      <c r="A137" s="68" t="s">
        <v>85</v>
      </c>
      <c r="B137" s="68"/>
      <c r="D137" s="52" t="s">
        <v>27</v>
      </c>
      <c r="E137" s="52"/>
      <c r="F137" s="52"/>
      <c r="G137" s="73" t="s">
        <v>28</v>
      </c>
      <c r="H137" s="73"/>
      <c r="I137" s="73"/>
      <c r="J137" s="52" t="s">
        <v>29</v>
      </c>
      <c r="K137" s="52"/>
      <c r="L137" s="52"/>
      <c r="M137" s="73" t="s">
        <v>30</v>
      </c>
      <c r="N137" s="73"/>
      <c r="O137" s="73"/>
      <c r="P137" s="52" t="s">
        <v>31</v>
      </c>
      <c r="Q137" s="52"/>
      <c r="R137" s="52"/>
      <c r="S137" s="73" t="s">
        <v>32</v>
      </c>
      <c r="T137" s="73"/>
      <c r="U137" s="73"/>
      <c r="V137" s="52" t="s">
        <v>33</v>
      </c>
      <c r="W137" s="52"/>
      <c r="X137" s="52"/>
      <c r="Y137" s="73" t="s">
        <v>34</v>
      </c>
      <c r="Z137" s="73"/>
      <c r="AA137" s="73"/>
      <c r="AB137" s="52" t="s">
        <v>35</v>
      </c>
      <c r="AC137" s="52"/>
      <c r="AD137" s="52"/>
      <c r="AE137" s="73" t="s">
        <v>36</v>
      </c>
      <c r="AF137" s="73"/>
      <c r="AG137" s="73"/>
    </row>
    <row r="138" spans="1:33" ht="15.75" thickBot="1" x14ac:dyDescent="0.3">
      <c r="A138" s="68"/>
      <c r="B138" s="68"/>
      <c r="C138" s="105" t="s">
        <v>243</v>
      </c>
      <c r="D138" s="75">
        <v>0</v>
      </c>
      <c r="E138" s="75"/>
      <c r="F138" s="76"/>
      <c r="G138" s="74">
        <v>0</v>
      </c>
      <c r="H138" s="75"/>
      <c r="I138" s="76"/>
      <c r="J138" s="74">
        <v>0</v>
      </c>
      <c r="K138" s="75"/>
      <c r="L138" s="76"/>
      <c r="M138" s="74">
        <v>0</v>
      </c>
      <c r="N138" s="75"/>
      <c r="O138" s="76"/>
      <c r="P138" s="74">
        <v>0</v>
      </c>
      <c r="Q138" s="75"/>
      <c r="R138" s="76"/>
      <c r="S138" s="74">
        <v>0</v>
      </c>
      <c r="T138" s="75"/>
      <c r="U138" s="76"/>
      <c r="V138" s="74">
        <v>0</v>
      </c>
      <c r="W138" s="75"/>
      <c r="X138" s="76"/>
      <c r="Y138" s="74">
        <v>0</v>
      </c>
      <c r="Z138" s="75"/>
      <c r="AA138" s="76"/>
      <c r="AB138" s="74">
        <v>0</v>
      </c>
      <c r="AC138" s="75"/>
      <c r="AD138" s="76"/>
      <c r="AE138" s="74">
        <v>0</v>
      </c>
      <c r="AF138" s="75"/>
      <c r="AG138" s="76"/>
    </row>
    <row r="139" spans="1:33" ht="15.75" thickBot="1" x14ac:dyDescent="0.3">
      <c r="A139" s="68"/>
      <c r="B139" s="68"/>
      <c r="C139" s="106" t="s">
        <v>244</v>
      </c>
      <c r="D139" s="82">
        <v>0</v>
      </c>
      <c r="E139" s="82"/>
      <c r="F139" s="84"/>
      <c r="G139" s="85">
        <v>0</v>
      </c>
      <c r="H139" s="82"/>
      <c r="I139" s="84"/>
      <c r="J139" s="85">
        <v>0</v>
      </c>
      <c r="K139" s="82"/>
      <c r="L139" s="84"/>
      <c r="M139" s="85">
        <v>0</v>
      </c>
      <c r="N139" s="82"/>
      <c r="O139" s="82"/>
      <c r="P139" s="81">
        <v>0</v>
      </c>
      <c r="Q139" s="82"/>
      <c r="R139" s="83"/>
      <c r="S139" s="82">
        <v>0</v>
      </c>
      <c r="T139" s="82"/>
      <c r="U139" s="84"/>
      <c r="V139" s="85">
        <v>0</v>
      </c>
      <c r="W139" s="82"/>
      <c r="X139" s="84"/>
      <c r="Y139" s="85">
        <v>0</v>
      </c>
      <c r="Z139" s="82"/>
      <c r="AA139" s="84"/>
      <c r="AB139" s="85">
        <v>0</v>
      </c>
      <c r="AC139" s="82"/>
      <c r="AD139" s="84"/>
      <c r="AE139" s="85">
        <v>0</v>
      </c>
      <c r="AF139" s="82"/>
      <c r="AG139" s="84"/>
    </row>
    <row r="140" spans="1:33" ht="15.75" thickBot="1" x14ac:dyDescent="0.3">
      <c r="A140" s="68"/>
      <c r="B140" s="68"/>
      <c r="C140" s="107" t="s">
        <v>37</v>
      </c>
      <c r="D140" s="104"/>
      <c r="E140" s="86"/>
      <c r="F140" s="89"/>
      <c r="G140" s="86"/>
      <c r="H140" s="86"/>
      <c r="I140" s="89"/>
      <c r="J140" s="86"/>
      <c r="K140" s="86"/>
      <c r="L140" s="89"/>
      <c r="M140" s="86"/>
      <c r="N140" s="86"/>
      <c r="O140" s="89"/>
      <c r="P140" s="86"/>
      <c r="Q140" s="86"/>
      <c r="R140" s="89"/>
      <c r="S140" s="86"/>
      <c r="T140" s="86"/>
      <c r="U140" s="89"/>
      <c r="V140" s="86"/>
      <c r="W140" s="86"/>
      <c r="X140" s="89"/>
      <c r="Y140" s="86"/>
      <c r="Z140" s="86"/>
      <c r="AA140" s="89"/>
      <c r="AB140" s="86"/>
      <c r="AC140" s="86"/>
      <c r="AD140" s="89"/>
      <c r="AE140" s="86"/>
      <c r="AF140" s="86"/>
      <c r="AG140" s="89"/>
    </row>
    <row r="141" spans="1:33" ht="15.75" thickBot="1" x14ac:dyDescent="0.3">
      <c r="A141" s="68"/>
      <c r="B141" s="68"/>
      <c r="D141" s="87"/>
      <c r="E141" s="87"/>
      <c r="F141" s="90"/>
      <c r="G141" s="87"/>
      <c r="H141" s="87"/>
      <c r="I141" s="90"/>
      <c r="J141" s="87"/>
      <c r="K141" s="87"/>
      <c r="L141" s="90"/>
      <c r="M141" s="87"/>
      <c r="N141" s="87"/>
      <c r="O141" s="90"/>
      <c r="P141" s="87"/>
      <c r="Q141" s="87"/>
      <c r="R141" s="90"/>
      <c r="S141" s="87"/>
      <c r="T141" s="87"/>
      <c r="U141" s="90"/>
      <c r="V141" s="87"/>
      <c r="W141" s="87"/>
      <c r="X141" s="90"/>
      <c r="Y141" s="87"/>
      <c r="Z141" s="87"/>
      <c r="AA141" s="90"/>
      <c r="AB141" s="87"/>
      <c r="AC141" s="87"/>
      <c r="AD141" s="90"/>
      <c r="AE141" s="87"/>
      <c r="AF141" s="87"/>
      <c r="AG141" s="90"/>
    </row>
    <row r="142" spans="1:33" ht="15.75" thickBot="1" x14ac:dyDescent="0.3">
      <c r="A142" s="68"/>
      <c r="B142" s="68"/>
      <c r="D142" s="88"/>
      <c r="E142" s="88"/>
      <c r="F142" s="91"/>
      <c r="G142" s="88"/>
      <c r="H142" s="88"/>
      <c r="I142" s="91"/>
      <c r="J142" s="88"/>
      <c r="K142" s="88"/>
      <c r="L142" s="91"/>
      <c r="M142" s="88"/>
      <c r="N142" s="88"/>
      <c r="O142" s="91"/>
      <c r="P142" s="88"/>
      <c r="Q142" s="88"/>
      <c r="R142" s="91"/>
      <c r="S142" s="88"/>
      <c r="T142" s="88"/>
      <c r="U142" s="91"/>
      <c r="V142" s="88"/>
      <c r="W142" s="88"/>
      <c r="X142" s="91"/>
      <c r="Y142" s="88"/>
      <c r="Z142" s="88"/>
      <c r="AA142" s="91"/>
      <c r="AB142" s="88"/>
      <c r="AC142" s="88"/>
      <c r="AD142" s="91"/>
      <c r="AE142" s="88"/>
      <c r="AF142" s="88"/>
      <c r="AG142" s="91"/>
    </row>
    <row r="144" spans="1:33" ht="15.75" thickBot="1" x14ac:dyDescent="0.3"/>
    <row r="145" spans="1:33" ht="15.75" thickBot="1" x14ac:dyDescent="0.3">
      <c r="A145" s="68" t="s">
        <v>253</v>
      </c>
      <c r="B145" s="68"/>
      <c r="D145" s="52" t="s">
        <v>27</v>
      </c>
      <c r="E145" s="52"/>
      <c r="F145" s="52"/>
      <c r="G145" s="73" t="s">
        <v>28</v>
      </c>
      <c r="H145" s="73"/>
      <c r="I145" s="73"/>
      <c r="J145" s="52" t="s">
        <v>29</v>
      </c>
      <c r="K145" s="52"/>
      <c r="L145" s="52"/>
      <c r="M145" s="73" t="s">
        <v>30</v>
      </c>
      <c r="N145" s="73"/>
      <c r="O145" s="73"/>
      <c r="P145" s="52" t="s">
        <v>31</v>
      </c>
      <c r="Q145" s="52"/>
      <c r="R145" s="52"/>
      <c r="S145" s="73" t="s">
        <v>32</v>
      </c>
      <c r="T145" s="73"/>
      <c r="U145" s="73"/>
      <c r="V145" s="52" t="s">
        <v>33</v>
      </c>
      <c r="W145" s="52"/>
      <c r="X145" s="52"/>
      <c r="Y145" s="73" t="s">
        <v>34</v>
      </c>
      <c r="Z145" s="73"/>
      <c r="AA145" s="73"/>
      <c r="AB145" s="52" t="s">
        <v>35</v>
      </c>
      <c r="AC145" s="52"/>
      <c r="AD145" s="52"/>
      <c r="AE145" s="73" t="s">
        <v>36</v>
      </c>
      <c r="AF145" s="73"/>
      <c r="AG145" s="73"/>
    </row>
    <row r="146" spans="1:33" ht="15.75" thickBot="1" x14ac:dyDescent="0.3">
      <c r="A146" s="68"/>
      <c r="B146" s="68"/>
      <c r="C146" s="105" t="s">
        <v>243</v>
      </c>
      <c r="D146" s="75">
        <v>0</v>
      </c>
      <c r="E146" s="75"/>
      <c r="F146" s="76"/>
      <c r="G146" s="74">
        <v>0</v>
      </c>
      <c r="H146" s="75"/>
      <c r="I146" s="76"/>
      <c r="J146" s="74">
        <v>0</v>
      </c>
      <c r="K146" s="75"/>
      <c r="L146" s="76"/>
      <c r="M146" s="74">
        <v>0</v>
      </c>
      <c r="N146" s="75"/>
      <c r="O146" s="76"/>
      <c r="P146" s="74">
        <v>0</v>
      </c>
      <c r="Q146" s="75"/>
      <c r="R146" s="76"/>
      <c r="S146" s="74">
        <v>0</v>
      </c>
      <c r="T146" s="75"/>
      <c r="U146" s="76"/>
      <c r="V146" s="74">
        <v>0</v>
      </c>
      <c r="W146" s="75"/>
      <c r="X146" s="76"/>
      <c r="Y146" s="74">
        <v>0</v>
      </c>
      <c r="Z146" s="75"/>
      <c r="AA146" s="76"/>
      <c r="AB146" s="74">
        <v>0</v>
      </c>
      <c r="AC146" s="75"/>
      <c r="AD146" s="76"/>
      <c r="AE146" s="74">
        <v>0</v>
      </c>
      <c r="AF146" s="75"/>
      <c r="AG146" s="76"/>
    </row>
    <row r="147" spans="1:33" ht="15.75" thickBot="1" x14ac:dyDescent="0.3">
      <c r="A147" s="68"/>
      <c r="B147" s="68"/>
      <c r="C147" s="106" t="s">
        <v>244</v>
      </c>
      <c r="D147" s="82">
        <v>0</v>
      </c>
      <c r="E147" s="82"/>
      <c r="F147" s="84"/>
      <c r="G147" s="85">
        <v>0</v>
      </c>
      <c r="H147" s="82"/>
      <c r="I147" s="84"/>
      <c r="J147" s="85">
        <v>0</v>
      </c>
      <c r="K147" s="82"/>
      <c r="L147" s="84"/>
      <c r="M147" s="85">
        <v>0</v>
      </c>
      <c r="N147" s="82"/>
      <c r="O147" s="82"/>
      <c r="P147" s="81">
        <v>0</v>
      </c>
      <c r="Q147" s="82"/>
      <c r="R147" s="83"/>
      <c r="S147" s="82">
        <v>0</v>
      </c>
      <c r="T147" s="82"/>
      <c r="U147" s="84"/>
      <c r="V147" s="85">
        <v>0</v>
      </c>
      <c r="W147" s="82"/>
      <c r="X147" s="84"/>
      <c r="Y147" s="85">
        <v>0</v>
      </c>
      <c r="Z147" s="82"/>
      <c r="AA147" s="84"/>
      <c r="AB147" s="85">
        <v>0</v>
      </c>
      <c r="AC147" s="82"/>
      <c r="AD147" s="84"/>
      <c r="AE147" s="85">
        <v>0</v>
      </c>
      <c r="AF147" s="82"/>
      <c r="AG147" s="84"/>
    </row>
    <row r="148" spans="1:33" ht="15.75" thickBot="1" x14ac:dyDescent="0.3">
      <c r="A148" s="68"/>
      <c r="B148" s="68"/>
      <c r="C148" s="107" t="s">
        <v>37</v>
      </c>
      <c r="D148" s="104"/>
      <c r="E148" s="86"/>
      <c r="F148" s="89"/>
      <c r="G148" s="86"/>
      <c r="H148" s="86"/>
      <c r="I148" s="89"/>
      <c r="J148" s="86"/>
      <c r="K148" s="86"/>
      <c r="L148" s="89"/>
      <c r="M148" s="86"/>
      <c r="N148" s="86"/>
      <c r="O148" s="89"/>
      <c r="P148" s="86"/>
      <c r="Q148" s="86"/>
      <c r="R148" s="89"/>
      <c r="S148" s="86"/>
      <c r="T148" s="86"/>
      <c r="U148" s="89"/>
      <c r="V148" s="86"/>
      <c r="W148" s="86"/>
      <c r="X148" s="89"/>
      <c r="Y148" s="86"/>
      <c r="Z148" s="86"/>
      <c r="AA148" s="89"/>
      <c r="AB148" s="86"/>
      <c r="AC148" s="86"/>
      <c r="AD148" s="89"/>
      <c r="AE148" s="86"/>
      <c r="AF148" s="86"/>
      <c r="AG148" s="89"/>
    </row>
    <row r="149" spans="1:33" ht="15.75" thickBot="1" x14ac:dyDescent="0.3">
      <c r="A149" s="68"/>
      <c r="B149" s="68"/>
      <c r="D149" s="87"/>
      <c r="E149" s="87"/>
      <c r="F149" s="90"/>
      <c r="G149" s="87"/>
      <c r="H149" s="87"/>
      <c r="I149" s="90"/>
      <c r="J149" s="87"/>
      <c r="K149" s="87"/>
      <c r="L149" s="90"/>
      <c r="M149" s="87"/>
      <c r="N149" s="87"/>
      <c r="O149" s="90"/>
      <c r="P149" s="87"/>
      <c r="Q149" s="87"/>
      <c r="R149" s="90"/>
      <c r="S149" s="87"/>
      <c r="T149" s="87"/>
      <c r="U149" s="90"/>
      <c r="V149" s="87"/>
      <c r="W149" s="87"/>
      <c r="X149" s="90"/>
      <c r="Y149" s="87"/>
      <c r="Z149" s="87"/>
      <c r="AA149" s="90"/>
      <c r="AB149" s="87"/>
      <c r="AC149" s="87"/>
      <c r="AD149" s="90"/>
      <c r="AE149" s="87"/>
      <c r="AF149" s="87"/>
      <c r="AG149" s="90"/>
    </row>
    <row r="150" spans="1:33" ht="15.75" thickBot="1" x14ac:dyDescent="0.3">
      <c r="A150" s="68"/>
      <c r="B150" s="68"/>
      <c r="D150" s="88"/>
      <c r="E150" s="88"/>
      <c r="F150" s="91"/>
      <c r="G150" s="88"/>
      <c r="H150" s="88"/>
      <c r="I150" s="91"/>
      <c r="J150" s="88"/>
      <c r="K150" s="88"/>
      <c r="L150" s="91"/>
      <c r="M150" s="88"/>
      <c r="N150" s="88"/>
      <c r="O150" s="91"/>
      <c r="P150" s="88"/>
      <c r="Q150" s="88"/>
      <c r="R150" s="91"/>
      <c r="S150" s="88"/>
      <c r="T150" s="88"/>
      <c r="U150" s="91"/>
      <c r="V150" s="88"/>
      <c r="W150" s="88"/>
      <c r="X150" s="91"/>
      <c r="Y150" s="88"/>
      <c r="Z150" s="88"/>
      <c r="AA150" s="91"/>
      <c r="AB150" s="88"/>
      <c r="AC150" s="88"/>
      <c r="AD150" s="91"/>
      <c r="AE150" s="88"/>
      <c r="AF150" s="88"/>
      <c r="AG150" s="91"/>
    </row>
    <row r="152" spans="1:33" ht="15.75" thickBot="1" x14ac:dyDescent="0.3"/>
    <row r="153" spans="1:33" ht="15.75" thickBot="1" x14ac:dyDescent="0.3">
      <c r="A153" s="68" t="s">
        <v>254</v>
      </c>
      <c r="B153" s="68"/>
      <c r="D153" s="52" t="s">
        <v>27</v>
      </c>
      <c r="E153" s="52"/>
      <c r="F153" s="52"/>
      <c r="G153" s="73" t="s">
        <v>28</v>
      </c>
      <c r="H153" s="73"/>
      <c r="I153" s="73"/>
      <c r="J153" s="52" t="s">
        <v>29</v>
      </c>
      <c r="K153" s="52"/>
      <c r="L153" s="52"/>
      <c r="M153" s="73" t="s">
        <v>30</v>
      </c>
      <c r="N153" s="73"/>
      <c r="O153" s="73"/>
      <c r="P153" s="52" t="s">
        <v>31</v>
      </c>
      <c r="Q153" s="52"/>
      <c r="R153" s="52"/>
      <c r="S153" s="73" t="s">
        <v>32</v>
      </c>
      <c r="T153" s="73"/>
      <c r="U153" s="73"/>
      <c r="V153" s="52" t="s">
        <v>33</v>
      </c>
      <c r="W153" s="52"/>
      <c r="X153" s="52"/>
      <c r="Y153" s="73" t="s">
        <v>34</v>
      </c>
      <c r="Z153" s="73"/>
      <c r="AA153" s="73"/>
      <c r="AB153" s="52" t="s">
        <v>35</v>
      </c>
      <c r="AC153" s="52"/>
      <c r="AD153" s="52"/>
      <c r="AE153" s="73" t="s">
        <v>36</v>
      </c>
      <c r="AF153" s="73"/>
      <c r="AG153" s="73"/>
    </row>
    <row r="154" spans="1:33" ht="15.75" thickBot="1" x14ac:dyDescent="0.3">
      <c r="A154" s="68"/>
      <c r="B154" s="68"/>
      <c r="C154" s="105" t="s">
        <v>243</v>
      </c>
      <c r="D154" s="75">
        <v>0</v>
      </c>
      <c r="E154" s="75"/>
      <c r="F154" s="76"/>
      <c r="G154" s="74">
        <v>0</v>
      </c>
      <c r="H154" s="75"/>
      <c r="I154" s="76"/>
      <c r="J154" s="74">
        <v>0</v>
      </c>
      <c r="K154" s="75"/>
      <c r="L154" s="76"/>
      <c r="M154" s="74">
        <v>0</v>
      </c>
      <c r="N154" s="75"/>
      <c r="O154" s="76"/>
      <c r="P154" s="74">
        <v>0</v>
      </c>
      <c r="Q154" s="75"/>
      <c r="R154" s="76"/>
      <c r="S154" s="74">
        <v>0</v>
      </c>
      <c r="T154" s="75"/>
      <c r="U154" s="76"/>
      <c r="V154" s="74">
        <v>0</v>
      </c>
      <c r="W154" s="75"/>
      <c r="X154" s="76"/>
      <c r="Y154" s="74">
        <v>0</v>
      </c>
      <c r="Z154" s="75"/>
      <c r="AA154" s="76"/>
      <c r="AB154" s="74">
        <v>0</v>
      </c>
      <c r="AC154" s="75"/>
      <c r="AD154" s="76"/>
      <c r="AE154" s="74">
        <v>0</v>
      </c>
      <c r="AF154" s="75"/>
      <c r="AG154" s="76"/>
    </row>
    <row r="155" spans="1:33" ht="15.75" thickBot="1" x14ac:dyDescent="0.3">
      <c r="A155" s="68"/>
      <c r="B155" s="68"/>
      <c r="C155" s="106" t="s">
        <v>244</v>
      </c>
      <c r="D155" s="82">
        <v>0</v>
      </c>
      <c r="E155" s="82"/>
      <c r="F155" s="84"/>
      <c r="G155" s="85">
        <v>0</v>
      </c>
      <c r="H155" s="82"/>
      <c r="I155" s="84"/>
      <c r="J155" s="85">
        <v>0</v>
      </c>
      <c r="K155" s="82"/>
      <c r="L155" s="84"/>
      <c r="M155" s="85">
        <v>0</v>
      </c>
      <c r="N155" s="82"/>
      <c r="O155" s="82"/>
      <c r="P155" s="81">
        <v>0</v>
      </c>
      <c r="Q155" s="82"/>
      <c r="R155" s="83"/>
      <c r="S155" s="82">
        <v>0</v>
      </c>
      <c r="T155" s="82"/>
      <c r="U155" s="84"/>
      <c r="V155" s="85">
        <v>0</v>
      </c>
      <c r="W155" s="82"/>
      <c r="X155" s="84"/>
      <c r="Y155" s="85">
        <v>0</v>
      </c>
      <c r="Z155" s="82"/>
      <c r="AA155" s="84"/>
      <c r="AB155" s="85">
        <v>0</v>
      </c>
      <c r="AC155" s="82"/>
      <c r="AD155" s="84"/>
      <c r="AE155" s="85">
        <v>0</v>
      </c>
      <c r="AF155" s="82"/>
      <c r="AG155" s="84"/>
    </row>
    <row r="156" spans="1:33" ht="15.75" thickBot="1" x14ac:dyDescent="0.3">
      <c r="A156" s="68"/>
      <c r="B156" s="68"/>
      <c r="C156" s="107" t="s">
        <v>37</v>
      </c>
      <c r="D156" s="104"/>
      <c r="E156" s="86"/>
      <c r="F156" s="89"/>
      <c r="G156" s="86"/>
      <c r="H156" s="86"/>
      <c r="I156" s="89"/>
      <c r="J156" s="86"/>
      <c r="K156" s="86"/>
      <c r="L156" s="89"/>
      <c r="M156" s="86"/>
      <c r="N156" s="86"/>
      <c r="O156" s="89"/>
      <c r="P156" s="86"/>
      <c r="Q156" s="86"/>
      <c r="R156" s="89"/>
      <c r="S156" s="86"/>
      <c r="T156" s="86"/>
      <c r="U156" s="89"/>
      <c r="V156" s="86"/>
      <c r="W156" s="86"/>
      <c r="X156" s="89"/>
      <c r="Y156" s="86"/>
      <c r="Z156" s="86"/>
      <c r="AA156" s="89"/>
      <c r="AB156" s="86"/>
      <c r="AC156" s="86"/>
      <c r="AD156" s="89"/>
      <c r="AE156" s="86"/>
      <c r="AF156" s="86"/>
      <c r="AG156" s="89"/>
    </row>
    <row r="157" spans="1:33" ht="15.75" thickBot="1" x14ac:dyDescent="0.3">
      <c r="A157" s="68"/>
      <c r="B157" s="68"/>
      <c r="D157" s="87"/>
      <c r="E157" s="87"/>
      <c r="F157" s="90"/>
      <c r="G157" s="87"/>
      <c r="H157" s="87"/>
      <c r="I157" s="90"/>
      <c r="J157" s="87"/>
      <c r="K157" s="87"/>
      <c r="L157" s="90"/>
      <c r="M157" s="87"/>
      <c r="N157" s="87"/>
      <c r="O157" s="90"/>
      <c r="P157" s="87"/>
      <c r="Q157" s="87"/>
      <c r="R157" s="90"/>
      <c r="S157" s="87"/>
      <c r="T157" s="87"/>
      <c r="U157" s="90"/>
      <c r="V157" s="87"/>
      <c r="W157" s="87"/>
      <c r="X157" s="90"/>
      <c r="Y157" s="87"/>
      <c r="Z157" s="87"/>
      <c r="AA157" s="90"/>
      <c r="AB157" s="87"/>
      <c r="AC157" s="87"/>
      <c r="AD157" s="90"/>
      <c r="AE157" s="87"/>
      <c r="AF157" s="87"/>
      <c r="AG157" s="90"/>
    </row>
    <row r="158" spans="1:33" ht="15.75" thickBot="1" x14ac:dyDescent="0.3">
      <c r="A158" s="68"/>
      <c r="B158" s="68"/>
      <c r="D158" s="88"/>
      <c r="E158" s="88"/>
      <c r="F158" s="91"/>
      <c r="G158" s="88"/>
      <c r="H158" s="88"/>
      <c r="I158" s="91"/>
      <c r="J158" s="88"/>
      <c r="K158" s="88"/>
      <c r="L158" s="91"/>
      <c r="M158" s="88"/>
      <c r="N158" s="88"/>
      <c r="O158" s="91"/>
      <c r="P158" s="88"/>
      <c r="Q158" s="88"/>
      <c r="R158" s="91"/>
      <c r="S158" s="88"/>
      <c r="T158" s="88"/>
      <c r="U158" s="91"/>
      <c r="V158" s="88"/>
      <c r="W158" s="88"/>
      <c r="X158" s="91"/>
      <c r="Y158" s="88"/>
      <c r="Z158" s="88"/>
      <c r="AA158" s="91"/>
      <c r="AB158" s="88"/>
      <c r="AC158" s="88"/>
      <c r="AD158" s="91"/>
      <c r="AE158" s="88"/>
      <c r="AF158" s="88"/>
      <c r="AG158" s="91"/>
    </row>
    <row r="160" spans="1:33" ht="15.75" thickBot="1" x14ac:dyDescent="0.3"/>
    <row r="161" spans="1:33" ht="15.75" thickBot="1" x14ac:dyDescent="0.3">
      <c r="A161" s="68" t="s">
        <v>255</v>
      </c>
      <c r="B161" s="68"/>
      <c r="D161" s="52" t="s">
        <v>27</v>
      </c>
      <c r="E161" s="52"/>
      <c r="F161" s="52"/>
      <c r="G161" s="73" t="s">
        <v>28</v>
      </c>
      <c r="H161" s="73"/>
      <c r="I161" s="73"/>
      <c r="J161" s="52" t="s">
        <v>29</v>
      </c>
      <c r="K161" s="52"/>
      <c r="L161" s="52"/>
      <c r="M161" s="73" t="s">
        <v>30</v>
      </c>
      <c r="N161" s="73"/>
      <c r="O161" s="73"/>
      <c r="P161" s="52" t="s">
        <v>31</v>
      </c>
      <c r="Q161" s="52"/>
      <c r="R161" s="52"/>
      <c r="S161" s="73" t="s">
        <v>32</v>
      </c>
      <c r="T161" s="73"/>
      <c r="U161" s="73"/>
      <c r="V161" s="52" t="s">
        <v>33</v>
      </c>
      <c r="W161" s="52"/>
      <c r="X161" s="52"/>
      <c r="Y161" s="73" t="s">
        <v>34</v>
      </c>
      <c r="Z161" s="73"/>
      <c r="AA161" s="73"/>
      <c r="AB161" s="52" t="s">
        <v>35</v>
      </c>
      <c r="AC161" s="52"/>
      <c r="AD161" s="52"/>
      <c r="AE161" s="73" t="s">
        <v>36</v>
      </c>
      <c r="AF161" s="73"/>
      <c r="AG161" s="73"/>
    </row>
    <row r="162" spans="1:33" ht="15.75" thickBot="1" x14ac:dyDescent="0.3">
      <c r="A162" s="68"/>
      <c r="B162" s="68"/>
      <c r="C162" s="105" t="s">
        <v>243</v>
      </c>
      <c r="D162" s="75">
        <v>0</v>
      </c>
      <c r="E162" s="75"/>
      <c r="F162" s="76"/>
      <c r="G162" s="74">
        <v>0</v>
      </c>
      <c r="H162" s="75"/>
      <c r="I162" s="76"/>
      <c r="J162" s="74">
        <v>0</v>
      </c>
      <c r="K162" s="75"/>
      <c r="L162" s="76"/>
      <c r="M162" s="74">
        <v>0</v>
      </c>
      <c r="N162" s="75"/>
      <c r="O162" s="76"/>
      <c r="P162" s="74">
        <v>0</v>
      </c>
      <c r="Q162" s="75"/>
      <c r="R162" s="76"/>
      <c r="S162" s="74">
        <v>0</v>
      </c>
      <c r="T162" s="75"/>
      <c r="U162" s="76"/>
      <c r="V162" s="74">
        <v>0</v>
      </c>
      <c r="W162" s="75"/>
      <c r="X162" s="76"/>
      <c r="Y162" s="74">
        <v>0</v>
      </c>
      <c r="Z162" s="75"/>
      <c r="AA162" s="76"/>
      <c r="AB162" s="74">
        <v>0</v>
      </c>
      <c r="AC162" s="75"/>
      <c r="AD162" s="76"/>
      <c r="AE162" s="74">
        <v>0</v>
      </c>
      <c r="AF162" s="75"/>
      <c r="AG162" s="76"/>
    </row>
    <row r="163" spans="1:33" ht="15.75" thickBot="1" x14ac:dyDescent="0.3">
      <c r="A163" s="68"/>
      <c r="B163" s="68"/>
      <c r="C163" s="106" t="s">
        <v>244</v>
      </c>
      <c r="D163" s="82">
        <v>0</v>
      </c>
      <c r="E163" s="82"/>
      <c r="F163" s="84"/>
      <c r="G163" s="85">
        <v>0</v>
      </c>
      <c r="H163" s="82"/>
      <c r="I163" s="84"/>
      <c r="J163" s="85">
        <v>0</v>
      </c>
      <c r="K163" s="82"/>
      <c r="L163" s="84"/>
      <c r="M163" s="85">
        <v>0</v>
      </c>
      <c r="N163" s="82"/>
      <c r="O163" s="82"/>
      <c r="P163" s="81">
        <v>0</v>
      </c>
      <c r="Q163" s="82"/>
      <c r="R163" s="83"/>
      <c r="S163" s="82">
        <v>0</v>
      </c>
      <c r="T163" s="82"/>
      <c r="U163" s="84"/>
      <c r="V163" s="85">
        <v>0</v>
      </c>
      <c r="W163" s="82"/>
      <c r="X163" s="84"/>
      <c r="Y163" s="85">
        <v>0</v>
      </c>
      <c r="Z163" s="82"/>
      <c r="AA163" s="84"/>
      <c r="AB163" s="85">
        <v>0</v>
      </c>
      <c r="AC163" s="82"/>
      <c r="AD163" s="84"/>
      <c r="AE163" s="85">
        <v>0</v>
      </c>
      <c r="AF163" s="82"/>
      <c r="AG163" s="84"/>
    </row>
    <row r="164" spans="1:33" ht="15.75" thickBot="1" x14ac:dyDescent="0.3">
      <c r="A164" s="68"/>
      <c r="B164" s="68"/>
      <c r="C164" s="107" t="s">
        <v>37</v>
      </c>
      <c r="D164" s="104"/>
      <c r="E164" s="86"/>
      <c r="F164" s="89"/>
      <c r="G164" s="86"/>
      <c r="H164" s="86"/>
      <c r="I164" s="89"/>
      <c r="J164" s="86"/>
      <c r="K164" s="86"/>
      <c r="L164" s="89"/>
      <c r="M164" s="86"/>
      <c r="N164" s="86"/>
      <c r="O164" s="89"/>
      <c r="P164" s="86"/>
      <c r="Q164" s="86"/>
      <c r="R164" s="89"/>
      <c r="S164" s="86"/>
      <c r="T164" s="86"/>
      <c r="U164" s="89"/>
      <c r="V164" s="86"/>
      <c r="W164" s="86"/>
      <c r="X164" s="89"/>
      <c r="Y164" s="86"/>
      <c r="Z164" s="86"/>
      <c r="AA164" s="89"/>
      <c r="AB164" s="86"/>
      <c r="AC164" s="86"/>
      <c r="AD164" s="89"/>
      <c r="AE164" s="86"/>
      <c r="AF164" s="86"/>
      <c r="AG164" s="89"/>
    </row>
    <row r="165" spans="1:33" ht="15.75" thickBot="1" x14ac:dyDescent="0.3">
      <c r="A165" s="68"/>
      <c r="B165" s="68"/>
      <c r="D165" s="87"/>
      <c r="E165" s="87"/>
      <c r="F165" s="90"/>
      <c r="G165" s="87"/>
      <c r="H165" s="87"/>
      <c r="I165" s="90"/>
      <c r="J165" s="87"/>
      <c r="K165" s="87"/>
      <c r="L165" s="90"/>
      <c r="M165" s="87"/>
      <c r="N165" s="87"/>
      <c r="O165" s="90"/>
      <c r="P165" s="87"/>
      <c r="Q165" s="87"/>
      <c r="R165" s="90"/>
      <c r="S165" s="87"/>
      <c r="T165" s="87"/>
      <c r="U165" s="90"/>
      <c r="V165" s="87"/>
      <c r="W165" s="87"/>
      <c r="X165" s="90"/>
      <c r="Y165" s="87"/>
      <c r="Z165" s="87"/>
      <c r="AA165" s="90"/>
      <c r="AB165" s="87"/>
      <c r="AC165" s="87"/>
      <c r="AD165" s="90"/>
      <c r="AE165" s="87"/>
      <c r="AF165" s="87"/>
      <c r="AG165" s="90"/>
    </row>
    <row r="166" spans="1:33" ht="15.75" thickBot="1" x14ac:dyDescent="0.3">
      <c r="A166" s="68"/>
      <c r="B166" s="68"/>
      <c r="D166" s="88"/>
      <c r="E166" s="88"/>
      <c r="F166" s="91"/>
      <c r="G166" s="88"/>
      <c r="H166" s="88"/>
      <c r="I166" s="91"/>
      <c r="J166" s="88"/>
      <c r="K166" s="88"/>
      <c r="L166" s="91"/>
      <c r="M166" s="88"/>
      <c r="N166" s="88"/>
      <c r="O166" s="91"/>
      <c r="P166" s="88"/>
      <c r="Q166" s="88"/>
      <c r="R166" s="91"/>
      <c r="S166" s="88"/>
      <c r="T166" s="88"/>
      <c r="U166" s="91"/>
      <c r="V166" s="88"/>
      <c r="W166" s="88"/>
      <c r="X166" s="91"/>
      <c r="Y166" s="88"/>
      <c r="Z166" s="88"/>
      <c r="AA166" s="91"/>
      <c r="AB166" s="88"/>
      <c r="AC166" s="88"/>
      <c r="AD166" s="91"/>
      <c r="AE166" s="88"/>
      <c r="AF166" s="88"/>
      <c r="AG166" s="91"/>
    </row>
    <row r="168" spans="1:33" ht="15.75" thickBot="1" x14ac:dyDescent="0.3"/>
    <row r="169" spans="1:33" ht="15.75" thickBot="1" x14ac:dyDescent="0.3">
      <c r="A169" s="68" t="s">
        <v>87</v>
      </c>
      <c r="B169" s="68"/>
      <c r="D169" s="52" t="s">
        <v>27</v>
      </c>
      <c r="E169" s="52"/>
      <c r="F169" s="52"/>
      <c r="G169" s="73" t="s">
        <v>28</v>
      </c>
      <c r="H169" s="73"/>
      <c r="I169" s="73"/>
      <c r="J169" s="52" t="s">
        <v>29</v>
      </c>
      <c r="K169" s="52"/>
      <c r="L169" s="52"/>
      <c r="M169" s="73" t="s">
        <v>30</v>
      </c>
      <c r="N169" s="73"/>
      <c r="O169" s="73"/>
      <c r="P169" s="52" t="s">
        <v>31</v>
      </c>
      <c r="Q169" s="52"/>
      <c r="R169" s="52"/>
      <c r="S169" s="73" t="s">
        <v>32</v>
      </c>
      <c r="T169" s="73"/>
      <c r="U169" s="73"/>
      <c r="V169" s="52" t="s">
        <v>33</v>
      </c>
      <c r="W169" s="52"/>
      <c r="X169" s="52"/>
      <c r="Y169" s="73" t="s">
        <v>34</v>
      </c>
      <c r="Z169" s="73"/>
      <c r="AA169" s="73"/>
      <c r="AB169" s="52" t="s">
        <v>35</v>
      </c>
      <c r="AC169" s="52"/>
      <c r="AD169" s="52"/>
      <c r="AE169" s="73" t="s">
        <v>36</v>
      </c>
      <c r="AF169" s="73"/>
      <c r="AG169" s="73"/>
    </row>
    <row r="170" spans="1:33" ht="15.75" thickBot="1" x14ac:dyDescent="0.3">
      <c r="A170" s="68"/>
      <c r="B170" s="68"/>
      <c r="C170" s="105" t="s">
        <v>243</v>
      </c>
      <c r="D170" s="75">
        <v>0</v>
      </c>
      <c r="E170" s="75"/>
      <c r="F170" s="76"/>
      <c r="G170" s="74">
        <v>0</v>
      </c>
      <c r="H170" s="75"/>
      <c r="I170" s="76"/>
      <c r="J170" s="74">
        <v>0</v>
      </c>
      <c r="K170" s="75"/>
      <c r="L170" s="76"/>
      <c r="M170" s="74">
        <v>0</v>
      </c>
      <c r="N170" s="75"/>
      <c r="O170" s="76"/>
      <c r="P170" s="74">
        <v>0</v>
      </c>
      <c r="Q170" s="75"/>
      <c r="R170" s="76"/>
      <c r="S170" s="74">
        <v>0</v>
      </c>
      <c r="T170" s="75"/>
      <c r="U170" s="76"/>
      <c r="V170" s="74">
        <v>0</v>
      </c>
      <c r="W170" s="75"/>
      <c r="X170" s="76"/>
      <c r="Y170" s="74">
        <v>0</v>
      </c>
      <c r="Z170" s="75"/>
      <c r="AA170" s="76"/>
      <c r="AB170" s="74">
        <v>0</v>
      </c>
      <c r="AC170" s="75"/>
      <c r="AD170" s="76"/>
      <c r="AE170" s="74">
        <v>0</v>
      </c>
      <c r="AF170" s="75"/>
      <c r="AG170" s="76"/>
    </row>
    <row r="171" spans="1:33" ht="15.75" thickBot="1" x14ac:dyDescent="0.3">
      <c r="A171" s="68"/>
      <c r="B171" s="68"/>
      <c r="C171" s="106" t="s">
        <v>244</v>
      </c>
      <c r="D171" s="82">
        <v>0</v>
      </c>
      <c r="E171" s="82"/>
      <c r="F171" s="84"/>
      <c r="G171" s="85">
        <v>0</v>
      </c>
      <c r="H171" s="82"/>
      <c r="I171" s="84"/>
      <c r="J171" s="85">
        <v>0</v>
      </c>
      <c r="K171" s="82"/>
      <c r="L171" s="84"/>
      <c r="M171" s="85">
        <v>0</v>
      </c>
      <c r="N171" s="82"/>
      <c r="O171" s="82"/>
      <c r="P171" s="81">
        <v>0</v>
      </c>
      <c r="Q171" s="82"/>
      <c r="R171" s="83"/>
      <c r="S171" s="82">
        <v>0</v>
      </c>
      <c r="T171" s="82"/>
      <c r="U171" s="84"/>
      <c r="V171" s="85">
        <v>0</v>
      </c>
      <c r="W171" s="82"/>
      <c r="X171" s="84"/>
      <c r="Y171" s="85">
        <v>0</v>
      </c>
      <c r="Z171" s="82"/>
      <c r="AA171" s="84"/>
      <c r="AB171" s="85">
        <v>0</v>
      </c>
      <c r="AC171" s="82"/>
      <c r="AD171" s="84"/>
      <c r="AE171" s="85">
        <v>0</v>
      </c>
      <c r="AF171" s="82"/>
      <c r="AG171" s="84"/>
    </row>
    <row r="172" spans="1:33" ht="15.75" thickBot="1" x14ac:dyDescent="0.3">
      <c r="A172" s="68"/>
      <c r="B172" s="68"/>
      <c r="C172" s="107" t="s">
        <v>37</v>
      </c>
      <c r="D172" s="104"/>
      <c r="E172" s="86"/>
      <c r="F172" s="89"/>
      <c r="G172" s="86"/>
      <c r="H172" s="86"/>
      <c r="I172" s="89"/>
      <c r="J172" s="86"/>
      <c r="K172" s="86"/>
      <c r="L172" s="89"/>
      <c r="M172" s="86"/>
      <c r="N172" s="86"/>
      <c r="O172" s="89"/>
      <c r="P172" s="86"/>
      <c r="Q172" s="86"/>
      <c r="R172" s="89"/>
      <c r="S172" s="86"/>
      <c r="T172" s="86"/>
      <c r="U172" s="89"/>
      <c r="V172" s="86"/>
      <c r="W172" s="86"/>
      <c r="X172" s="89"/>
      <c r="Y172" s="86"/>
      <c r="Z172" s="86"/>
      <c r="AA172" s="89"/>
      <c r="AB172" s="86"/>
      <c r="AC172" s="86"/>
      <c r="AD172" s="89"/>
      <c r="AE172" s="86"/>
      <c r="AF172" s="86"/>
      <c r="AG172" s="89"/>
    </row>
    <row r="173" spans="1:33" ht="15.75" thickBot="1" x14ac:dyDescent="0.3">
      <c r="A173" s="68"/>
      <c r="B173" s="68"/>
      <c r="D173" s="87"/>
      <c r="E173" s="87"/>
      <c r="F173" s="90"/>
      <c r="G173" s="87"/>
      <c r="H173" s="87"/>
      <c r="I173" s="90"/>
      <c r="J173" s="87"/>
      <c r="K173" s="87"/>
      <c r="L173" s="90"/>
      <c r="M173" s="87"/>
      <c r="N173" s="87"/>
      <c r="O173" s="90"/>
      <c r="P173" s="87"/>
      <c r="Q173" s="87"/>
      <c r="R173" s="90"/>
      <c r="S173" s="87"/>
      <c r="T173" s="87"/>
      <c r="U173" s="90"/>
      <c r="V173" s="87"/>
      <c r="W173" s="87"/>
      <c r="X173" s="90"/>
      <c r="Y173" s="87"/>
      <c r="Z173" s="87"/>
      <c r="AA173" s="90"/>
      <c r="AB173" s="87"/>
      <c r="AC173" s="87"/>
      <c r="AD173" s="90"/>
      <c r="AE173" s="87"/>
      <c r="AF173" s="87"/>
      <c r="AG173" s="90"/>
    </row>
    <row r="174" spans="1:33" ht="15.75" thickBot="1" x14ac:dyDescent="0.3">
      <c r="A174" s="68"/>
      <c r="B174" s="68"/>
      <c r="D174" s="88"/>
      <c r="E174" s="88"/>
      <c r="F174" s="91"/>
      <c r="G174" s="88"/>
      <c r="H174" s="88"/>
      <c r="I174" s="91"/>
      <c r="J174" s="88"/>
      <c r="K174" s="88"/>
      <c r="L174" s="91"/>
      <c r="M174" s="88"/>
      <c r="N174" s="88"/>
      <c r="O174" s="91"/>
      <c r="P174" s="88"/>
      <c r="Q174" s="88"/>
      <c r="R174" s="91"/>
      <c r="S174" s="88"/>
      <c r="T174" s="88"/>
      <c r="U174" s="91"/>
      <c r="V174" s="88"/>
      <c r="W174" s="88"/>
      <c r="X174" s="91"/>
      <c r="Y174" s="88"/>
      <c r="Z174" s="88"/>
      <c r="AA174" s="91"/>
      <c r="AB174" s="88"/>
      <c r="AC174" s="88"/>
      <c r="AD174" s="91"/>
      <c r="AE174" s="88"/>
      <c r="AF174" s="88"/>
      <c r="AG174" s="91"/>
    </row>
    <row r="176" spans="1:33" ht="15.75" thickBot="1" x14ac:dyDescent="0.3"/>
    <row r="177" spans="1:33" ht="15.75" thickBot="1" x14ac:dyDescent="0.3">
      <c r="A177" s="68" t="s">
        <v>88</v>
      </c>
      <c r="B177" s="68"/>
      <c r="D177" s="52" t="s">
        <v>27</v>
      </c>
      <c r="E177" s="52"/>
      <c r="F177" s="52"/>
      <c r="G177" s="73" t="s">
        <v>28</v>
      </c>
      <c r="H177" s="73"/>
      <c r="I177" s="73"/>
      <c r="J177" s="52" t="s">
        <v>29</v>
      </c>
      <c r="K177" s="52"/>
      <c r="L177" s="52"/>
      <c r="M177" s="73" t="s">
        <v>30</v>
      </c>
      <c r="N177" s="73"/>
      <c r="O177" s="73"/>
      <c r="P177" s="52" t="s">
        <v>31</v>
      </c>
      <c r="Q177" s="52"/>
      <c r="R177" s="52"/>
      <c r="S177" s="73" t="s">
        <v>32</v>
      </c>
      <c r="T177" s="73"/>
      <c r="U177" s="73"/>
      <c r="V177" s="52" t="s">
        <v>33</v>
      </c>
      <c r="W177" s="52"/>
      <c r="X177" s="52"/>
      <c r="Y177" s="73" t="s">
        <v>34</v>
      </c>
      <c r="Z177" s="73"/>
      <c r="AA177" s="73"/>
      <c r="AB177" s="52" t="s">
        <v>35</v>
      </c>
      <c r="AC177" s="52"/>
      <c r="AD177" s="52"/>
      <c r="AE177" s="73" t="s">
        <v>36</v>
      </c>
      <c r="AF177" s="73"/>
      <c r="AG177" s="73"/>
    </row>
    <row r="178" spans="1:33" ht="15.75" thickBot="1" x14ac:dyDescent="0.3">
      <c r="A178" s="68"/>
      <c r="B178" s="68"/>
      <c r="C178" s="105" t="s">
        <v>243</v>
      </c>
      <c r="D178" s="75">
        <v>0</v>
      </c>
      <c r="E178" s="75"/>
      <c r="F178" s="76"/>
      <c r="G178" s="74">
        <v>0</v>
      </c>
      <c r="H178" s="75"/>
      <c r="I178" s="76"/>
      <c r="J178" s="74">
        <v>0</v>
      </c>
      <c r="K178" s="75"/>
      <c r="L178" s="76"/>
      <c r="M178" s="74">
        <v>0</v>
      </c>
      <c r="N178" s="75"/>
      <c r="O178" s="76"/>
      <c r="P178" s="74">
        <v>0</v>
      </c>
      <c r="Q178" s="75"/>
      <c r="R178" s="76"/>
      <c r="S178" s="74">
        <v>0</v>
      </c>
      <c r="T178" s="75"/>
      <c r="U178" s="76"/>
      <c r="V178" s="74">
        <v>0</v>
      </c>
      <c r="W178" s="75"/>
      <c r="X178" s="76"/>
      <c r="Y178" s="74">
        <v>0</v>
      </c>
      <c r="Z178" s="75"/>
      <c r="AA178" s="76"/>
      <c r="AB178" s="74">
        <v>0</v>
      </c>
      <c r="AC178" s="75"/>
      <c r="AD178" s="76"/>
      <c r="AE178" s="74">
        <v>0</v>
      </c>
      <c r="AF178" s="75"/>
      <c r="AG178" s="76"/>
    </row>
    <row r="179" spans="1:33" ht="15.75" thickBot="1" x14ac:dyDescent="0.3">
      <c r="A179" s="68"/>
      <c r="B179" s="68"/>
      <c r="C179" s="106" t="s">
        <v>244</v>
      </c>
      <c r="D179" s="82">
        <v>0</v>
      </c>
      <c r="E179" s="82"/>
      <c r="F179" s="84"/>
      <c r="G179" s="85">
        <v>0</v>
      </c>
      <c r="H179" s="82"/>
      <c r="I179" s="84"/>
      <c r="J179" s="85">
        <v>0</v>
      </c>
      <c r="K179" s="82"/>
      <c r="L179" s="84"/>
      <c r="M179" s="85">
        <v>0</v>
      </c>
      <c r="N179" s="82"/>
      <c r="O179" s="82"/>
      <c r="P179" s="81">
        <v>0</v>
      </c>
      <c r="Q179" s="82"/>
      <c r="R179" s="83"/>
      <c r="S179" s="82">
        <v>0</v>
      </c>
      <c r="T179" s="82"/>
      <c r="U179" s="84"/>
      <c r="V179" s="85">
        <v>0</v>
      </c>
      <c r="W179" s="82"/>
      <c r="X179" s="84"/>
      <c r="Y179" s="85">
        <v>0</v>
      </c>
      <c r="Z179" s="82"/>
      <c r="AA179" s="84"/>
      <c r="AB179" s="85">
        <v>0</v>
      </c>
      <c r="AC179" s="82"/>
      <c r="AD179" s="84"/>
      <c r="AE179" s="85">
        <v>0</v>
      </c>
      <c r="AF179" s="82"/>
      <c r="AG179" s="84"/>
    </row>
    <row r="180" spans="1:33" ht="15.75" thickBot="1" x14ac:dyDescent="0.3">
      <c r="A180" s="68"/>
      <c r="B180" s="68"/>
      <c r="C180" s="107" t="s">
        <v>37</v>
      </c>
      <c r="D180" s="104"/>
      <c r="E180" s="86"/>
      <c r="F180" s="89"/>
      <c r="G180" s="86"/>
      <c r="H180" s="86"/>
      <c r="I180" s="89"/>
      <c r="J180" s="86"/>
      <c r="K180" s="86"/>
      <c r="L180" s="89"/>
      <c r="M180" s="86"/>
      <c r="N180" s="86"/>
      <c r="O180" s="89"/>
      <c r="P180" s="86"/>
      <c r="Q180" s="86"/>
      <c r="R180" s="89"/>
      <c r="S180" s="86"/>
      <c r="T180" s="86"/>
      <c r="U180" s="89"/>
      <c r="V180" s="86"/>
      <c r="W180" s="86"/>
      <c r="X180" s="89"/>
      <c r="Y180" s="86"/>
      <c r="Z180" s="86"/>
      <c r="AA180" s="89"/>
      <c r="AB180" s="86"/>
      <c r="AC180" s="86"/>
      <c r="AD180" s="89"/>
      <c r="AE180" s="86"/>
      <c r="AF180" s="86"/>
      <c r="AG180" s="89"/>
    </row>
    <row r="181" spans="1:33" ht="15.75" thickBot="1" x14ac:dyDescent="0.3">
      <c r="A181" s="68"/>
      <c r="B181" s="68"/>
      <c r="D181" s="87"/>
      <c r="E181" s="87"/>
      <c r="F181" s="90"/>
      <c r="G181" s="87"/>
      <c r="H181" s="87"/>
      <c r="I181" s="90"/>
      <c r="J181" s="87"/>
      <c r="K181" s="87"/>
      <c r="L181" s="90"/>
      <c r="M181" s="87"/>
      <c r="N181" s="87"/>
      <c r="O181" s="90"/>
      <c r="P181" s="87"/>
      <c r="Q181" s="87"/>
      <c r="R181" s="90"/>
      <c r="S181" s="87"/>
      <c r="T181" s="87"/>
      <c r="U181" s="90"/>
      <c r="V181" s="87"/>
      <c r="W181" s="87"/>
      <c r="X181" s="90"/>
      <c r="Y181" s="87"/>
      <c r="Z181" s="87"/>
      <c r="AA181" s="90"/>
      <c r="AB181" s="87"/>
      <c r="AC181" s="87"/>
      <c r="AD181" s="90"/>
      <c r="AE181" s="87"/>
      <c r="AF181" s="87"/>
      <c r="AG181" s="90"/>
    </row>
    <row r="182" spans="1:33" ht="15.75" thickBot="1" x14ac:dyDescent="0.3">
      <c r="A182" s="68"/>
      <c r="B182" s="68"/>
      <c r="D182" s="88"/>
      <c r="E182" s="88"/>
      <c r="F182" s="91"/>
      <c r="G182" s="88"/>
      <c r="H182" s="88"/>
      <c r="I182" s="91"/>
      <c r="J182" s="88"/>
      <c r="K182" s="88"/>
      <c r="L182" s="91"/>
      <c r="M182" s="88"/>
      <c r="N182" s="88"/>
      <c r="O182" s="91"/>
      <c r="P182" s="88"/>
      <c r="Q182" s="88"/>
      <c r="R182" s="91"/>
      <c r="S182" s="88"/>
      <c r="T182" s="88"/>
      <c r="U182" s="91"/>
      <c r="V182" s="88"/>
      <c r="W182" s="88"/>
      <c r="X182" s="91"/>
      <c r="Y182" s="88"/>
      <c r="Z182" s="88"/>
      <c r="AA182" s="91"/>
      <c r="AB182" s="88"/>
      <c r="AC182" s="88"/>
      <c r="AD182" s="91"/>
      <c r="AE182" s="88"/>
      <c r="AF182" s="88"/>
      <c r="AG182" s="91"/>
    </row>
    <row r="184" spans="1:33" ht="15.75" thickBot="1" x14ac:dyDescent="0.3"/>
    <row r="185" spans="1:33" ht="15.75" thickBot="1" x14ac:dyDescent="0.3">
      <c r="A185" s="68" t="s">
        <v>256</v>
      </c>
      <c r="B185" s="68"/>
      <c r="D185" s="52" t="s">
        <v>27</v>
      </c>
      <c r="E185" s="52"/>
      <c r="F185" s="52"/>
      <c r="G185" s="73" t="s">
        <v>28</v>
      </c>
      <c r="H185" s="73"/>
      <c r="I185" s="73"/>
      <c r="J185" s="52" t="s">
        <v>29</v>
      </c>
      <c r="K185" s="52"/>
      <c r="L185" s="52"/>
      <c r="M185" s="73" t="s">
        <v>30</v>
      </c>
      <c r="N185" s="73"/>
      <c r="O185" s="73"/>
      <c r="P185" s="52" t="s">
        <v>31</v>
      </c>
      <c r="Q185" s="52"/>
      <c r="R185" s="52"/>
      <c r="S185" s="73" t="s">
        <v>32</v>
      </c>
      <c r="T185" s="73"/>
      <c r="U185" s="73"/>
      <c r="V185" s="52" t="s">
        <v>33</v>
      </c>
      <c r="W185" s="52"/>
      <c r="X185" s="52"/>
      <c r="Y185" s="73" t="s">
        <v>34</v>
      </c>
      <c r="Z185" s="73"/>
      <c r="AA185" s="73"/>
      <c r="AB185" s="52" t="s">
        <v>35</v>
      </c>
      <c r="AC185" s="52"/>
      <c r="AD185" s="52"/>
      <c r="AE185" s="73" t="s">
        <v>36</v>
      </c>
      <c r="AF185" s="73"/>
      <c r="AG185" s="73"/>
    </row>
    <row r="186" spans="1:33" ht="15.75" thickBot="1" x14ac:dyDescent="0.3">
      <c r="A186" s="68"/>
      <c r="B186" s="68"/>
      <c r="C186" s="105" t="s">
        <v>243</v>
      </c>
      <c r="D186" s="75">
        <v>0</v>
      </c>
      <c r="E186" s="75"/>
      <c r="F186" s="76"/>
      <c r="G186" s="74">
        <v>0</v>
      </c>
      <c r="H186" s="75"/>
      <c r="I186" s="76"/>
      <c r="J186" s="74">
        <v>0</v>
      </c>
      <c r="K186" s="75"/>
      <c r="L186" s="76"/>
      <c r="M186" s="74">
        <v>0</v>
      </c>
      <c r="N186" s="75"/>
      <c r="O186" s="76"/>
      <c r="P186" s="74">
        <v>0</v>
      </c>
      <c r="Q186" s="75"/>
      <c r="R186" s="76"/>
      <c r="S186" s="74">
        <v>0</v>
      </c>
      <c r="T186" s="75"/>
      <c r="U186" s="76"/>
      <c r="V186" s="74">
        <v>0</v>
      </c>
      <c r="W186" s="75"/>
      <c r="X186" s="76"/>
      <c r="Y186" s="74">
        <v>0</v>
      </c>
      <c r="Z186" s="75"/>
      <c r="AA186" s="76"/>
      <c r="AB186" s="74">
        <v>0</v>
      </c>
      <c r="AC186" s="75"/>
      <c r="AD186" s="76"/>
      <c r="AE186" s="74">
        <v>0</v>
      </c>
      <c r="AF186" s="75"/>
      <c r="AG186" s="76"/>
    </row>
    <row r="187" spans="1:33" ht="15.75" thickBot="1" x14ac:dyDescent="0.3">
      <c r="A187" s="68"/>
      <c r="B187" s="68"/>
      <c r="C187" s="106" t="s">
        <v>244</v>
      </c>
      <c r="D187" s="82">
        <v>0</v>
      </c>
      <c r="E187" s="82"/>
      <c r="F187" s="84"/>
      <c r="G187" s="85">
        <v>0</v>
      </c>
      <c r="H187" s="82"/>
      <c r="I187" s="84"/>
      <c r="J187" s="85">
        <v>0</v>
      </c>
      <c r="K187" s="82"/>
      <c r="L187" s="84"/>
      <c r="M187" s="85">
        <v>0</v>
      </c>
      <c r="N187" s="82"/>
      <c r="O187" s="82"/>
      <c r="P187" s="81">
        <v>0</v>
      </c>
      <c r="Q187" s="82"/>
      <c r="R187" s="83"/>
      <c r="S187" s="82">
        <v>0</v>
      </c>
      <c r="T187" s="82"/>
      <c r="U187" s="84"/>
      <c r="V187" s="85">
        <v>0</v>
      </c>
      <c r="W187" s="82"/>
      <c r="X187" s="84"/>
      <c r="Y187" s="85">
        <v>0</v>
      </c>
      <c r="Z187" s="82"/>
      <c r="AA187" s="84"/>
      <c r="AB187" s="85">
        <v>0</v>
      </c>
      <c r="AC187" s="82"/>
      <c r="AD187" s="84"/>
      <c r="AE187" s="85">
        <v>0</v>
      </c>
      <c r="AF187" s="82"/>
      <c r="AG187" s="84"/>
    </row>
    <row r="188" spans="1:33" ht="15.75" thickBot="1" x14ac:dyDescent="0.3">
      <c r="A188" s="68"/>
      <c r="B188" s="68"/>
      <c r="C188" s="107" t="s">
        <v>37</v>
      </c>
      <c r="D188" s="104"/>
      <c r="E188" s="86"/>
      <c r="F188" s="89"/>
      <c r="G188" s="86"/>
      <c r="H188" s="86"/>
      <c r="I188" s="89"/>
      <c r="J188" s="86"/>
      <c r="K188" s="86"/>
      <c r="L188" s="89"/>
      <c r="M188" s="86"/>
      <c r="N188" s="86"/>
      <c r="O188" s="89"/>
      <c r="P188" s="86"/>
      <c r="Q188" s="86"/>
      <c r="R188" s="89"/>
      <c r="S188" s="86"/>
      <c r="T188" s="86"/>
      <c r="U188" s="89"/>
      <c r="V188" s="86"/>
      <c r="W188" s="86"/>
      <c r="X188" s="89"/>
      <c r="Y188" s="86"/>
      <c r="Z188" s="86"/>
      <c r="AA188" s="89"/>
      <c r="AB188" s="86"/>
      <c r="AC188" s="86"/>
      <c r="AD188" s="89"/>
      <c r="AE188" s="86"/>
      <c r="AF188" s="86"/>
      <c r="AG188" s="89"/>
    </row>
    <row r="189" spans="1:33" ht="15.75" thickBot="1" x14ac:dyDescent="0.3">
      <c r="A189" s="68"/>
      <c r="B189" s="68"/>
      <c r="D189" s="87"/>
      <c r="E189" s="87"/>
      <c r="F189" s="90"/>
      <c r="G189" s="87"/>
      <c r="H189" s="87"/>
      <c r="I189" s="90"/>
      <c r="J189" s="87"/>
      <c r="K189" s="87"/>
      <c r="L189" s="90"/>
      <c r="M189" s="87"/>
      <c r="N189" s="87"/>
      <c r="O189" s="90"/>
      <c r="P189" s="87"/>
      <c r="Q189" s="87"/>
      <c r="R189" s="90"/>
      <c r="S189" s="87"/>
      <c r="T189" s="87"/>
      <c r="U189" s="90"/>
      <c r="V189" s="87"/>
      <c r="W189" s="87"/>
      <c r="X189" s="90"/>
      <c r="Y189" s="87"/>
      <c r="Z189" s="87"/>
      <c r="AA189" s="90"/>
      <c r="AB189" s="87"/>
      <c r="AC189" s="87"/>
      <c r="AD189" s="90"/>
      <c r="AE189" s="87"/>
      <c r="AF189" s="87"/>
      <c r="AG189" s="90"/>
    </row>
    <row r="190" spans="1:33" ht="15.75" thickBot="1" x14ac:dyDescent="0.3">
      <c r="A190" s="68"/>
      <c r="B190" s="68"/>
      <c r="D190" s="88"/>
      <c r="E190" s="88"/>
      <c r="F190" s="91"/>
      <c r="G190" s="88"/>
      <c r="H190" s="88"/>
      <c r="I190" s="91"/>
      <c r="J190" s="88"/>
      <c r="K190" s="88"/>
      <c r="L190" s="91"/>
      <c r="M190" s="88"/>
      <c r="N190" s="88"/>
      <c r="O190" s="91"/>
      <c r="P190" s="88"/>
      <c r="Q190" s="88"/>
      <c r="R190" s="91"/>
      <c r="S190" s="88"/>
      <c r="T190" s="88"/>
      <c r="U190" s="91"/>
      <c r="V190" s="88"/>
      <c r="W190" s="88"/>
      <c r="X190" s="91"/>
      <c r="Y190" s="88"/>
      <c r="Z190" s="88"/>
      <c r="AA190" s="91"/>
      <c r="AB190" s="88"/>
      <c r="AC190" s="88"/>
      <c r="AD190" s="91"/>
      <c r="AE190" s="88"/>
      <c r="AF190" s="88"/>
      <c r="AG190" s="91"/>
    </row>
    <row r="192" spans="1:33" ht="15.75" thickBot="1" x14ac:dyDescent="0.3"/>
    <row r="193" spans="1:33" ht="15.75" thickBot="1" x14ac:dyDescent="0.3">
      <c r="A193" s="68" t="s">
        <v>89</v>
      </c>
      <c r="B193" s="68"/>
      <c r="D193" s="52" t="s">
        <v>27</v>
      </c>
      <c r="E193" s="52"/>
      <c r="F193" s="52"/>
      <c r="G193" s="73" t="s">
        <v>28</v>
      </c>
      <c r="H193" s="73"/>
      <c r="I193" s="73"/>
      <c r="J193" s="52" t="s">
        <v>29</v>
      </c>
      <c r="K193" s="52"/>
      <c r="L193" s="52"/>
      <c r="M193" s="73" t="s">
        <v>30</v>
      </c>
      <c r="N193" s="73"/>
      <c r="O193" s="73"/>
      <c r="P193" s="52" t="s">
        <v>31</v>
      </c>
      <c r="Q193" s="52"/>
      <c r="R193" s="52"/>
      <c r="S193" s="73" t="s">
        <v>32</v>
      </c>
      <c r="T193" s="73"/>
      <c r="U193" s="73"/>
      <c r="V193" s="52" t="s">
        <v>33</v>
      </c>
      <c r="W193" s="52"/>
      <c r="X193" s="52"/>
      <c r="Y193" s="73" t="s">
        <v>34</v>
      </c>
      <c r="Z193" s="73"/>
      <c r="AA193" s="73"/>
      <c r="AB193" s="52" t="s">
        <v>35</v>
      </c>
      <c r="AC193" s="52"/>
      <c r="AD193" s="52"/>
      <c r="AE193" s="73" t="s">
        <v>36</v>
      </c>
      <c r="AF193" s="73"/>
      <c r="AG193" s="73"/>
    </row>
    <row r="194" spans="1:33" ht="15.75" thickBot="1" x14ac:dyDescent="0.3">
      <c r="A194" s="68"/>
      <c r="B194" s="68"/>
      <c r="C194" s="105" t="s">
        <v>243</v>
      </c>
      <c r="D194" s="75">
        <v>0</v>
      </c>
      <c r="E194" s="75"/>
      <c r="F194" s="76"/>
      <c r="G194" s="74">
        <v>0</v>
      </c>
      <c r="H194" s="75"/>
      <c r="I194" s="76"/>
      <c r="J194" s="74">
        <v>0</v>
      </c>
      <c r="K194" s="75"/>
      <c r="L194" s="76"/>
      <c r="M194" s="74">
        <v>0</v>
      </c>
      <c r="N194" s="75"/>
      <c r="O194" s="76"/>
      <c r="P194" s="74">
        <v>0</v>
      </c>
      <c r="Q194" s="75"/>
      <c r="R194" s="76"/>
      <c r="S194" s="74">
        <v>0</v>
      </c>
      <c r="T194" s="75"/>
      <c r="U194" s="76"/>
      <c r="V194" s="74">
        <v>0</v>
      </c>
      <c r="W194" s="75"/>
      <c r="X194" s="76"/>
      <c r="Y194" s="74">
        <v>0</v>
      </c>
      <c r="Z194" s="75"/>
      <c r="AA194" s="76"/>
      <c r="AB194" s="74">
        <v>0</v>
      </c>
      <c r="AC194" s="75"/>
      <c r="AD194" s="76"/>
      <c r="AE194" s="74">
        <v>0</v>
      </c>
      <c r="AF194" s="75"/>
      <c r="AG194" s="76"/>
    </row>
    <row r="195" spans="1:33" ht="15.75" thickBot="1" x14ac:dyDescent="0.3">
      <c r="A195" s="68"/>
      <c r="B195" s="68"/>
      <c r="C195" s="106" t="s">
        <v>244</v>
      </c>
      <c r="D195" s="82">
        <v>0</v>
      </c>
      <c r="E195" s="82"/>
      <c r="F195" s="84"/>
      <c r="G195" s="85">
        <v>0</v>
      </c>
      <c r="H195" s="82"/>
      <c r="I195" s="84"/>
      <c r="J195" s="85">
        <v>0</v>
      </c>
      <c r="K195" s="82"/>
      <c r="L195" s="84"/>
      <c r="M195" s="85">
        <v>0</v>
      </c>
      <c r="N195" s="82"/>
      <c r="O195" s="82"/>
      <c r="P195" s="81">
        <v>0</v>
      </c>
      <c r="Q195" s="82"/>
      <c r="R195" s="83"/>
      <c r="S195" s="82">
        <v>0</v>
      </c>
      <c r="T195" s="82"/>
      <c r="U195" s="84"/>
      <c r="V195" s="85">
        <v>0</v>
      </c>
      <c r="W195" s="82"/>
      <c r="X195" s="84"/>
      <c r="Y195" s="85">
        <v>0</v>
      </c>
      <c r="Z195" s="82"/>
      <c r="AA195" s="84"/>
      <c r="AB195" s="85">
        <v>0</v>
      </c>
      <c r="AC195" s="82"/>
      <c r="AD195" s="84"/>
      <c r="AE195" s="85">
        <v>0</v>
      </c>
      <c r="AF195" s="82"/>
      <c r="AG195" s="84"/>
    </row>
    <row r="196" spans="1:33" ht="15.75" thickBot="1" x14ac:dyDescent="0.3">
      <c r="A196" s="68"/>
      <c r="B196" s="68"/>
      <c r="C196" s="107" t="s">
        <v>37</v>
      </c>
      <c r="D196" s="104"/>
      <c r="E196" s="86"/>
      <c r="F196" s="89"/>
      <c r="G196" s="86"/>
      <c r="H196" s="86"/>
      <c r="I196" s="89"/>
      <c r="J196" s="86"/>
      <c r="K196" s="86"/>
      <c r="L196" s="89"/>
      <c r="M196" s="86"/>
      <c r="N196" s="86"/>
      <c r="O196" s="89"/>
      <c r="P196" s="86"/>
      <c r="Q196" s="86"/>
      <c r="R196" s="89"/>
      <c r="S196" s="86"/>
      <c r="T196" s="86"/>
      <c r="U196" s="89"/>
      <c r="V196" s="86"/>
      <c r="W196" s="86"/>
      <c r="X196" s="89"/>
      <c r="Y196" s="86"/>
      <c r="Z196" s="86"/>
      <c r="AA196" s="89"/>
      <c r="AB196" s="86"/>
      <c r="AC196" s="86"/>
      <c r="AD196" s="89"/>
      <c r="AE196" s="86"/>
      <c r="AF196" s="86"/>
      <c r="AG196" s="89"/>
    </row>
    <row r="197" spans="1:33" ht="15.75" thickBot="1" x14ac:dyDescent="0.3">
      <c r="A197" s="68"/>
      <c r="B197" s="68"/>
      <c r="D197" s="87"/>
      <c r="E197" s="87"/>
      <c r="F197" s="90"/>
      <c r="G197" s="87"/>
      <c r="H197" s="87"/>
      <c r="I197" s="90"/>
      <c r="J197" s="87"/>
      <c r="K197" s="87"/>
      <c r="L197" s="90"/>
      <c r="M197" s="87"/>
      <c r="N197" s="87"/>
      <c r="O197" s="90"/>
      <c r="P197" s="87"/>
      <c r="Q197" s="87"/>
      <c r="R197" s="90"/>
      <c r="S197" s="87"/>
      <c r="T197" s="87"/>
      <c r="U197" s="90"/>
      <c r="V197" s="87"/>
      <c r="W197" s="87"/>
      <c r="X197" s="90"/>
      <c r="Y197" s="87"/>
      <c r="Z197" s="87"/>
      <c r="AA197" s="90"/>
      <c r="AB197" s="87"/>
      <c r="AC197" s="87"/>
      <c r="AD197" s="90"/>
      <c r="AE197" s="87"/>
      <c r="AF197" s="87"/>
      <c r="AG197" s="90"/>
    </row>
    <row r="198" spans="1:33" ht="15.75" thickBot="1" x14ac:dyDescent="0.3">
      <c r="A198" s="68"/>
      <c r="B198" s="68"/>
      <c r="D198" s="88"/>
      <c r="E198" s="88"/>
      <c r="F198" s="91"/>
      <c r="G198" s="88"/>
      <c r="H198" s="88"/>
      <c r="I198" s="91"/>
      <c r="J198" s="88"/>
      <c r="K198" s="88"/>
      <c r="L198" s="91"/>
      <c r="M198" s="88"/>
      <c r="N198" s="88"/>
      <c r="O198" s="91"/>
      <c r="P198" s="88"/>
      <c r="Q198" s="88"/>
      <c r="R198" s="91"/>
      <c r="S198" s="88"/>
      <c r="T198" s="88"/>
      <c r="U198" s="91"/>
      <c r="V198" s="88"/>
      <c r="W198" s="88"/>
      <c r="X198" s="91"/>
      <c r="Y198" s="88"/>
      <c r="Z198" s="88"/>
      <c r="AA198" s="91"/>
      <c r="AB198" s="88"/>
      <c r="AC198" s="88"/>
      <c r="AD198" s="91"/>
      <c r="AE198" s="88"/>
      <c r="AF198" s="88"/>
      <c r="AG198" s="91"/>
    </row>
    <row r="200" spans="1:33" ht="15.75" thickBot="1" x14ac:dyDescent="0.3"/>
    <row r="201" spans="1:33" ht="15.75" thickBot="1" x14ac:dyDescent="0.3">
      <c r="A201" s="68" t="s">
        <v>90</v>
      </c>
      <c r="B201" s="68"/>
      <c r="D201" s="52" t="s">
        <v>27</v>
      </c>
      <c r="E201" s="52"/>
      <c r="F201" s="52"/>
      <c r="G201" s="73" t="s">
        <v>28</v>
      </c>
      <c r="H201" s="73"/>
      <c r="I201" s="73"/>
      <c r="J201" s="52" t="s">
        <v>29</v>
      </c>
      <c r="K201" s="52"/>
      <c r="L201" s="52"/>
      <c r="M201" s="73" t="s">
        <v>30</v>
      </c>
      <c r="N201" s="73"/>
      <c r="O201" s="73"/>
      <c r="P201" s="52" t="s">
        <v>31</v>
      </c>
      <c r="Q201" s="52"/>
      <c r="R201" s="52"/>
      <c r="S201" s="73" t="s">
        <v>32</v>
      </c>
      <c r="T201" s="73"/>
      <c r="U201" s="73"/>
      <c r="V201" s="52" t="s">
        <v>33</v>
      </c>
      <c r="W201" s="52"/>
      <c r="X201" s="52"/>
      <c r="Y201" s="73" t="s">
        <v>34</v>
      </c>
      <c r="Z201" s="73"/>
      <c r="AA201" s="73"/>
      <c r="AB201" s="52" t="s">
        <v>35</v>
      </c>
      <c r="AC201" s="52"/>
      <c r="AD201" s="52"/>
      <c r="AE201" s="73" t="s">
        <v>36</v>
      </c>
      <c r="AF201" s="73"/>
      <c r="AG201" s="73"/>
    </row>
    <row r="202" spans="1:33" ht="15.75" thickBot="1" x14ac:dyDescent="0.3">
      <c r="A202" s="68"/>
      <c r="B202" s="68"/>
      <c r="C202" s="105" t="s">
        <v>243</v>
      </c>
      <c r="D202" s="75">
        <v>0</v>
      </c>
      <c r="E202" s="75"/>
      <c r="F202" s="76"/>
      <c r="G202" s="74">
        <v>0</v>
      </c>
      <c r="H202" s="75"/>
      <c r="I202" s="76"/>
      <c r="J202" s="74">
        <v>0</v>
      </c>
      <c r="K202" s="75"/>
      <c r="L202" s="76"/>
      <c r="M202" s="74">
        <v>0</v>
      </c>
      <c r="N202" s="75"/>
      <c r="O202" s="76"/>
      <c r="P202" s="74">
        <v>0</v>
      </c>
      <c r="Q202" s="75"/>
      <c r="R202" s="76"/>
      <c r="S202" s="74">
        <v>0</v>
      </c>
      <c r="T202" s="75"/>
      <c r="U202" s="76"/>
      <c r="V202" s="74">
        <v>0</v>
      </c>
      <c r="W202" s="75"/>
      <c r="X202" s="76"/>
      <c r="Y202" s="74">
        <v>0</v>
      </c>
      <c r="Z202" s="75"/>
      <c r="AA202" s="76"/>
      <c r="AB202" s="74">
        <v>0</v>
      </c>
      <c r="AC202" s="75"/>
      <c r="AD202" s="76"/>
      <c r="AE202" s="74">
        <v>0</v>
      </c>
      <c r="AF202" s="75"/>
      <c r="AG202" s="76"/>
    </row>
    <row r="203" spans="1:33" ht="15.75" thickBot="1" x14ac:dyDescent="0.3">
      <c r="A203" s="68"/>
      <c r="B203" s="68"/>
      <c r="C203" s="106" t="s">
        <v>244</v>
      </c>
      <c r="D203" s="82">
        <v>0</v>
      </c>
      <c r="E203" s="82"/>
      <c r="F203" s="84"/>
      <c r="G203" s="85">
        <v>0</v>
      </c>
      <c r="H203" s="82"/>
      <c r="I203" s="84"/>
      <c r="J203" s="85">
        <v>0</v>
      </c>
      <c r="K203" s="82"/>
      <c r="L203" s="84"/>
      <c r="M203" s="85">
        <v>0</v>
      </c>
      <c r="N203" s="82"/>
      <c r="O203" s="82"/>
      <c r="P203" s="81">
        <v>0</v>
      </c>
      <c r="Q203" s="82"/>
      <c r="R203" s="83"/>
      <c r="S203" s="82">
        <v>0</v>
      </c>
      <c r="T203" s="82"/>
      <c r="U203" s="84"/>
      <c r="V203" s="85">
        <v>0</v>
      </c>
      <c r="W203" s="82"/>
      <c r="X203" s="84"/>
      <c r="Y203" s="85">
        <v>0</v>
      </c>
      <c r="Z203" s="82"/>
      <c r="AA203" s="84"/>
      <c r="AB203" s="85">
        <v>0</v>
      </c>
      <c r="AC203" s="82"/>
      <c r="AD203" s="84"/>
      <c r="AE203" s="85">
        <v>0</v>
      </c>
      <c r="AF203" s="82"/>
      <c r="AG203" s="84"/>
    </row>
    <row r="204" spans="1:33" ht="15.75" thickBot="1" x14ac:dyDescent="0.3">
      <c r="A204" s="68"/>
      <c r="B204" s="68"/>
      <c r="C204" s="107" t="s">
        <v>37</v>
      </c>
      <c r="D204" s="104"/>
      <c r="E204" s="86"/>
      <c r="F204" s="89"/>
      <c r="G204" s="86"/>
      <c r="H204" s="86"/>
      <c r="I204" s="89"/>
      <c r="J204" s="86"/>
      <c r="K204" s="86"/>
      <c r="L204" s="89"/>
      <c r="M204" s="86"/>
      <c r="N204" s="86"/>
      <c r="O204" s="89"/>
      <c r="P204" s="86"/>
      <c r="Q204" s="86"/>
      <c r="R204" s="89"/>
      <c r="S204" s="86"/>
      <c r="T204" s="86"/>
      <c r="U204" s="89"/>
      <c r="V204" s="86"/>
      <c r="W204" s="86"/>
      <c r="X204" s="89"/>
      <c r="Y204" s="86"/>
      <c r="Z204" s="86"/>
      <c r="AA204" s="89"/>
      <c r="AB204" s="86"/>
      <c r="AC204" s="86"/>
      <c r="AD204" s="89"/>
      <c r="AE204" s="86"/>
      <c r="AF204" s="86"/>
      <c r="AG204" s="89"/>
    </row>
    <row r="205" spans="1:33" ht="15.75" thickBot="1" x14ac:dyDescent="0.3">
      <c r="A205" s="68"/>
      <c r="B205" s="68"/>
      <c r="D205" s="87"/>
      <c r="E205" s="87"/>
      <c r="F205" s="90"/>
      <c r="G205" s="87"/>
      <c r="H205" s="87"/>
      <c r="I205" s="90"/>
      <c r="J205" s="87"/>
      <c r="K205" s="87"/>
      <c r="L205" s="90"/>
      <c r="M205" s="87"/>
      <c r="N205" s="87"/>
      <c r="O205" s="90"/>
      <c r="P205" s="87"/>
      <c r="Q205" s="87"/>
      <c r="R205" s="90"/>
      <c r="S205" s="87"/>
      <c r="T205" s="87"/>
      <c r="U205" s="90"/>
      <c r="V205" s="87"/>
      <c r="W205" s="87"/>
      <c r="X205" s="90"/>
      <c r="Y205" s="87"/>
      <c r="Z205" s="87"/>
      <c r="AA205" s="90"/>
      <c r="AB205" s="87"/>
      <c r="AC205" s="87"/>
      <c r="AD205" s="90"/>
      <c r="AE205" s="87"/>
      <c r="AF205" s="87"/>
      <c r="AG205" s="90"/>
    </row>
    <row r="206" spans="1:33" ht="15.75" thickBot="1" x14ac:dyDescent="0.3">
      <c r="A206" s="68"/>
      <c r="B206" s="68"/>
      <c r="D206" s="88"/>
      <c r="E206" s="88"/>
      <c r="F206" s="91"/>
      <c r="G206" s="88"/>
      <c r="H206" s="88"/>
      <c r="I206" s="91"/>
      <c r="J206" s="88"/>
      <c r="K206" s="88"/>
      <c r="L206" s="91"/>
      <c r="M206" s="88"/>
      <c r="N206" s="88"/>
      <c r="O206" s="91"/>
      <c r="P206" s="88"/>
      <c r="Q206" s="88"/>
      <c r="R206" s="91"/>
      <c r="S206" s="88"/>
      <c r="T206" s="88"/>
      <c r="U206" s="91"/>
      <c r="V206" s="88"/>
      <c r="W206" s="88"/>
      <c r="X206" s="91"/>
      <c r="Y206" s="88"/>
      <c r="Z206" s="88"/>
      <c r="AA206" s="91"/>
      <c r="AB206" s="88"/>
      <c r="AC206" s="88"/>
      <c r="AD206" s="91"/>
      <c r="AE206" s="88"/>
      <c r="AF206" s="88"/>
      <c r="AG206" s="91"/>
    </row>
    <row r="208" spans="1:33" ht="15.75" thickBot="1" x14ac:dyDescent="0.3"/>
    <row r="209" spans="1:33" ht="15.75" thickBot="1" x14ac:dyDescent="0.3">
      <c r="A209" s="68" t="s">
        <v>91</v>
      </c>
      <c r="B209" s="68"/>
      <c r="D209" s="52" t="s">
        <v>27</v>
      </c>
      <c r="E209" s="52"/>
      <c r="F209" s="52"/>
      <c r="G209" s="73" t="s">
        <v>28</v>
      </c>
      <c r="H209" s="73"/>
      <c r="I209" s="73"/>
      <c r="J209" s="52" t="s">
        <v>29</v>
      </c>
      <c r="K209" s="52"/>
      <c r="L209" s="52"/>
      <c r="M209" s="73" t="s">
        <v>30</v>
      </c>
      <c r="N209" s="73"/>
      <c r="O209" s="73"/>
      <c r="P209" s="52" t="s">
        <v>31</v>
      </c>
      <c r="Q209" s="52"/>
      <c r="R209" s="52"/>
      <c r="S209" s="73" t="s">
        <v>32</v>
      </c>
      <c r="T209" s="73"/>
      <c r="U209" s="73"/>
      <c r="V209" s="52" t="s">
        <v>33</v>
      </c>
      <c r="W209" s="52"/>
      <c r="X209" s="52"/>
      <c r="Y209" s="73" t="s">
        <v>34</v>
      </c>
      <c r="Z209" s="73"/>
      <c r="AA209" s="73"/>
      <c r="AB209" s="52" t="s">
        <v>35</v>
      </c>
      <c r="AC209" s="52"/>
      <c r="AD209" s="52"/>
      <c r="AE209" s="73" t="s">
        <v>36</v>
      </c>
      <c r="AF209" s="73"/>
      <c r="AG209" s="73"/>
    </row>
    <row r="210" spans="1:33" ht="15.75" thickBot="1" x14ac:dyDescent="0.3">
      <c r="A210" s="68"/>
      <c r="B210" s="68"/>
      <c r="C210" s="105" t="s">
        <v>243</v>
      </c>
      <c r="D210" s="75">
        <v>0</v>
      </c>
      <c r="E210" s="75"/>
      <c r="F210" s="76"/>
      <c r="G210" s="74">
        <v>0</v>
      </c>
      <c r="H210" s="75"/>
      <c r="I210" s="76"/>
      <c r="J210" s="74">
        <v>0</v>
      </c>
      <c r="K210" s="75"/>
      <c r="L210" s="76"/>
      <c r="M210" s="74">
        <v>0</v>
      </c>
      <c r="N210" s="75"/>
      <c r="O210" s="76"/>
      <c r="P210" s="74">
        <v>0</v>
      </c>
      <c r="Q210" s="75"/>
      <c r="R210" s="76"/>
      <c r="S210" s="74">
        <v>0</v>
      </c>
      <c r="T210" s="75"/>
      <c r="U210" s="76"/>
      <c r="V210" s="74">
        <v>0</v>
      </c>
      <c r="W210" s="75"/>
      <c r="X210" s="76"/>
      <c r="Y210" s="74">
        <v>0</v>
      </c>
      <c r="Z210" s="75"/>
      <c r="AA210" s="76"/>
      <c r="AB210" s="74">
        <v>0</v>
      </c>
      <c r="AC210" s="75"/>
      <c r="AD210" s="76"/>
      <c r="AE210" s="74">
        <v>0</v>
      </c>
      <c r="AF210" s="75"/>
      <c r="AG210" s="76"/>
    </row>
    <row r="211" spans="1:33" ht="15.75" thickBot="1" x14ac:dyDescent="0.3">
      <c r="A211" s="68"/>
      <c r="B211" s="68"/>
      <c r="C211" s="106" t="s">
        <v>244</v>
      </c>
      <c r="D211" s="82">
        <v>0</v>
      </c>
      <c r="E211" s="82"/>
      <c r="F211" s="84"/>
      <c r="G211" s="85">
        <v>0</v>
      </c>
      <c r="H211" s="82"/>
      <c r="I211" s="84"/>
      <c r="J211" s="85">
        <v>0</v>
      </c>
      <c r="K211" s="82"/>
      <c r="L211" s="84"/>
      <c r="M211" s="85">
        <v>0</v>
      </c>
      <c r="N211" s="82"/>
      <c r="O211" s="82"/>
      <c r="P211" s="81">
        <v>0</v>
      </c>
      <c r="Q211" s="82"/>
      <c r="R211" s="83"/>
      <c r="S211" s="82">
        <v>0</v>
      </c>
      <c r="T211" s="82"/>
      <c r="U211" s="84"/>
      <c r="V211" s="85">
        <v>0</v>
      </c>
      <c r="W211" s="82"/>
      <c r="X211" s="84"/>
      <c r="Y211" s="85">
        <v>0</v>
      </c>
      <c r="Z211" s="82"/>
      <c r="AA211" s="84"/>
      <c r="AB211" s="85">
        <v>0</v>
      </c>
      <c r="AC211" s="82"/>
      <c r="AD211" s="84"/>
      <c r="AE211" s="85">
        <v>0</v>
      </c>
      <c r="AF211" s="82"/>
      <c r="AG211" s="84"/>
    </row>
    <row r="212" spans="1:33" ht="15.75" thickBot="1" x14ac:dyDescent="0.3">
      <c r="A212" s="68"/>
      <c r="B212" s="68"/>
      <c r="C212" s="107" t="s">
        <v>37</v>
      </c>
      <c r="D212" s="104"/>
      <c r="E212" s="86"/>
      <c r="F212" s="89"/>
      <c r="G212" s="86"/>
      <c r="H212" s="86"/>
      <c r="I212" s="89"/>
      <c r="J212" s="86"/>
      <c r="K212" s="86"/>
      <c r="L212" s="89"/>
      <c r="M212" s="86"/>
      <c r="N212" s="86"/>
      <c r="O212" s="89"/>
      <c r="P212" s="86"/>
      <c r="Q212" s="86"/>
      <c r="R212" s="89"/>
      <c r="S212" s="86"/>
      <c r="T212" s="86"/>
      <c r="U212" s="89"/>
      <c r="V212" s="86"/>
      <c r="W212" s="86"/>
      <c r="X212" s="89"/>
      <c r="Y212" s="86"/>
      <c r="Z212" s="86"/>
      <c r="AA212" s="89"/>
      <c r="AB212" s="86"/>
      <c r="AC212" s="86"/>
      <c r="AD212" s="89"/>
      <c r="AE212" s="86"/>
      <c r="AF212" s="86"/>
      <c r="AG212" s="89"/>
    </row>
    <row r="213" spans="1:33" ht="15.75" thickBot="1" x14ac:dyDescent="0.3">
      <c r="A213" s="68"/>
      <c r="B213" s="68"/>
      <c r="D213" s="87"/>
      <c r="E213" s="87"/>
      <c r="F213" s="90"/>
      <c r="G213" s="87"/>
      <c r="H213" s="87"/>
      <c r="I213" s="90"/>
      <c r="J213" s="87"/>
      <c r="K213" s="87"/>
      <c r="L213" s="90"/>
      <c r="M213" s="87"/>
      <c r="N213" s="87"/>
      <c r="O213" s="90"/>
      <c r="P213" s="87"/>
      <c r="Q213" s="87"/>
      <c r="R213" s="90"/>
      <c r="S213" s="87"/>
      <c r="T213" s="87"/>
      <c r="U213" s="90"/>
      <c r="V213" s="87"/>
      <c r="W213" s="87"/>
      <c r="X213" s="90"/>
      <c r="Y213" s="87"/>
      <c r="Z213" s="87"/>
      <c r="AA213" s="90"/>
      <c r="AB213" s="87"/>
      <c r="AC213" s="87"/>
      <c r="AD213" s="90"/>
      <c r="AE213" s="87"/>
      <c r="AF213" s="87"/>
      <c r="AG213" s="90"/>
    </row>
    <row r="214" spans="1:33" ht="15.75" thickBot="1" x14ac:dyDescent="0.3">
      <c r="A214" s="68"/>
      <c r="B214" s="68"/>
      <c r="D214" s="88"/>
      <c r="E214" s="88"/>
      <c r="F214" s="91"/>
      <c r="G214" s="88"/>
      <c r="H214" s="88"/>
      <c r="I214" s="91"/>
      <c r="J214" s="88"/>
      <c r="K214" s="88"/>
      <c r="L214" s="91"/>
      <c r="M214" s="88"/>
      <c r="N214" s="88"/>
      <c r="O214" s="91"/>
      <c r="P214" s="88"/>
      <c r="Q214" s="88"/>
      <c r="R214" s="91"/>
      <c r="S214" s="88"/>
      <c r="T214" s="88"/>
      <c r="U214" s="91"/>
      <c r="V214" s="88"/>
      <c r="W214" s="88"/>
      <c r="X214" s="91"/>
      <c r="Y214" s="88"/>
      <c r="Z214" s="88"/>
      <c r="AA214" s="91"/>
      <c r="AB214" s="88"/>
      <c r="AC214" s="88"/>
      <c r="AD214" s="91"/>
      <c r="AE214" s="88"/>
      <c r="AF214" s="88"/>
      <c r="AG214" s="91"/>
    </row>
    <row r="216" spans="1:33" ht="15.75" thickBot="1" x14ac:dyDescent="0.3"/>
    <row r="217" spans="1:33" ht="15.75" thickBot="1" x14ac:dyDescent="0.3">
      <c r="A217" s="68" t="s">
        <v>257</v>
      </c>
      <c r="B217" s="68"/>
      <c r="D217" s="52" t="s">
        <v>27</v>
      </c>
      <c r="E217" s="52"/>
      <c r="F217" s="52"/>
      <c r="G217" s="73" t="s">
        <v>28</v>
      </c>
      <c r="H217" s="73"/>
      <c r="I217" s="73"/>
      <c r="J217" s="52" t="s">
        <v>29</v>
      </c>
      <c r="K217" s="52"/>
      <c r="L217" s="52"/>
      <c r="M217" s="73" t="s">
        <v>30</v>
      </c>
      <c r="N217" s="73"/>
      <c r="O217" s="73"/>
      <c r="P217" s="52" t="s">
        <v>31</v>
      </c>
      <c r="Q217" s="52"/>
      <c r="R217" s="52"/>
      <c r="S217" s="73" t="s">
        <v>32</v>
      </c>
      <c r="T217" s="73"/>
      <c r="U217" s="73"/>
      <c r="V217" s="52" t="s">
        <v>33</v>
      </c>
      <c r="W217" s="52"/>
      <c r="X217" s="52"/>
      <c r="Y217" s="73" t="s">
        <v>34</v>
      </c>
      <c r="Z217" s="73"/>
      <c r="AA217" s="73"/>
      <c r="AB217" s="52" t="s">
        <v>35</v>
      </c>
      <c r="AC217" s="52"/>
      <c r="AD217" s="52"/>
      <c r="AE217" s="73" t="s">
        <v>36</v>
      </c>
      <c r="AF217" s="73"/>
      <c r="AG217" s="73"/>
    </row>
    <row r="218" spans="1:33" ht="15.75" thickBot="1" x14ac:dyDescent="0.3">
      <c r="A218" s="68"/>
      <c r="B218" s="68"/>
      <c r="C218" s="105" t="s">
        <v>243</v>
      </c>
      <c r="D218" s="75">
        <v>0</v>
      </c>
      <c r="E218" s="75"/>
      <c r="F218" s="76"/>
      <c r="G218" s="74">
        <v>0</v>
      </c>
      <c r="H218" s="75"/>
      <c r="I218" s="76"/>
      <c r="J218" s="74">
        <v>0</v>
      </c>
      <c r="K218" s="75"/>
      <c r="L218" s="76"/>
      <c r="M218" s="74">
        <v>0</v>
      </c>
      <c r="N218" s="75"/>
      <c r="O218" s="76"/>
      <c r="P218" s="74">
        <v>0</v>
      </c>
      <c r="Q218" s="75"/>
      <c r="R218" s="76"/>
      <c r="S218" s="74">
        <v>0</v>
      </c>
      <c r="T218" s="75"/>
      <c r="U218" s="76"/>
      <c r="V218" s="74">
        <v>0</v>
      </c>
      <c r="W218" s="75"/>
      <c r="X218" s="76"/>
      <c r="Y218" s="74">
        <v>0</v>
      </c>
      <c r="Z218" s="75"/>
      <c r="AA218" s="76"/>
      <c r="AB218" s="74">
        <v>0</v>
      </c>
      <c r="AC218" s="75"/>
      <c r="AD218" s="76"/>
      <c r="AE218" s="74">
        <v>0</v>
      </c>
      <c r="AF218" s="75"/>
      <c r="AG218" s="76"/>
    </row>
    <row r="219" spans="1:33" ht="15.75" thickBot="1" x14ac:dyDescent="0.3">
      <c r="A219" s="68"/>
      <c r="B219" s="68"/>
      <c r="C219" s="106" t="s">
        <v>244</v>
      </c>
      <c r="D219" s="82">
        <v>0</v>
      </c>
      <c r="E219" s="82"/>
      <c r="F219" s="84"/>
      <c r="G219" s="85">
        <v>0</v>
      </c>
      <c r="H219" s="82"/>
      <c r="I219" s="84"/>
      <c r="J219" s="85">
        <v>0</v>
      </c>
      <c r="K219" s="82"/>
      <c r="L219" s="84"/>
      <c r="M219" s="85">
        <v>0</v>
      </c>
      <c r="N219" s="82"/>
      <c r="O219" s="82"/>
      <c r="P219" s="81">
        <v>0</v>
      </c>
      <c r="Q219" s="82"/>
      <c r="R219" s="83"/>
      <c r="S219" s="82">
        <v>0</v>
      </c>
      <c r="T219" s="82"/>
      <c r="U219" s="84"/>
      <c r="V219" s="85">
        <v>0</v>
      </c>
      <c r="W219" s="82"/>
      <c r="X219" s="84"/>
      <c r="Y219" s="85">
        <v>0</v>
      </c>
      <c r="Z219" s="82"/>
      <c r="AA219" s="84"/>
      <c r="AB219" s="85">
        <v>0</v>
      </c>
      <c r="AC219" s="82"/>
      <c r="AD219" s="84"/>
      <c r="AE219" s="85">
        <v>0</v>
      </c>
      <c r="AF219" s="82"/>
      <c r="AG219" s="84"/>
    </row>
    <row r="220" spans="1:33" ht="15.75" thickBot="1" x14ac:dyDescent="0.3">
      <c r="A220" s="68"/>
      <c r="B220" s="68"/>
      <c r="C220" s="107" t="s">
        <v>37</v>
      </c>
      <c r="D220" s="104"/>
      <c r="E220" s="86"/>
      <c r="F220" s="89"/>
      <c r="G220" s="86"/>
      <c r="H220" s="86"/>
      <c r="I220" s="89"/>
      <c r="J220" s="86"/>
      <c r="K220" s="86"/>
      <c r="L220" s="89"/>
      <c r="M220" s="86"/>
      <c r="N220" s="86"/>
      <c r="O220" s="89"/>
      <c r="P220" s="86"/>
      <c r="Q220" s="86"/>
      <c r="R220" s="89"/>
      <c r="S220" s="86"/>
      <c r="T220" s="86"/>
      <c r="U220" s="89"/>
      <c r="V220" s="86"/>
      <c r="W220" s="86"/>
      <c r="X220" s="89"/>
      <c r="Y220" s="86"/>
      <c r="Z220" s="86"/>
      <c r="AA220" s="89"/>
      <c r="AB220" s="86"/>
      <c r="AC220" s="86"/>
      <c r="AD220" s="89"/>
      <c r="AE220" s="86"/>
      <c r="AF220" s="86"/>
      <c r="AG220" s="89"/>
    </row>
    <row r="221" spans="1:33" ht="15.75" thickBot="1" x14ac:dyDescent="0.3">
      <c r="A221" s="68"/>
      <c r="B221" s="68"/>
      <c r="D221" s="87"/>
      <c r="E221" s="87"/>
      <c r="F221" s="90"/>
      <c r="G221" s="87"/>
      <c r="H221" s="87"/>
      <c r="I221" s="90"/>
      <c r="J221" s="87"/>
      <c r="K221" s="87"/>
      <c r="L221" s="90"/>
      <c r="M221" s="87"/>
      <c r="N221" s="87"/>
      <c r="O221" s="90"/>
      <c r="P221" s="87"/>
      <c r="Q221" s="87"/>
      <c r="R221" s="90"/>
      <c r="S221" s="87"/>
      <c r="T221" s="87"/>
      <c r="U221" s="90"/>
      <c r="V221" s="87"/>
      <c r="W221" s="87"/>
      <c r="X221" s="90"/>
      <c r="Y221" s="87"/>
      <c r="Z221" s="87"/>
      <c r="AA221" s="90"/>
      <c r="AB221" s="87"/>
      <c r="AC221" s="87"/>
      <c r="AD221" s="90"/>
      <c r="AE221" s="87"/>
      <c r="AF221" s="87"/>
      <c r="AG221" s="90"/>
    </row>
    <row r="222" spans="1:33" ht="15.75" thickBot="1" x14ac:dyDescent="0.3">
      <c r="A222" s="68"/>
      <c r="B222" s="68"/>
      <c r="D222" s="88"/>
      <c r="E222" s="88"/>
      <c r="F222" s="91"/>
      <c r="G222" s="88"/>
      <c r="H222" s="88"/>
      <c r="I222" s="91"/>
      <c r="J222" s="88"/>
      <c r="K222" s="88"/>
      <c r="L222" s="91"/>
      <c r="M222" s="88"/>
      <c r="N222" s="88"/>
      <c r="O222" s="91"/>
      <c r="P222" s="88"/>
      <c r="Q222" s="88"/>
      <c r="R222" s="91"/>
      <c r="S222" s="88"/>
      <c r="T222" s="88"/>
      <c r="U222" s="91"/>
      <c r="V222" s="88"/>
      <c r="W222" s="88"/>
      <c r="X222" s="91"/>
      <c r="Y222" s="88"/>
      <c r="Z222" s="88"/>
      <c r="AA222" s="91"/>
      <c r="AB222" s="88"/>
      <c r="AC222" s="88"/>
      <c r="AD222" s="91"/>
      <c r="AE222" s="88"/>
      <c r="AF222" s="88"/>
      <c r="AG222" s="91"/>
    </row>
    <row r="224" spans="1:33" ht="15.75" thickBot="1" x14ac:dyDescent="0.3"/>
    <row r="225" spans="1:33" ht="15.75" thickBot="1" x14ac:dyDescent="0.3">
      <c r="A225" s="68" t="s">
        <v>258</v>
      </c>
      <c r="B225" s="68"/>
      <c r="D225" s="52" t="s">
        <v>27</v>
      </c>
      <c r="E225" s="52"/>
      <c r="F225" s="52"/>
      <c r="G225" s="73" t="s">
        <v>28</v>
      </c>
      <c r="H225" s="73"/>
      <c r="I225" s="73"/>
      <c r="J225" s="52" t="s">
        <v>29</v>
      </c>
      <c r="K225" s="52"/>
      <c r="L225" s="52"/>
      <c r="M225" s="73" t="s">
        <v>30</v>
      </c>
      <c r="N225" s="73"/>
      <c r="O225" s="73"/>
      <c r="P225" s="52" t="s">
        <v>31</v>
      </c>
      <c r="Q225" s="52"/>
      <c r="R225" s="52"/>
      <c r="S225" s="73" t="s">
        <v>32</v>
      </c>
      <c r="T225" s="73"/>
      <c r="U225" s="73"/>
      <c r="V225" s="52" t="s">
        <v>33</v>
      </c>
      <c r="W225" s="52"/>
      <c r="X225" s="52"/>
      <c r="Y225" s="73" t="s">
        <v>34</v>
      </c>
      <c r="Z225" s="73"/>
      <c r="AA225" s="73"/>
      <c r="AB225" s="52" t="s">
        <v>35</v>
      </c>
      <c r="AC225" s="52"/>
      <c r="AD225" s="52"/>
      <c r="AE225" s="73" t="s">
        <v>36</v>
      </c>
      <c r="AF225" s="73"/>
      <c r="AG225" s="73"/>
    </row>
    <row r="226" spans="1:33" ht="15.75" thickBot="1" x14ac:dyDescent="0.3">
      <c r="A226" s="68"/>
      <c r="B226" s="68"/>
      <c r="C226" s="105" t="s">
        <v>243</v>
      </c>
      <c r="D226" s="75">
        <v>0</v>
      </c>
      <c r="E226" s="75"/>
      <c r="F226" s="76"/>
      <c r="G226" s="74">
        <v>0</v>
      </c>
      <c r="H226" s="75"/>
      <c r="I226" s="76"/>
      <c r="J226" s="74">
        <v>0</v>
      </c>
      <c r="K226" s="75"/>
      <c r="L226" s="76"/>
      <c r="M226" s="74">
        <v>0</v>
      </c>
      <c r="N226" s="75"/>
      <c r="O226" s="76"/>
      <c r="P226" s="74">
        <v>0</v>
      </c>
      <c r="Q226" s="75"/>
      <c r="R226" s="76"/>
      <c r="S226" s="74">
        <v>0</v>
      </c>
      <c r="T226" s="75"/>
      <c r="U226" s="76"/>
      <c r="V226" s="74">
        <v>0</v>
      </c>
      <c r="W226" s="75"/>
      <c r="X226" s="76"/>
      <c r="Y226" s="74">
        <v>0</v>
      </c>
      <c r="Z226" s="75"/>
      <c r="AA226" s="76"/>
      <c r="AB226" s="74">
        <v>0</v>
      </c>
      <c r="AC226" s="75"/>
      <c r="AD226" s="76"/>
      <c r="AE226" s="74">
        <v>0</v>
      </c>
      <c r="AF226" s="75"/>
      <c r="AG226" s="76"/>
    </row>
    <row r="227" spans="1:33" ht="15.75" thickBot="1" x14ac:dyDescent="0.3">
      <c r="A227" s="68"/>
      <c r="B227" s="68"/>
      <c r="C227" s="106" t="s">
        <v>244</v>
      </c>
      <c r="D227" s="82">
        <v>0</v>
      </c>
      <c r="E227" s="82"/>
      <c r="F227" s="84"/>
      <c r="G227" s="85">
        <v>0</v>
      </c>
      <c r="H227" s="82"/>
      <c r="I227" s="84"/>
      <c r="J227" s="85">
        <v>0</v>
      </c>
      <c r="K227" s="82"/>
      <c r="L227" s="84"/>
      <c r="M227" s="85">
        <v>0</v>
      </c>
      <c r="N227" s="82"/>
      <c r="O227" s="82"/>
      <c r="P227" s="81">
        <v>0</v>
      </c>
      <c r="Q227" s="82"/>
      <c r="R227" s="83"/>
      <c r="S227" s="82">
        <v>0</v>
      </c>
      <c r="T227" s="82"/>
      <c r="U227" s="84"/>
      <c r="V227" s="85">
        <v>0</v>
      </c>
      <c r="W227" s="82"/>
      <c r="X227" s="84"/>
      <c r="Y227" s="85">
        <v>0</v>
      </c>
      <c r="Z227" s="82"/>
      <c r="AA227" s="84"/>
      <c r="AB227" s="85">
        <v>0</v>
      </c>
      <c r="AC227" s="82"/>
      <c r="AD227" s="84"/>
      <c r="AE227" s="85">
        <v>0</v>
      </c>
      <c r="AF227" s="82"/>
      <c r="AG227" s="84"/>
    </row>
    <row r="228" spans="1:33" ht="15.75" thickBot="1" x14ac:dyDescent="0.3">
      <c r="A228" s="68"/>
      <c r="B228" s="68"/>
      <c r="C228" s="107" t="s">
        <v>37</v>
      </c>
      <c r="D228" s="104"/>
      <c r="E228" s="86"/>
      <c r="F228" s="89"/>
      <c r="G228" s="86"/>
      <c r="H228" s="86"/>
      <c r="I228" s="89"/>
      <c r="J228" s="86"/>
      <c r="K228" s="86"/>
      <c r="L228" s="89"/>
      <c r="M228" s="86"/>
      <c r="N228" s="86"/>
      <c r="O228" s="89"/>
      <c r="P228" s="86"/>
      <c r="Q228" s="86"/>
      <c r="R228" s="89"/>
      <c r="S228" s="86"/>
      <c r="T228" s="86"/>
      <c r="U228" s="89"/>
      <c r="V228" s="86"/>
      <c r="W228" s="86"/>
      <c r="X228" s="89"/>
      <c r="Y228" s="86"/>
      <c r="Z228" s="86"/>
      <c r="AA228" s="89"/>
      <c r="AB228" s="86"/>
      <c r="AC228" s="86"/>
      <c r="AD228" s="89"/>
      <c r="AE228" s="86"/>
      <c r="AF228" s="86"/>
      <c r="AG228" s="89"/>
    </row>
    <row r="229" spans="1:33" ht="15.75" thickBot="1" x14ac:dyDescent="0.3">
      <c r="A229" s="68"/>
      <c r="B229" s="68"/>
      <c r="D229" s="87"/>
      <c r="E229" s="87"/>
      <c r="F229" s="90"/>
      <c r="G229" s="87"/>
      <c r="H229" s="87"/>
      <c r="I229" s="90"/>
      <c r="J229" s="87"/>
      <c r="K229" s="87"/>
      <c r="L229" s="90"/>
      <c r="M229" s="87"/>
      <c r="N229" s="87"/>
      <c r="O229" s="90"/>
      <c r="P229" s="87"/>
      <c r="Q229" s="87"/>
      <c r="R229" s="90"/>
      <c r="S229" s="87"/>
      <c r="T229" s="87"/>
      <c r="U229" s="90"/>
      <c r="V229" s="87"/>
      <c r="W229" s="87"/>
      <c r="X229" s="90"/>
      <c r="Y229" s="87"/>
      <c r="Z229" s="87"/>
      <c r="AA229" s="90"/>
      <c r="AB229" s="87"/>
      <c r="AC229" s="87"/>
      <c r="AD229" s="90"/>
      <c r="AE229" s="87"/>
      <c r="AF229" s="87"/>
      <c r="AG229" s="90"/>
    </row>
    <row r="230" spans="1:33" ht="15.75" thickBot="1" x14ac:dyDescent="0.3">
      <c r="A230" s="68"/>
      <c r="B230" s="68"/>
      <c r="D230" s="88"/>
      <c r="E230" s="88"/>
      <c r="F230" s="91"/>
      <c r="G230" s="88"/>
      <c r="H230" s="88"/>
      <c r="I230" s="91"/>
      <c r="J230" s="88"/>
      <c r="K230" s="88"/>
      <c r="L230" s="91"/>
      <c r="M230" s="88"/>
      <c r="N230" s="88"/>
      <c r="O230" s="91"/>
      <c r="P230" s="88"/>
      <c r="Q230" s="88"/>
      <c r="R230" s="91"/>
      <c r="S230" s="88"/>
      <c r="T230" s="88"/>
      <c r="U230" s="91"/>
      <c r="V230" s="88"/>
      <c r="W230" s="88"/>
      <c r="X230" s="91"/>
      <c r="Y230" s="88"/>
      <c r="Z230" s="88"/>
      <c r="AA230" s="91"/>
      <c r="AB230" s="88"/>
      <c r="AC230" s="88"/>
      <c r="AD230" s="91"/>
      <c r="AE230" s="88"/>
      <c r="AF230" s="88"/>
      <c r="AG230" s="91"/>
    </row>
    <row r="232" spans="1:33" ht="15.75" thickBot="1" x14ac:dyDescent="0.3"/>
    <row r="233" spans="1:33" ht="15.75" thickBot="1" x14ac:dyDescent="0.3">
      <c r="A233" s="68" t="s">
        <v>259</v>
      </c>
      <c r="B233" s="68"/>
      <c r="D233" s="52" t="s">
        <v>27</v>
      </c>
      <c r="E233" s="52"/>
      <c r="F233" s="52"/>
      <c r="G233" s="73" t="s">
        <v>28</v>
      </c>
      <c r="H233" s="73"/>
      <c r="I233" s="73"/>
      <c r="J233" s="52" t="s">
        <v>29</v>
      </c>
      <c r="K233" s="52"/>
      <c r="L233" s="52"/>
      <c r="M233" s="73" t="s">
        <v>30</v>
      </c>
      <c r="N233" s="73"/>
      <c r="O233" s="73"/>
      <c r="P233" s="52" t="s">
        <v>31</v>
      </c>
      <c r="Q233" s="52"/>
      <c r="R233" s="52"/>
      <c r="S233" s="73" t="s">
        <v>32</v>
      </c>
      <c r="T233" s="73"/>
      <c r="U233" s="73"/>
      <c r="V233" s="52" t="s">
        <v>33</v>
      </c>
      <c r="W233" s="52"/>
      <c r="X233" s="52"/>
      <c r="Y233" s="73" t="s">
        <v>34</v>
      </c>
      <c r="Z233" s="73"/>
      <c r="AA233" s="73"/>
      <c r="AB233" s="52" t="s">
        <v>35</v>
      </c>
      <c r="AC233" s="52"/>
      <c r="AD233" s="52"/>
      <c r="AE233" s="73" t="s">
        <v>36</v>
      </c>
      <c r="AF233" s="73"/>
      <c r="AG233" s="73"/>
    </row>
    <row r="234" spans="1:33" ht="15.75" thickBot="1" x14ac:dyDescent="0.3">
      <c r="A234" s="68"/>
      <c r="B234" s="68"/>
      <c r="C234" s="105" t="s">
        <v>243</v>
      </c>
      <c r="D234" s="75">
        <v>0</v>
      </c>
      <c r="E234" s="75"/>
      <c r="F234" s="76"/>
      <c r="G234" s="74">
        <v>0</v>
      </c>
      <c r="H234" s="75"/>
      <c r="I234" s="76"/>
      <c r="J234" s="74">
        <v>0</v>
      </c>
      <c r="K234" s="75"/>
      <c r="L234" s="76"/>
      <c r="M234" s="74">
        <v>0</v>
      </c>
      <c r="N234" s="75"/>
      <c r="O234" s="76"/>
      <c r="P234" s="74">
        <v>0</v>
      </c>
      <c r="Q234" s="75"/>
      <c r="R234" s="76"/>
      <c r="S234" s="74">
        <v>0</v>
      </c>
      <c r="T234" s="75"/>
      <c r="U234" s="76"/>
      <c r="V234" s="74">
        <v>0</v>
      </c>
      <c r="W234" s="75"/>
      <c r="X234" s="76"/>
      <c r="Y234" s="74">
        <v>0</v>
      </c>
      <c r="Z234" s="75"/>
      <c r="AA234" s="76"/>
      <c r="AB234" s="74">
        <v>0</v>
      </c>
      <c r="AC234" s="75"/>
      <c r="AD234" s="76"/>
      <c r="AE234" s="74">
        <v>0</v>
      </c>
      <c r="AF234" s="75"/>
      <c r="AG234" s="76"/>
    </row>
    <row r="235" spans="1:33" ht="15.75" thickBot="1" x14ac:dyDescent="0.3">
      <c r="A235" s="68"/>
      <c r="B235" s="68"/>
      <c r="C235" s="106" t="s">
        <v>244</v>
      </c>
      <c r="D235" s="82">
        <v>0</v>
      </c>
      <c r="E235" s="82"/>
      <c r="F235" s="84"/>
      <c r="G235" s="85">
        <v>0</v>
      </c>
      <c r="H235" s="82"/>
      <c r="I235" s="84"/>
      <c r="J235" s="85">
        <v>0</v>
      </c>
      <c r="K235" s="82"/>
      <c r="L235" s="84"/>
      <c r="M235" s="85">
        <v>0</v>
      </c>
      <c r="N235" s="82"/>
      <c r="O235" s="82"/>
      <c r="P235" s="81">
        <v>0</v>
      </c>
      <c r="Q235" s="82"/>
      <c r="R235" s="83"/>
      <c r="S235" s="82">
        <v>0</v>
      </c>
      <c r="T235" s="82"/>
      <c r="U235" s="84"/>
      <c r="V235" s="85">
        <v>0</v>
      </c>
      <c r="W235" s="82"/>
      <c r="X235" s="84"/>
      <c r="Y235" s="85">
        <v>0</v>
      </c>
      <c r="Z235" s="82"/>
      <c r="AA235" s="84"/>
      <c r="AB235" s="85">
        <v>0</v>
      </c>
      <c r="AC235" s="82"/>
      <c r="AD235" s="84"/>
      <c r="AE235" s="85">
        <v>0</v>
      </c>
      <c r="AF235" s="82"/>
      <c r="AG235" s="84"/>
    </row>
    <row r="236" spans="1:33" ht="15.75" thickBot="1" x14ac:dyDescent="0.3">
      <c r="A236" s="68"/>
      <c r="B236" s="68"/>
      <c r="C236" s="107" t="s">
        <v>37</v>
      </c>
      <c r="D236" s="104"/>
      <c r="E236" s="86"/>
      <c r="F236" s="89"/>
      <c r="G236" s="86"/>
      <c r="H236" s="86"/>
      <c r="I236" s="89"/>
      <c r="J236" s="86"/>
      <c r="K236" s="86"/>
      <c r="L236" s="89"/>
      <c r="M236" s="86"/>
      <c r="N236" s="86"/>
      <c r="O236" s="89"/>
      <c r="P236" s="86"/>
      <c r="Q236" s="86"/>
      <c r="R236" s="89"/>
      <c r="S236" s="86"/>
      <c r="T236" s="86"/>
      <c r="U236" s="89"/>
      <c r="V236" s="86"/>
      <c r="W236" s="86"/>
      <c r="X236" s="89"/>
      <c r="Y236" s="86"/>
      <c r="Z236" s="86"/>
      <c r="AA236" s="89"/>
      <c r="AB236" s="86"/>
      <c r="AC236" s="86"/>
      <c r="AD236" s="89"/>
      <c r="AE236" s="86"/>
      <c r="AF236" s="86"/>
      <c r="AG236" s="89"/>
    </row>
    <row r="237" spans="1:33" ht="15.75" thickBot="1" x14ac:dyDescent="0.3">
      <c r="A237" s="68"/>
      <c r="B237" s="68"/>
      <c r="D237" s="87"/>
      <c r="E237" s="87"/>
      <c r="F237" s="90"/>
      <c r="G237" s="87"/>
      <c r="H237" s="87"/>
      <c r="I237" s="90"/>
      <c r="J237" s="87"/>
      <c r="K237" s="87"/>
      <c r="L237" s="90"/>
      <c r="M237" s="87"/>
      <c r="N237" s="87"/>
      <c r="O237" s="90"/>
      <c r="P237" s="87"/>
      <c r="Q237" s="87"/>
      <c r="R237" s="90"/>
      <c r="S237" s="87"/>
      <c r="T237" s="87"/>
      <c r="U237" s="90"/>
      <c r="V237" s="87"/>
      <c r="W237" s="87"/>
      <c r="X237" s="90"/>
      <c r="Y237" s="87"/>
      <c r="Z237" s="87"/>
      <c r="AA237" s="90"/>
      <c r="AB237" s="87"/>
      <c r="AC237" s="87"/>
      <c r="AD237" s="90"/>
      <c r="AE237" s="87"/>
      <c r="AF237" s="87"/>
      <c r="AG237" s="90"/>
    </row>
    <row r="238" spans="1:33" ht="15.75" thickBot="1" x14ac:dyDescent="0.3">
      <c r="A238" s="68"/>
      <c r="B238" s="68"/>
      <c r="D238" s="88"/>
      <c r="E238" s="88"/>
      <c r="F238" s="91"/>
      <c r="G238" s="88"/>
      <c r="H238" s="88"/>
      <c r="I238" s="91"/>
      <c r="J238" s="88"/>
      <c r="K238" s="88"/>
      <c r="L238" s="91"/>
      <c r="M238" s="88"/>
      <c r="N238" s="88"/>
      <c r="O238" s="91"/>
      <c r="P238" s="88"/>
      <c r="Q238" s="88"/>
      <c r="R238" s="91"/>
      <c r="S238" s="88"/>
      <c r="T238" s="88"/>
      <c r="U238" s="91"/>
      <c r="V238" s="88"/>
      <c r="W238" s="88"/>
      <c r="X238" s="91"/>
      <c r="Y238" s="88"/>
      <c r="Z238" s="88"/>
      <c r="AA238" s="91"/>
      <c r="AB238" s="88"/>
      <c r="AC238" s="88"/>
      <c r="AD238" s="91"/>
      <c r="AE238" s="88"/>
      <c r="AF238" s="88"/>
      <c r="AG238" s="91"/>
    </row>
    <row r="240" spans="1:33" ht="15.75" thickBot="1" x14ac:dyDescent="0.3"/>
    <row r="241" spans="1:33" ht="15.75" thickBot="1" x14ac:dyDescent="0.3">
      <c r="A241" s="68" t="s">
        <v>92</v>
      </c>
      <c r="B241" s="68"/>
      <c r="D241" s="52" t="s">
        <v>27</v>
      </c>
      <c r="E241" s="52"/>
      <c r="F241" s="52"/>
      <c r="G241" s="73" t="s">
        <v>28</v>
      </c>
      <c r="H241" s="73"/>
      <c r="I241" s="73"/>
      <c r="J241" s="52" t="s">
        <v>29</v>
      </c>
      <c r="K241" s="52"/>
      <c r="L241" s="52"/>
      <c r="M241" s="73" t="s">
        <v>30</v>
      </c>
      <c r="N241" s="73"/>
      <c r="O241" s="73"/>
      <c r="P241" s="52" t="s">
        <v>31</v>
      </c>
      <c r="Q241" s="52"/>
      <c r="R241" s="52"/>
      <c r="S241" s="73" t="s">
        <v>32</v>
      </c>
      <c r="T241" s="73"/>
      <c r="U241" s="73"/>
      <c r="V241" s="52" t="s">
        <v>33</v>
      </c>
      <c r="W241" s="52"/>
      <c r="X241" s="52"/>
      <c r="Y241" s="73" t="s">
        <v>34</v>
      </c>
      <c r="Z241" s="73"/>
      <c r="AA241" s="73"/>
      <c r="AB241" s="52" t="s">
        <v>35</v>
      </c>
      <c r="AC241" s="52"/>
      <c r="AD241" s="52"/>
      <c r="AE241" s="73" t="s">
        <v>36</v>
      </c>
      <c r="AF241" s="73"/>
      <c r="AG241" s="73"/>
    </row>
    <row r="242" spans="1:33" ht="15.75" thickBot="1" x14ac:dyDescent="0.3">
      <c r="A242" s="68"/>
      <c r="B242" s="68"/>
      <c r="C242" s="105" t="s">
        <v>243</v>
      </c>
      <c r="D242" s="75">
        <v>0</v>
      </c>
      <c r="E242" s="75"/>
      <c r="F242" s="76"/>
      <c r="G242" s="74">
        <v>0</v>
      </c>
      <c r="H242" s="75"/>
      <c r="I242" s="76"/>
      <c r="J242" s="74">
        <v>0</v>
      </c>
      <c r="K242" s="75"/>
      <c r="L242" s="76"/>
      <c r="M242" s="74">
        <v>0</v>
      </c>
      <c r="N242" s="75"/>
      <c r="O242" s="76"/>
      <c r="P242" s="74">
        <v>0</v>
      </c>
      <c r="Q242" s="75"/>
      <c r="R242" s="76"/>
      <c r="S242" s="74">
        <v>0</v>
      </c>
      <c r="T242" s="75"/>
      <c r="U242" s="76"/>
      <c r="V242" s="74">
        <v>0</v>
      </c>
      <c r="W242" s="75"/>
      <c r="X242" s="76"/>
      <c r="Y242" s="74">
        <v>0</v>
      </c>
      <c r="Z242" s="75"/>
      <c r="AA242" s="76"/>
      <c r="AB242" s="74">
        <v>0</v>
      </c>
      <c r="AC242" s="75"/>
      <c r="AD242" s="76"/>
      <c r="AE242" s="74">
        <v>0</v>
      </c>
      <c r="AF242" s="75"/>
      <c r="AG242" s="76"/>
    </row>
    <row r="243" spans="1:33" ht="15.75" thickBot="1" x14ac:dyDescent="0.3">
      <c r="A243" s="68"/>
      <c r="B243" s="68"/>
      <c r="C243" s="106" t="s">
        <v>244</v>
      </c>
      <c r="D243" s="82">
        <v>0</v>
      </c>
      <c r="E243" s="82"/>
      <c r="F243" s="84"/>
      <c r="G243" s="85">
        <v>0</v>
      </c>
      <c r="H243" s="82"/>
      <c r="I243" s="84"/>
      <c r="J243" s="85">
        <v>0</v>
      </c>
      <c r="K243" s="82"/>
      <c r="L243" s="84"/>
      <c r="M243" s="85">
        <v>0</v>
      </c>
      <c r="N243" s="82"/>
      <c r="O243" s="82"/>
      <c r="P243" s="81">
        <v>0</v>
      </c>
      <c r="Q243" s="82"/>
      <c r="R243" s="83"/>
      <c r="S243" s="82">
        <v>0</v>
      </c>
      <c r="T243" s="82"/>
      <c r="U243" s="84"/>
      <c r="V243" s="85">
        <v>0</v>
      </c>
      <c r="W243" s="82"/>
      <c r="X243" s="84"/>
      <c r="Y243" s="85">
        <v>0</v>
      </c>
      <c r="Z243" s="82"/>
      <c r="AA243" s="84"/>
      <c r="AB243" s="85">
        <v>0</v>
      </c>
      <c r="AC243" s="82"/>
      <c r="AD243" s="84"/>
      <c r="AE243" s="85">
        <v>0</v>
      </c>
      <c r="AF243" s="82"/>
      <c r="AG243" s="84"/>
    </row>
    <row r="244" spans="1:33" ht="15.75" thickBot="1" x14ac:dyDescent="0.3">
      <c r="A244" s="68"/>
      <c r="B244" s="68"/>
      <c r="C244" s="107" t="s">
        <v>37</v>
      </c>
      <c r="D244" s="104"/>
      <c r="E244" s="86"/>
      <c r="F244" s="89"/>
      <c r="G244" s="86"/>
      <c r="H244" s="86"/>
      <c r="I244" s="89"/>
      <c r="J244" s="86"/>
      <c r="K244" s="86"/>
      <c r="L244" s="89"/>
      <c r="M244" s="86"/>
      <c r="N244" s="86"/>
      <c r="O244" s="89"/>
      <c r="P244" s="86"/>
      <c r="Q244" s="86"/>
      <c r="R244" s="89"/>
      <c r="S244" s="86"/>
      <c r="T244" s="86"/>
      <c r="U244" s="89"/>
      <c r="V244" s="86"/>
      <c r="W244" s="86"/>
      <c r="X244" s="89"/>
      <c r="Y244" s="86"/>
      <c r="Z244" s="86"/>
      <c r="AA244" s="89"/>
      <c r="AB244" s="86"/>
      <c r="AC244" s="86"/>
      <c r="AD244" s="89"/>
      <c r="AE244" s="86"/>
      <c r="AF244" s="86"/>
      <c r="AG244" s="89"/>
    </row>
    <row r="245" spans="1:33" ht="15.75" thickBot="1" x14ac:dyDescent="0.3">
      <c r="A245" s="68"/>
      <c r="B245" s="68"/>
      <c r="D245" s="87"/>
      <c r="E245" s="87"/>
      <c r="F245" s="90"/>
      <c r="G245" s="87"/>
      <c r="H245" s="87"/>
      <c r="I245" s="90"/>
      <c r="J245" s="87"/>
      <c r="K245" s="87"/>
      <c r="L245" s="90"/>
      <c r="M245" s="87"/>
      <c r="N245" s="87"/>
      <c r="O245" s="90"/>
      <c r="P245" s="87"/>
      <c r="Q245" s="87"/>
      <c r="R245" s="90"/>
      <c r="S245" s="87"/>
      <c r="T245" s="87"/>
      <c r="U245" s="90"/>
      <c r="V245" s="87"/>
      <c r="W245" s="87"/>
      <c r="X245" s="90"/>
      <c r="Y245" s="87"/>
      <c r="Z245" s="87"/>
      <c r="AA245" s="90"/>
      <c r="AB245" s="87"/>
      <c r="AC245" s="87"/>
      <c r="AD245" s="90"/>
      <c r="AE245" s="87"/>
      <c r="AF245" s="87"/>
      <c r="AG245" s="90"/>
    </row>
    <row r="246" spans="1:33" ht="15.75" thickBot="1" x14ac:dyDescent="0.3">
      <c r="A246" s="68"/>
      <c r="B246" s="68"/>
      <c r="D246" s="88"/>
      <c r="E246" s="88"/>
      <c r="F246" s="91"/>
      <c r="G246" s="88"/>
      <c r="H246" s="88"/>
      <c r="I246" s="91"/>
      <c r="J246" s="88"/>
      <c r="K246" s="88"/>
      <c r="L246" s="91"/>
      <c r="M246" s="88"/>
      <c r="N246" s="88"/>
      <c r="O246" s="91"/>
      <c r="P246" s="88"/>
      <c r="Q246" s="88"/>
      <c r="R246" s="91"/>
      <c r="S246" s="88"/>
      <c r="T246" s="88"/>
      <c r="U246" s="91"/>
      <c r="V246" s="88"/>
      <c r="W246" s="88"/>
      <c r="X246" s="91"/>
      <c r="Y246" s="88"/>
      <c r="Z246" s="88"/>
      <c r="AA246" s="91"/>
      <c r="AB246" s="88"/>
      <c r="AC246" s="88"/>
      <c r="AD246" s="91"/>
      <c r="AE246" s="88"/>
      <c r="AF246" s="88"/>
      <c r="AG246" s="91"/>
    </row>
    <row r="248" spans="1:33" ht="15.75" thickBot="1" x14ac:dyDescent="0.3"/>
    <row r="249" spans="1:33" ht="15.75" thickBot="1" x14ac:dyDescent="0.3">
      <c r="A249" s="68" t="s">
        <v>260</v>
      </c>
      <c r="B249" s="68"/>
      <c r="D249" s="52" t="s">
        <v>27</v>
      </c>
      <c r="E249" s="52"/>
      <c r="F249" s="52"/>
      <c r="G249" s="73" t="s">
        <v>28</v>
      </c>
      <c r="H249" s="73"/>
      <c r="I249" s="73"/>
      <c r="J249" s="52" t="s">
        <v>29</v>
      </c>
      <c r="K249" s="52"/>
      <c r="L249" s="52"/>
      <c r="M249" s="73" t="s">
        <v>30</v>
      </c>
      <c r="N249" s="73"/>
      <c r="O249" s="73"/>
      <c r="P249" s="52" t="s">
        <v>31</v>
      </c>
      <c r="Q249" s="52"/>
      <c r="R249" s="52"/>
      <c r="S249" s="73" t="s">
        <v>32</v>
      </c>
      <c r="T249" s="73"/>
      <c r="U249" s="73"/>
      <c r="V249" s="52" t="s">
        <v>33</v>
      </c>
      <c r="W249" s="52"/>
      <c r="X249" s="52"/>
      <c r="Y249" s="73" t="s">
        <v>34</v>
      </c>
      <c r="Z249" s="73"/>
      <c r="AA249" s="73"/>
      <c r="AB249" s="52" t="s">
        <v>35</v>
      </c>
      <c r="AC249" s="52"/>
      <c r="AD249" s="52"/>
      <c r="AE249" s="73" t="s">
        <v>36</v>
      </c>
      <c r="AF249" s="73"/>
      <c r="AG249" s="73"/>
    </row>
    <row r="250" spans="1:33" ht="15.75" thickBot="1" x14ac:dyDescent="0.3">
      <c r="A250" s="68"/>
      <c r="B250" s="68"/>
      <c r="C250" s="105" t="s">
        <v>243</v>
      </c>
      <c r="D250" s="75">
        <v>0</v>
      </c>
      <c r="E250" s="75"/>
      <c r="F250" s="76"/>
      <c r="G250" s="74">
        <v>0</v>
      </c>
      <c r="H250" s="75"/>
      <c r="I250" s="76"/>
      <c r="J250" s="74">
        <v>0</v>
      </c>
      <c r="K250" s="75"/>
      <c r="L250" s="76"/>
      <c r="M250" s="74">
        <v>0</v>
      </c>
      <c r="N250" s="75"/>
      <c r="O250" s="76"/>
      <c r="P250" s="74">
        <v>0</v>
      </c>
      <c r="Q250" s="75"/>
      <c r="R250" s="76"/>
      <c r="S250" s="74">
        <v>0</v>
      </c>
      <c r="T250" s="75"/>
      <c r="U250" s="76"/>
      <c r="V250" s="74">
        <v>0</v>
      </c>
      <c r="W250" s="75"/>
      <c r="X250" s="76"/>
      <c r="Y250" s="74">
        <v>0</v>
      </c>
      <c r="Z250" s="75"/>
      <c r="AA250" s="76"/>
      <c r="AB250" s="74">
        <v>0</v>
      </c>
      <c r="AC250" s="75"/>
      <c r="AD250" s="76"/>
      <c r="AE250" s="74">
        <v>0</v>
      </c>
      <c r="AF250" s="75"/>
      <c r="AG250" s="76"/>
    </row>
    <row r="251" spans="1:33" ht="15.75" thickBot="1" x14ac:dyDescent="0.3">
      <c r="A251" s="68"/>
      <c r="B251" s="68"/>
      <c r="C251" s="106" t="s">
        <v>244</v>
      </c>
      <c r="D251" s="82">
        <v>0</v>
      </c>
      <c r="E251" s="82"/>
      <c r="F251" s="84"/>
      <c r="G251" s="85">
        <v>0</v>
      </c>
      <c r="H251" s="82"/>
      <c r="I251" s="84"/>
      <c r="J251" s="85">
        <v>0</v>
      </c>
      <c r="K251" s="82"/>
      <c r="L251" s="84"/>
      <c r="M251" s="85">
        <v>0</v>
      </c>
      <c r="N251" s="82"/>
      <c r="O251" s="82"/>
      <c r="P251" s="81">
        <v>0</v>
      </c>
      <c r="Q251" s="82"/>
      <c r="R251" s="83"/>
      <c r="S251" s="82">
        <v>0</v>
      </c>
      <c r="T251" s="82"/>
      <c r="U251" s="84"/>
      <c r="V251" s="85">
        <v>0</v>
      </c>
      <c r="W251" s="82"/>
      <c r="X251" s="84"/>
      <c r="Y251" s="85">
        <v>0</v>
      </c>
      <c r="Z251" s="82"/>
      <c r="AA251" s="84"/>
      <c r="AB251" s="85">
        <v>0</v>
      </c>
      <c r="AC251" s="82"/>
      <c r="AD251" s="84"/>
      <c r="AE251" s="85">
        <v>0</v>
      </c>
      <c r="AF251" s="82"/>
      <c r="AG251" s="84"/>
    </row>
    <row r="252" spans="1:33" ht="15.75" thickBot="1" x14ac:dyDescent="0.3">
      <c r="A252" s="68"/>
      <c r="B252" s="68"/>
      <c r="C252" s="107" t="s">
        <v>37</v>
      </c>
      <c r="D252" s="104"/>
      <c r="E252" s="86"/>
      <c r="F252" s="89"/>
      <c r="G252" s="86"/>
      <c r="H252" s="86"/>
      <c r="I252" s="89"/>
      <c r="J252" s="86"/>
      <c r="K252" s="86"/>
      <c r="L252" s="89"/>
      <c r="M252" s="86"/>
      <c r="N252" s="86"/>
      <c r="O252" s="89"/>
      <c r="P252" s="86"/>
      <c r="Q252" s="86"/>
      <c r="R252" s="89"/>
      <c r="S252" s="86"/>
      <c r="T252" s="86"/>
      <c r="U252" s="89"/>
      <c r="V252" s="86"/>
      <c r="W252" s="86"/>
      <c r="X252" s="89"/>
      <c r="Y252" s="86"/>
      <c r="Z252" s="86"/>
      <c r="AA252" s="89"/>
      <c r="AB252" s="86"/>
      <c r="AC252" s="86"/>
      <c r="AD252" s="89"/>
      <c r="AE252" s="86"/>
      <c r="AF252" s="86"/>
      <c r="AG252" s="89"/>
    </row>
    <row r="253" spans="1:33" ht="15.75" thickBot="1" x14ac:dyDescent="0.3">
      <c r="A253" s="68"/>
      <c r="B253" s="68"/>
      <c r="D253" s="87"/>
      <c r="E253" s="87"/>
      <c r="F253" s="90"/>
      <c r="G253" s="87"/>
      <c r="H253" s="87"/>
      <c r="I253" s="90"/>
      <c r="J253" s="87"/>
      <c r="K253" s="87"/>
      <c r="L253" s="90"/>
      <c r="M253" s="87"/>
      <c r="N253" s="87"/>
      <c r="O253" s="90"/>
      <c r="P253" s="87"/>
      <c r="Q253" s="87"/>
      <c r="R253" s="90"/>
      <c r="S253" s="87"/>
      <c r="T253" s="87"/>
      <c r="U253" s="90"/>
      <c r="V253" s="87"/>
      <c r="W253" s="87"/>
      <c r="X253" s="90"/>
      <c r="Y253" s="87"/>
      <c r="Z253" s="87"/>
      <c r="AA253" s="90"/>
      <c r="AB253" s="87"/>
      <c r="AC253" s="87"/>
      <c r="AD253" s="90"/>
      <c r="AE253" s="87"/>
      <c r="AF253" s="87"/>
      <c r="AG253" s="90"/>
    </row>
    <row r="254" spans="1:33" ht="15.75" thickBot="1" x14ac:dyDescent="0.3">
      <c r="A254" s="68"/>
      <c r="B254" s="68"/>
      <c r="D254" s="88"/>
      <c r="E254" s="88"/>
      <c r="F254" s="91"/>
      <c r="G254" s="88"/>
      <c r="H254" s="88"/>
      <c r="I254" s="91"/>
      <c r="J254" s="88"/>
      <c r="K254" s="88"/>
      <c r="L254" s="91"/>
      <c r="M254" s="88"/>
      <c r="N254" s="88"/>
      <c r="O254" s="91"/>
      <c r="P254" s="88"/>
      <c r="Q254" s="88"/>
      <c r="R254" s="91"/>
      <c r="S254" s="88"/>
      <c r="T254" s="88"/>
      <c r="U254" s="91"/>
      <c r="V254" s="88"/>
      <c r="W254" s="88"/>
      <c r="X254" s="91"/>
      <c r="Y254" s="88"/>
      <c r="Z254" s="88"/>
      <c r="AA254" s="91"/>
      <c r="AB254" s="88"/>
      <c r="AC254" s="88"/>
      <c r="AD254" s="91"/>
      <c r="AE254" s="88"/>
      <c r="AF254" s="88"/>
      <c r="AG254" s="91"/>
    </row>
    <row r="256" spans="1:33" ht="15.75" thickBot="1" x14ac:dyDescent="0.3"/>
    <row r="257" spans="1:33" ht="15.75" thickBot="1" x14ac:dyDescent="0.3">
      <c r="A257" s="68" t="s">
        <v>93</v>
      </c>
      <c r="B257" s="68"/>
      <c r="D257" s="52" t="s">
        <v>27</v>
      </c>
      <c r="E257" s="52"/>
      <c r="F257" s="52"/>
      <c r="G257" s="73" t="s">
        <v>28</v>
      </c>
      <c r="H257" s="73"/>
      <c r="I257" s="73"/>
      <c r="J257" s="52" t="s">
        <v>29</v>
      </c>
      <c r="K257" s="52"/>
      <c r="L257" s="52"/>
      <c r="M257" s="73" t="s">
        <v>30</v>
      </c>
      <c r="N257" s="73"/>
      <c r="O257" s="73"/>
      <c r="P257" s="52" t="s">
        <v>31</v>
      </c>
      <c r="Q257" s="52"/>
      <c r="R257" s="52"/>
      <c r="S257" s="73" t="s">
        <v>32</v>
      </c>
      <c r="T257" s="73"/>
      <c r="U257" s="73"/>
      <c r="V257" s="52" t="s">
        <v>33</v>
      </c>
      <c r="W257" s="52"/>
      <c r="X257" s="52"/>
      <c r="Y257" s="73" t="s">
        <v>34</v>
      </c>
      <c r="Z257" s="73"/>
      <c r="AA257" s="73"/>
      <c r="AB257" s="52" t="s">
        <v>35</v>
      </c>
      <c r="AC257" s="52"/>
      <c r="AD257" s="52"/>
      <c r="AE257" s="73" t="s">
        <v>36</v>
      </c>
      <c r="AF257" s="73"/>
      <c r="AG257" s="73"/>
    </row>
    <row r="258" spans="1:33" ht="15.75" thickBot="1" x14ac:dyDescent="0.3">
      <c r="A258" s="68"/>
      <c r="B258" s="68"/>
      <c r="C258" s="105" t="s">
        <v>243</v>
      </c>
      <c r="D258" s="75">
        <v>0</v>
      </c>
      <c r="E258" s="75"/>
      <c r="F258" s="76"/>
      <c r="G258" s="74">
        <v>0</v>
      </c>
      <c r="H258" s="75"/>
      <c r="I258" s="76"/>
      <c r="J258" s="74">
        <v>0</v>
      </c>
      <c r="K258" s="75"/>
      <c r="L258" s="76"/>
      <c r="M258" s="74">
        <v>0</v>
      </c>
      <c r="N258" s="75"/>
      <c r="O258" s="76"/>
      <c r="P258" s="74">
        <v>0</v>
      </c>
      <c r="Q258" s="75"/>
      <c r="R258" s="76"/>
      <c r="S258" s="74">
        <v>0</v>
      </c>
      <c r="T258" s="75"/>
      <c r="U258" s="76"/>
      <c r="V258" s="74">
        <v>0</v>
      </c>
      <c r="W258" s="75"/>
      <c r="X258" s="76"/>
      <c r="Y258" s="74">
        <v>0</v>
      </c>
      <c r="Z258" s="75"/>
      <c r="AA258" s="76"/>
      <c r="AB258" s="74">
        <v>0</v>
      </c>
      <c r="AC258" s="75"/>
      <c r="AD258" s="76"/>
      <c r="AE258" s="74">
        <v>0</v>
      </c>
      <c r="AF258" s="75"/>
      <c r="AG258" s="76"/>
    </row>
    <row r="259" spans="1:33" ht="15.75" thickBot="1" x14ac:dyDescent="0.3">
      <c r="A259" s="68"/>
      <c r="B259" s="68"/>
      <c r="C259" s="106" t="s">
        <v>244</v>
      </c>
      <c r="D259" s="82">
        <v>0</v>
      </c>
      <c r="E259" s="82"/>
      <c r="F259" s="84"/>
      <c r="G259" s="85">
        <v>0</v>
      </c>
      <c r="H259" s="82"/>
      <c r="I259" s="84"/>
      <c r="J259" s="85">
        <v>0</v>
      </c>
      <c r="K259" s="82"/>
      <c r="L259" s="84"/>
      <c r="M259" s="85">
        <v>0</v>
      </c>
      <c r="N259" s="82"/>
      <c r="O259" s="82"/>
      <c r="P259" s="81">
        <v>0</v>
      </c>
      <c r="Q259" s="82"/>
      <c r="R259" s="83"/>
      <c r="S259" s="82">
        <v>0</v>
      </c>
      <c r="T259" s="82"/>
      <c r="U259" s="84"/>
      <c r="V259" s="85">
        <v>0</v>
      </c>
      <c r="W259" s="82"/>
      <c r="X259" s="84"/>
      <c r="Y259" s="85">
        <v>0</v>
      </c>
      <c r="Z259" s="82"/>
      <c r="AA259" s="84"/>
      <c r="AB259" s="85">
        <v>0</v>
      </c>
      <c r="AC259" s="82"/>
      <c r="AD259" s="84"/>
      <c r="AE259" s="85">
        <v>0</v>
      </c>
      <c r="AF259" s="82"/>
      <c r="AG259" s="84"/>
    </row>
    <row r="260" spans="1:33" ht="15.75" thickBot="1" x14ac:dyDescent="0.3">
      <c r="A260" s="68"/>
      <c r="B260" s="68"/>
      <c r="C260" s="107" t="s">
        <v>37</v>
      </c>
      <c r="D260" s="104"/>
      <c r="E260" s="86"/>
      <c r="F260" s="89"/>
      <c r="G260" s="86"/>
      <c r="H260" s="86"/>
      <c r="I260" s="89"/>
      <c r="J260" s="86"/>
      <c r="K260" s="86"/>
      <c r="L260" s="89"/>
      <c r="M260" s="86"/>
      <c r="N260" s="86"/>
      <c r="O260" s="89"/>
      <c r="P260" s="86"/>
      <c r="Q260" s="86"/>
      <c r="R260" s="89"/>
      <c r="S260" s="86"/>
      <c r="T260" s="86"/>
      <c r="U260" s="89"/>
      <c r="V260" s="86"/>
      <c r="W260" s="86"/>
      <c r="X260" s="89"/>
      <c r="Y260" s="86"/>
      <c r="Z260" s="86"/>
      <c r="AA260" s="89"/>
      <c r="AB260" s="86"/>
      <c r="AC260" s="86"/>
      <c r="AD260" s="89"/>
      <c r="AE260" s="86"/>
      <c r="AF260" s="86"/>
      <c r="AG260" s="89"/>
    </row>
    <row r="261" spans="1:33" ht="15.75" thickBot="1" x14ac:dyDescent="0.3">
      <c r="A261" s="68"/>
      <c r="B261" s="68"/>
      <c r="D261" s="87"/>
      <c r="E261" s="87"/>
      <c r="F261" s="90"/>
      <c r="G261" s="87"/>
      <c r="H261" s="87"/>
      <c r="I261" s="90"/>
      <c r="J261" s="87"/>
      <c r="K261" s="87"/>
      <c r="L261" s="90"/>
      <c r="M261" s="87"/>
      <c r="N261" s="87"/>
      <c r="O261" s="90"/>
      <c r="P261" s="87"/>
      <c r="Q261" s="87"/>
      <c r="R261" s="90"/>
      <c r="S261" s="87"/>
      <c r="T261" s="87"/>
      <c r="U261" s="90"/>
      <c r="V261" s="87"/>
      <c r="W261" s="87"/>
      <c r="X261" s="90"/>
      <c r="Y261" s="87"/>
      <c r="Z261" s="87"/>
      <c r="AA261" s="90"/>
      <c r="AB261" s="87"/>
      <c r="AC261" s="87"/>
      <c r="AD261" s="90"/>
      <c r="AE261" s="87"/>
      <c r="AF261" s="87"/>
      <c r="AG261" s="90"/>
    </row>
    <row r="262" spans="1:33" ht="15.75" thickBot="1" x14ac:dyDescent="0.3">
      <c r="A262" s="68"/>
      <c r="B262" s="68"/>
      <c r="D262" s="88"/>
      <c r="E262" s="88"/>
      <c r="F262" s="91"/>
      <c r="G262" s="88"/>
      <c r="H262" s="88"/>
      <c r="I262" s="91"/>
      <c r="J262" s="88"/>
      <c r="K262" s="88"/>
      <c r="L262" s="91"/>
      <c r="M262" s="88"/>
      <c r="N262" s="88"/>
      <c r="O262" s="91"/>
      <c r="P262" s="88"/>
      <c r="Q262" s="88"/>
      <c r="R262" s="91"/>
      <c r="S262" s="88"/>
      <c r="T262" s="88"/>
      <c r="U262" s="91"/>
      <c r="V262" s="88"/>
      <c r="W262" s="88"/>
      <c r="X262" s="91"/>
      <c r="Y262" s="88"/>
      <c r="Z262" s="88"/>
      <c r="AA262" s="91"/>
      <c r="AB262" s="88"/>
      <c r="AC262" s="88"/>
      <c r="AD262" s="91"/>
      <c r="AE262" s="88"/>
      <c r="AF262" s="88"/>
      <c r="AG262" s="91"/>
    </row>
    <row r="264" spans="1:33" ht="15.75" thickBot="1" x14ac:dyDescent="0.3"/>
    <row r="265" spans="1:33" ht="15.75" thickBot="1" x14ac:dyDescent="0.3">
      <c r="A265" s="68" t="s">
        <v>94</v>
      </c>
      <c r="B265" s="68"/>
      <c r="D265" s="52" t="s">
        <v>27</v>
      </c>
      <c r="E265" s="52"/>
      <c r="F265" s="52"/>
      <c r="G265" s="73" t="s">
        <v>28</v>
      </c>
      <c r="H265" s="73"/>
      <c r="I265" s="73"/>
      <c r="J265" s="52" t="s">
        <v>29</v>
      </c>
      <c r="K265" s="52"/>
      <c r="L265" s="52"/>
      <c r="M265" s="73" t="s">
        <v>30</v>
      </c>
      <c r="N265" s="73"/>
      <c r="O265" s="73"/>
      <c r="P265" s="52" t="s">
        <v>31</v>
      </c>
      <c r="Q265" s="52"/>
      <c r="R265" s="52"/>
      <c r="S265" s="73" t="s">
        <v>32</v>
      </c>
      <c r="T265" s="73"/>
      <c r="U265" s="73"/>
      <c r="V265" s="52" t="s">
        <v>33</v>
      </c>
      <c r="W265" s="52"/>
      <c r="X265" s="52"/>
      <c r="Y265" s="73" t="s">
        <v>34</v>
      </c>
      <c r="Z265" s="73"/>
      <c r="AA265" s="73"/>
      <c r="AB265" s="52" t="s">
        <v>35</v>
      </c>
      <c r="AC265" s="52"/>
      <c r="AD265" s="52"/>
      <c r="AE265" s="73" t="s">
        <v>36</v>
      </c>
      <c r="AF265" s="73"/>
      <c r="AG265" s="73"/>
    </row>
    <row r="266" spans="1:33" ht="15.75" thickBot="1" x14ac:dyDescent="0.3">
      <c r="A266" s="68"/>
      <c r="B266" s="68"/>
      <c r="C266" s="105" t="s">
        <v>243</v>
      </c>
      <c r="D266" s="75">
        <v>0</v>
      </c>
      <c r="E266" s="75"/>
      <c r="F266" s="76"/>
      <c r="G266" s="74">
        <v>0</v>
      </c>
      <c r="H266" s="75"/>
      <c r="I266" s="76"/>
      <c r="J266" s="74">
        <v>0</v>
      </c>
      <c r="K266" s="75"/>
      <c r="L266" s="76"/>
      <c r="M266" s="74">
        <v>0</v>
      </c>
      <c r="N266" s="75"/>
      <c r="O266" s="76"/>
      <c r="P266" s="74">
        <v>0</v>
      </c>
      <c r="Q266" s="75"/>
      <c r="R266" s="76"/>
      <c r="S266" s="74">
        <v>0</v>
      </c>
      <c r="T266" s="75"/>
      <c r="U266" s="76"/>
      <c r="V266" s="74">
        <v>0</v>
      </c>
      <c r="W266" s="75"/>
      <c r="X266" s="76"/>
      <c r="Y266" s="74">
        <v>0</v>
      </c>
      <c r="Z266" s="75"/>
      <c r="AA266" s="76"/>
      <c r="AB266" s="74">
        <v>0</v>
      </c>
      <c r="AC266" s="75"/>
      <c r="AD266" s="76"/>
      <c r="AE266" s="74">
        <v>0</v>
      </c>
      <c r="AF266" s="75"/>
      <c r="AG266" s="76"/>
    </row>
    <row r="267" spans="1:33" ht="15.75" thickBot="1" x14ac:dyDescent="0.3">
      <c r="A267" s="68"/>
      <c r="B267" s="68"/>
      <c r="C267" s="106" t="s">
        <v>244</v>
      </c>
      <c r="D267" s="82">
        <v>0</v>
      </c>
      <c r="E267" s="82"/>
      <c r="F267" s="84"/>
      <c r="G267" s="85">
        <v>0</v>
      </c>
      <c r="H267" s="82"/>
      <c r="I267" s="84"/>
      <c r="J267" s="85">
        <v>0</v>
      </c>
      <c r="K267" s="82"/>
      <c r="L267" s="84"/>
      <c r="M267" s="85">
        <v>0</v>
      </c>
      <c r="N267" s="82"/>
      <c r="O267" s="82"/>
      <c r="P267" s="81">
        <v>0</v>
      </c>
      <c r="Q267" s="82"/>
      <c r="R267" s="83"/>
      <c r="S267" s="82">
        <v>0</v>
      </c>
      <c r="T267" s="82"/>
      <c r="U267" s="84"/>
      <c r="V267" s="85">
        <v>0</v>
      </c>
      <c r="W267" s="82"/>
      <c r="X267" s="84"/>
      <c r="Y267" s="85">
        <v>0</v>
      </c>
      <c r="Z267" s="82"/>
      <c r="AA267" s="84"/>
      <c r="AB267" s="85">
        <v>0</v>
      </c>
      <c r="AC267" s="82"/>
      <c r="AD267" s="84"/>
      <c r="AE267" s="85">
        <v>0</v>
      </c>
      <c r="AF267" s="82"/>
      <c r="AG267" s="84"/>
    </row>
    <row r="268" spans="1:33" ht="15.75" thickBot="1" x14ac:dyDescent="0.3">
      <c r="A268" s="68"/>
      <c r="B268" s="68"/>
      <c r="C268" s="107" t="s">
        <v>37</v>
      </c>
      <c r="D268" s="104"/>
      <c r="E268" s="86"/>
      <c r="F268" s="89"/>
      <c r="G268" s="86"/>
      <c r="H268" s="86"/>
      <c r="I268" s="89"/>
      <c r="J268" s="86"/>
      <c r="K268" s="86"/>
      <c r="L268" s="89"/>
      <c r="M268" s="86"/>
      <c r="N268" s="86"/>
      <c r="O268" s="89"/>
      <c r="P268" s="86"/>
      <c r="Q268" s="86"/>
      <c r="R268" s="89"/>
      <c r="S268" s="86"/>
      <c r="T268" s="86"/>
      <c r="U268" s="89"/>
      <c r="V268" s="86"/>
      <c r="W268" s="86"/>
      <c r="X268" s="89"/>
      <c r="Y268" s="86"/>
      <c r="Z268" s="86"/>
      <c r="AA268" s="89"/>
      <c r="AB268" s="86"/>
      <c r="AC268" s="86"/>
      <c r="AD268" s="89"/>
      <c r="AE268" s="86"/>
      <c r="AF268" s="86"/>
      <c r="AG268" s="89"/>
    </row>
    <row r="269" spans="1:33" ht="15.75" thickBot="1" x14ac:dyDescent="0.3">
      <c r="A269" s="68"/>
      <c r="B269" s="68"/>
      <c r="D269" s="87"/>
      <c r="E269" s="87"/>
      <c r="F269" s="90"/>
      <c r="G269" s="87"/>
      <c r="H269" s="87"/>
      <c r="I269" s="90"/>
      <c r="J269" s="87"/>
      <c r="K269" s="87"/>
      <c r="L269" s="90"/>
      <c r="M269" s="87"/>
      <c r="N269" s="87"/>
      <c r="O269" s="90"/>
      <c r="P269" s="87"/>
      <c r="Q269" s="87"/>
      <c r="R269" s="90"/>
      <c r="S269" s="87"/>
      <c r="T269" s="87"/>
      <c r="U269" s="90"/>
      <c r="V269" s="87"/>
      <c r="W269" s="87"/>
      <c r="X269" s="90"/>
      <c r="Y269" s="87"/>
      <c r="Z269" s="87"/>
      <c r="AA269" s="90"/>
      <c r="AB269" s="87"/>
      <c r="AC269" s="87"/>
      <c r="AD269" s="90"/>
      <c r="AE269" s="87"/>
      <c r="AF269" s="87"/>
      <c r="AG269" s="90"/>
    </row>
    <row r="270" spans="1:33" ht="15.75" thickBot="1" x14ac:dyDescent="0.3">
      <c r="A270" s="68"/>
      <c r="B270" s="68"/>
      <c r="D270" s="88"/>
      <c r="E270" s="88"/>
      <c r="F270" s="91"/>
      <c r="G270" s="88"/>
      <c r="H270" s="88"/>
      <c r="I270" s="91"/>
      <c r="J270" s="88"/>
      <c r="K270" s="88"/>
      <c r="L270" s="91"/>
      <c r="M270" s="88"/>
      <c r="N270" s="88"/>
      <c r="O270" s="91"/>
      <c r="P270" s="88"/>
      <c r="Q270" s="88"/>
      <c r="R270" s="91"/>
      <c r="S270" s="88"/>
      <c r="T270" s="88"/>
      <c r="U270" s="91"/>
      <c r="V270" s="88"/>
      <c r="W270" s="88"/>
      <c r="X270" s="91"/>
      <c r="Y270" s="88"/>
      <c r="Z270" s="88"/>
      <c r="AA270" s="91"/>
      <c r="AB270" s="88"/>
      <c r="AC270" s="88"/>
      <c r="AD270" s="91"/>
      <c r="AE270" s="88"/>
      <c r="AF270" s="88"/>
      <c r="AG270" s="91"/>
    </row>
    <row r="272" spans="1:33" ht="15.75" thickBot="1" x14ac:dyDescent="0.3"/>
    <row r="273" spans="1:33" ht="15.75" thickBot="1" x14ac:dyDescent="0.3">
      <c r="A273" s="68" t="s">
        <v>95</v>
      </c>
      <c r="B273" s="68"/>
      <c r="D273" s="52" t="s">
        <v>27</v>
      </c>
      <c r="E273" s="52"/>
      <c r="F273" s="52"/>
      <c r="G273" s="73" t="s">
        <v>28</v>
      </c>
      <c r="H273" s="73"/>
      <c r="I273" s="73"/>
      <c r="J273" s="52" t="s">
        <v>29</v>
      </c>
      <c r="K273" s="52"/>
      <c r="L273" s="52"/>
      <c r="M273" s="73" t="s">
        <v>30</v>
      </c>
      <c r="N273" s="73"/>
      <c r="O273" s="73"/>
      <c r="P273" s="52" t="s">
        <v>31</v>
      </c>
      <c r="Q273" s="52"/>
      <c r="R273" s="52"/>
      <c r="S273" s="73" t="s">
        <v>32</v>
      </c>
      <c r="T273" s="73"/>
      <c r="U273" s="73"/>
      <c r="V273" s="52" t="s">
        <v>33</v>
      </c>
      <c r="W273" s="52"/>
      <c r="X273" s="52"/>
      <c r="Y273" s="73" t="s">
        <v>34</v>
      </c>
      <c r="Z273" s="73"/>
      <c r="AA273" s="73"/>
      <c r="AB273" s="52" t="s">
        <v>35</v>
      </c>
      <c r="AC273" s="52"/>
      <c r="AD273" s="52"/>
      <c r="AE273" s="73" t="s">
        <v>36</v>
      </c>
      <c r="AF273" s="73"/>
      <c r="AG273" s="73"/>
    </row>
    <row r="274" spans="1:33" ht="15.75" thickBot="1" x14ac:dyDescent="0.3">
      <c r="A274" s="68"/>
      <c r="B274" s="68"/>
      <c r="C274" s="105" t="s">
        <v>243</v>
      </c>
      <c r="D274" s="75">
        <v>0</v>
      </c>
      <c r="E274" s="75"/>
      <c r="F274" s="76"/>
      <c r="G274" s="74">
        <v>0</v>
      </c>
      <c r="H274" s="75"/>
      <c r="I274" s="76"/>
      <c r="J274" s="74">
        <v>0</v>
      </c>
      <c r="K274" s="75"/>
      <c r="L274" s="76"/>
      <c r="M274" s="74">
        <v>0</v>
      </c>
      <c r="N274" s="75"/>
      <c r="O274" s="76"/>
      <c r="P274" s="74">
        <v>0</v>
      </c>
      <c r="Q274" s="75"/>
      <c r="R274" s="76"/>
      <c r="S274" s="74">
        <v>0</v>
      </c>
      <c r="T274" s="75"/>
      <c r="U274" s="76"/>
      <c r="V274" s="74">
        <v>0</v>
      </c>
      <c r="W274" s="75"/>
      <c r="X274" s="76"/>
      <c r="Y274" s="74">
        <v>0</v>
      </c>
      <c r="Z274" s="75"/>
      <c r="AA274" s="76"/>
      <c r="AB274" s="74">
        <v>0</v>
      </c>
      <c r="AC274" s="75"/>
      <c r="AD274" s="76"/>
      <c r="AE274" s="74">
        <v>0</v>
      </c>
      <c r="AF274" s="75"/>
      <c r="AG274" s="76"/>
    </row>
    <row r="275" spans="1:33" ht="15.75" thickBot="1" x14ac:dyDescent="0.3">
      <c r="A275" s="68"/>
      <c r="B275" s="68"/>
      <c r="C275" s="106" t="s">
        <v>244</v>
      </c>
      <c r="D275" s="82">
        <v>0</v>
      </c>
      <c r="E275" s="82"/>
      <c r="F275" s="84"/>
      <c r="G275" s="85">
        <v>0</v>
      </c>
      <c r="H275" s="82"/>
      <c r="I275" s="84"/>
      <c r="J275" s="85">
        <v>0</v>
      </c>
      <c r="K275" s="82"/>
      <c r="L275" s="84"/>
      <c r="M275" s="85">
        <v>0</v>
      </c>
      <c r="N275" s="82"/>
      <c r="O275" s="82"/>
      <c r="P275" s="81">
        <v>0</v>
      </c>
      <c r="Q275" s="82"/>
      <c r="R275" s="83"/>
      <c r="S275" s="82">
        <v>0</v>
      </c>
      <c r="T275" s="82"/>
      <c r="U275" s="84"/>
      <c r="V275" s="85">
        <v>0</v>
      </c>
      <c r="W275" s="82"/>
      <c r="X275" s="84"/>
      <c r="Y275" s="85">
        <v>0</v>
      </c>
      <c r="Z275" s="82"/>
      <c r="AA275" s="84"/>
      <c r="AB275" s="85">
        <v>0</v>
      </c>
      <c r="AC275" s="82"/>
      <c r="AD275" s="84"/>
      <c r="AE275" s="85">
        <v>0</v>
      </c>
      <c r="AF275" s="82"/>
      <c r="AG275" s="84"/>
    </row>
    <row r="276" spans="1:33" ht="15.75" thickBot="1" x14ac:dyDescent="0.3">
      <c r="A276" s="68"/>
      <c r="B276" s="68"/>
      <c r="C276" s="107" t="s">
        <v>37</v>
      </c>
      <c r="D276" s="104"/>
      <c r="E276" s="86"/>
      <c r="F276" s="89"/>
      <c r="G276" s="86"/>
      <c r="H276" s="86"/>
      <c r="I276" s="89"/>
      <c r="J276" s="86"/>
      <c r="K276" s="86"/>
      <c r="L276" s="89"/>
      <c r="M276" s="86"/>
      <c r="N276" s="86"/>
      <c r="O276" s="89"/>
      <c r="P276" s="86"/>
      <c r="Q276" s="86"/>
      <c r="R276" s="89"/>
      <c r="S276" s="86"/>
      <c r="T276" s="86"/>
      <c r="U276" s="89"/>
      <c r="V276" s="86"/>
      <c r="W276" s="86"/>
      <c r="X276" s="89"/>
      <c r="Y276" s="86"/>
      <c r="Z276" s="86"/>
      <c r="AA276" s="89"/>
      <c r="AB276" s="86"/>
      <c r="AC276" s="86"/>
      <c r="AD276" s="89"/>
      <c r="AE276" s="86"/>
      <c r="AF276" s="86"/>
      <c r="AG276" s="89"/>
    </row>
    <row r="277" spans="1:33" ht="15.75" thickBot="1" x14ac:dyDescent="0.3">
      <c r="A277" s="68"/>
      <c r="B277" s="68"/>
      <c r="D277" s="87"/>
      <c r="E277" s="87"/>
      <c r="F277" s="90"/>
      <c r="G277" s="87"/>
      <c r="H277" s="87"/>
      <c r="I277" s="90"/>
      <c r="J277" s="87"/>
      <c r="K277" s="87"/>
      <c r="L277" s="90"/>
      <c r="M277" s="87"/>
      <c r="N277" s="87"/>
      <c r="O277" s="90"/>
      <c r="P277" s="87"/>
      <c r="Q277" s="87"/>
      <c r="R277" s="90"/>
      <c r="S277" s="87"/>
      <c r="T277" s="87"/>
      <c r="U277" s="90"/>
      <c r="V277" s="87"/>
      <c r="W277" s="87"/>
      <c r="X277" s="90"/>
      <c r="Y277" s="87"/>
      <c r="Z277" s="87"/>
      <c r="AA277" s="90"/>
      <c r="AB277" s="87"/>
      <c r="AC277" s="87"/>
      <c r="AD277" s="90"/>
      <c r="AE277" s="87"/>
      <c r="AF277" s="87"/>
      <c r="AG277" s="90"/>
    </row>
    <row r="278" spans="1:33" ht="15.75" thickBot="1" x14ac:dyDescent="0.3">
      <c r="A278" s="68"/>
      <c r="B278" s="68"/>
      <c r="D278" s="88"/>
      <c r="E278" s="88"/>
      <c r="F278" s="91"/>
      <c r="G278" s="88"/>
      <c r="H278" s="88"/>
      <c r="I278" s="91"/>
      <c r="J278" s="88"/>
      <c r="K278" s="88"/>
      <c r="L278" s="91"/>
      <c r="M278" s="88"/>
      <c r="N278" s="88"/>
      <c r="O278" s="91"/>
      <c r="P278" s="88"/>
      <c r="Q278" s="88"/>
      <c r="R278" s="91"/>
      <c r="S278" s="88"/>
      <c r="T278" s="88"/>
      <c r="U278" s="91"/>
      <c r="V278" s="88"/>
      <c r="W278" s="88"/>
      <c r="X278" s="91"/>
      <c r="Y278" s="88"/>
      <c r="Z278" s="88"/>
      <c r="AA278" s="91"/>
      <c r="AB278" s="88"/>
      <c r="AC278" s="88"/>
      <c r="AD278" s="91"/>
      <c r="AE278" s="88"/>
      <c r="AF278" s="88"/>
      <c r="AG278" s="91"/>
    </row>
    <row r="280" spans="1:33" ht="15.75" thickBot="1" x14ac:dyDescent="0.3"/>
    <row r="281" spans="1:33" ht="15.75" thickBot="1" x14ac:dyDescent="0.3">
      <c r="A281" s="68" t="s">
        <v>261</v>
      </c>
      <c r="B281" s="68"/>
      <c r="D281" s="52" t="s">
        <v>27</v>
      </c>
      <c r="E281" s="52"/>
      <c r="F281" s="52"/>
      <c r="G281" s="73" t="s">
        <v>28</v>
      </c>
      <c r="H281" s="73"/>
      <c r="I281" s="73"/>
      <c r="J281" s="52" t="s">
        <v>29</v>
      </c>
      <c r="K281" s="52"/>
      <c r="L281" s="52"/>
      <c r="M281" s="73" t="s">
        <v>30</v>
      </c>
      <c r="N281" s="73"/>
      <c r="O281" s="73"/>
      <c r="P281" s="52" t="s">
        <v>31</v>
      </c>
      <c r="Q281" s="52"/>
      <c r="R281" s="52"/>
      <c r="S281" s="73" t="s">
        <v>32</v>
      </c>
      <c r="T281" s="73"/>
      <c r="U281" s="73"/>
      <c r="V281" s="52" t="s">
        <v>33</v>
      </c>
      <c r="W281" s="52"/>
      <c r="X281" s="52"/>
      <c r="Y281" s="73" t="s">
        <v>34</v>
      </c>
      <c r="Z281" s="73"/>
      <c r="AA281" s="73"/>
      <c r="AB281" s="52" t="s">
        <v>35</v>
      </c>
      <c r="AC281" s="52"/>
      <c r="AD281" s="52"/>
      <c r="AE281" s="73" t="s">
        <v>36</v>
      </c>
      <c r="AF281" s="73"/>
      <c r="AG281" s="73"/>
    </row>
    <row r="282" spans="1:33" ht="15.75" thickBot="1" x14ac:dyDescent="0.3">
      <c r="A282" s="68"/>
      <c r="B282" s="68"/>
      <c r="C282" s="105" t="s">
        <v>243</v>
      </c>
      <c r="D282" s="75">
        <v>0</v>
      </c>
      <c r="E282" s="75"/>
      <c r="F282" s="76"/>
      <c r="G282" s="74">
        <v>0</v>
      </c>
      <c r="H282" s="75"/>
      <c r="I282" s="76"/>
      <c r="J282" s="74">
        <v>0</v>
      </c>
      <c r="K282" s="75"/>
      <c r="L282" s="76"/>
      <c r="M282" s="74">
        <v>0</v>
      </c>
      <c r="N282" s="75"/>
      <c r="O282" s="76"/>
      <c r="P282" s="74">
        <v>0</v>
      </c>
      <c r="Q282" s="75"/>
      <c r="R282" s="76"/>
      <c r="S282" s="74">
        <v>0</v>
      </c>
      <c r="T282" s="75"/>
      <c r="U282" s="76"/>
      <c r="V282" s="74">
        <v>0</v>
      </c>
      <c r="W282" s="75"/>
      <c r="X282" s="76"/>
      <c r="Y282" s="74">
        <v>0</v>
      </c>
      <c r="Z282" s="75"/>
      <c r="AA282" s="76"/>
      <c r="AB282" s="74">
        <v>0</v>
      </c>
      <c r="AC282" s="75"/>
      <c r="AD282" s="76"/>
      <c r="AE282" s="74">
        <v>0</v>
      </c>
      <c r="AF282" s="75"/>
      <c r="AG282" s="76"/>
    </row>
    <row r="283" spans="1:33" ht="15.75" thickBot="1" x14ac:dyDescent="0.3">
      <c r="A283" s="68"/>
      <c r="B283" s="68"/>
      <c r="C283" s="106" t="s">
        <v>244</v>
      </c>
      <c r="D283" s="82">
        <v>0</v>
      </c>
      <c r="E283" s="82"/>
      <c r="F283" s="84"/>
      <c r="G283" s="85">
        <v>0</v>
      </c>
      <c r="H283" s="82"/>
      <c r="I283" s="84"/>
      <c r="J283" s="85">
        <v>0</v>
      </c>
      <c r="K283" s="82"/>
      <c r="L283" s="84"/>
      <c r="M283" s="85">
        <v>0</v>
      </c>
      <c r="N283" s="82"/>
      <c r="O283" s="82"/>
      <c r="P283" s="81">
        <v>0</v>
      </c>
      <c r="Q283" s="82"/>
      <c r="R283" s="83"/>
      <c r="S283" s="82">
        <v>0</v>
      </c>
      <c r="T283" s="82"/>
      <c r="U283" s="84"/>
      <c r="V283" s="85">
        <v>0</v>
      </c>
      <c r="W283" s="82"/>
      <c r="X283" s="84"/>
      <c r="Y283" s="85">
        <v>0</v>
      </c>
      <c r="Z283" s="82"/>
      <c r="AA283" s="84"/>
      <c r="AB283" s="85">
        <v>0</v>
      </c>
      <c r="AC283" s="82"/>
      <c r="AD283" s="84"/>
      <c r="AE283" s="85">
        <v>0</v>
      </c>
      <c r="AF283" s="82"/>
      <c r="AG283" s="84"/>
    </row>
    <row r="284" spans="1:33" ht="15.75" thickBot="1" x14ac:dyDescent="0.3">
      <c r="A284" s="68"/>
      <c r="B284" s="68"/>
      <c r="C284" s="107" t="s">
        <v>37</v>
      </c>
      <c r="D284" s="104"/>
      <c r="E284" s="86"/>
      <c r="F284" s="89"/>
      <c r="G284" s="86"/>
      <c r="H284" s="86"/>
      <c r="I284" s="89"/>
      <c r="J284" s="86"/>
      <c r="K284" s="86"/>
      <c r="L284" s="89"/>
      <c r="M284" s="86"/>
      <c r="N284" s="86"/>
      <c r="O284" s="89"/>
      <c r="P284" s="86"/>
      <c r="Q284" s="86"/>
      <c r="R284" s="89"/>
      <c r="S284" s="86"/>
      <c r="T284" s="86"/>
      <c r="U284" s="89"/>
      <c r="V284" s="86"/>
      <c r="W284" s="86"/>
      <c r="X284" s="89"/>
      <c r="Y284" s="86"/>
      <c r="Z284" s="86"/>
      <c r="AA284" s="89"/>
      <c r="AB284" s="86"/>
      <c r="AC284" s="86"/>
      <c r="AD284" s="89"/>
      <c r="AE284" s="86"/>
      <c r="AF284" s="86"/>
      <c r="AG284" s="89"/>
    </row>
    <row r="285" spans="1:33" ht="15.75" thickBot="1" x14ac:dyDescent="0.3">
      <c r="A285" s="68"/>
      <c r="B285" s="68"/>
      <c r="D285" s="87"/>
      <c r="E285" s="87"/>
      <c r="F285" s="90"/>
      <c r="G285" s="87"/>
      <c r="H285" s="87"/>
      <c r="I285" s="90"/>
      <c r="J285" s="87"/>
      <c r="K285" s="87"/>
      <c r="L285" s="90"/>
      <c r="M285" s="87"/>
      <c r="N285" s="87"/>
      <c r="O285" s="90"/>
      <c r="P285" s="87"/>
      <c r="Q285" s="87"/>
      <c r="R285" s="90"/>
      <c r="S285" s="87"/>
      <c r="T285" s="87"/>
      <c r="U285" s="90"/>
      <c r="V285" s="87"/>
      <c r="W285" s="87"/>
      <c r="X285" s="90"/>
      <c r="Y285" s="87"/>
      <c r="Z285" s="87"/>
      <c r="AA285" s="90"/>
      <c r="AB285" s="87"/>
      <c r="AC285" s="87"/>
      <c r="AD285" s="90"/>
      <c r="AE285" s="87"/>
      <c r="AF285" s="87"/>
      <c r="AG285" s="90"/>
    </row>
    <row r="286" spans="1:33" ht="15.75" thickBot="1" x14ac:dyDescent="0.3">
      <c r="A286" s="68"/>
      <c r="B286" s="68"/>
      <c r="D286" s="88"/>
      <c r="E286" s="88"/>
      <c r="F286" s="91"/>
      <c r="G286" s="88"/>
      <c r="H286" s="88"/>
      <c r="I286" s="91"/>
      <c r="J286" s="88"/>
      <c r="K286" s="88"/>
      <c r="L286" s="91"/>
      <c r="M286" s="88"/>
      <c r="N286" s="88"/>
      <c r="O286" s="91"/>
      <c r="P286" s="88"/>
      <c r="Q286" s="88"/>
      <c r="R286" s="91"/>
      <c r="S286" s="88"/>
      <c r="T286" s="88"/>
      <c r="U286" s="91"/>
      <c r="V286" s="88"/>
      <c r="W286" s="88"/>
      <c r="X286" s="91"/>
      <c r="Y286" s="88"/>
      <c r="Z286" s="88"/>
      <c r="AA286" s="91"/>
      <c r="AB286" s="88"/>
      <c r="AC286" s="88"/>
      <c r="AD286" s="91"/>
      <c r="AE286" s="88"/>
      <c r="AF286" s="88"/>
      <c r="AG286" s="91"/>
    </row>
    <row r="288" spans="1:33" ht="15.75" thickBot="1" x14ac:dyDescent="0.3"/>
    <row r="289" spans="1:33" ht="15.75" thickBot="1" x14ac:dyDescent="0.3">
      <c r="A289" s="68" t="s">
        <v>96</v>
      </c>
      <c r="B289" s="68"/>
      <c r="D289" s="52" t="s">
        <v>27</v>
      </c>
      <c r="E289" s="52"/>
      <c r="F289" s="52"/>
      <c r="G289" s="73" t="s">
        <v>28</v>
      </c>
      <c r="H289" s="73"/>
      <c r="I289" s="73"/>
      <c r="J289" s="52" t="s">
        <v>29</v>
      </c>
      <c r="K289" s="52"/>
      <c r="L289" s="52"/>
      <c r="M289" s="73" t="s">
        <v>30</v>
      </c>
      <c r="N289" s="73"/>
      <c r="O289" s="73"/>
      <c r="P289" s="52" t="s">
        <v>31</v>
      </c>
      <c r="Q289" s="52"/>
      <c r="R289" s="52"/>
      <c r="S289" s="73" t="s">
        <v>32</v>
      </c>
      <c r="T289" s="73"/>
      <c r="U289" s="73"/>
      <c r="V289" s="52" t="s">
        <v>33</v>
      </c>
      <c r="W289" s="52"/>
      <c r="X289" s="52"/>
      <c r="Y289" s="73" t="s">
        <v>34</v>
      </c>
      <c r="Z289" s="73"/>
      <c r="AA289" s="73"/>
      <c r="AB289" s="52" t="s">
        <v>35</v>
      </c>
      <c r="AC289" s="52"/>
      <c r="AD289" s="52"/>
      <c r="AE289" s="73" t="s">
        <v>36</v>
      </c>
      <c r="AF289" s="73"/>
      <c r="AG289" s="73"/>
    </row>
    <row r="290" spans="1:33" ht="15.75" thickBot="1" x14ac:dyDescent="0.3">
      <c r="A290" s="68"/>
      <c r="B290" s="68"/>
      <c r="C290" s="105" t="s">
        <v>243</v>
      </c>
      <c r="D290" s="75">
        <v>0</v>
      </c>
      <c r="E290" s="75"/>
      <c r="F290" s="76"/>
      <c r="G290" s="74">
        <v>0</v>
      </c>
      <c r="H290" s="75"/>
      <c r="I290" s="76"/>
      <c r="J290" s="74">
        <v>0</v>
      </c>
      <c r="K290" s="75"/>
      <c r="L290" s="76"/>
      <c r="M290" s="74">
        <v>0</v>
      </c>
      <c r="N290" s="75"/>
      <c r="O290" s="76"/>
      <c r="P290" s="74">
        <v>0</v>
      </c>
      <c r="Q290" s="75"/>
      <c r="R290" s="76"/>
      <c r="S290" s="74">
        <v>0</v>
      </c>
      <c r="T290" s="75"/>
      <c r="U290" s="76"/>
      <c r="V290" s="74">
        <v>0</v>
      </c>
      <c r="W290" s="75"/>
      <c r="X290" s="76"/>
      <c r="Y290" s="74">
        <v>0</v>
      </c>
      <c r="Z290" s="75"/>
      <c r="AA290" s="76"/>
      <c r="AB290" s="74">
        <v>0</v>
      </c>
      <c r="AC290" s="75"/>
      <c r="AD290" s="76"/>
      <c r="AE290" s="74">
        <v>0</v>
      </c>
      <c r="AF290" s="75"/>
      <c r="AG290" s="76"/>
    </row>
    <row r="291" spans="1:33" ht="15.75" thickBot="1" x14ac:dyDescent="0.3">
      <c r="A291" s="68"/>
      <c r="B291" s="68"/>
      <c r="C291" s="106" t="s">
        <v>244</v>
      </c>
      <c r="D291" s="82">
        <v>0</v>
      </c>
      <c r="E291" s="82"/>
      <c r="F291" s="84"/>
      <c r="G291" s="85">
        <v>0</v>
      </c>
      <c r="H291" s="82"/>
      <c r="I291" s="84"/>
      <c r="J291" s="85">
        <v>0</v>
      </c>
      <c r="K291" s="82"/>
      <c r="L291" s="84"/>
      <c r="M291" s="85">
        <v>0</v>
      </c>
      <c r="N291" s="82"/>
      <c r="O291" s="82"/>
      <c r="P291" s="81">
        <v>0</v>
      </c>
      <c r="Q291" s="82"/>
      <c r="R291" s="83"/>
      <c r="S291" s="82">
        <v>0</v>
      </c>
      <c r="T291" s="82"/>
      <c r="U291" s="84"/>
      <c r="V291" s="85">
        <v>0</v>
      </c>
      <c r="W291" s="82"/>
      <c r="X291" s="84"/>
      <c r="Y291" s="85">
        <v>0</v>
      </c>
      <c r="Z291" s="82"/>
      <c r="AA291" s="84"/>
      <c r="AB291" s="85">
        <v>0</v>
      </c>
      <c r="AC291" s="82"/>
      <c r="AD291" s="84"/>
      <c r="AE291" s="85">
        <v>0</v>
      </c>
      <c r="AF291" s="82"/>
      <c r="AG291" s="84"/>
    </row>
    <row r="292" spans="1:33" ht="15.75" thickBot="1" x14ac:dyDescent="0.3">
      <c r="A292" s="68"/>
      <c r="B292" s="68"/>
      <c r="C292" s="107" t="s">
        <v>37</v>
      </c>
      <c r="D292" s="104"/>
      <c r="E292" s="86"/>
      <c r="F292" s="89"/>
      <c r="G292" s="86"/>
      <c r="H292" s="86"/>
      <c r="I292" s="89"/>
      <c r="J292" s="86"/>
      <c r="K292" s="86"/>
      <c r="L292" s="89"/>
      <c r="M292" s="86"/>
      <c r="N292" s="86"/>
      <c r="O292" s="89"/>
      <c r="P292" s="86"/>
      <c r="Q292" s="86"/>
      <c r="R292" s="89"/>
      <c r="S292" s="86"/>
      <c r="T292" s="86"/>
      <c r="U292" s="89"/>
      <c r="V292" s="86"/>
      <c r="W292" s="86"/>
      <c r="X292" s="89"/>
      <c r="Y292" s="86"/>
      <c r="Z292" s="86"/>
      <c r="AA292" s="89"/>
      <c r="AB292" s="86"/>
      <c r="AC292" s="86"/>
      <c r="AD292" s="89"/>
      <c r="AE292" s="86"/>
      <c r="AF292" s="86"/>
      <c r="AG292" s="89"/>
    </row>
    <row r="293" spans="1:33" ht="15.75" thickBot="1" x14ac:dyDescent="0.3">
      <c r="A293" s="68"/>
      <c r="B293" s="68"/>
      <c r="D293" s="87"/>
      <c r="E293" s="87"/>
      <c r="F293" s="90"/>
      <c r="G293" s="87"/>
      <c r="H293" s="87"/>
      <c r="I293" s="90"/>
      <c r="J293" s="87"/>
      <c r="K293" s="87"/>
      <c r="L293" s="90"/>
      <c r="M293" s="87"/>
      <c r="N293" s="87"/>
      <c r="O293" s="90"/>
      <c r="P293" s="87"/>
      <c r="Q293" s="87"/>
      <c r="R293" s="90"/>
      <c r="S293" s="87"/>
      <c r="T293" s="87"/>
      <c r="U293" s="90"/>
      <c r="V293" s="87"/>
      <c r="W293" s="87"/>
      <c r="X293" s="90"/>
      <c r="Y293" s="87"/>
      <c r="Z293" s="87"/>
      <c r="AA293" s="90"/>
      <c r="AB293" s="87"/>
      <c r="AC293" s="87"/>
      <c r="AD293" s="90"/>
      <c r="AE293" s="87"/>
      <c r="AF293" s="87"/>
      <c r="AG293" s="90"/>
    </row>
    <row r="294" spans="1:33" ht="15.75" thickBot="1" x14ac:dyDescent="0.3">
      <c r="A294" s="68"/>
      <c r="B294" s="68"/>
      <c r="D294" s="88"/>
      <c r="E294" s="88"/>
      <c r="F294" s="91"/>
      <c r="G294" s="88"/>
      <c r="H294" s="88"/>
      <c r="I294" s="91"/>
      <c r="J294" s="88"/>
      <c r="K294" s="88"/>
      <c r="L294" s="91"/>
      <c r="M294" s="88"/>
      <c r="N294" s="88"/>
      <c r="O294" s="91"/>
      <c r="P294" s="88"/>
      <c r="Q294" s="88"/>
      <c r="R294" s="91"/>
      <c r="S294" s="88"/>
      <c r="T294" s="88"/>
      <c r="U294" s="91"/>
      <c r="V294" s="88"/>
      <c r="W294" s="88"/>
      <c r="X294" s="91"/>
      <c r="Y294" s="88"/>
      <c r="Z294" s="88"/>
      <c r="AA294" s="91"/>
      <c r="AB294" s="88"/>
      <c r="AC294" s="88"/>
      <c r="AD294" s="91"/>
      <c r="AE294" s="88"/>
      <c r="AF294" s="88"/>
      <c r="AG294" s="91"/>
    </row>
    <row r="296" spans="1:33" ht="15.75" thickBot="1" x14ac:dyDescent="0.3"/>
    <row r="297" spans="1:33" ht="15.75" thickBot="1" x14ac:dyDescent="0.3">
      <c r="A297" s="68" t="s">
        <v>97</v>
      </c>
      <c r="B297" s="68"/>
      <c r="D297" s="52" t="s">
        <v>27</v>
      </c>
      <c r="E297" s="52"/>
      <c r="F297" s="52"/>
      <c r="G297" s="73" t="s">
        <v>28</v>
      </c>
      <c r="H297" s="73"/>
      <c r="I297" s="73"/>
      <c r="J297" s="52" t="s">
        <v>29</v>
      </c>
      <c r="K297" s="52"/>
      <c r="L297" s="52"/>
      <c r="M297" s="73" t="s">
        <v>30</v>
      </c>
      <c r="N297" s="73"/>
      <c r="O297" s="73"/>
      <c r="P297" s="52" t="s">
        <v>31</v>
      </c>
      <c r="Q297" s="52"/>
      <c r="R297" s="52"/>
      <c r="S297" s="73" t="s">
        <v>32</v>
      </c>
      <c r="T297" s="73"/>
      <c r="U297" s="73"/>
      <c r="V297" s="52" t="s">
        <v>33</v>
      </c>
      <c r="W297" s="52"/>
      <c r="X297" s="52"/>
      <c r="Y297" s="73" t="s">
        <v>34</v>
      </c>
      <c r="Z297" s="73"/>
      <c r="AA297" s="73"/>
      <c r="AB297" s="52" t="s">
        <v>35</v>
      </c>
      <c r="AC297" s="52"/>
      <c r="AD297" s="52"/>
      <c r="AE297" s="73" t="s">
        <v>36</v>
      </c>
      <c r="AF297" s="73"/>
      <c r="AG297" s="73"/>
    </row>
    <row r="298" spans="1:33" ht="15.75" thickBot="1" x14ac:dyDescent="0.3">
      <c r="A298" s="68"/>
      <c r="B298" s="68"/>
      <c r="C298" s="105" t="s">
        <v>243</v>
      </c>
      <c r="D298" s="75">
        <v>0</v>
      </c>
      <c r="E298" s="75"/>
      <c r="F298" s="76"/>
      <c r="G298" s="74">
        <v>0</v>
      </c>
      <c r="H298" s="75"/>
      <c r="I298" s="76"/>
      <c r="J298" s="74">
        <v>0</v>
      </c>
      <c r="K298" s="75"/>
      <c r="L298" s="76"/>
      <c r="M298" s="74">
        <v>0</v>
      </c>
      <c r="N298" s="75"/>
      <c r="O298" s="76"/>
      <c r="P298" s="74">
        <v>0</v>
      </c>
      <c r="Q298" s="75"/>
      <c r="R298" s="76"/>
      <c r="S298" s="74">
        <v>0</v>
      </c>
      <c r="T298" s="75"/>
      <c r="U298" s="76"/>
      <c r="V298" s="74">
        <v>0</v>
      </c>
      <c r="W298" s="75"/>
      <c r="X298" s="76"/>
      <c r="Y298" s="74">
        <v>0</v>
      </c>
      <c r="Z298" s="75"/>
      <c r="AA298" s="76"/>
      <c r="AB298" s="74">
        <v>0</v>
      </c>
      <c r="AC298" s="75"/>
      <c r="AD298" s="76"/>
      <c r="AE298" s="74">
        <v>0</v>
      </c>
      <c r="AF298" s="75"/>
      <c r="AG298" s="76"/>
    </row>
    <row r="299" spans="1:33" ht="15.75" thickBot="1" x14ac:dyDescent="0.3">
      <c r="A299" s="68"/>
      <c r="B299" s="68"/>
      <c r="C299" s="106" t="s">
        <v>244</v>
      </c>
      <c r="D299" s="82">
        <v>0</v>
      </c>
      <c r="E299" s="82"/>
      <c r="F299" s="84"/>
      <c r="G299" s="85">
        <v>0</v>
      </c>
      <c r="H299" s="82"/>
      <c r="I299" s="84"/>
      <c r="J299" s="85">
        <v>0</v>
      </c>
      <c r="K299" s="82"/>
      <c r="L299" s="84"/>
      <c r="M299" s="85">
        <v>0</v>
      </c>
      <c r="N299" s="82"/>
      <c r="O299" s="82"/>
      <c r="P299" s="81">
        <v>0</v>
      </c>
      <c r="Q299" s="82"/>
      <c r="R299" s="83"/>
      <c r="S299" s="82">
        <v>0</v>
      </c>
      <c r="T299" s="82"/>
      <c r="U299" s="84"/>
      <c r="V299" s="85">
        <v>0</v>
      </c>
      <c r="W299" s="82"/>
      <c r="X299" s="84"/>
      <c r="Y299" s="85">
        <v>0</v>
      </c>
      <c r="Z299" s="82"/>
      <c r="AA299" s="84"/>
      <c r="AB299" s="85">
        <v>0</v>
      </c>
      <c r="AC299" s="82"/>
      <c r="AD299" s="84"/>
      <c r="AE299" s="85">
        <v>0</v>
      </c>
      <c r="AF299" s="82"/>
      <c r="AG299" s="84"/>
    </row>
    <row r="300" spans="1:33" ht="15.75" thickBot="1" x14ac:dyDescent="0.3">
      <c r="A300" s="68"/>
      <c r="B300" s="68"/>
      <c r="C300" s="107" t="s">
        <v>37</v>
      </c>
      <c r="D300" s="104"/>
      <c r="E300" s="86"/>
      <c r="F300" s="89"/>
      <c r="G300" s="86"/>
      <c r="H300" s="86"/>
      <c r="I300" s="89"/>
      <c r="J300" s="86"/>
      <c r="K300" s="86"/>
      <c r="L300" s="89"/>
      <c r="M300" s="86"/>
      <c r="N300" s="86"/>
      <c r="O300" s="89"/>
      <c r="P300" s="86"/>
      <c r="Q300" s="86"/>
      <c r="R300" s="89"/>
      <c r="S300" s="86"/>
      <c r="T300" s="86"/>
      <c r="U300" s="89"/>
      <c r="V300" s="86"/>
      <c r="W300" s="86"/>
      <c r="X300" s="89"/>
      <c r="Y300" s="86"/>
      <c r="Z300" s="86"/>
      <c r="AA300" s="89"/>
      <c r="AB300" s="86"/>
      <c r="AC300" s="86"/>
      <c r="AD300" s="89"/>
      <c r="AE300" s="86"/>
      <c r="AF300" s="86"/>
      <c r="AG300" s="89"/>
    </row>
    <row r="301" spans="1:33" ht="15.75" thickBot="1" x14ac:dyDescent="0.3">
      <c r="A301" s="68"/>
      <c r="B301" s="68"/>
      <c r="D301" s="87"/>
      <c r="E301" s="87"/>
      <c r="F301" s="90"/>
      <c r="G301" s="87"/>
      <c r="H301" s="87"/>
      <c r="I301" s="90"/>
      <c r="J301" s="87"/>
      <c r="K301" s="87"/>
      <c r="L301" s="90"/>
      <c r="M301" s="87"/>
      <c r="N301" s="87"/>
      <c r="O301" s="90"/>
      <c r="P301" s="87"/>
      <c r="Q301" s="87"/>
      <c r="R301" s="90"/>
      <c r="S301" s="87"/>
      <c r="T301" s="87"/>
      <c r="U301" s="90"/>
      <c r="V301" s="87"/>
      <c r="W301" s="87"/>
      <c r="X301" s="90"/>
      <c r="Y301" s="87"/>
      <c r="Z301" s="87"/>
      <c r="AA301" s="90"/>
      <c r="AB301" s="87"/>
      <c r="AC301" s="87"/>
      <c r="AD301" s="90"/>
      <c r="AE301" s="87"/>
      <c r="AF301" s="87"/>
      <c r="AG301" s="90"/>
    </row>
    <row r="302" spans="1:33" ht="15.75" thickBot="1" x14ac:dyDescent="0.3">
      <c r="A302" s="68"/>
      <c r="B302" s="68"/>
      <c r="D302" s="88"/>
      <c r="E302" s="88"/>
      <c r="F302" s="91"/>
      <c r="G302" s="88"/>
      <c r="H302" s="88"/>
      <c r="I302" s="91"/>
      <c r="J302" s="88"/>
      <c r="K302" s="88"/>
      <c r="L302" s="91"/>
      <c r="M302" s="88"/>
      <c r="N302" s="88"/>
      <c r="O302" s="91"/>
      <c r="P302" s="88"/>
      <c r="Q302" s="88"/>
      <c r="R302" s="91"/>
      <c r="S302" s="88"/>
      <c r="T302" s="88"/>
      <c r="U302" s="91"/>
      <c r="V302" s="88"/>
      <c r="W302" s="88"/>
      <c r="X302" s="91"/>
      <c r="Y302" s="88"/>
      <c r="Z302" s="88"/>
      <c r="AA302" s="91"/>
      <c r="AB302" s="88"/>
      <c r="AC302" s="88"/>
      <c r="AD302" s="91"/>
      <c r="AE302" s="88"/>
      <c r="AF302" s="88"/>
      <c r="AG302" s="91"/>
    </row>
    <row r="304" spans="1:33" ht="15.75" thickBot="1" x14ac:dyDescent="0.3"/>
    <row r="305" spans="1:33" ht="15.75" thickBot="1" x14ac:dyDescent="0.3">
      <c r="A305" s="68" t="s">
        <v>98</v>
      </c>
      <c r="B305" s="68"/>
      <c r="D305" s="52" t="s">
        <v>27</v>
      </c>
      <c r="E305" s="52"/>
      <c r="F305" s="52"/>
      <c r="G305" s="73" t="s">
        <v>28</v>
      </c>
      <c r="H305" s="73"/>
      <c r="I305" s="73"/>
      <c r="J305" s="52" t="s">
        <v>29</v>
      </c>
      <c r="K305" s="52"/>
      <c r="L305" s="52"/>
      <c r="M305" s="73" t="s">
        <v>30</v>
      </c>
      <c r="N305" s="73"/>
      <c r="O305" s="73"/>
      <c r="P305" s="52" t="s">
        <v>31</v>
      </c>
      <c r="Q305" s="52"/>
      <c r="R305" s="52"/>
      <c r="S305" s="73" t="s">
        <v>32</v>
      </c>
      <c r="T305" s="73"/>
      <c r="U305" s="73"/>
      <c r="V305" s="52" t="s">
        <v>33</v>
      </c>
      <c r="W305" s="52"/>
      <c r="X305" s="52"/>
      <c r="Y305" s="73" t="s">
        <v>34</v>
      </c>
      <c r="Z305" s="73"/>
      <c r="AA305" s="73"/>
      <c r="AB305" s="52" t="s">
        <v>35</v>
      </c>
      <c r="AC305" s="52"/>
      <c r="AD305" s="52"/>
      <c r="AE305" s="73" t="s">
        <v>36</v>
      </c>
      <c r="AF305" s="73"/>
      <c r="AG305" s="73"/>
    </row>
    <row r="306" spans="1:33" ht="15.75" thickBot="1" x14ac:dyDescent="0.3">
      <c r="A306" s="68"/>
      <c r="B306" s="68"/>
      <c r="C306" s="105" t="s">
        <v>243</v>
      </c>
      <c r="D306" s="75">
        <v>0</v>
      </c>
      <c r="E306" s="75"/>
      <c r="F306" s="76"/>
      <c r="G306" s="74">
        <v>0</v>
      </c>
      <c r="H306" s="75"/>
      <c r="I306" s="76"/>
      <c r="J306" s="74">
        <v>0</v>
      </c>
      <c r="K306" s="75"/>
      <c r="L306" s="76"/>
      <c r="M306" s="74">
        <v>0</v>
      </c>
      <c r="N306" s="75"/>
      <c r="O306" s="76"/>
      <c r="P306" s="74">
        <v>0</v>
      </c>
      <c r="Q306" s="75"/>
      <c r="R306" s="76"/>
      <c r="S306" s="74">
        <v>0</v>
      </c>
      <c r="T306" s="75"/>
      <c r="U306" s="76"/>
      <c r="V306" s="74">
        <v>0</v>
      </c>
      <c r="W306" s="75"/>
      <c r="X306" s="76"/>
      <c r="Y306" s="74">
        <v>0</v>
      </c>
      <c r="Z306" s="75"/>
      <c r="AA306" s="76"/>
      <c r="AB306" s="74">
        <v>0</v>
      </c>
      <c r="AC306" s="75"/>
      <c r="AD306" s="76"/>
      <c r="AE306" s="74">
        <v>0</v>
      </c>
      <c r="AF306" s="75"/>
      <c r="AG306" s="76"/>
    </row>
    <row r="307" spans="1:33" ht="15.75" thickBot="1" x14ac:dyDescent="0.3">
      <c r="A307" s="68"/>
      <c r="B307" s="68"/>
      <c r="C307" s="106" t="s">
        <v>244</v>
      </c>
      <c r="D307" s="82">
        <v>0</v>
      </c>
      <c r="E307" s="82"/>
      <c r="F307" s="84"/>
      <c r="G307" s="85">
        <v>0</v>
      </c>
      <c r="H307" s="82"/>
      <c r="I307" s="84"/>
      <c r="J307" s="85">
        <v>0</v>
      </c>
      <c r="K307" s="82"/>
      <c r="L307" s="84"/>
      <c r="M307" s="85">
        <v>0</v>
      </c>
      <c r="N307" s="82"/>
      <c r="O307" s="82"/>
      <c r="P307" s="81">
        <v>0</v>
      </c>
      <c r="Q307" s="82"/>
      <c r="R307" s="83"/>
      <c r="S307" s="82">
        <v>0</v>
      </c>
      <c r="T307" s="82"/>
      <c r="U307" s="84"/>
      <c r="V307" s="85">
        <v>0</v>
      </c>
      <c r="W307" s="82"/>
      <c r="X307" s="84"/>
      <c r="Y307" s="85">
        <v>0</v>
      </c>
      <c r="Z307" s="82"/>
      <c r="AA307" s="84"/>
      <c r="AB307" s="85">
        <v>0</v>
      </c>
      <c r="AC307" s="82"/>
      <c r="AD307" s="84"/>
      <c r="AE307" s="85">
        <v>0</v>
      </c>
      <c r="AF307" s="82"/>
      <c r="AG307" s="84"/>
    </row>
    <row r="308" spans="1:33" ht="15.75" thickBot="1" x14ac:dyDescent="0.3">
      <c r="A308" s="68"/>
      <c r="B308" s="68"/>
      <c r="C308" s="107" t="s">
        <v>37</v>
      </c>
      <c r="D308" s="104"/>
      <c r="E308" s="86"/>
      <c r="F308" s="89"/>
      <c r="G308" s="86"/>
      <c r="H308" s="86"/>
      <c r="I308" s="89"/>
      <c r="J308" s="86"/>
      <c r="K308" s="86"/>
      <c r="L308" s="89"/>
      <c r="M308" s="86"/>
      <c r="N308" s="86"/>
      <c r="O308" s="89"/>
      <c r="P308" s="86"/>
      <c r="Q308" s="86"/>
      <c r="R308" s="89"/>
      <c r="S308" s="86"/>
      <c r="T308" s="86"/>
      <c r="U308" s="89"/>
      <c r="V308" s="86"/>
      <c r="W308" s="86"/>
      <c r="X308" s="89"/>
      <c r="Y308" s="86"/>
      <c r="Z308" s="86"/>
      <c r="AA308" s="89"/>
      <c r="AB308" s="86"/>
      <c r="AC308" s="86"/>
      <c r="AD308" s="89"/>
      <c r="AE308" s="86"/>
      <c r="AF308" s="86"/>
      <c r="AG308" s="89"/>
    </row>
    <row r="309" spans="1:33" ht="15.75" thickBot="1" x14ac:dyDescent="0.3">
      <c r="A309" s="68"/>
      <c r="B309" s="68"/>
      <c r="D309" s="87"/>
      <c r="E309" s="87"/>
      <c r="F309" s="90"/>
      <c r="G309" s="87"/>
      <c r="H309" s="87"/>
      <c r="I309" s="90"/>
      <c r="J309" s="87"/>
      <c r="K309" s="87"/>
      <c r="L309" s="90"/>
      <c r="M309" s="87"/>
      <c r="N309" s="87"/>
      <c r="O309" s="90"/>
      <c r="P309" s="87"/>
      <c r="Q309" s="87"/>
      <c r="R309" s="90"/>
      <c r="S309" s="87"/>
      <c r="T309" s="87"/>
      <c r="U309" s="90"/>
      <c r="V309" s="87"/>
      <c r="W309" s="87"/>
      <c r="X309" s="90"/>
      <c r="Y309" s="87"/>
      <c r="Z309" s="87"/>
      <c r="AA309" s="90"/>
      <c r="AB309" s="87"/>
      <c r="AC309" s="87"/>
      <c r="AD309" s="90"/>
      <c r="AE309" s="87"/>
      <c r="AF309" s="87"/>
      <c r="AG309" s="90"/>
    </row>
    <row r="310" spans="1:33" ht="15.75" thickBot="1" x14ac:dyDescent="0.3">
      <c r="A310" s="68"/>
      <c r="B310" s="68"/>
      <c r="D310" s="88"/>
      <c r="E310" s="88"/>
      <c r="F310" s="91"/>
      <c r="G310" s="88"/>
      <c r="H310" s="88"/>
      <c r="I310" s="91"/>
      <c r="J310" s="88"/>
      <c r="K310" s="88"/>
      <c r="L310" s="91"/>
      <c r="M310" s="88"/>
      <c r="N310" s="88"/>
      <c r="O310" s="91"/>
      <c r="P310" s="88"/>
      <c r="Q310" s="88"/>
      <c r="R310" s="91"/>
      <c r="S310" s="88"/>
      <c r="T310" s="88"/>
      <c r="U310" s="91"/>
      <c r="V310" s="88"/>
      <c r="W310" s="88"/>
      <c r="X310" s="91"/>
      <c r="Y310" s="88"/>
      <c r="Z310" s="88"/>
      <c r="AA310" s="91"/>
      <c r="AB310" s="88"/>
      <c r="AC310" s="88"/>
      <c r="AD310" s="91"/>
      <c r="AE310" s="88"/>
      <c r="AF310" s="88"/>
      <c r="AG310" s="91"/>
    </row>
    <row r="312" spans="1:33" ht="15.75" thickBot="1" x14ac:dyDescent="0.3"/>
    <row r="313" spans="1:33" ht="15.75" thickBot="1" x14ac:dyDescent="0.3">
      <c r="A313" s="68" t="s">
        <v>100</v>
      </c>
      <c r="B313" s="68"/>
      <c r="D313" s="52" t="s">
        <v>27</v>
      </c>
      <c r="E313" s="52"/>
      <c r="F313" s="52"/>
      <c r="G313" s="73" t="s">
        <v>28</v>
      </c>
      <c r="H313" s="73"/>
      <c r="I313" s="73"/>
      <c r="J313" s="52" t="s">
        <v>29</v>
      </c>
      <c r="K313" s="52"/>
      <c r="L313" s="52"/>
      <c r="M313" s="73" t="s">
        <v>30</v>
      </c>
      <c r="N313" s="73"/>
      <c r="O313" s="73"/>
      <c r="P313" s="52" t="s">
        <v>31</v>
      </c>
      <c r="Q313" s="52"/>
      <c r="R313" s="52"/>
      <c r="S313" s="73" t="s">
        <v>32</v>
      </c>
      <c r="T313" s="73"/>
      <c r="U313" s="73"/>
      <c r="V313" s="52" t="s">
        <v>33</v>
      </c>
      <c r="W313" s="52"/>
      <c r="X313" s="52"/>
      <c r="Y313" s="73" t="s">
        <v>34</v>
      </c>
      <c r="Z313" s="73"/>
      <c r="AA313" s="73"/>
      <c r="AB313" s="52" t="s">
        <v>35</v>
      </c>
      <c r="AC313" s="52"/>
      <c r="AD313" s="52"/>
      <c r="AE313" s="73" t="s">
        <v>36</v>
      </c>
      <c r="AF313" s="73"/>
      <c r="AG313" s="73"/>
    </row>
    <row r="314" spans="1:33" ht="15.75" thickBot="1" x14ac:dyDescent="0.3">
      <c r="A314" s="68"/>
      <c r="B314" s="68"/>
      <c r="C314" s="105" t="s">
        <v>243</v>
      </c>
      <c r="D314" s="75">
        <v>0</v>
      </c>
      <c r="E314" s="75"/>
      <c r="F314" s="76"/>
      <c r="G314" s="74">
        <v>0</v>
      </c>
      <c r="H314" s="75"/>
      <c r="I314" s="76"/>
      <c r="J314" s="74">
        <v>0</v>
      </c>
      <c r="K314" s="75"/>
      <c r="L314" s="76"/>
      <c r="M314" s="74">
        <v>0</v>
      </c>
      <c r="N314" s="75"/>
      <c r="O314" s="76"/>
      <c r="P314" s="74">
        <v>0</v>
      </c>
      <c r="Q314" s="75"/>
      <c r="R314" s="76"/>
      <c r="S314" s="74">
        <v>0</v>
      </c>
      <c r="T314" s="75"/>
      <c r="U314" s="76"/>
      <c r="V314" s="74">
        <v>0</v>
      </c>
      <c r="W314" s="75"/>
      <c r="X314" s="76"/>
      <c r="Y314" s="74">
        <v>0</v>
      </c>
      <c r="Z314" s="75"/>
      <c r="AA314" s="76"/>
      <c r="AB314" s="74">
        <v>0</v>
      </c>
      <c r="AC314" s="75"/>
      <c r="AD314" s="76"/>
      <c r="AE314" s="74">
        <v>0</v>
      </c>
      <c r="AF314" s="75"/>
      <c r="AG314" s="76"/>
    </row>
    <row r="315" spans="1:33" ht="15.75" thickBot="1" x14ac:dyDescent="0.3">
      <c r="A315" s="68"/>
      <c r="B315" s="68"/>
      <c r="C315" s="106" t="s">
        <v>244</v>
      </c>
      <c r="D315" s="82">
        <v>0</v>
      </c>
      <c r="E315" s="82"/>
      <c r="F315" s="84"/>
      <c r="G315" s="85">
        <v>0</v>
      </c>
      <c r="H315" s="82"/>
      <c r="I315" s="84"/>
      <c r="J315" s="85">
        <v>0</v>
      </c>
      <c r="K315" s="82"/>
      <c r="L315" s="84"/>
      <c r="M315" s="85">
        <v>0</v>
      </c>
      <c r="N315" s="82"/>
      <c r="O315" s="82"/>
      <c r="P315" s="81">
        <v>0</v>
      </c>
      <c r="Q315" s="82"/>
      <c r="R315" s="83"/>
      <c r="S315" s="82">
        <v>0</v>
      </c>
      <c r="T315" s="82"/>
      <c r="U315" s="84"/>
      <c r="V315" s="85">
        <v>0</v>
      </c>
      <c r="W315" s="82"/>
      <c r="X315" s="84"/>
      <c r="Y315" s="85">
        <v>0</v>
      </c>
      <c r="Z315" s="82"/>
      <c r="AA315" s="84"/>
      <c r="AB315" s="85">
        <v>0</v>
      </c>
      <c r="AC315" s="82"/>
      <c r="AD315" s="84"/>
      <c r="AE315" s="85">
        <v>0</v>
      </c>
      <c r="AF315" s="82"/>
      <c r="AG315" s="84"/>
    </row>
    <row r="316" spans="1:33" ht="15.75" thickBot="1" x14ac:dyDescent="0.3">
      <c r="A316" s="68"/>
      <c r="B316" s="68"/>
      <c r="C316" s="107" t="s">
        <v>37</v>
      </c>
      <c r="D316" s="104"/>
      <c r="E316" s="86"/>
      <c r="F316" s="89"/>
      <c r="G316" s="86"/>
      <c r="H316" s="86"/>
      <c r="I316" s="89"/>
      <c r="J316" s="86"/>
      <c r="K316" s="86"/>
      <c r="L316" s="89"/>
      <c r="M316" s="86"/>
      <c r="N316" s="86"/>
      <c r="O316" s="89"/>
      <c r="P316" s="86"/>
      <c r="Q316" s="86"/>
      <c r="R316" s="89"/>
      <c r="S316" s="86"/>
      <c r="T316" s="86"/>
      <c r="U316" s="89"/>
      <c r="V316" s="86"/>
      <c r="W316" s="86"/>
      <c r="X316" s="89"/>
      <c r="Y316" s="86"/>
      <c r="Z316" s="86"/>
      <c r="AA316" s="89"/>
      <c r="AB316" s="86"/>
      <c r="AC316" s="86"/>
      <c r="AD316" s="89"/>
      <c r="AE316" s="86"/>
      <c r="AF316" s="86"/>
      <c r="AG316" s="89"/>
    </row>
    <row r="317" spans="1:33" ht="15.75" thickBot="1" x14ac:dyDescent="0.3">
      <c r="A317" s="68"/>
      <c r="B317" s="68"/>
      <c r="D317" s="87"/>
      <c r="E317" s="87"/>
      <c r="F317" s="90"/>
      <c r="G317" s="87"/>
      <c r="H317" s="87"/>
      <c r="I317" s="90"/>
      <c r="J317" s="87"/>
      <c r="K317" s="87"/>
      <c r="L317" s="90"/>
      <c r="M317" s="87"/>
      <c r="N317" s="87"/>
      <c r="O317" s="90"/>
      <c r="P317" s="87"/>
      <c r="Q317" s="87"/>
      <c r="R317" s="90"/>
      <c r="S317" s="87"/>
      <c r="T317" s="87"/>
      <c r="U317" s="90"/>
      <c r="V317" s="87"/>
      <c r="W317" s="87"/>
      <c r="X317" s="90"/>
      <c r="Y317" s="87"/>
      <c r="Z317" s="87"/>
      <c r="AA317" s="90"/>
      <c r="AB317" s="87"/>
      <c r="AC317" s="87"/>
      <c r="AD317" s="90"/>
      <c r="AE317" s="87"/>
      <c r="AF317" s="87"/>
      <c r="AG317" s="90"/>
    </row>
    <row r="318" spans="1:33" ht="15.75" thickBot="1" x14ac:dyDescent="0.3">
      <c r="A318" s="68"/>
      <c r="B318" s="68"/>
      <c r="D318" s="88"/>
      <c r="E318" s="88"/>
      <c r="F318" s="91"/>
      <c r="G318" s="88"/>
      <c r="H318" s="88"/>
      <c r="I318" s="91"/>
      <c r="J318" s="88"/>
      <c r="K318" s="88"/>
      <c r="L318" s="91"/>
      <c r="M318" s="88"/>
      <c r="N318" s="88"/>
      <c r="O318" s="91"/>
      <c r="P318" s="88"/>
      <c r="Q318" s="88"/>
      <c r="R318" s="91"/>
      <c r="S318" s="88"/>
      <c r="T318" s="88"/>
      <c r="U318" s="91"/>
      <c r="V318" s="88"/>
      <c r="W318" s="88"/>
      <c r="X318" s="91"/>
      <c r="Y318" s="88"/>
      <c r="Z318" s="88"/>
      <c r="AA318" s="91"/>
      <c r="AB318" s="88"/>
      <c r="AC318" s="88"/>
      <c r="AD318" s="91"/>
      <c r="AE318" s="88"/>
      <c r="AF318" s="88"/>
      <c r="AG318" s="91"/>
    </row>
    <row r="320" spans="1:33" ht="15.75" thickBot="1" x14ac:dyDescent="0.3"/>
    <row r="321" spans="1:33" ht="15.75" thickBot="1" x14ac:dyDescent="0.3">
      <c r="A321" s="68" t="s">
        <v>101</v>
      </c>
      <c r="B321" s="68"/>
      <c r="D321" s="52" t="s">
        <v>27</v>
      </c>
      <c r="E321" s="52"/>
      <c r="F321" s="52"/>
      <c r="G321" s="73" t="s">
        <v>28</v>
      </c>
      <c r="H321" s="73"/>
      <c r="I321" s="73"/>
      <c r="J321" s="52" t="s">
        <v>29</v>
      </c>
      <c r="K321" s="52"/>
      <c r="L321" s="52"/>
      <c r="M321" s="73" t="s">
        <v>30</v>
      </c>
      <c r="N321" s="73"/>
      <c r="O321" s="73"/>
      <c r="P321" s="52" t="s">
        <v>31</v>
      </c>
      <c r="Q321" s="52"/>
      <c r="R321" s="52"/>
      <c r="S321" s="73" t="s">
        <v>32</v>
      </c>
      <c r="T321" s="73"/>
      <c r="U321" s="73"/>
      <c r="V321" s="52" t="s">
        <v>33</v>
      </c>
      <c r="W321" s="52"/>
      <c r="X321" s="52"/>
      <c r="Y321" s="73" t="s">
        <v>34</v>
      </c>
      <c r="Z321" s="73"/>
      <c r="AA321" s="73"/>
      <c r="AB321" s="52" t="s">
        <v>35</v>
      </c>
      <c r="AC321" s="52"/>
      <c r="AD321" s="52"/>
      <c r="AE321" s="73" t="s">
        <v>36</v>
      </c>
      <c r="AF321" s="73"/>
      <c r="AG321" s="73"/>
    </row>
    <row r="322" spans="1:33" ht="15.75" thickBot="1" x14ac:dyDescent="0.3">
      <c r="A322" s="68"/>
      <c r="B322" s="68"/>
      <c r="C322" s="105" t="s">
        <v>243</v>
      </c>
      <c r="D322" s="75">
        <v>0</v>
      </c>
      <c r="E322" s="75"/>
      <c r="F322" s="76"/>
      <c r="G322" s="74">
        <v>0</v>
      </c>
      <c r="H322" s="75"/>
      <c r="I322" s="76"/>
      <c r="J322" s="74">
        <v>0</v>
      </c>
      <c r="K322" s="75"/>
      <c r="L322" s="76"/>
      <c r="M322" s="74">
        <v>0</v>
      </c>
      <c r="N322" s="75"/>
      <c r="O322" s="76"/>
      <c r="P322" s="74">
        <v>0</v>
      </c>
      <c r="Q322" s="75"/>
      <c r="R322" s="76"/>
      <c r="S322" s="74">
        <v>0</v>
      </c>
      <c r="T322" s="75"/>
      <c r="U322" s="76"/>
      <c r="V322" s="74">
        <v>0</v>
      </c>
      <c r="W322" s="75"/>
      <c r="X322" s="76"/>
      <c r="Y322" s="74">
        <v>0</v>
      </c>
      <c r="Z322" s="75"/>
      <c r="AA322" s="76"/>
      <c r="AB322" s="74">
        <v>0</v>
      </c>
      <c r="AC322" s="75"/>
      <c r="AD322" s="76"/>
      <c r="AE322" s="74">
        <v>0</v>
      </c>
      <c r="AF322" s="75"/>
      <c r="AG322" s="76"/>
    </row>
    <row r="323" spans="1:33" ht="15.75" thickBot="1" x14ac:dyDescent="0.3">
      <c r="A323" s="68"/>
      <c r="B323" s="68"/>
      <c r="C323" s="106" t="s">
        <v>244</v>
      </c>
      <c r="D323" s="82">
        <v>0</v>
      </c>
      <c r="E323" s="82"/>
      <c r="F323" s="84"/>
      <c r="G323" s="85">
        <v>0</v>
      </c>
      <c r="H323" s="82"/>
      <c r="I323" s="84"/>
      <c r="J323" s="85">
        <v>0</v>
      </c>
      <c r="K323" s="82"/>
      <c r="L323" s="84"/>
      <c r="M323" s="85">
        <v>0</v>
      </c>
      <c r="N323" s="82"/>
      <c r="O323" s="82"/>
      <c r="P323" s="81">
        <v>0</v>
      </c>
      <c r="Q323" s="82"/>
      <c r="R323" s="83"/>
      <c r="S323" s="82">
        <v>0</v>
      </c>
      <c r="T323" s="82"/>
      <c r="U323" s="84"/>
      <c r="V323" s="85">
        <v>0</v>
      </c>
      <c r="W323" s="82"/>
      <c r="X323" s="84"/>
      <c r="Y323" s="85">
        <v>0</v>
      </c>
      <c r="Z323" s="82"/>
      <c r="AA323" s="84"/>
      <c r="AB323" s="85">
        <v>0</v>
      </c>
      <c r="AC323" s="82"/>
      <c r="AD323" s="84"/>
      <c r="AE323" s="85">
        <v>0</v>
      </c>
      <c r="AF323" s="82"/>
      <c r="AG323" s="84"/>
    </row>
    <row r="324" spans="1:33" ht="15.75" thickBot="1" x14ac:dyDescent="0.3">
      <c r="A324" s="68"/>
      <c r="B324" s="68"/>
      <c r="C324" s="107" t="s">
        <v>37</v>
      </c>
      <c r="D324" s="104"/>
      <c r="E324" s="86"/>
      <c r="F324" s="89"/>
      <c r="G324" s="86"/>
      <c r="H324" s="86"/>
      <c r="I324" s="89"/>
      <c r="J324" s="86"/>
      <c r="K324" s="86"/>
      <c r="L324" s="89"/>
      <c r="M324" s="86"/>
      <c r="N324" s="86"/>
      <c r="O324" s="89"/>
      <c r="P324" s="86"/>
      <c r="Q324" s="86"/>
      <c r="R324" s="89"/>
      <c r="S324" s="86"/>
      <c r="T324" s="86"/>
      <c r="U324" s="89"/>
      <c r="V324" s="86"/>
      <c r="W324" s="86"/>
      <c r="X324" s="89"/>
      <c r="Y324" s="86"/>
      <c r="Z324" s="86"/>
      <c r="AA324" s="89"/>
      <c r="AB324" s="86"/>
      <c r="AC324" s="86"/>
      <c r="AD324" s="89"/>
      <c r="AE324" s="86"/>
      <c r="AF324" s="86"/>
      <c r="AG324" s="89"/>
    </row>
    <row r="325" spans="1:33" ht="15.75" thickBot="1" x14ac:dyDescent="0.3">
      <c r="A325" s="68"/>
      <c r="B325" s="68"/>
      <c r="D325" s="87"/>
      <c r="E325" s="87"/>
      <c r="F325" s="90"/>
      <c r="G325" s="87"/>
      <c r="H325" s="87"/>
      <c r="I325" s="90"/>
      <c r="J325" s="87"/>
      <c r="K325" s="87"/>
      <c r="L325" s="90"/>
      <c r="M325" s="87"/>
      <c r="N325" s="87"/>
      <c r="O325" s="90"/>
      <c r="P325" s="87"/>
      <c r="Q325" s="87"/>
      <c r="R325" s="90"/>
      <c r="S325" s="87"/>
      <c r="T325" s="87"/>
      <c r="U325" s="90"/>
      <c r="V325" s="87"/>
      <c r="W325" s="87"/>
      <c r="X325" s="90"/>
      <c r="Y325" s="87"/>
      <c r="Z325" s="87"/>
      <c r="AA325" s="90"/>
      <c r="AB325" s="87"/>
      <c r="AC325" s="87"/>
      <c r="AD325" s="90"/>
      <c r="AE325" s="87"/>
      <c r="AF325" s="87"/>
      <c r="AG325" s="90"/>
    </row>
    <row r="326" spans="1:33" ht="15.75" thickBot="1" x14ac:dyDescent="0.3">
      <c r="A326" s="68"/>
      <c r="B326" s="68"/>
      <c r="D326" s="88"/>
      <c r="E326" s="88"/>
      <c r="F326" s="91"/>
      <c r="G326" s="88"/>
      <c r="H326" s="88"/>
      <c r="I326" s="91"/>
      <c r="J326" s="88"/>
      <c r="K326" s="88"/>
      <c r="L326" s="91"/>
      <c r="M326" s="88"/>
      <c r="N326" s="88"/>
      <c r="O326" s="91"/>
      <c r="P326" s="88"/>
      <c r="Q326" s="88"/>
      <c r="R326" s="91"/>
      <c r="S326" s="88"/>
      <c r="T326" s="88"/>
      <c r="U326" s="91"/>
      <c r="V326" s="88"/>
      <c r="W326" s="88"/>
      <c r="X326" s="91"/>
      <c r="Y326" s="88"/>
      <c r="Z326" s="88"/>
      <c r="AA326" s="91"/>
      <c r="AB326" s="88"/>
      <c r="AC326" s="88"/>
      <c r="AD326" s="91"/>
      <c r="AE326" s="88"/>
      <c r="AF326" s="88"/>
      <c r="AG326" s="91"/>
    </row>
    <row r="328" spans="1:33" ht="15.75" thickBot="1" x14ac:dyDescent="0.3"/>
    <row r="329" spans="1:33" ht="15.75" thickBot="1" x14ac:dyDescent="0.3">
      <c r="A329" s="68" t="s">
        <v>262</v>
      </c>
      <c r="B329" s="68"/>
      <c r="D329" s="52" t="s">
        <v>27</v>
      </c>
      <c r="E329" s="52"/>
      <c r="F329" s="52"/>
      <c r="G329" s="73" t="s">
        <v>28</v>
      </c>
      <c r="H329" s="73"/>
      <c r="I329" s="73"/>
      <c r="J329" s="52" t="s">
        <v>29</v>
      </c>
      <c r="K329" s="52"/>
      <c r="L329" s="52"/>
      <c r="M329" s="73" t="s">
        <v>30</v>
      </c>
      <c r="N329" s="73"/>
      <c r="O329" s="73"/>
      <c r="P329" s="52" t="s">
        <v>31</v>
      </c>
      <c r="Q329" s="52"/>
      <c r="R329" s="52"/>
      <c r="S329" s="73" t="s">
        <v>32</v>
      </c>
      <c r="T329" s="73"/>
      <c r="U329" s="73"/>
      <c r="V329" s="52" t="s">
        <v>33</v>
      </c>
      <c r="W329" s="52"/>
      <c r="X329" s="52"/>
      <c r="Y329" s="73" t="s">
        <v>34</v>
      </c>
      <c r="Z329" s="73"/>
      <c r="AA329" s="73"/>
      <c r="AB329" s="52" t="s">
        <v>35</v>
      </c>
      <c r="AC329" s="52"/>
      <c r="AD329" s="52"/>
      <c r="AE329" s="73" t="s">
        <v>36</v>
      </c>
      <c r="AF329" s="73"/>
      <c r="AG329" s="73"/>
    </row>
    <row r="330" spans="1:33" ht="15.75" thickBot="1" x14ac:dyDescent="0.3">
      <c r="A330" s="68"/>
      <c r="B330" s="68"/>
      <c r="C330" s="105" t="s">
        <v>243</v>
      </c>
      <c r="D330" s="75">
        <v>0</v>
      </c>
      <c r="E330" s="75"/>
      <c r="F330" s="76"/>
      <c r="G330" s="74">
        <v>0</v>
      </c>
      <c r="H330" s="75"/>
      <c r="I330" s="76"/>
      <c r="J330" s="74">
        <v>0</v>
      </c>
      <c r="K330" s="75"/>
      <c r="L330" s="76"/>
      <c r="M330" s="74">
        <v>0</v>
      </c>
      <c r="N330" s="75"/>
      <c r="O330" s="76"/>
      <c r="P330" s="74">
        <v>0</v>
      </c>
      <c r="Q330" s="75"/>
      <c r="R330" s="76"/>
      <c r="S330" s="74">
        <v>0</v>
      </c>
      <c r="T330" s="75"/>
      <c r="U330" s="76"/>
      <c r="V330" s="74">
        <v>0</v>
      </c>
      <c r="W330" s="75"/>
      <c r="X330" s="76"/>
      <c r="Y330" s="74">
        <v>0</v>
      </c>
      <c r="Z330" s="75"/>
      <c r="AA330" s="76"/>
      <c r="AB330" s="74">
        <v>0</v>
      </c>
      <c r="AC330" s="75"/>
      <c r="AD330" s="76"/>
      <c r="AE330" s="74">
        <v>0</v>
      </c>
      <c r="AF330" s="75"/>
      <c r="AG330" s="76"/>
    </row>
    <row r="331" spans="1:33" ht="15.75" thickBot="1" x14ac:dyDescent="0.3">
      <c r="A331" s="68"/>
      <c r="B331" s="68"/>
      <c r="C331" s="106" t="s">
        <v>244</v>
      </c>
      <c r="D331" s="82">
        <v>0</v>
      </c>
      <c r="E331" s="82"/>
      <c r="F331" s="84"/>
      <c r="G331" s="85">
        <v>0</v>
      </c>
      <c r="H331" s="82"/>
      <c r="I331" s="84"/>
      <c r="J331" s="85">
        <v>0</v>
      </c>
      <c r="K331" s="82"/>
      <c r="L331" s="84"/>
      <c r="M331" s="85">
        <v>0</v>
      </c>
      <c r="N331" s="82"/>
      <c r="O331" s="82"/>
      <c r="P331" s="81">
        <v>0</v>
      </c>
      <c r="Q331" s="82"/>
      <c r="R331" s="83"/>
      <c r="S331" s="82">
        <v>0</v>
      </c>
      <c r="T331" s="82"/>
      <c r="U331" s="84"/>
      <c r="V331" s="85">
        <v>0</v>
      </c>
      <c r="W331" s="82"/>
      <c r="X331" s="84"/>
      <c r="Y331" s="85">
        <v>0</v>
      </c>
      <c r="Z331" s="82"/>
      <c r="AA331" s="84"/>
      <c r="AB331" s="85">
        <v>0</v>
      </c>
      <c r="AC331" s="82"/>
      <c r="AD331" s="84"/>
      <c r="AE331" s="85">
        <v>0</v>
      </c>
      <c r="AF331" s="82"/>
      <c r="AG331" s="84"/>
    </row>
    <row r="332" spans="1:33" ht="15.75" thickBot="1" x14ac:dyDescent="0.3">
      <c r="A332" s="68"/>
      <c r="B332" s="68"/>
      <c r="C332" s="107" t="s">
        <v>37</v>
      </c>
      <c r="D332" s="104"/>
      <c r="E332" s="86"/>
      <c r="F332" s="89"/>
      <c r="G332" s="86"/>
      <c r="H332" s="86"/>
      <c r="I332" s="89"/>
      <c r="J332" s="86"/>
      <c r="K332" s="86"/>
      <c r="L332" s="89"/>
      <c r="M332" s="86"/>
      <c r="N332" s="86"/>
      <c r="O332" s="89"/>
      <c r="P332" s="86"/>
      <c r="Q332" s="86"/>
      <c r="R332" s="89"/>
      <c r="S332" s="86"/>
      <c r="T332" s="86"/>
      <c r="U332" s="89"/>
      <c r="V332" s="86"/>
      <c r="W332" s="86"/>
      <c r="X332" s="89"/>
      <c r="Y332" s="86"/>
      <c r="Z332" s="86"/>
      <c r="AA332" s="89"/>
      <c r="AB332" s="86"/>
      <c r="AC332" s="86"/>
      <c r="AD332" s="89"/>
      <c r="AE332" s="86"/>
      <c r="AF332" s="86"/>
      <c r="AG332" s="89"/>
    </row>
    <row r="333" spans="1:33" ht="15.75" thickBot="1" x14ac:dyDescent="0.3">
      <c r="A333" s="68"/>
      <c r="B333" s="68"/>
      <c r="D333" s="87"/>
      <c r="E333" s="87"/>
      <c r="F333" s="90"/>
      <c r="G333" s="87"/>
      <c r="H333" s="87"/>
      <c r="I333" s="90"/>
      <c r="J333" s="87"/>
      <c r="K333" s="87"/>
      <c r="L333" s="90"/>
      <c r="M333" s="87"/>
      <c r="N333" s="87"/>
      <c r="O333" s="90"/>
      <c r="P333" s="87"/>
      <c r="Q333" s="87"/>
      <c r="R333" s="90"/>
      <c r="S333" s="87"/>
      <c r="T333" s="87"/>
      <c r="U333" s="90"/>
      <c r="V333" s="87"/>
      <c r="W333" s="87"/>
      <c r="X333" s="90"/>
      <c r="Y333" s="87"/>
      <c r="Z333" s="87"/>
      <c r="AA333" s="90"/>
      <c r="AB333" s="87"/>
      <c r="AC333" s="87"/>
      <c r="AD333" s="90"/>
      <c r="AE333" s="87"/>
      <c r="AF333" s="87"/>
      <c r="AG333" s="90"/>
    </row>
    <row r="334" spans="1:33" ht="15.75" thickBot="1" x14ac:dyDescent="0.3">
      <c r="A334" s="68"/>
      <c r="B334" s="68"/>
      <c r="D334" s="88"/>
      <c r="E334" s="88"/>
      <c r="F334" s="91"/>
      <c r="G334" s="88"/>
      <c r="H334" s="88"/>
      <c r="I334" s="91"/>
      <c r="J334" s="88"/>
      <c r="K334" s="88"/>
      <c r="L334" s="91"/>
      <c r="M334" s="88"/>
      <c r="N334" s="88"/>
      <c r="O334" s="91"/>
      <c r="P334" s="88"/>
      <c r="Q334" s="88"/>
      <c r="R334" s="91"/>
      <c r="S334" s="88"/>
      <c r="T334" s="88"/>
      <c r="U334" s="91"/>
      <c r="V334" s="88"/>
      <c r="W334" s="88"/>
      <c r="X334" s="91"/>
      <c r="Y334" s="88"/>
      <c r="Z334" s="88"/>
      <c r="AA334" s="91"/>
      <c r="AB334" s="88"/>
      <c r="AC334" s="88"/>
      <c r="AD334" s="91"/>
      <c r="AE334" s="88"/>
      <c r="AF334" s="88"/>
      <c r="AG334" s="91"/>
    </row>
    <row r="336" spans="1:33" ht="15.75" thickBot="1" x14ac:dyDescent="0.3"/>
    <row r="337" spans="1:33" ht="15.75" thickBot="1" x14ac:dyDescent="0.3">
      <c r="A337" s="68" t="s">
        <v>102</v>
      </c>
      <c r="B337" s="68"/>
      <c r="D337" s="52" t="s">
        <v>27</v>
      </c>
      <c r="E337" s="52"/>
      <c r="F337" s="52"/>
      <c r="G337" s="73" t="s">
        <v>28</v>
      </c>
      <c r="H337" s="73"/>
      <c r="I337" s="73"/>
      <c r="J337" s="52" t="s">
        <v>29</v>
      </c>
      <c r="K337" s="52"/>
      <c r="L337" s="52"/>
      <c r="M337" s="73" t="s">
        <v>30</v>
      </c>
      <c r="N337" s="73"/>
      <c r="O337" s="73"/>
      <c r="P337" s="52" t="s">
        <v>31</v>
      </c>
      <c r="Q337" s="52"/>
      <c r="R337" s="52"/>
      <c r="S337" s="73" t="s">
        <v>32</v>
      </c>
      <c r="T337" s="73"/>
      <c r="U337" s="73"/>
      <c r="V337" s="52" t="s">
        <v>33</v>
      </c>
      <c r="W337" s="52"/>
      <c r="X337" s="52"/>
      <c r="Y337" s="73" t="s">
        <v>34</v>
      </c>
      <c r="Z337" s="73"/>
      <c r="AA337" s="73"/>
      <c r="AB337" s="52" t="s">
        <v>35</v>
      </c>
      <c r="AC337" s="52"/>
      <c r="AD337" s="52"/>
      <c r="AE337" s="73" t="s">
        <v>36</v>
      </c>
      <c r="AF337" s="73"/>
      <c r="AG337" s="73"/>
    </row>
    <row r="338" spans="1:33" ht="15.75" thickBot="1" x14ac:dyDescent="0.3">
      <c r="A338" s="68"/>
      <c r="B338" s="68"/>
      <c r="C338" s="105" t="s">
        <v>243</v>
      </c>
      <c r="D338" s="75">
        <v>0</v>
      </c>
      <c r="E338" s="75"/>
      <c r="F338" s="76"/>
      <c r="G338" s="74">
        <v>0</v>
      </c>
      <c r="H338" s="75"/>
      <c r="I338" s="76"/>
      <c r="J338" s="74">
        <v>0</v>
      </c>
      <c r="K338" s="75"/>
      <c r="L338" s="76"/>
      <c r="M338" s="74">
        <v>0</v>
      </c>
      <c r="N338" s="75"/>
      <c r="O338" s="76"/>
      <c r="P338" s="74">
        <v>0</v>
      </c>
      <c r="Q338" s="75"/>
      <c r="R338" s="76"/>
      <c r="S338" s="74">
        <v>0</v>
      </c>
      <c r="T338" s="75"/>
      <c r="U338" s="76"/>
      <c r="V338" s="74">
        <v>0</v>
      </c>
      <c r="W338" s="75"/>
      <c r="X338" s="76"/>
      <c r="Y338" s="74">
        <v>0</v>
      </c>
      <c r="Z338" s="75"/>
      <c r="AA338" s="76"/>
      <c r="AB338" s="74">
        <v>0</v>
      </c>
      <c r="AC338" s="75"/>
      <c r="AD338" s="76"/>
      <c r="AE338" s="74">
        <v>0</v>
      </c>
      <c r="AF338" s="75"/>
      <c r="AG338" s="76"/>
    </row>
    <row r="339" spans="1:33" ht="15.75" thickBot="1" x14ac:dyDescent="0.3">
      <c r="A339" s="68"/>
      <c r="B339" s="68"/>
      <c r="C339" s="106" t="s">
        <v>244</v>
      </c>
      <c r="D339" s="82">
        <v>0</v>
      </c>
      <c r="E339" s="82"/>
      <c r="F339" s="84"/>
      <c r="G339" s="85">
        <v>0</v>
      </c>
      <c r="H339" s="82"/>
      <c r="I339" s="84"/>
      <c r="J339" s="85">
        <v>0</v>
      </c>
      <c r="K339" s="82"/>
      <c r="L339" s="84"/>
      <c r="M339" s="85">
        <v>0</v>
      </c>
      <c r="N339" s="82"/>
      <c r="O339" s="82"/>
      <c r="P339" s="81">
        <v>0</v>
      </c>
      <c r="Q339" s="82"/>
      <c r="R339" s="83"/>
      <c r="S339" s="82">
        <v>0</v>
      </c>
      <c r="T339" s="82"/>
      <c r="U339" s="84"/>
      <c r="V339" s="85">
        <v>0</v>
      </c>
      <c r="W339" s="82"/>
      <c r="X339" s="84"/>
      <c r="Y339" s="85">
        <v>0</v>
      </c>
      <c r="Z339" s="82"/>
      <c r="AA339" s="84"/>
      <c r="AB339" s="85">
        <v>0</v>
      </c>
      <c r="AC339" s="82"/>
      <c r="AD339" s="84"/>
      <c r="AE339" s="85">
        <v>0</v>
      </c>
      <c r="AF339" s="82"/>
      <c r="AG339" s="84"/>
    </row>
    <row r="340" spans="1:33" ht="15.75" thickBot="1" x14ac:dyDescent="0.3">
      <c r="A340" s="68"/>
      <c r="B340" s="68"/>
      <c r="C340" s="107" t="s">
        <v>37</v>
      </c>
      <c r="D340" s="104"/>
      <c r="E340" s="86"/>
      <c r="F340" s="89"/>
      <c r="G340" s="86"/>
      <c r="H340" s="86"/>
      <c r="I340" s="89"/>
      <c r="J340" s="86"/>
      <c r="K340" s="86"/>
      <c r="L340" s="89"/>
      <c r="M340" s="86"/>
      <c r="N340" s="86"/>
      <c r="O340" s="89"/>
      <c r="P340" s="86"/>
      <c r="Q340" s="86"/>
      <c r="R340" s="89"/>
      <c r="S340" s="86"/>
      <c r="T340" s="86"/>
      <c r="U340" s="89"/>
      <c r="V340" s="86"/>
      <c r="W340" s="86"/>
      <c r="X340" s="89"/>
      <c r="Y340" s="86"/>
      <c r="Z340" s="86"/>
      <c r="AA340" s="89"/>
      <c r="AB340" s="86"/>
      <c r="AC340" s="86"/>
      <c r="AD340" s="89"/>
      <c r="AE340" s="86"/>
      <c r="AF340" s="86"/>
      <c r="AG340" s="89"/>
    </row>
    <row r="341" spans="1:33" ht="15.75" thickBot="1" x14ac:dyDescent="0.3">
      <c r="A341" s="68"/>
      <c r="B341" s="68"/>
      <c r="D341" s="87"/>
      <c r="E341" s="87"/>
      <c r="F341" s="90"/>
      <c r="G341" s="87"/>
      <c r="H341" s="87"/>
      <c r="I341" s="90"/>
      <c r="J341" s="87"/>
      <c r="K341" s="87"/>
      <c r="L341" s="90"/>
      <c r="M341" s="87"/>
      <c r="N341" s="87"/>
      <c r="O341" s="90"/>
      <c r="P341" s="87"/>
      <c r="Q341" s="87"/>
      <c r="R341" s="90"/>
      <c r="S341" s="87"/>
      <c r="T341" s="87"/>
      <c r="U341" s="90"/>
      <c r="V341" s="87"/>
      <c r="W341" s="87"/>
      <c r="X341" s="90"/>
      <c r="Y341" s="87"/>
      <c r="Z341" s="87"/>
      <c r="AA341" s="90"/>
      <c r="AB341" s="87"/>
      <c r="AC341" s="87"/>
      <c r="AD341" s="90"/>
      <c r="AE341" s="87"/>
      <c r="AF341" s="87"/>
      <c r="AG341" s="90"/>
    </row>
    <row r="342" spans="1:33" ht="15.75" thickBot="1" x14ac:dyDescent="0.3">
      <c r="A342" s="68"/>
      <c r="B342" s="68"/>
      <c r="D342" s="88"/>
      <c r="E342" s="88"/>
      <c r="F342" s="91"/>
      <c r="G342" s="88"/>
      <c r="H342" s="88"/>
      <c r="I342" s="91"/>
      <c r="J342" s="88"/>
      <c r="K342" s="88"/>
      <c r="L342" s="91"/>
      <c r="M342" s="88"/>
      <c r="N342" s="88"/>
      <c r="O342" s="91"/>
      <c r="P342" s="88"/>
      <c r="Q342" s="88"/>
      <c r="R342" s="91"/>
      <c r="S342" s="88"/>
      <c r="T342" s="88"/>
      <c r="U342" s="91"/>
      <c r="V342" s="88"/>
      <c r="W342" s="88"/>
      <c r="X342" s="91"/>
      <c r="Y342" s="88"/>
      <c r="Z342" s="88"/>
      <c r="AA342" s="91"/>
      <c r="AB342" s="88"/>
      <c r="AC342" s="88"/>
      <c r="AD342" s="91"/>
      <c r="AE342" s="88"/>
      <c r="AF342" s="88"/>
      <c r="AG342" s="91"/>
    </row>
    <row r="344" spans="1:33" ht="15.75" thickBot="1" x14ac:dyDescent="0.3"/>
    <row r="345" spans="1:33" ht="15.75" thickBot="1" x14ac:dyDescent="0.3">
      <c r="A345" s="68" t="s">
        <v>103</v>
      </c>
      <c r="B345" s="68"/>
      <c r="D345" s="52" t="s">
        <v>27</v>
      </c>
      <c r="E345" s="52"/>
      <c r="F345" s="52"/>
      <c r="G345" s="73" t="s">
        <v>28</v>
      </c>
      <c r="H345" s="73"/>
      <c r="I345" s="73"/>
      <c r="J345" s="52" t="s">
        <v>29</v>
      </c>
      <c r="K345" s="52"/>
      <c r="L345" s="52"/>
      <c r="M345" s="73" t="s">
        <v>30</v>
      </c>
      <c r="N345" s="73"/>
      <c r="O345" s="73"/>
      <c r="P345" s="52" t="s">
        <v>31</v>
      </c>
      <c r="Q345" s="52"/>
      <c r="R345" s="52"/>
      <c r="S345" s="73" t="s">
        <v>32</v>
      </c>
      <c r="T345" s="73"/>
      <c r="U345" s="73"/>
      <c r="V345" s="52" t="s">
        <v>33</v>
      </c>
      <c r="W345" s="52"/>
      <c r="X345" s="52"/>
      <c r="Y345" s="73" t="s">
        <v>34</v>
      </c>
      <c r="Z345" s="73"/>
      <c r="AA345" s="73"/>
      <c r="AB345" s="52" t="s">
        <v>35</v>
      </c>
      <c r="AC345" s="52"/>
      <c r="AD345" s="52"/>
      <c r="AE345" s="73" t="s">
        <v>36</v>
      </c>
      <c r="AF345" s="73"/>
      <c r="AG345" s="73"/>
    </row>
    <row r="346" spans="1:33" ht="15.75" thickBot="1" x14ac:dyDescent="0.3">
      <c r="A346" s="68"/>
      <c r="B346" s="68"/>
      <c r="C346" s="105" t="s">
        <v>243</v>
      </c>
      <c r="D346" s="75">
        <v>0</v>
      </c>
      <c r="E346" s="75"/>
      <c r="F346" s="76"/>
      <c r="G346" s="74">
        <v>0</v>
      </c>
      <c r="H346" s="75"/>
      <c r="I346" s="76"/>
      <c r="J346" s="74">
        <v>0</v>
      </c>
      <c r="K346" s="75"/>
      <c r="L346" s="76"/>
      <c r="M346" s="74">
        <v>0</v>
      </c>
      <c r="N346" s="75"/>
      <c r="O346" s="76"/>
      <c r="P346" s="74">
        <v>0</v>
      </c>
      <c r="Q346" s="75"/>
      <c r="R346" s="76"/>
      <c r="S346" s="74">
        <v>0</v>
      </c>
      <c r="T346" s="75"/>
      <c r="U346" s="76"/>
      <c r="V346" s="74">
        <v>0</v>
      </c>
      <c r="W346" s="75"/>
      <c r="X346" s="76"/>
      <c r="Y346" s="74">
        <v>0</v>
      </c>
      <c r="Z346" s="75"/>
      <c r="AA346" s="76"/>
      <c r="AB346" s="74">
        <v>0</v>
      </c>
      <c r="AC346" s="75"/>
      <c r="AD346" s="76"/>
      <c r="AE346" s="74">
        <v>0</v>
      </c>
      <c r="AF346" s="75"/>
      <c r="AG346" s="76"/>
    </row>
    <row r="347" spans="1:33" ht="15.75" thickBot="1" x14ac:dyDescent="0.3">
      <c r="A347" s="68"/>
      <c r="B347" s="68"/>
      <c r="C347" s="106" t="s">
        <v>244</v>
      </c>
      <c r="D347" s="82">
        <v>0</v>
      </c>
      <c r="E347" s="82"/>
      <c r="F347" s="84"/>
      <c r="G347" s="85">
        <v>0</v>
      </c>
      <c r="H347" s="82"/>
      <c r="I347" s="84"/>
      <c r="J347" s="85">
        <v>0</v>
      </c>
      <c r="K347" s="82"/>
      <c r="L347" s="84"/>
      <c r="M347" s="85">
        <v>0</v>
      </c>
      <c r="N347" s="82"/>
      <c r="O347" s="82"/>
      <c r="P347" s="81">
        <v>1</v>
      </c>
      <c r="Q347" s="82"/>
      <c r="R347" s="83"/>
      <c r="S347" s="82">
        <v>1</v>
      </c>
      <c r="T347" s="82"/>
      <c r="U347" s="84"/>
      <c r="V347" s="85">
        <v>1</v>
      </c>
      <c r="W347" s="82"/>
      <c r="X347" s="84"/>
      <c r="Y347" s="85">
        <v>1</v>
      </c>
      <c r="Z347" s="82"/>
      <c r="AA347" s="84"/>
      <c r="AB347" s="85">
        <v>1</v>
      </c>
      <c r="AC347" s="82"/>
      <c r="AD347" s="84"/>
      <c r="AE347" s="85">
        <v>1</v>
      </c>
      <c r="AF347" s="82"/>
      <c r="AG347" s="84"/>
    </row>
    <row r="348" spans="1:33" ht="15.75" thickBot="1" x14ac:dyDescent="0.3">
      <c r="A348" s="68"/>
      <c r="B348" s="68"/>
      <c r="C348" s="107" t="s">
        <v>37</v>
      </c>
      <c r="D348" s="104"/>
      <c r="E348" s="86"/>
      <c r="F348" s="89"/>
      <c r="G348" s="86"/>
      <c r="H348" s="86"/>
      <c r="I348" s="89"/>
      <c r="J348" s="86"/>
      <c r="K348" s="86"/>
      <c r="L348" s="89"/>
      <c r="M348" s="86"/>
      <c r="N348" s="86"/>
      <c r="O348" s="89"/>
      <c r="P348" s="86" t="s">
        <v>7</v>
      </c>
      <c r="Q348" s="86"/>
      <c r="R348" s="89">
        <v>1</v>
      </c>
      <c r="S348" s="86" t="s">
        <v>7</v>
      </c>
      <c r="T348" s="86"/>
      <c r="U348" s="89">
        <v>1</v>
      </c>
      <c r="V348" s="86" t="s">
        <v>7</v>
      </c>
      <c r="W348" s="86"/>
      <c r="X348" s="89">
        <v>1</v>
      </c>
      <c r="Y348" s="86" t="s">
        <v>7</v>
      </c>
      <c r="Z348" s="86"/>
      <c r="AA348" s="89">
        <v>1</v>
      </c>
      <c r="AB348" s="86"/>
      <c r="AC348" s="86"/>
      <c r="AD348" s="89"/>
      <c r="AE348" s="86"/>
      <c r="AF348" s="86"/>
      <c r="AG348" s="89"/>
    </row>
    <row r="349" spans="1:33" ht="15.75" thickBot="1" x14ac:dyDescent="0.3">
      <c r="A349" s="68"/>
      <c r="B349" s="68"/>
      <c r="D349" s="87"/>
      <c r="E349" s="87"/>
      <c r="F349" s="90"/>
      <c r="G349" s="87"/>
      <c r="H349" s="87"/>
      <c r="I349" s="90"/>
      <c r="J349" s="87"/>
      <c r="K349" s="87"/>
      <c r="L349" s="90"/>
      <c r="M349" s="87"/>
      <c r="N349" s="87"/>
      <c r="O349" s="90"/>
      <c r="P349" s="87"/>
      <c r="Q349" s="87"/>
      <c r="R349" s="90"/>
      <c r="S349" s="87" t="s">
        <v>9</v>
      </c>
      <c r="T349" s="87"/>
      <c r="U349" s="90">
        <v>1</v>
      </c>
      <c r="V349" s="87" t="s">
        <v>9</v>
      </c>
      <c r="W349" s="87"/>
      <c r="X349" s="90">
        <v>1</v>
      </c>
      <c r="Y349" s="87" t="s">
        <v>9</v>
      </c>
      <c r="Z349" s="87"/>
      <c r="AA349" s="90">
        <v>2</v>
      </c>
      <c r="AB349" s="87"/>
      <c r="AC349" s="87"/>
      <c r="AD349" s="90"/>
      <c r="AE349" s="87"/>
      <c r="AF349" s="87"/>
      <c r="AG349" s="90"/>
    </row>
    <row r="350" spans="1:33" ht="15.75" thickBot="1" x14ac:dyDescent="0.3">
      <c r="A350" s="68"/>
      <c r="B350" s="68"/>
      <c r="D350" s="88"/>
      <c r="E350" s="88"/>
      <c r="F350" s="91"/>
      <c r="G350" s="88"/>
      <c r="H350" s="88"/>
      <c r="I350" s="91"/>
      <c r="J350" s="88"/>
      <c r="K350" s="88"/>
      <c r="L350" s="91"/>
      <c r="M350" s="88"/>
      <c r="N350" s="88"/>
      <c r="O350" s="91"/>
      <c r="P350" s="88"/>
      <c r="Q350" s="88"/>
      <c r="R350" s="91"/>
      <c r="S350" s="88"/>
      <c r="T350" s="88"/>
      <c r="U350" s="91"/>
      <c r="V350" s="88"/>
      <c r="W350" s="88"/>
      <c r="X350" s="91"/>
      <c r="Y350" s="88"/>
      <c r="Z350" s="88"/>
      <c r="AA350" s="91"/>
      <c r="AB350" s="88"/>
      <c r="AC350" s="88"/>
      <c r="AD350" s="91"/>
      <c r="AE350" s="88"/>
      <c r="AF350" s="88"/>
      <c r="AG350" s="91"/>
    </row>
    <row r="352" spans="1:33" ht="15.75" thickBot="1" x14ac:dyDescent="0.3"/>
    <row r="353" spans="1:33" ht="15.75" thickBot="1" x14ac:dyDescent="0.3">
      <c r="A353" s="68" t="s">
        <v>263</v>
      </c>
      <c r="B353" s="68"/>
      <c r="D353" s="52" t="s">
        <v>27</v>
      </c>
      <c r="E353" s="52"/>
      <c r="F353" s="52"/>
      <c r="G353" s="73" t="s">
        <v>28</v>
      </c>
      <c r="H353" s="73"/>
      <c r="I353" s="73"/>
      <c r="J353" s="52" t="s">
        <v>29</v>
      </c>
      <c r="K353" s="52"/>
      <c r="L353" s="52"/>
      <c r="M353" s="73" t="s">
        <v>30</v>
      </c>
      <c r="N353" s="73"/>
      <c r="O353" s="73"/>
      <c r="P353" s="52" t="s">
        <v>31</v>
      </c>
      <c r="Q353" s="52"/>
      <c r="R353" s="52"/>
      <c r="S353" s="73" t="s">
        <v>32</v>
      </c>
      <c r="T353" s="73"/>
      <c r="U353" s="73"/>
      <c r="V353" s="52" t="s">
        <v>33</v>
      </c>
      <c r="W353" s="52"/>
      <c r="X353" s="52"/>
      <c r="Y353" s="73" t="s">
        <v>34</v>
      </c>
      <c r="Z353" s="73"/>
      <c r="AA353" s="73"/>
      <c r="AB353" s="52" t="s">
        <v>35</v>
      </c>
      <c r="AC353" s="52"/>
      <c r="AD353" s="52"/>
      <c r="AE353" s="73" t="s">
        <v>36</v>
      </c>
      <c r="AF353" s="73"/>
      <c r="AG353" s="73"/>
    </row>
    <row r="354" spans="1:33" ht="15.75" thickBot="1" x14ac:dyDescent="0.3">
      <c r="A354" s="68"/>
      <c r="B354" s="68"/>
      <c r="C354" s="105" t="s">
        <v>243</v>
      </c>
      <c r="D354" s="75">
        <v>0</v>
      </c>
      <c r="E354" s="75"/>
      <c r="F354" s="76"/>
      <c r="G354" s="74">
        <v>0</v>
      </c>
      <c r="H354" s="75"/>
      <c r="I354" s="76"/>
      <c r="J354" s="74">
        <v>0</v>
      </c>
      <c r="K354" s="75"/>
      <c r="L354" s="76"/>
      <c r="M354" s="74">
        <v>0</v>
      </c>
      <c r="N354" s="75"/>
      <c r="O354" s="76"/>
      <c r="P354" s="74">
        <v>0</v>
      </c>
      <c r="Q354" s="75"/>
      <c r="R354" s="76"/>
      <c r="S354" s="74">
        <v>0</v>
      </c>
      <c r="T354" s="75"/>
      <c r="U354" s="76"/>
      <c r="V354" s="74">
        <v>0</v>
      </c>
      <c r="W354" s="75"/>
      <c r="X354" s="76"/>
      <c r="Y354" s="74">
        <v>0</v>
      </c>
      <c r="Z354" s="75"/>
      <c r="AA354" s="76"/>
      <c r="AB354" s="74">
        <v>0</v>
      </c>
      <c r="AC354" s="75"/>
      <c r="AD354" s="76"/>
      <c r="AE354" s="74">
        <v>0</v>
      </c>
      <c r="AF354" s="75"/>
      <c r="AG354" s="76"/>
    </row>
    <row r="355" spans="1:33" ht="15.75" thickBot="1" x14ac:dyDescent="0.3">
      <c r="A355" s="68"/>
      <c r="B355" s="68"/>
      <c r="C355" s="106" t="s">
        <v>244</v>
      </c>
      <c r="D355" s="82">
        <v>0</v>
      </c>
      <c r="E355" s="82"/>
      <c r="F355" s="84"/>
      <c r="G355" s="85">
        <v>0</v>
      </c>
      <c r="H355" s="82"/>
      <c r="I355" s="84"/>
      <c r="J355" s="85">
        <v>0</v>
      </c>
      <c r="K355" s="82"/>
      <c r="L355" s="84"/>
      <c r="M355" s="85">
        <v>0</v>
      </c>
      <c r="N355" s="82"/>
      <c r="O355" s="82"/>
      <c r="P355" s="81">
        <v>0</v>
      </c>
      <c r="Q355" s="82"/>
      <c r="R355" s="83"/>
      <c r="S355" s="82">
        <v>0</v>
      </c>
      <c r="T355" s="82"/>
      <c r="U355" s="84"/>
      <c r="V355" s="85">
        <v>0</v>
      </c>
      <c r="W355" s="82"/>
      <c r="X355" s="84"/>
      <c r="Y355" s="85">
        <v>0</v>
      </c>
      <c r="Z355" s="82"/>
      <c r="AA355" s="84"/>
      <c r="AB355" s="85">
        <v>0</v>
      </c>
      <c r="AC355" s="82"/>
      <c r="AD355" s="84"/>
      <c r="AE355" s="85">
        <v>0</v>
      </c>
      <c r="AF355" s="82"/>
      <c r="AG355" s="84"/>
    </row>
    <row r="356" spans="1:33" ht="15.75" thickBot="1" x14ac:dyDescent="0.3">
      <c r="A356" s="68"/>
      <c r="B356" s="68"/>
      <c r="C356" s="107" t="s">
        <v>37</v>
      </c>
      <c r="D356" s="104"/>
      <c r="E356" s="86"/>
      <c r="F356" s="89"/>
      <c r="G356" s="86"/>
      <c r="H356" s="86"/>
      <c r="I356" s="89"/>
      <c r="J356" s="86"/>
      <c r="K356" s="86"/>
      <c r="L356" s="89"/>
      <c r="M356" s="86"/>
      <c r="N356" s="86"/>
      <c r="O356" s="89"/>
      <c r="P356" s="86"/>
      <c r="Q356" s="86"/>
      <c r="R356" s="89"/>
      <c r="S356" s="86"/>
      <c r="T356" s="86"/>
      <c r="U356" s="89"/>
      <c r="V356" s="86"/>
      <c r="W356" s="86"/>
      <c r="X356" s="89"/>
      <c r="Y356" s="86"/>
      <c r="Z356" s="86"/>
      <c r="AA356" s="89"/>
      <c r="AB356" s="86"/>
      <c r="AC356" s="86"/>
      <c r="AD356" s="89"/>
      <c r="AE356" s="86"/>
      <c r="AF356" s="86"/>
      <c r="AG356" s="89"/>
    </row>
    <row r="357" spans="1:33" ht="15.75" thickBot="1" x14ac:dyDescent="0.3">
      <c r="A357" s="68"/>
      <c r="B357" s="68"/>
      <c r="D357" s="87"/>
      <c r="E357" s="87"/>
      <c r="F357" s="90"/>
      <c r="G357" s="87"/>
      <c r="H357" s="87"/>
      <c r="I357" s="90"/>
      <c r="J357" s="87"/>
      <c r="K357" s="87"/>
      <c r="L357" s="90"/>
      <c r="M357" s="87"/>
      <c r="N357" s="87"/>
      <c r="O357" s="90"/>
      <c r="P357" s="87"/>
      <c r="Q357" s="87"/>
      <c r="R357" s="90"/>
      <c r="S357" s="87"/>
      <c r="T357" s="87"/>
      <c r="U357" s="90"/>
      <c r="V357" s="87"/>
      <c r="W357" s="87"/>
      <c r="X357" s="90"/>
      <c r="Y357" s="87"/>
      <c r="Z357" s="87"/>
      <c r="AA357" s="90"/>
      <c r="AB357" s="87"/>
      <c r="AC357" s="87"/>
      <c r="AD357" s="90"/>
      <c r="AE357" s="87"/>
      <c r="AF357" s="87"/>
      <c r="AG357" s="90"/>
    </row>
    <row r="358" spans="1:33" ht="15.75" thickBot="1" x14ac:dyDescent="0.3">
      <c r="A358" s="68"/>
      <c r="B358" s="68"/>
      <c r="D358" s="88"/>
      <c r="E358" s="88"/>
      <c r="F358" s="91"/>
      <c r="G358" s="88"/>
      <c r="H358" s="88"/>
      <c r="I358" s="91"/>
      <c r="J358" s="88"/>
      <c r="K358" s="88"/>
      <c r="L358" s="91"/>
      <c r="M358" s="88"/>
      <c r="N358" s="88"/>
      <c r="O358" s="91"/>
      <c r="P358" s="88"/>
      <c r="Q358" s="88"/>
      <c r="R358" s="91"/>
      <c r="S358" s="88"/>
      <c r="T358" s="88"/>
      <c r="U358" s="91"/>
      <c r="V358" s="88"/>
      <c r="W358" s="88"/>
      <c r="X358" s="91"/>
      <c r="Y358" s="88"/>
      <c r="Z358" s="88"/>
      <c r="AA358" s="91"/>
      <c r="AB358" s="88"/>
      <c r="AC358" s="88"/>
      <c r="AD358" s="91"/>
      <c r="AE358" s="88"/>
      <c r="AF358" s="88"/>
      <c r="AG358" s="91"/>
    </row>
    <row r="360" spans="1:33" ht="15.75" thickBot="1" x14ac:dyDescent="0.3"/>
    <row r="361" spans="1:33" ht="15.75" thickBot="1" x14ac:dyDescent="0.3">
      <c r="A361" s="68" t="s">
        <v>104</v>
      </c>
      <c r="B361" s="68"/>
      <c r="D361" s="52" t="s">
        <v>27</v>
      </c>
      <c r="E361" s="52"/>
      <c r="F361" s="52"/>
      <c r="G361" s="73" t="s">
        <v>28</v>
      </c>
      <c r="H361" s="73"/>
      <c r="I361" s="73"/>
      <c r="J361" s="52" t="s">
        <v>29</v>
      </c>
      <c r="K361" s="52"/>
      <c r="L361" s="52"/>
      <c r="M361" s="73" t="s">
        <v>30</v>
      </c>
      <c r="N361" s="73"/>
      <c r="O361" s="73"/>
      <c r="P361" s="52" t="s">
        <v>31</v>
      </c>
      <c r="Q361" s="52"/>
      <c r="R361" s="52"/>
      <c r="S361" s="73" t="s">
        <v>32</v>
      </c>
      <c r="T361" s="73"/>
      <c r="U361" s="73"/>
      <c r="V361" s="52" t="s">
        <v>33</v>
      </c>
      <c r="W361" s="52"/>
      <c r="X361" s="52"/>
      <c r="Y361" s="73" t="s">
        <v>34</v>
      </c>
      <c r="Z361" s="73"/>
      <c r="AA361" s="73"/>
      <c r="AB361" s="52" t="s">
        <v>35</v>
      </c>
      <c r="AC361" s="52"/>
      <c r="AD361" s="52"/>
      <c r="AE361" s="73" t="s">
        <v>36</v>
      </c>
      <c r="AF361" s="73"/>
      <c r="AG361" s="73"/>
    </row>
    <row r="362" spans="1:33" ht="15.75" thickBot="1" x14ac:dyDescent="0.3">
      <c r="A362" s="68"/>
      <c r="B362" s="68"/>
      <c r="C362" s="105" t="s">
        <v>243</v>
      </c>
      <c r="D362" s="75">
        <v>0</v>
      </c>
      <c r="E362" s="75"/>
      <c r="F362" s="76"/>
      <c r="G362" s="74">
        <v>0</v>
      </c>
      <c r="H362" s="75"/>
      <c r="I362" s="76"/>
      <c r="J362" s="74">
        <v>0</v>
      </c>
      <c r="K362" s="75"/>
      <c r="L362" s="76"/>
      <c r="M362" s="74">
        <v>0</v>
      </c>
      <c r="N362" s="75"/>
      <c r="O362" s="76"/>
      <c r="P362" s="74">
        <v>0</v>
      </c>
      <c r="Q362" s="75"/>
      <c r="R362" s="76"/>
      <c r="S362" s="74">
        <v>0</v>
      </c>
      <c r="T362" s="75"/>
      <c r="U362" s="76"/>
      <c r="V362" s="74">
        <v>0</v>
      </c>
      <c r="W362" s="75"/>
      <c r="X362" s="76"/>
      <c r="Y362" s="74">
        <v>0</v>
      </c>
      <c r="Z362" s="75"/>
      <c r="AA362" s="76"/>
      <c r="AB362" s="74">
        <v>0</v>
      </c>
      <c r="AC362" s="75"/>
      <c r="AD362" s="76"/>
      <c r="AE362" s="74">
        <v>0</v>
      </c>
      <c r="AF362" s="75"/>
      <c r="AG362" s="76"/>
    </row>
    <row r="363" spans="1:33" ht="15.75" thickBot="1" x14ac:dyDescent="0.3">
      <c r="A363" s="68"/>
      <c r="B363" s="68"/>
      <c r="C363" s="106" t="s">
        <v>244</v>
      </c>
      <c r="D363" s="82">
        <v>0</v>
      </c>
      <c r="E363" s="82"/>
      <c r="F363" s="84"/>
      <c r="G363" s="85">
        <v>0</v>
      </c>
      <c r="H363" s="82"/>
      <c r="I363" s="84"/>
      <c r="J363" s="85">
        <v>0</v>
      </c>
      <c r="K363" s="82"/>
      <c r="L363" s="84"/>
      <c r="M363" s="85">
        <v>0</v>
      </c>
      <c r="N363" s="82"/>
      <c r="O363" s="82"/>
      <c r="P363" s="81">
        <v>0</v>
      </c>
      <c r="Q363" s="82"/>
      <c r="R363" s="83"/>
      <c r="S363" s="82">
        <v>0</v>
      </c>
      <c r="T363" s="82"/>
      <c r="U363" s="84"/>
      <c r="V363" s="85">
        <v>0</v>
      </c>
      <c r="W363" s="82"/>
      <c r="X363" s="84"/>
      <c r="Y363" s="85">
        <v>0</v>
      </c>
      <c r="Z363" s="82"/>
      <c r="AA363" s="84"/>
      <c r="AB363" s="85">
        <v>0</v>
      </c>
      <c r="AC363" s="82"/>
      <c r="AD363" s="84"/>
      <c r="AE363" s="85">
        <v>0</v>
      </c>
      <c r="AF363" s="82"/>
      <c r="AG363" s="84"/>
    </row>
    <row r="364" spans="1:33" ht="15.75" thickBot="1" x14ac:dyDescent="0.3">
      <c r="A364" s="68"/>
      <c r="B364" s="68"/>
      <c r="C364" s="107" t="s">
        <v>37</v>
      </c>
      <c r="D364" s="104"/>
      <c r="E364" s="86"/>
      <c r="F364" s="89"/>
      <c r="G364" s="86"/>
      <c r="H364" s="86"/>
      <c r="I364" s="89"/>
      <c r="J364" s="86"/>
      <c r="K364" s="86"/>
      <c r="L364" s="89"/>
      <c r="M364" s="86"/>
      <c r="N364" s="86"/>
      <c r="O364" s="89"/>
      <c r="P364" s="86"/>
      <c r="Q364" s="86"/>
      <c r="R364" s="89"/>
      <c r="S364" s="86"/>
      <c r="T364" s="86"/>
      <c r="U364" s="89"/>
      <c r="V364" s="86"/>
      <c r="W364" s="86"/>
      <c r="X364" s="89"/>
      <c r="Y364" s="86"/>
      <c r="Z364" s="86"/>
      <c r="AA364" s="89"/>
      <c r="AB364" s="86"/>
      <c r="AC364" s="86"/>
      <c r="AD364" s="89"/>
      <c r="AE364" s="86"/>
      <c r="AF364" s="86"/>
      <c r="AG364" s="89"/>
    </row>
    <row r="365" spans="1:33" ht="15.75" thickBot="1" x14ac:dyDescent="0.3">
      <c r="A365" s="68"/>
      <c r="B365" s="68"/>
      <c r="D365" s="87"/>
      <c r="E365" s="87"/>
      <c r="F365" s="90"/>
      <c r="G365" s="87"/>
      <c r="H365" s="87"/>
      <c r="I365" s="90"/>
      <c r="J365" s="87"/>
      <c r="K365" s="87"/>
      <c r="L365" s="90"/>
      <c r="M365" s="87"/>
      <c r="N365" s="87"/>
      <c r="O365" s="90"/>
      <c r="P365" s="87"/>
      <c r="Q365" s="87"/>
      <c r="R365" s="90"/>
      <c r="S365" s="87"/>
      <c r="T365" s="87"/>
      <c r="U365" s="90"/>
      <c r="V365" s="87"/>
      <c r="W365" s="87"/>
      <c r="X365" s="90"/>
      <c r="Y365" s="87"/>
      <c r="Z365" s="87"/>
      <c r="AA365" s="90"/>
      <c r="AB365" s="87"/>
      <c r="AC365" s="87"/>
      <c r="AD365" s="90"/>
      <c r="AE365" s="87"/>
      <c r="AF365" s="87"/>
      <c r="AG365" s="90"/>
    </row>
    <row r="366" spans="1:33" ht="15.75" thickBot="1" x14ac:dyDescent="0.3">
      <c r="A366" s="68"/>
      <c r="B366" s="68"/>
      <c r="D366" s="88"/>
      <c r="E366" s="88"/>
      <c r="F366" s="91"/>
      <c r="G366" s="88"/>
      <c r="H366" s="88"/>
      <c r="I366" s="91"/>
      <c r="J366" s="88"/>
      <c r="K366" s="88"/>
      <c r="L366" s="91"/>
      <c r="M366" s="88"/>
      <c r="N366" s="88"/>
      <c r="O366" s="91"/>
      <c r="P366" s="88"/>
      <c r="Q366" s="88"/>
      <c r="R366" s="91"/>
      <c r="S366" s="88"/>
      <c r="T366" s="88"/>
      <c r="U366" s="91"/>
      <c r="V366" s="88"/>
      <c r="W366" s="88"/>
      <c r="X366" s="91"/>
      <c r="Y366" s="88"/>
      <c r="Z366" s="88"/>
      <c r="AA366" s="91"/>
      <c r="AB366" s="88"/>
      <c r="AC366" s="88"/>
      <c r="AD366" s="91"/>
      <c r="AE366" s="88"/>
      <c r="AF366" s="88"/>
      <c r="AG366" s="91"/>
    </row>
    <row r="368" spans="1:33" ht="15.75" thickBot="1" x14ac:dyDescent="0.3"/>
    <row r="369" spans="1:33" ht="15.75" thickBot="1" x14ac:dyDescent="0.3">
      <c r="A369" s="68" t="s">
        <v>264</v>
      </c>
      <c r="B369" s="68"/>
      <c r="D369" s="52" t="s">
        <v>27</v>
      </c>
      <c r="E369" s="52"/>
      <c r="F369" s="52"/>
      <c r="G369" s="73" t="s">
        <v>28</v>
      </c>
      <c r="H369" s="73"/>
      <c r="I369" s="73"/>
      <c r="J369" s="52" t="s">
        <v>29</v>
      </c>
      <c r="K369" s="52"/>
      <c r="L369" s="52"/>
      <c r="M369" s="73" t="s">
        <v>30</v>
      </c>
      <c r="N369" s="73"/>
      <c r="O369" s="73"/>
      <c r="P369" s="52" t="s">
        <v>31</v>
      </c>
      <c r="Q369" s="52"/>
      <c r="R369" s="52"/>
      <c r="S369" s="73" t="s">
        <v>32</v>
      </c>
      <c r="T369" s="73"/>
      <c r="U369" s="73"/>
      <c r="V369" s="52" t="s">
        <v>33</v>
      </c>
      <c r="W369" s="52"/>
      <c r="X369" s="52"/>
      <c r="Y369" s="73" t="s">
        <v>34</v>
      </c>
      <c r="Z369" s="73"/>
      <c r="AA369" s="73"/>
      <c r="AB369" s="52" t="s">
        <v>35</v>
      </c>
      <c r="AC369" s="52"/>
      <c r="AD369" s="52"/>
      <c r="AE369" s="73" t="s">
        <v>36</v>
      </c>
      <c r="AF369" s="73"/>
      <c r="AG369" s="73"/>
    </row>
    <row r="370" spans="1:33" ht="15.75" thickBot="1" x14ac:dyDescent="0.3">
      <c r="A370" s="68"/>
      <c r="B370" s="68"/>
      <c r="C370" s="105" t="s">
        <v>243</v>
      </c>
      <c r="D370" s="75">
        <v>0</v>
      </c>
      <c r="E370" s="75"/>
      <c r="F370" s="76"/>
      <c r="G370" s="74">
        <v>0</v>
      </c>
      <c r="H370" s="75"/>
      <c r="I370" s="76"/>
      <c r="J370" s="74">
        <v>0</v>
      </c>
      <c r="K370" s="75"/>
      <c r="L370" s="76"/>
      <c r="M370" s="74">
        <v>0</v>
      </c>
      <c r="N370" s="75"/>
      <c r="O370" s="76"/>
      <c r="P370" s="74">
        <v>0</v>
      </c>
      <c r="Q370" s="75"/>
      <c r="R370" s="76"/>
      <c r="S370" s="74">
        <v>0</v>
      </c>
      <c r="T370" s="75"/>
      <c r="U370" s="76"/>
      <c r="V370" s="74">
        <v>0</v>
      </c>
      <c r="W370" s="75"/>
      <c r="X370" s="76"/>
      <c r="Y370" s="74">
        <v>0</v>
      </c>
      <c r="Z370" s="75"/>
      <c r="AA370" s="76"/>
      <c r="AB370" s="74">
        <v>0</v>
      </c>
      <c r="AC370" s="75"/>
      <c r="AD370" s="76"/>
      <c r="AE370" s="74">
        <v>0</v>
      </c>
      <c r="AF370" s="75"/>
      <c r="AG370" s="76"/>
    </row>
    <row r="371" spans="1:33" ht="15.75" thickBot="1" x14ac:dyDescent="0.3">
      <c r="A371" s="68"/>
      <c r="B371" s="68"/>
      <c r="C371" s="106" t="s">
        <v>244</v>
      </c>
      <c r="D371" s="82">
        <v>0</v>
      </c>
      <c r="E371" s="82"/>
      <c r="F371" s="84"/>
      <c r="G371" s="85">
        <v>0</v>
      </c>
      <c r="H371" s="82"/>
      <c r="I371" s="84"/>
      <c r="J371" s="85">
        <v>0</v>
      </c>
      <c r="K371" s="82"/>
      <c r="L371" s="84"/>
      <c r="M371" s="85">
        <v>0</v>
      </c>
      <c r="N371" s="82"/>
      <c r="O371" s="82"/>
      <c r="P371" s="81">
        <v>0</v>
      </c>
      <c r="Q371" s="82"/>
      <c r="R371" s="83"/>
      <c r="S371" s="82">
        <v>0</v>
      </c>
      <c r="T371" s="82"/>
      <c r="U371" s="84"/>
      <c r="V371" s="85">
        <v>0</v>
      </c>
      <c r="W371" s="82"/>
      <c r="X371" s="84"/>
      <c r="Y371" s="85">
        <v>0</v>
      </c>
      <c r="Z371" s="82"/>
      <c r="AA371" s="84"/>
      <c r="AB371" s="85">
        <v>0</v>
      </c>
      <c r="AC371" s="82"/>
      <c r="AD371" s="84"/>
      <c r="AE371" s="85">
        <v>0</v>
      </c>
      <c r="AF371" s="82"/>
      <c r="AG371" s="84"/>
    </row>
    <row r="372" spans="1:33" ht="15.75" thickBot="1" x14ac:dyDescent="0.3">
      <c r="A372" s="68"/>
      <c r="B372" s="68"/>
      <c r="C372" s="107" t="s">
        <v>37</v>
      </c>
      <c r="D372" s="104"/>
      <c r="E372" s="86"/>
      <c r="F372" s="89"/>
      <c r="G372" s="86"/>
      <c r="H372" s="86"/>
      <c r="I372" s="89"/>
      <c r="J372" s="86"/>
      <c r="K372" s="86"/>
      <c r="L372" s="89"/>
      <c r="M372" s="86"/>
      <c r="N372" s="86"/>
      <c r="O372" s="89"/>
      <c r="P372" s="86"/>
      <c r="Q372" s="86"/>
      <c r="R372" s="89"/>
      <c r="S372" s="86"/>
      <c r="T372" s="86"/>
      <c r="U372" s="89"/>
      <c r="V372" s="86"/>
      <c r="W372" s="86"/>
      <c r="X372" s="89"/>
      <c r="Y372" s="86"/>
      <c r="Z372" s="86"/>
      <c r="AA372" s="89"/>
      <c r="AB372" s="86"/>
      <c r="AC372" s="86"/>
      <c r="AD372" s="89"/>
      <c r="AE372" s="86"/>
      <c r="AF372" s="86"/>
      <c r="AG372" s="89"/>
    </row>
    <row r="373" spans="1:33" ht="15.75" thickBot="1" x14ac:dyDescent="0.3">
      <c r="A373" s="68"/>
      <c r="B373" s="68"/>
      <c r="D373" s="87"/>
      <c r="E373" s="87"/>
      <c r="F373" s="90"/>
      <c r="G373" s="87"/>
      <c r="H373" s="87"/>
      <c r="I373" s="90"/>
      <c r="J373" s="87"/>
      <c r="K373" s="87"/>
      <c r="L373" s="90"/>
      <c r="M373" s="87"/>
      <c r="N373" s="87"/>
      <c r="O373" s="90"/>
      <c r="P373" s="87"/>
      <c r="Q373" s="87"/>
      <c r="R373" s="90"/>
      <c r="S373" s="87"/>
      <c r="T373" s="87"/>
      <c r="U373" s="90"/>
      <c r="V373" s="87"/>
      <c r="W373" s="87"/>
      <c r="X373" s="90"/>
      <c r="Y373" s="87"/>
      <c r="Z373" s="87"/>
      <c r="AA373" s="90"/>
      <c r="AB373" s="87"/>
      <c r="AC373" s="87"/>
      <c r="AD373" s="90"/>
      <c r="AE373" s="87"/>
      <c r="AF373" s="87"/>
      <c r="AG373" s="90"/>
    </row>
    <row r="374" spans="1:33" ht="15.75" thickBot="1" x14ac:dyDescent="0.3">
      <c r="A374" s="68"/>
      <c r="B374" s="68"/>
      <c r="D374" s="88"/>
      <c r="E374" s="88"/>
      <c r="F374" s="91"/>
      <c r="G374" s="88"/>
      <c r="H374" s="88"/>
      <c r="I374" s="91"/>
      <c r="J374" s="88"/>
      <c r="K374" s="88"/>
      <c r="L374" s="91"/>
      <c r="M374" s="88"/>
      <c r="N374" s="88"/>
      <c r="O374" s="91"/>
      <c r="P374" s="88"/>
      <c r="Q374" s="88"/>
      <c r="R374" s="91"/>
      <c r="S374" s="88"/>
      <c r="T374" s="88"/>
      <c r="U374" s="91"/>
      <c r="V374" s="88"/>
      <c r="W374" s="88"/>
      <c r="X374" s="91"/>
      <c r="Y374" s="88"/>
      <c r="Z374" s="88"/>
      <c r="AA374" s="91"/>
      <c r="AB374" s="88"/>
      <c r="AC374" s="88"/>
      <c r="AD374" s="91"/>
      <c r="AE374" s="88"/>
      <c r="AF374" s="88"/>
      <c r="AG374" s="91"/>
    </row>
    <row r="376" spans="1:33" ht="15.75" thickBot="1" x14ac:dyDescent="0.3"/>
    <row r="377" spans="1:33" ht="15.75" thickBot="1" x14ac:dyDescent="0.3">
      <c r="A377" s="68" t="s">
        <v>265</v>
      </c>
      <c r="B377" s="68"/>
      <c r="D377" s="52" t="s">
        <v>27</v>
      </c>
      <c r="E377" s="52"/>
      <c r="F377" s="52"/>
      <c r="G377" s="73" t="s">
        <v>28</v>
      </c>
      <c r="H377" s="73"/>
      <c r="I377" s="73"/>
      <c r="J377" s="52" t="s">
        <v>29</v>
      </c>
      <c r="K377" s="52"/>
      <c r="L377" s="52"/>
      <c r="M377" s="73" t="s">
        <v>30</v>
      </c>
      <c r="N377" s="73"/>
      <c r="O377" s="73"/>
      <c r="P377" s="52" t="s">
        <v>31</v>
      </c>
      <c r="Q377" s="52"/>
      <c r="R377" s="52"/>
      <c r="S377" s="73" t="s">
        <v>32</v>
      </c>
      <c r="T377" s="73"/>
      <c r="U377" s="73"/>
      <c r="V377" s="52" t="s">
        <v>33</v>
      </c>
      <c r="W377" s="52"/>
      <c r="X377" s="52"/>
      <c r="Y377" s="73" t="s">
        <v>34</v>
      </c>
      <c r="Z377" s="73"/>
      <c r="AA377" s="73"/>
      <c r="AB377" s="52" t="s">
        <v>35</v>
      </c>
      <c r="AC377" s="52"/>
      <c r="AD377" s="52"/>
      <c r="AE377" s="73" t="s">
        <v>36</v>
      </c>
      <c r="AF377" s="73"/>
      <c r="AG377" s="73"/>
    </row>
    <row r="378" spans="1:33" ht="15.75" thickBot="1" x14ac:dyDescent="0.3">
      <c r="A378" s="68"/>
      <c r="B378" s="68"/>
      <c r="C378" s="105" t="s">
        <v>243</v>
      </c>
      <c r="D378" s="75">
        <v>0</v>
      </c>
      <c r="E378" s="75"/>
      <c r="F378" s="76"/>
      <c r="G378" s="74">
        <v>0</v>
      </c>
      <c r="H378" s="75"/>
      <c r="I378" s="76"/>
      <c r="J378" s="74">
        <v>0</v>
      </c>
      <c r="K378" s="75"/>
      <c r="L378" s="76"/>
      <c r="M378" s="74">
        <v>0</v>
      </c>
      <c r="N378" s="75"/>
      <c r="O378" s="76"/>
      <c r="P378" s="74">
        <v>0</v>
      </c>
      <c r="Q378" s="75"/>
      <c r="R378" s="76"/>
      <c r="S378" s="74">
        <v>0</v>
      </c>
      <c r="T378" s="75"/>
      <c r="U378" s="76"/>
      <c r="V378" s="74">
        <v>0</v>
      </c>
      <c r="W378" s="75"/>
      <c r="X378" s="76"/>
      <c r="Y378" s="74">
        <v>0</v>
      </c>
      <c r="Z378" s="75"/>
      <c r="AA378" s="76"/>
      <c r="AB378" s="74">
        <v>0</v>
      </c>
      <c r="AC378" s="75"/>
      <c r="AD378" s="76"/>
      <c r="AE378" s="74">
        <v>0</v>
      </c>
      <c r="AF378" s="75"/>
      <c r="AG378" s="76"/>
    </row>
    <row r="379" spans="1:33" ht="15.75" thickBot="1" x14ac:dyDescent="0.3">
      <c r="A379" s="68"/>
      <c r="B379" s="68"/>
      <c r="C379" s="106" t="s">
        <v>244</v>
      </c>
      <c r="D379" s="82">
        <v>0</v>
      </c>
      <c r="E379" s="82"/>
      <c r="F379" s="84"/>
      <c r="G379" s="85">
        <v>0</v>
      </c>
      <c r="H379" s="82"/>
      <c r="I379" s="84"/>
      <c r="J379" s="85">
        <v>0</v>
      </c>
      <c r="K379" s="82"/>
      <c r="L379" s="84"/>
      <c r="M379" s="85">
        <v>0</v>
      </c>
      <c r="N379" s="82"/>
      <c r="O379" s="82"/>
      <c r="P379" s="81">
        <v>0</v>
      </c>
      <c r="Q379" s="82"/>
      <c r="R379" s="83"/>
      <c r="S379" s="82">
        <v>0</v>
      </c>
      <c r="T379" s="82"/>
      <c r="U379" s="84"/>
      <c r="V379" s="85">
        <v>0</v>
      </c>
      <c r="W379" s="82"/>
      <c r="X379" s="84"/>
      <c r="Y379" s="85">
        <v>0</v>
      </c>
      <c r="Z379" s="82"/>
      <c r="AA379" s="84"/>
      <c r="AB379" s="85">
        <v>0</v>
      </c>
      <c r="AC379" s="82"/>
      <c r="AD379" s="84"/>
      <c r="AE379" s="85">
        <v>0</v>
      </c>
      <c r="AF379" s="82"/>
      <c r="AG379" s="84"/>
    </row>
    <row r="380" spans="1:33" ht="15.75" thickBot="1" x14ac:dyDescent="0.3">
      <c r="A380" s="68"/>
      <c r="B380" s="68"/>
      <c r="C380" s="107" t="s">
        <v>37</v>
      </c>
      <c r="D380" s="104"/>
      <c r="E380" s="86"/>
      <c r="F380" s="89"/>
      <c r="G380" s="86"/>
      <c r="H380" s="86"/>
      <c r="I380" s="89"/>
      <c r="J380" s="86"/>
      <c r="K380" s="86"/>
      <c r="L380" s="89"/>
      <c r="M380" s="86"/>
      <c r="N380" s="86"/>
      <c r="O380" s="89"/>
      <c r="P380" s="86"/>
      <c r="Q380" s="86"/>
      <c r="R380" s="89"/>
      <c r="S380" s="86"/>
      <c r="T380" s="86"/>
      <c r="U380" s="89"/>
      <c r="V380" s="86"/>
      <c r="W380" s="86"/>
      <c r="X380" s="89"/>
      <c r="Y380" s="86"/>
      <c r="Z380" s="86"/>
      <c r="AA380" s="89"/>
      <c r="AB380" s="86"/>
      <c r="AC380" s="86"/>
      <c r="AD380" s="89"/>
      <c r="AE380" s="86"/>
      <c r="AF380" s="86"/>
      <c r="AG380" s="89"/>
    </row>
    <row r="381" spans="1:33" ht="15.75" thickBot="1" x14ac:dyDescent="0.3">
      <c r="A381" s="68"/>
      <c r="B381" s="68"/>
      <c r="D381" s="87"/>
      <c r="E381" s="87"/>
      <c r="F381" s="90"/>
      <c r="G381" s="87"/>
      <c r="H381" s="87"/>
      <c r="I381" s="90"/>
      <c r="J381" s="87"/>
      <c r="K381" s="87"/>
      <c r="L381" s="90"/>
      <c r="M381" s="87"/>
      <c r="N381" s="87"/>
      <c r="O381" s="90"/>
      <c r="P381" s="87"/>
      <c r="Q381" s="87"/>
      <c r="R381" s="90"/>
      <c r="S381" s="87"/>
      <c r="T381" s="87"/>
      <c r="U381" s="90"/>
      <c r="V381" s="87"/>
      <c r="W381" s="87"/>
      <c r="X381" s="90"/>
      <c r="Y381" s="87"/>
      <c r="Z381" s="87"/>
      <c r="AA381" s="90"/>
      <c r="AB381" s="87"/>
      <c r="AC381" s="87"/>
      <c r="AD381" s="90"/>
      <c r="AE381" s="87"/>
      <c r="AF381" s="87"/>
      <c r="AG381" s="90"/>
    </row>
    <row r="382" spans="1:33" ht="15.75" thickBot="1" x14ac:dyDescent="0.3">
      <c r="A382" s="68"/>
      <c r="B382" s="68"/>
      <c r="D382" s="88"/>
      <c r="E382" s="88"/>
      <c r="F382" s="91"/>
      <c r="G382" s="88"/>
      <c r="H382" s="88"/>
      <c r="I382" s="91"/>
      <c r="J382" s="88"/>
      <c r="K382" s="88"/>
      <c r="L382" s="91"/>
      <c r="M382" s="88"/>
      <c r="N382" s="88"/>
      <c r="O382" s="91"/>
      <c r="P382" s="88"/>
      <c r="Q382" s="88"/>
      <c r="R382" s="91"/>
      <c r="S382" s="88"/>
      <c r="T382" s="88"/>
      <c r="U382" s="91"/>
      <c r="V382" s="88"/>
      <c r="W382" s="88"/>
      <c r="X382" s="91"/>
      <c r="Y382" s="88"/>
      <c r="Z382" s="88"/>
      <c r="AA382" s="91"/>
      <c r="AB382" s="88"/>
      <c r="AC382" s="88"/>
      <c r="AD382" s="91"/>
      <c r="AE382" s="88"/>
      <c r="AF382" s="88"/>
      <c r="AG382" s="91"/>
    </row>
    <row r="384" spans="1:33" ht="15.75" thickBot="1" x14ac:dyDescent="0.3"/>
    <row r="385" spans="1:33" ht="15.75" thickBot="1" x14ac:dyDescent="0.3">
      <c r="A385" s="68" t="s">
        <v>105</v>
      </c>
      <c r="B385" s="68"/>
      <c r="D385" s="52" t="s">
        <v>27</v>
      </c>
      <c r="E385" s="52"/>
      <c r="F385" s="52"/>
      <c r="G385" s="73" t="s">
        <v>28</v>
      </c>
      <c r="H385" s="73"/>
      <c r="I385" s="73"/>
      <c r="J385" s="52" t="s">
        <v>29</v>
      </c>
      <c r="K385" s="52"/>
      <c r="L385" s="52"/>
      <c r="M385" s="73" t="s">
        <v>30</v>
      </c>
      <c r="N385" s="73"/>
      <c r="O385" s="73"/>
      <c r="P385" s="52" t="s">
        <v>31</v>
      </c>
      <c r="Q385" s="52"/>
      <c r="R385" s="52"/>
      <c r="S385" s="73" t="s">
        <v>32</v>
      </c>
      <c r="T385" s="73"/>
      <c r="U385" s="73"/>
      <c r="V385" s="52" t="s">
        <v>33</v>
      </c>
      <c r="W385" s="52"/>
      <c r="X385" s="52"/>
      <c r="Y385" s="73" t="s">
        <v>34</v>
      </c>
      <c r="Z385" s="73"/>
      <c r="AA385" s="73"/>
      <c r="AB385" s="52" t="s">
        <v>35</v>
      </c>
      <c r="AC385" s="52"/>
      <c r="AD385" s="52"/>
      <c r="AE385" s="73" t="s">
        <v>36</v>
      </c>
      <c r="AF385" s="73"/>
      <c r="AG385" s="73"/>
    </row>
    <row r="386" spans="1:33" ht="15.75" thickBot="1" x14ac:dyDescent="0.3">
      <c r="A386" s="68"/>
      <c r="B386" s="68"/>
      <c r="C386" s="105" t="s">
        <v>243</v>
      </c>
      <c r="D386" s="75">
        <v>0</v>
      </c>
      <c r="E386" s="75"/>
      <c r="F386" s="76"/>
      <c r="G386" s="74">
        <v>0</v>
      </c>
      <c r="H386" s="75"/>
      <c r="I386" s="76"/>
      <c r="J386" s="74">
        <v>0</v>
      </c>
      <c r="K386" s="75"/>
      <c r="L386" s="76"/>
      <c r="M386" s="74">
        <v>0</v>
      </c>
      <c r="N386" s="75"/>
      <c r="O386" s="76"/>
      <c r="P386" s="74">
        <v>0</v>
      </c>
      <c r="Q386" s="75"/>
      <c r="R386" s="76"/>
      <c r="S386" s="74">
        <v>0</v>
      </c>
      <c r="T386" s="75"/>
      <c r="U386" s="76"/>
      <c r="V386" s="74">
        <v>0</v>
      </c>
      <c r="W386" s="75"/>
      <c r="X386" s="76"/>
      <c r="Y386" s="74">
        <v>0</v>
      </c>
      <c r="Z386" s="75"/>
      <c r="AA386" s="76"/>
      <c r="AB386" s="74">
        <v>0</v>
      </c>
      <c r="AC386" s="75"/>
      <c r="AD386" s="76"/>
      <c r="AE386" s="74">
        <v>0</v>
      </c>
      <c r="AF386" s="75"/>
      <c r="AG386" s="76"/>
    </row>
    <row r="387" spans="1:33" ht="15.75" thickBot="1" x14ac:dyDescent="0.3">
      <c r="A387" s="68"/>
      <c r="B387" s="68"/>
      <c r="C387" s="106" t="s">
        <v>244</v>
      </c>
      <c r="D387" s="82">
        <v>0</v>
      </c>
      <c r="E387" s="82"/>
      <c r="F387" s="84"/>
      <c r="G387" s="85">
        <v>0</v>
      </c>
      <c r="H387" s="82"/>
      <c r="I387" s="84"/>
      <c r="J387" s="85">
        <v>0</v>
      </c>
      <c r="K387" s="82"/>
      <c r="L387" s="84"/>
      <c r="M387" s="85">
        <v>0</v>
      </c>
      <c r="N387" s="82"/>
      <c r="O387" s="82"/>
      <c r="P387" s="81">
        <v>0</v>
      </c>
      <c r="Q387" s="82"/>
      <c r="R387" s="83"/>
      <c r="S387" s="82">
        <v>0</v>
      </c>
      <c r="T387" s="82"/>
      <c r="U387" s="84"/>
      <c r="V387" s="85">
        <v>0</v>
      </c>
      <c r="W387" s="82"/>
      <c r="X387" s="84"/>
      <c r="Y387" s="85">
        <v>0</v>
      </c>
      <c r="Z387" s="82"/>
      <c r="AA387" s="84"/>
      <c r="AB387" s="85">
        <v>0</v>
      </c>
      <c r="AC387" s="82"/>
      <c r="AD387" s="84"/>
      <c r="AE387" s="85">
        <v>0</v>
      </c>
      <c r="AF387" s="82"/>
      <c r="AG387" s="84"/>
    </row>
    <row r="388" spans="1:33" ht="15.75" thickBot="1" x14ac:dyDescent="0.3">
      <c r="A388" s="68"/>
      <c r="B388" s="68"/>
      <c r="C388" s="107" t="s">
        <v>37</v>
      </c>
      <c r="D388" s="104"/>
      <c r="E388" s="86"/>
      <c r="F388" s="89"/>
      <c r="G388" s="86"/>
      <c r="H388" s="86"/>
      <c r="I388" s="89"/>
      <c r="J388" s="86"/>
      <c r="K388" s="86"/>
      <c r="L388" s="89"/>
      <c r="M388" s="86"/>
      <c r="N388" s="86"/>
      <c r="O388" s="89"/>
      <c r="P388" s="86"/>
      <c r="Q388" s="86"/>
      <c r="R388" s="89"/>
      <c r="S388" s="86"/>
      <c r="T388" s="86"/>
      <c r="U388" s="89"/>
      <c r="V388" s="86"/>
      <c r="W388" s="86"/>
      <c r="X388" s="89"/>
      <c r="Y388" s="86"/>
      <c r="Z388" s="86"/>
      <c r="AA388" s="89"/>
      <c r="AB388" s="86"/>
      <c r="AC388" s="86"/>
      <c r="AD388" s="89"/>
      <c r="AE388" s="86"/>
      <c r="AF388" s="86"/>
      <c r="AG388" s="89"/>
    </row>
    <row r="389" spans="1:33" ht="15.75" thickBot="1" x14ac:dyDescent="0.3">
      <c r="A389" s="68"/>
      <c r="B389" s="68"/>
      <c r="D389" s="87"/>
      <c r="E389" s="87"/>
      <c r="F389" s="90"/>
      <c r="G389" s="87"/>
      <c r="H389" s="87"/>
      <c r="I389" s="90"/>
      <c r="J389" s="87"/>
      <c r="K389" s="87"/>
      <c r="L389" s="90"/>
      <c r="M389" s="87"/>
      <c r="N389" s="87"/>
      <c r="O389" s="90"/>
      <c r="P389" s="87"/>
      <c r="Q389" s="87"/>
      <c r="R389" s="90"/>
      <c r="S389" s="87"/>
      <c r="T389" s="87"/>
      <c r="U389" s="90"/>
      <c r="V389" s="87"/>
      <c r="W389" s="87"/>
      <c r="X389" s="90"/>
      <c r="Y389" s="87"/>
      <c r="Z389" s="87"/>
      <c r="AA389" s="90"/>
      <c r="AB389" s="87"/>
      <c r="AC389" s="87"/>
      <c r="AD389" s="90"/>
      <c r="AE389" s="87"/>
      <c r="AF389" s="87"/>
      <c r="AG389" s="90"/>
    </row>
    <row r="390" spans="1:33" ht="15.75" thickBot="1" x14ac:dyDescent="0.3">
      <c r="A390" s="68"/>
      <c r="B390" s="68"/>
      <c r="D390" s="88"/>
      <c r="E390" s="88"/>
      <c r="F390" s="91"/>
      <c r="G390" s="88"/>
      <c r="H390" s="88"/>
      <c r="I390" s="91"/>
      <c r="J390" s="88"/>
      <c r="K390" s="88"/>
      <c r="L390" s="91"/>
      <c r="M390" s="88"/>
      <c r="N390" s="88"/>
      <c r="O390" s="91"/>
      <c r="P390" s="88"/>
      <c r="Q390" s="88"/>
      <c r="R390" s="91"/>
      <c r="S390" s="88"/>
      <c r="T390" s="88"/>
      <c r="U390" s="91"/>
      <c r="V390" s="88"/>
      <c r="W390" s="88"/>
      <c r="X390" s="91"/>
      <c r="Y390" s="88"/>
      <c r="Z390" s="88"/>
      <c r="AA390" s="91"/>
      <c r="AB390" s="88"/>
      <c r="AC390" s="88"/>
      <c r="AD390" s="91"/>
      <c r="AE390" s="88"/>
      <c r="AF390" s="88"/>
      <c r="AG390" s="91"/>
    </row>
    <row r="392" spans="1:33" ht="15.75" thickBot="1" x14ac:dyDescent="0.3"/>
    <row r="393" spans="1:33" ht="15.75" thickBot="1" x14ac:dyDescent="0.3">
      <c r="A393" s="68" t="s">
        <v>106</v>
      </c>
      <c r="B393" s="68"/>
      <c r="D393" s="52" t="s">
        <v>27</v>
      </c>
      <c r="E393" s="52"/>
      <c r="F393" s="52"/>
      <c r="G393" s="73" t="s">
        <v>28</v>
      </c>
      <c r="H393" s="73"/>
      <c r="I393" s="73"/>
      <c r="J393" s="52" t="s">
        <v>29</v>
      </c>
      <c r="K393" s="52"/>
      <c r="L393" s="52"/>
      <c r="M393" s="73" t="s">
        <v>30</v>
      </c>
      <c r="N393" s="73"/>
      <c r="O393" s="73"/>
      <c r="P393" s="52" t="s">
        <v>31</v>
      </c>
      <c r="Q393" s="52"/>
      <c r="R393" s="52"/>
      <c r="S393" s="73" t="s">
        <v>32</v>
      </c>
      <c r="T393" s="73"/>
      <c r="U393" s="73"/>
      <c r="V393" s="52" t="s">
        <v>33</v>
      </c>
      <c r="W393" s="52"/>
      <c r="X393" s="52"/>
      <c r="Y393" s="73" t="s">
        <v>34</v>
      </c>
      <c r="Z393" s="73"/>
      <c r="AA393" s="73"/>
      <c r="AB393" s="52" t="s">
        <v>35</v>
      </c>
      <c r="AC393" s="52"/>
      <c r="AD393" s="52"/>
      <c r="AE393" s="73" t="s">
        <v>36</v>
      </c>
      <c r="AF393" s="73"/>
      <c r="AG393" s="73"/>
    </row>
    <row r="394" spans="1:33" ht="15.75" thickBot="1" x14ac:dyDescent="0.3">
      <c r="A394" s="68"/>
      <c r="B394" s="68"/>
      <c r="C394" s="105" t="s">
        <v>243</v>
      </c>
      <c r="D394" s="75">
        <v>0</v>
      </c>
      <c r="E394" s="75"/>
      <c r="F394" s="76"/>
      <c r="G394" s="74">
        <v>0</v>
      </c>
      <c r="H394" s="75"/>
      <c r="I394" s="76"/>
      <c r="J394" s="74">
        <v>0</v>
      </c>
      <c r="K394" s="75"/>
      <c r="L394" s="76"/>
      <c r="M394" s="74">
        <v>0</v>
      </c>
      <c r="N394" s="75"/>
      <c r="O394" s="76"/>
      <c r="P394" s="74">
        <v>0</v>
      </c>
      <c r="Q394" s="75"/>
      <c r="R394" s="76"/>
      <c r="S394" s="74">
        <v>0</v>
      </c>
      <c r="T394" s="75"/>
      <c r="U394" s="76"/>
      <c r="V394" s="74">
        <v>0</v>
      </c>
      <c r="W394" s="75"/>
      <c r="X394" s="76"/>
      <c r="Y394" s="74">
        <v>0</v>
      </c>
      <c r="Z394" s="75"/>
      <c r="AA394" s="76"/>
      <c r="AB394" s="74">
        <v>0</v>
      </c>
      <c r="AC394" s="75"/>
      <c r="AD394" s="76"/>
      <c r="AE394" s="74">
        <v>0</v>
      </c>
      <c r="AF394" s="75"/>
      <c r="AG394" s="76"/>
    </row>
    <row r="395" spans="1:33" ht="15.75" thickBot="1" x14ac:dyDescent="0.3">
      <c r="A395" s="68"/>
      <c r="B395" s="68"/>
      <c r="C395" s="106" t="s">
        <v>244</v>
      </c>
      <c r="D395" s="82">
        <v>0</v>
      </c>
      <c r="E395" s="82"/>
      <c r="F395" s="84"/>
      <c r="G395" s="85">
        <v>0</v>
      </c>
      <c r="H395" s="82"/>
      <c r="I395" s="84"/>
      <c r="J395" s="85">
        <v>0</v>
      </c>
      <c r="K395" s="82"/>
      <c r="L395" s="84"/>
      <c r="M395" s="85">
        <v>0</v>
      </c>
      <c r="N395" s="82"/>
      <c r="O395" s="82"/>
      <c r="P395" s="81">
        <v>0</v>
      </c>
      <c r="Q395" s="82"/>
      <c r="R395" s="83"/>
      <c r="S395" s="82">
        <v>0</v>
      </c>
      <c r="T395" s="82"/>
      <c r="U395" s="84"/>
      <c r="V395" s="85">
        <v>0</v>
      </c>
      <c r="W395" s="82"/>
      <c r="X395" s="84"/>
      <c r="Y395" s="85">
        <v>0</v>
      </c>
      <c r="Z395" s="82"/>
      <c r="AA395" s="84"/>
      <c r="AB395" s="85">
        <v>0</v>
      </c>
      <c r="AC395" s="82"/>
      <c r="AD395" s="84"/>
      <c r="AE395" s="85">
        <v>0</v>
      </c>
      <c r="AF395" s="82"/>
      <c r="AG395" s="84"/>
    </row>
    <row r="396" spans="1:33" ht="15.75" thickBot="1" x14ac:dyDescent="0.3">
      <c r="A396" s="68"/>
      <c r="B396" s="68"/>
      <c r="C396" s="107" t="s">
        <v>37</v>
      </c>
      <c r="D396" s="104"/>
      <c r="E396" s="86"/>
      <c r="F396" s="89"/>
      <c r="G396" s="86"/>
      <c r="H396" s="86"/>
      <c r="I396" s="89"/>
      <c r="J396" s="86"/>
      <c r="K396" s="86"/>
      <c r="L396" s="89"/>
      <c r="M396" s="86"/>
      <c r="N396" s="86"/>
      <c r="O396" s="89"/>
      <c r="P396" s="86"/>
      <c r="Q396" s="86"/>
      <c r="R396" s="89"/>
      <c r="S396" s="86"/>
      <c r="T396" s="86"/>
      <c r="U396" s="89"/>
      <c r="V396" s="86"/>
      <c r="W396" s="86"/>
      <c r="X396" s="89"/>
      <c r="Y396" s="86"/>
      <c r="Z396" s="86"/>
      <c r="AA396" s="89"/>
      <c r="AB396" s="86"/>
      <c r="AC396" s="86"/>
      <c r="AD396" s="89"/>
      <c r="AE396" s="86"/>
      <c r="AF396" s="86"/>
      <c r="AG396" s="89"/>
    </row>
    <row r="397" spans="1:33" ht="15.75" thickBot="1" x14ac:dyDescent="0.3">
      <c r="A397" s="68"/>
      <c r="B397" s="68"/>
      <c r="D397" s="87"/>
      <c r="E397" s="87"/>
      <c r="F397" s="90"/>
      <c r="G397" s="87"/>
      <c r="H397" s="87"/>
      <c r="I397" s="90"/>
      <c r="J397" s="87"/>
      <c r="K397" s="87"/>
      <c r="L397" s="90"/>
      <c r="M397" s="87"/>
      <c r="N397" s="87"/>
      <c r="O397" s="90"/>
      <c r="P397" s="87"/>
      <c r="Q397" s="87"/>
      <c r="R397" s="90"/>
      <c r="S397" s="87"/>
      <c r="T397" s="87"/>
      <c r="U397" s="90"/>
      <c r="V397" s="87"/>
      <c r="W397" s="87"/>
      <c r="X397" s="90"/>
      <c r="Y397" s="87"/>
      <c r="Z397" s="87"/>
      <c r="AA397" s="90"/>
      <c r="AB397" s="87"/>
      <c r="AC397" s="87"/>
      <c r="AD397" s="90"/>
      <c r="AE397" s="87"/>
      <c r="AF397" s="87"/>
      <c r="AG397" s="90"/>
    </row>
    <row r="398" spans="1:33" ht="15.75" thickBot="1" x14ac:dyDescent="0.3">
      <c r="A398" s="68"/>
      <c r="B398" s="68"/>
      <c r="D398" s="88"/>
      <c r="E398" s="88"/>
      <c r="F398" s="91"/>
      <c r="G398" s="88"/>
      <c r="H398" s="88"/>
      <c r="I398" s="91"/>
      <c r="J398" s="88"/>
      <c r="K398" s="88"/>
      <c r="L398" s="91"/>
      <c r="M398" s="88"/>
      <c r="N398" s="88"/>
      <c r="O398" s="91"/>
      <c r="P398" s="88"/>
      <c r="Q398" s="88"/>
      <c r="R398" s="91"/>
      <c r="S398" s="88"/>
      <c r="T398" s="88"/>
      <c r="U398" s="91"/>
      <c r="V398" s="88"/>
      <c r="W398" s="88"/>
      <c r="X398" s="91"/>
      <c r="Y398" s="88"/>
      <c r="Z398" s="88"/>
      <c r="AA398" s="91"/>
      <c r="AB398" s="88"/>
      <c r="AC398" s="88"/>
      <c r="AD398" s="91"/>
      <c r="AE398" s="88"/>
      <c r="AF398" s="88"/>
      <c r="AG398" s="91"/>
    </row>
    <row r="400" spans="1:33" ht="15.75" thickBot="1" x14ac:dyDescent="0.3"/>
    <row r="401" spans="1:33" ht="15.75" thickBot="1" x14ac:dyDescent="0.3">
      <c r="A401" s="68" t="s">
        <v>266</v>
      </c>
      <c r="B401" s="68"/>
      <c r="D401" s="52" t="s">
        <v>27</v>
      </c>
      <c r="E401" s="52"/>
      <c r="F401" s="52"/>
      <c r="G401" s="73" t="s">
        <v>28</v>
      </c>
      <c r="H401" s="73"/>
      <c r="I401" s="73"/>
      <c r="J401" s="52" t="s">
        <v>29</v>
      </c>
      <c r="K401" s="52"/>
      <c r="L401" s="52"/>
      <c r="M401" s="73" t="s">
        <v>30</v>
      </c>
      <c r="N401" s="73"/>
      <c r="O401" s="73"/>
      <c r="P401" s="52" t="s">
        <v>31</v>
      </c>
      <c r="Q401" s="52"/>
      <c r="R401" s="52"/>
      <c r="S401" s="73" t="s">
        <v>32</v>
      </c>
      <c r="T401" s="73"/>
      <c r="U401" s="73"/>
      <c r="V401" s="52" t="s">
        <v>33</v>
      </c>
      <c r="W401" s="52"/>
      <c r="X401" s="52"/>
      <c r="Y401" s="73" t="s">
        <v>34</v>
      </c>
      <c r="Z401" s="73"/>
      <c r="AA401" s="73"/>
      <c r="AB401" s="52" t="s">
        <v>35</v>
      </c>
      <c r="AC401" s="52"/>
      <c r="AD401" s="52"/>
      <c r="AE401" s="73" t="s">
        <v>36</v>
      </c>
      <c r="AF401" s="73"/>
      <c r="AG401" s="73"/>
    </row>
    <row r="402" spans="1:33" ht="15.75" thickBot="1" x14ac:dyDescent="0.3">
      <c r="A402" s="68"/>
      <c r="B402" s="68"/>
      <c r="C402" s="105" t="s">
        <v>243</v>
      </c>
      <c r="D402" s="75">
        <v>0</v>
      </c>
      <c r="E402" s="75"/>
      <c r="F402" s="76"/>
      <c r="G402" s="74">
        <v>0</v>
      </c>
      <c r="H402" s="75"/>
      <c r="I402" s="76"/>
      <c r="J402" s="74">
        <v>0</v>
      </c>
      <c r="K402" s="75"/>
      <c r="L402" s="76"/>
      <c r="M402" s="74">
        <v>0</v>
      </c>
      <c r="N402" s="75"/>
      <c r="O402" s="76"/>
      <c r="P402" s="74">
        <v>0</v>
      </c>
      <c r="Q402" s="75"/>
      <c r="R402" s="76"/>
      <c r="S402" s="74">
        <v>0</v>
      </c>
      <c r="T402" s="75"/>
      <c r="U402" s="76"/>
      <c r="V402" s="74">
        <v>0</v>
      </c>
      <c r="W402" s="75"/>
      <c r="X402" s="76"/>
      <c r="Y402" s="74">
        <v>0</v>
      </c>
      <c r="Z402" s="75"/>
      <c r="AA402" s="76"/>
      <c r="AB402" s="74">
        <v>0</v>
      </c>
      <c r="AC402" s="75"/>
      <c r="AD402" s="76"/>
      <c r="AE402" s="74">
        <v>0</v>
      </c>
      <c r="AF402" s="75"/>
      <c r="AG402" s="76"/>
    </row>
    <row r="403" spans="1:33" ht="15.75" thickBot="1" x14ac:dyDescent="0.3">
      <c r="A403" s="68"/>
      <c r="B403" s="68"/>
      <c r="C403" s="106" t="s">
        <v>244</v>
      </c>
      <c r="D403" s="82">
        <v>0</v>
      </c>
      <c r="E403" s="82"/>
      <c r="F403" s="84"/>
      <c r="G403" s="85">
        <v>0</v>
      </c>
      <c r="H403" s="82"/>
      <c r="I403" s="84"/>
      <c r="J403" s="85">
        <v>0</v>
      </c>
      <c r="K403" s="82"/>
      <c r="L403" s="84"/>
      <c r="M403" s="85">
        <v>0</v>
      </c>
      <c r="N403" s="82"/>
      <c r="O403" s="82"/>
      <c r="P403" s="81">
        <v>0</v>
      </c>
      <c r="Q403" s="82"/>
      <c r="R403" s="83"/>
      <c r="S403" s="82">
        <v>0</v>
      </c>
      <c r="T403" s="82"/>
      <c r="U403" s="84"/>
      <c r="V403" s="85">
        <v>0</v>
      </c>
      <c r="W403" s="82"/>
      <c r="X403" s="84"/>
      <c r="Y403" s="85">
        <v>0</v>
      </c>
      <c r="Z403" s="82"/>
      <c r="AA403" s="84"/>
      <c r="AB403" s="85">
        <v>0</v>
      </c>
      <c r="AC403" s="82"/>
      <c r="AD403" s="84"/>
      <c r="AE403" s="85">
        <v>0</v>
      </c>
      <c r="AF403" s="82"/>
      <c r="AG403" s="84"/>
    </row>
    <row r="404" spans="1:33" ht="15.75" thickBot="1" x14ac:dyDescent="0.3">
      <c r="A404" s="68"/>
      <c r="B404" s="68"/>
      <c r="C404" s="107" t="s">
        <v>37</v>
      </c>
      <c r="D404" s="104"/>
      <c r="E404" s="86"/>
      <c r="F404" s="89"/>
      <c r="G404" s="86"/>
      <c r="H404" s="86"/>
      <c r="I404" s="89"/>
      <c r="J404" s="86"/>
      <c r="K404" s="86"/>
      <c r="L404" s="89"/>
      <c r="M404" s="86"/>
      <c r="N404" s="86"/>
      <c r="O404" s="89"/>
      <c r="P404" s="86"/>
      <c r="Q404" s="86"/>
      <c r="R404" s="89"/>
      <c r="S404" s="86"/>
      <c r="T404" s="86"/>
      <c r="U404" s="89"/>
      <c r="V404" s="86"/>
      <c r="W404" s="86"/>
      <c r="X404" s="89"/>
      <c r="Y404" s="86"/>
      <c r="Z404" s="86"/>
      <c r="AA404" s="89"/>
      <c r="AB404" s="86"/>
      <c r="AC404" s="86"/>
      <c r="AD404" s="89"/>
      <c r="AE404" s="86"/>
      <c r="AF404" s="86"/>
      <c r="AG404" s="89"/>
    </row>
    <row r="405" spans="1:33" ht="15.75" thickBot="1" x14ac:dyDescent="0.3">
      <c r="A405" s="68"/>
      <c r="B405" s="68"/>
      <c r="D405" s="87"/>
      <c r="E405" s="87"/>
      <c r="F405" s="90"/>
      <c r="G405" s="87"/>
      <c r="H405" s="87"/>
      <c r="I405" s="90"/>
      <c r="J405" s="87"/>
      <c r="K405" s="87"/>
      <c r="L405" s="90"/>
      <c r="M405" s="87"/>
      <c r="N405" s="87"/>
      <c r="O405" s="90"/>
      <c r="P405" s="87"/>
      <c r="Q405" s="87"/>
      <c r="R405" s="90"/>
      <c r="S405" s="87"/>
      <c r="T405" s="87"/>
      <c r="U405" s="90"/>
      <c r="V405" s="87"/>
      <c r="W405" s="87"/>
      <c r="X405" s="90"/>
      <c r="Y405" s="87"/>
      <c r="Z405" s="87"/>
      <c r="AA405" s="90"/>
      <c r="AB405" s="87"/>
      <c r="AC405" s="87"/>
      <c r="AD405" s="90"/>
      <c r="AE405" s="87"/>
      <c r="AF405" s="87"/>
      <c r="AG405" s="90"/>
    </row>
    <row r="406" spans="1:33" ht="15.75" thickBot="1" x14ac:dyDescent="0.3">
      <c r="A406" s="68"/>
      <c r="B406" s="68"/>
      <c r="D406" s="88"/>
      <c r="E406" s="88"/>
      <c r="F406" s="91"/>
      <c r="G406" s="88"/>
      <c r="H406" s="88"/>
      <c r="I406" s="91"/>
      <c r="J406" s="88"/>
      <c r="K406" s="88"/>
      <c r="L406" s="91"/>
      <c r="M406" s="88"/>
      <c r="N406" s="88"/>
      <c r="O406" s="91"/>
      <c r="P406" s="88"/>
      <c r="Q406" s="88"/>
      <c r="R406" s="91"/>
      <c r="S406" s="88"/>
      <c r="T406" s="88"/>
      <c r="U406" s="91"/>
      <c r="V406" s="88"/>
      <c r="W406" s="88"/>
      <c r="X406" s="91"/>
      <c r="Y406" s="88"/>
      <c r="Z406" s="88"/>
      <c r="AA406" s="91"/>
      <c r="AB406" s="88"/>
      <c r="AC406" s="88"/>
      <c r="AD406" s="91"/>
      <c r="AE406" s="88"/>
      <c r="AF406" s="88"/>
      <c r="AG406" s="91"/>
    </row>
    <row r="408" spans="1:33" ht="15.75" thickBot="1" x14ac:dyDescent="0.3"/>
    <row r="409" spans="1:33" ht="15.75" thickBot="1" x14ac:dyDescent="0.3">
      <c r="A409" s="68" t="s">
        <v>267</v>
      </c>
      <c r="B409" s="68"/>
      <c r="D409" s="52" t="s">
        <v>27</v>
      </c>
      <c r="E409" s="52"/>
      <c r="F409" s="52"/>
      <c r="G409" s="73" t="s">
        <v>28</v>
      </c>
      <c r="H409" s="73"/>
      <c r="I409" s="73"/>
      <c r="J409" s="52" t="s">
        <v>29</v>
      </c>
      <c r="K409" s="52"/>
      <c r="L409" s="52"/>
      <c r="M409" s="73" t="s">
        <v>30</v>
      </c>
      <c r="N409" s="73"/>
      <c r="O409" s="73"/>
      <c r="P409" s="52" t="s">
        <v>31</v>
      </c>
      <c r="Q409" s="52"/>
      <c r="R409" s="52"/>
      <c r="S409" s="73" t="s">
        <v>32</v>
      </c>
      <c r="T409" s="73"/>
      <c r="U409" s="73"/>
      <c r="V409" s="52" t="s">
        <v>33</v>
      </c>
      <c r="W409" s="52"/>
      <c r="X409" s="52"/>
      <c r="Y409" s="73" t="s">
        <v>34</v>
      </c>
      <c r="Z409" s="73"/>
      <c r="AA409" s="73"/>
      <c r="AB409" s="52" t="s">
        <v>35</v>
      </c>
      <c r="AC409" s="52"/>
      <c r="AD409" s="52"/>
      <c r="AE409" s="73" t="s">
        <v>36</v>
      </c>
      <c r="AF409" s="73"/>
      <c r="AG409" s="73"/>
    </row>
    <row r="410" spans="1:33" ht="15.75" thickBot="1" x14ac:dyDescent="0.3">
      <c r="A410" s="68"/>
      <c r="B410" s="68"/>
      <c r="C410" s="105" t="s">
        <v>243</v>
      </c>
      <c r="D410" s="75">
        <v>0</v>
      </c>
      <c r="E410" s="75"/>
      <c r="F410" s="76"/>
      <c r="G410" s="74">
        <v>0</v>
      </c>
      <c r="H410" s="75"/>
      <c r="I410" s="76"/>
      <c r="J410" s="74">
        <v>0</v>
      </c>
      <c r="K410" s="75"/>
      <c r="L410" s="76"/>
      <c r="M410" s="74">
        <v>0</v>
      </c>
      <c r="N410" s="75"/>
      <c r="O410" s="76"/>
      <c r="P410" s="74">
        <v>0</v>
      </c>
      <c r="Q410" s="75"/>
      <c r="R410" s="76"/>
      <c r="S410" s="74">
        <v>0</v>
      </c>
      <c r="T410" s="75"/>
      <c r="U410" s="76"/>
      <c r="V410" s="74">
        <v>0</v>
      </c>
      <c r="W410" s="75"/>
      <c r="X410" s="76"/>
      <c r="Y410" s="74">
        <v>0</v>
      </c>
      <c r="Z410" s="75"/>
      <c r="AA410" s="76"/>
      <c r="AB410" s="74">
        <v>0</v>
      </c>
      <c r="AC410" s="75"/>
      <c r="AD410" s="76"/>
      <c r="AE410" s="74">
        <v>0</v>
      </c>
      <c r="AF410" s="75"/>
      <c r="AG410" s="76"/>
    </row>
    <row r="411" spans="1:33" ht="15.75" thickBot="1" x14ac:dyDescent="0.3">
      <c r="A411" s="68"/>
      <c r="B411" s="68"/>
      <c r="C411" s="106" t="s">
        <v>244</v>
      </c>
      <c r="D411" s="82">
        <v>0</v>
      </c>
      <c r="E411" s="82"/>
      <c r="F411" s="84"/>
      <c r="G411" s="85">
        <v>0</v>
      </c>
      <c r="H411" s="82"/>
      <c r="I411" s="84"/>
      <c r="J411" s="85">
        <v>0</v>
      </c>
      <c r="K411" s="82"/>
      <c r="L411" s="84"/>
      <c r="M411" s="85">
        <v>0</v>
      </c>
      <c r="N411" s="82"/>
      <c r="O411" s="82"/>
      <c r="P411" s="81">
        <v>0</v>
      </c>
      <c r="Q411" s="82"/>
      <c r="R411" s="83"/>
      <c r="S411" s="82">
        <v>0</v>
      </c>
      <c r="T411" s="82"/>
      <c r="U411" s="84"/>
      <c r="V411" s="85">
        <v>0</v>
      </c>
      <c r="W411" s="82"/>
      <c r="X411" s="84"/>
      <c r="Y411" s="85">
        <v>0</v>
      </c>
      <c r="Z411" s="82"/>
      <c r="AA411" s="84"/>
      <c r="AB411" s="85">
        <v>0</v>
      </c>
      <c r="AC411" s="82"/>
      <c r="AD411" s="84"/>
      <c r="AE411" s="85">
        <v>0</v>
      </c>
      <c r="AF411" s="82"/>
      <c r="AG411" s="84"/>
    </row>
    <row r="412" spans="1:33" ht="15.75" thickBot="1" x14ac:dyDescent="0.3">
      <c r="A412" s="68"/>
      <c r="B412" s="68"/>
      <c r="C412" s="107" t="s">
        <v>37</v>
      </c>
      <c r="D412" s="104"/>
      <c r="E412" s="86"/>
      <c r="F412" s="89"/>
      <c r="G412" s="86"/>
      <c r="H412" s="86"/>
      <c r="I412" s="89"/>
      <c r="J412" s="86"/>
      <c r="K412" s="86"/>
      <c r="L412" s="89"/>
      <c r="M412" s="86"/>
      <c r="N412" s="86"/>
      <c r="O412" s="89"/>
      <c r="P412" s="86"/>
      <c r="Q412" s="86"/>
      <c r="R412" s="89"/>
      <c r="S412" s="86"/>
      <c r="T412" s="86"/>
      <c r="U412" s="89"/>
      <c r="V412" s="86"/>
      <c r="W412" s="86"/>
      <c r="X412" s="89"/>
      <c r="Y412" s="86"/>
      <c r="Z412" s="86"/>
      <c r="AA412" s="89"/>
      <c r="AB412" s="86"/>
      <c r="AC412" s="86"/>
      <c r="AD412" s="89"/>
      <c r="AE412" s="86"/>
      <c r="AF412" s="86"/>
      <c r="AG412" s="89"/>
    </row>
    <row r="413" spans="1:33" ht="15.75" thickBot="1" x14ac:dyDescent="0.3">
      <c r="A413" s="68"/>
      <c r="B413" s="68"/>
      <c r="D413" s="87"/>
      <c r="E413" s="87"/>
      <c r="F413" s="90"/>
      <c r="G413" s="87"/>
      <c r="H413" s="87"/>
      <c r="I413" s="90"/>
      <c r="J413" s="87"/>
      <c r="K413" s="87"/>
      <c r="L413" s="90"/>
      <c r="M413" s="87"/>
      <c r="N413" s="87"/>
      <c r="O413" s="90"/>
      <c r="P413" s="87"/>
      <c r="Q413" s="87"/>
      <c r="R413" s="90"/>
      <c r="S413" s="87"/>
      <c r="T413" s="87"/>
      <c r="U413" s="90"/>
      <c r="V413" s="87"/>
      <c r="W413" s="87"/>
      <c r="X413" s="90"/>
      <c r="Y413" s="87"/>
      <c r="Z413" s="87"/>
      <c r="AA413" s="90"/>
      <c r="AB413" s="87"/>
      <c r="AC413" s="87"/>
      <c r="AD413" s="90"/>
      <c r="AE413" s="87"/>
      <c r="AF413" s="87"/>
      <c r="AG413" s="90"/>
    </row>
    <row r="414" spans="1:33" ht="15.75" thickBot="1" x14ac:dyDescent="0.3">
      <c r="A414" s="68"/>
      <c r="B414" s="68"/>
      <c r="D414" s="88"/>
      <c r="E414" s="88"/>
      <c r="F414" s="91"/>
      <c r="G414" s="88"/>
      <c r="H414" s="88"/>
      <c r="I414" s="91"/>
      <c r="J414" s="88"/>
      <c r="K414" s="88"/>
      <c r="L414" s="91"/>
      <c r="M414" s="88"/>
      <c r="N414" s="88"/>
      <c r="O414" s="91"/>
      <c r="P414" s="88"/>
      <c r="Q414" s="88"/>
      <c r="R414" s="91"/>
      <c r="S414" s="88"/>
      <c r="T414" s="88"/>
      <c r="U414" s="91"/>
      <c r="V414" s="88"/>
      <c r="W414" s="88"/>
      <c r="X414" s="91"/>
      <c r="Y414" s="88"/>
      <c r="Z414" s="88"/>
      <c r="AA414" s="91"/>
      <c r="AB414" s="88"/>
      <c r="AC414" s="88"/>
      <c r="AD414" s="91"/>
      <c r="AE414" s="88"/>
      <c r="AF414" s="88"/>
      <c r="AG414" s="91"/>
    </row>
    <row r="416" spans="1:33" ht="15.75" thickBot="1" x14ac:dyDescent="0.3"/>
    <row r="417" spans="1:33" ht="15.75" thickBot="1" x14ac:dyDescent="0.3">
      <c r="A417" s="68" t="s">
        <v>268</v>
      </c>
      <c r="B417" s="68"/>
      <c r="D417" s="52" t="s">
        <v>27</v>
      </c>
      <c r="E417" s="52"/>
      <c r="F417" s="52"/>
      <c r="G417" s="73" t="s">
        <v>28</v>
      </c>
      <c r="H417" s="73"/>
      <c r="I417" s="73"/>
      <c r="J417" s="52" t="s">
        <v>29</v>
      </c>
      <c r="K417" s="52"/>
      <c r="L417" s="52"/>
      <c r="M417" s="73" t="s">
        <v>30</v>
      </c>
      <c r="N417" s="73"/>
      <c r="O417" s="73"/>
      <c r="P417" s="52" t="s">
        <v>31</v>
      </c>
      <c r="Q417" s="52"/>
      <c r="R417" s="52"/>
      <c r="S417" s="73" t="s">
        <v>32</v>
      </c>
      <c r="T417" s="73"/>
      <c r="U417" s="73"/>
      <c r="V417" s="52" t="s">
        <v>33</v>
      </c>
      <c r="W417" s="52"/>
      <c r="X417" s="52"/>
      <c r="Y417" s="73" t="s">
        <v>34</v>
      </c>
      <c r="Z417" s="73"/>
      <c r="AA417" s="73"/>
      <c r="AB417" s="52" t="s">
        <v>35</v>
      </c>
      <c r="AC417" s="52"/>
      <c r="AD417" s="52"/>
      <c r="AE417" s="73" t="s">
        <v>36</v>
      </c>
      <c r="AF417" s="73"/>
      <c r="AG417" s="73"/>
    </row>
    <row r="418" spans="1:33" ht="15.75" thickBot="1" x14ac:dyDescent="0.3">
      <c r="A418" s="68"/>
      <c r="B418" s="68"/>
      <c r="C418" s="105" t="s">
        <v>243</v>
      </c>
      <c r="D418" s="75">
        <v>0</v>
      </c>
      <c r="E418" s="75"/>
      <c r="F418" s="76"/>
      <c r="G418" s="74">
        <v>0</v>
      </c>
      <c r="H418" s="75"/>
      <c r="I418" s="76"/>
      <c r="J418" s="74">
        <v>0</v>
      </c>
      <c r="K418" s="75"/>
      <c r="L418" s="76"/>
      <c r="M418" s="74">
        <v>0</v>
      </c>
      <c r="N418" s="75"/>
      <c r="O418" s="76"/>
      <c r="P418" s="74">
        <v>0</v>
      </c>
      <c r="Q418" s="75"/>
      <c r="R418" s="76"/>
      <c r="S418" s="74">
        <v>0</v>
      </c>
      <c r="T418" s="75"/>
      <c r="U418" s="76"/>
      <c r="V418" s="74">
        <v>0</v>
      </c>
      <c r="W418" s="75"/>
      <c r="X418" s="76"/>
      <c r="Y418" s="74">
        <v>0</v>
      </c>
      <c r="Z418" s="75"/>
      <c r="AA418" s="76"/>
      <c r="AB418" s="74">
        <v>0</v>
      </c>
      <c r="AC418" s="75"/>
      <c r="AD418" s="76"/>
      <c r="AE418" s="74">
        <v>0</v>
      </c>
      <c r="AF418" s="75"/>
      <c r="AG418" s="76"/>
    </row>
    <row r="419" spans="1:33" ht="15.75" thickBot="1" x14ac:dyDescent="0.3">
      <c r="A419" s="68"/>
      <c r="B419" s="68"/>
      <c r="C419" s="106" t="s">
        <v>244</v>
      </c>
      <c r="D419" s="82">
        <v>0</v>
      </c>
      <c r="E419" s="82"/>
      <c r="F419" s="84"/>
      <c r="G419" s="85">
        <v>0</v>
      </c>
      <c r="H419" s="82"/>
      <c r="I419" s="84"/>
      <c r="J419" s="85">
        <v>0</v>
      </c>
      <c r="K419" s="82"/>
      <c r="L419" s="84"/>
      <c r="M419" s="85">
        <v>0</v>
      </c>
      <c r="N419" s="82"/>
      <c r="O419" s="82"/>
      <c r="P419" s="81">
        <v>0</v>
      </c>
      <c r="Q419" s="82"/>
      <c r="R419" s="83"/>
      <c r="S419" s="82">
        <v>0</v>
      </c>
      <c r="T419" s="82"/>
      <c r="U419" s="84"/>
      <c r="V419" s="85">
        <v>0</v>
      </c>
      <c r="W419" s="82"/>
      <c r="X419" s="84"/>
      <c r="Y419" s="85">
        <v>0</v>
      </c>
      <c r="Z419" s="82"/>
      <c r="AA419" s="84"/>
      <c r="AB419" s="85">
        <v>0</v>
      </c>
      <c r="AC419" s="82"/>
      <c r="AD419" s="84"/>
      <c r="AE419" s="85">
        <v>0</v>
      </c>
      <c r="AF419" s="82"/>
      <c r="AG419" s="84"/>
    </row>
    <row r="420" spans="1:33" ht="15.75" thickBot="1" x14ac:dyDescent="0.3">
      <c r="A420" s="68"/>
      <c r="B420" s="68"/>
      <c r="C420" s="107" t="s">
        <v>37</v>
      </c>
      <c r="D420" s="104"/>
      <c r="E420" s="86"/>
      <c r="F420" s="89"/>
      <c r="G420" s="86"/>
      <c r="H420" s="86"/>
      <c r="I420" s="89"/>
      <c r="J420" s="86"/>
      <c r="K420" s="86"/>
      <c r="L420" s="89"/>
      <c r="M420" s="86"/>
      <c r="N420" s="86"/>
      <c r="O420" s="89"/>
      <c r="P420" s="86"/>
      <c r="Q420" s="86"/>
      <c r="R420" s="89"/>
      <c r="S420" s="86"/>
      <c r="T420" s="86"/>
      <c r="U420" s="89"/>
      <c r="V420" s="86"/>
      <c r="W420" s="86"/>
      <c r="X420" s="89"/>
      <c r="Y420" s="86"/>
      <c r="Z420" s="86"/>
      <c r="AA420" s="89"/>
      <c r="AB420" s="86"/>
      <c r="AC420" s="86"/>
      <c r="AD420" s="89"/>
      <c r="AE420" s="86"/>
      <c r="AF420" s="86"/>
      <c r="AG420" s="89"/>
    </row>
    <row r="421" spans="1:33" ht="15.75" thickBot="1" x14ac:dyDescent="0.3">
      <c r="A421" s="68"/>
      <c r="B421" s="68"/>
      <c r="D421" s="87"/>
      <c r="E421" s="87"/>
      <c r="F421" s="90"/>
      <c r="G421" s="87"/>
      <c r="H421" s="87"/>
      <c r="I421" s="90"/>
      <c r="J421" s="87"/>
      <c r="K421" s="87"/>
      <c r="L421" s="90"/>
      <c r="M421" s="87"/>
      <c r="N421" s="87"/>
      <c r="O421" s="90"/>
      <c r="P421" s="87"/>
      <c r="Q421" s="87"/>
      <c r="R421" s="90"/>
      <c r="S421" s="87"/>
      <c r="T421" s="87"/>
      <c r="U421" s="90"/>
      <c r="V421" s="87"/>
      <c r="W421" s="87"/>
      <c r="X421" s="90"/>
      <c r="Y421" s="87"/>
      <c r="Z421" s="87"/>
      <c r="AA421" s="90"/>
      <c r="AB421" s="87"/>
      <c r="AC421" s="87"/>
      <c r="AD421" s="90"/>
      <c r="AE421" s="87"/>
      <c r="AF421" s="87"/>
      <c r="AG421" s="90"/>
    </row>
    <row r="422" spans="1:33" ht="15.75" thickBot="1" x14ac:dyDescent="0.3">
      <c r="A422" s="68"/>
      <c r="B422" s="68"/>
      <c r="D422" s="88"/>
      <c r="E422" s="88"/>
      <c r="F422" s="91"/>
      <c r="G422" s="88"/>
      <c r="H422" s="88"/>
      <c r="I422" s="91"/>
      <c r="J422" s="88"/>
      <c r="K422" s="88"/>
      <c r="L422" s="91"/>
      <c r="M422" s="88"/>
      <c r="N422" s="88"/>
      <c r="O422" s="91"/>
      <c r="P422" s="88"/>
      <c r="Q422" s="88"/>
      <c r="R422" s="91"/>
      <c r="S422" s="88"/>
      <c r="T422" s="88"/>
      <c r="U422" s="91"/>
      <c r="V422" s="88"/>
      <c r="W422" s="88"/>
      <c r="X422" s="91"/>
      <c r="Y422" s="88"/>
      <c r="Z422" s="88"/>
      <c r="AA422" s="91"/>
      <c r="AB422" s="88"/>
      <c r="AC422" s="88"/>
      <c r="AD422" s="91"/>
      <c r="AE422" s="88"/>
      <c r="AF422" s="88"/>
      <c r="AG422" s="91"/>
    </row>
    <row r="424" spans="1:33" ht="15.75" thickBot="1" x14ac:dyDescent="0.3"/>
    <row r="425" spans="1:33" ht="15.75" thickBot="1" x14ac:dyDescent="0.3">
      <c r="A425" s="68" t="s">
        <v>107</v>
      </c>
      <c r="B425" s="68"/>
      <c r="D425" s="52" t="s">
        <v>27</v>
      </c>
      <c r="E425" s="52"/>
      <c r="F425" s="52"/>
      <c r="G425" s="73" t="s">
        <v>28</v>
      </c>
      <c r="H425" s="73"/>
      <c r="I425" s="73"/>
      <c r="J425" s="52" t="s">
        <v>29</v>
      </c>
      <c r="K425" s="52"/>
      <c r="L425" s="52"/>
      <c r="M425" s="73" t="s">
        <v>30</v>
      </c>
      <c r="N425" s="73"/>
      <c r="O425" s="73"/>
      <c r="P425" s="52" t="s">
        <v>31</v>
      </c>
      <c r="Q425" s="52"/>
      <c r="R425" s="52"/>
      <c r="S425" s="73" t="s">
        <v>32</v>
      </c>
      <c r="T425" s="73"/>
      <c r="U425" s="73"/>
      <c r="V425" s="52" t="s">
        <v>33</v>
      </c>
      <c r="W425" s="52"/>
      <c r="X425" s="52"/>
      <c r="Y425" s="73" t="s">
        <v>34</v>
      </c>
      <c r="Z425" s="73"/>
      <c r="AA425" s="73"/>
      <c r="AB425" s="52" t="s">
        <v>35</v>
      </c>
      <c r="AC425" s="52"/>
      <c r="AD425" s="52"/>
      <c r="AE425" s="73" t="s">
        <v>36</v>
      </c>
      <c r="AF425" s="73"/>
      <c r="AG425" s="73"/>
    </row>
    <row r="426" spans="1:33" ht="15.75" thickBot="1" x14ac:dyDescent="0.3">
      <c r="A426" s="68"/>
      <c r="B426" s="68"/>
      <c r="C426" s="105" t="s">
        <v>243</v>
      </c>
      <c r="D426" s="75">
        <v>0</v>
      </c>
      <c r="E426" s="75"/>
      <c r="F426" s="76"/>
      <c r="G426" s="74">
        <v>0</v>
      </c>
      <c r="H426" s="75"/>
      <c r="I426" s="76"/>
      <c r="J426" s="74">
        <v>0</v>
      </c>
      <c r="K426" s="75"/>
      <c r="L426" s="76"/>
      <c r="M426" s="74">
        <v>0</v>
      </c>
      <c r="N426" s="75"/>
      <c r="O426" s="76"/>
      <c r="P426" s="74">
        <v>0</v>
      </c>
      <c r="Q426" s="75"/>
      <c r="R426" s="76"/>
      <c r="S426" s="74">
        <v>0</v>
      </c>
      <c r="T426" s="75"/>
      <c r="U426" s="76"/>
      <c r="V426" s="74">
        <v>0</v>
      </c>
      <c r="W426" s="75"/>
      <c r="X426" s="76"/>
      <c r="Y426" s="74">
        <v>0</v>
      </c>
      <c r="Z426" s="75"/>
      <c r="AA426" s="76"/>
      <c r="AB426" s="74">
        <v>0</v>
      </c>
      <c r="AC426" s="75"/>
      <c r="AD426" s="76"/>
      <c r="AE426" s="74">
        <v>0</v>
      </c>
      <c r="AF426" s="75"/>
      <c r="AG426" s="76"/>
    </row>
    <row r="427" spans="1:33" ht="15.75" thickBot="1" x14ac:dyDescent="0.3">
      <c r="A427" s="68"/>
      <c r="B427" s="68"/>
      <c r="C427" s="106" t="s">
        <v>244</v>
      </c>
      <c r="D427" s="82">
        <v>0</v>
      </c>
      <c r="E427" s="82"/>
      <c r="F427" s="84"/>
      <c r="G427" s="85">
        <v>0</v>
      </c>
      <c r="H427" s="82"/>
      <c r="I427" s="84"/>
      <c r="J427" s="85">
        <v>0</v>
      </c>
      <c r="K427" s="82"/>
      <c r="L427" s="84"/>
      <c r="M427" s="85">
        <v>0</v>
      </c>
      <c r="N427" s="82"/>
      <c r="O427" s="82"/>
      <c r="P427" s="81">
        <v>0</v>
      </c>
      <c r="Q427" s="82"/>
      <c r="R427" s="83"/>
      <c r="S427" s="82">
        <v>0</v>
      </c>
      <c r="T427" s="82"/>
      <c r="U427" s="84"/>
      <c r="V427" s="85">
        <v>0</v>
      </c>
      <c r="W427" s="82"/>
      <c r="X427" s="84"/>
      <c r="Y427" s="85">
        <v>0</v>
      </c>
      <c r="Z427" s="82"/>
      <c r="AA427" s="84"/>
      <c r="AB427" s="85">
        <v>0</v>
      </c>
      <c r="AC427" s="82"/>
      <c r="AD427" s="84"/>
      <c r="AE427" s="85">
        <v>0</v>
      </c>
      <c r="AF427" s="82"/>
      <c r="AG427" s="84"/>
    </row>
    <row r="428" spans="1:33" ht="15.75" thickBot="1" x14ac:dyDescent="0.3">
      <c r="A428" s="68"/>
      <c r="B428" s="68"/>
      <c r="C428" s="107" t="s">
        <v>37</v>
      </c>
      <c r="D428" s="104"/>
      <c r="E428" s="86"/>
      <c r="F428" s="89"/>
      <c r="G428" s="86"/>
      <c r="H428" s="86"/>
      <c r="I428" s="89"/>
      <c r="J428" s="86"/>
      <c r="K428" s="86"/>
      <c r="L428" s="89"/>
      <c r="M428" s="86"/>
      <c r="N428" s="86"/>
      <c r="O428" s="89"/>
      <c r="P428" s="86"/>
      <c r="Q428" s="86"/>
      <c r="R428" s="89"/>
      <c r="S428" s="86"/>
      <c r="T428" s="86"/>
      <c r="U428" s="89"/>
      <c r="V428" s="86"/>
      <c r="W428" s="86"/>
      <c r="X428" s="89"/>
      <c r="Y428" s="86"/>
      <c r="Z428" s="86"/>
      <c r="AA428" s="89"/>
      <c r="AB428" s="86"/>
      <c r="AC428" s="86"/>
      <c r="AD428" s="89"/>
      <c r="AE428" s="86"/>
      <c r="AF428" s="86"/>
      <c r="AG428" s="89"/>
    </row>
    <row r="429" spans="1:33" ht="15.75" thickBot="1" x14ac:dyDescent="0.3">
      <c r="A429" s="68"/>
      <c r="B429" s="68"/>
      <c r="D429" s="87"/>
      <c r="E429" s="87"/>
      <c r="F429" s="90"/>
      <c r="G429" s="87"/>
      <c r="H429" s="87"/>
      <c r="I429" s="90"/>
      <c r="J429" s="87"/>
      <c r="K429" s="87"/>
      <c r="L429" s="90"/>
      <c r="M429" s="87"/>
      <c r="N429" s="87"/>
      <c r="O429" s="90"/>
      <c r="P429" s="87"/>
      <c r="Q429" s="87"/>
      <c r="R429" s="90"/>
      <c r="S429" s="87"/>
      <c r="T429" s="87"/>
      <c r="U429" s="90"/>
      <c r="V429" s="87"/>
      <c r="W429" s="87"/>
      <c r="X429" s="90"/>
      <c r="Y429" s="87"/>
      <c r="Z429" s="87"/>
      <c r="AA429" s="90"/>
      <c r="AB429" s="87"/>
      <c r="AC429" s="87"/>
      <c r="AD429" s="90"/>
      <c r="AE429" s="87"/>
      <c r="AF429" s="87"/>
      <c r="AG429" s="90"/>
    </row>
    <row r="430" spans="1:33" ht="15.75" thickBot="1" x14ac:dyDescent="0.3">
      <c r="A430" s="68"/>
      <c r="B430" s="68"/>
      <c r="D430" s="88"/>
      <c r="E430" s="88"/>
      <c r="F430" s="91"/>
      <c r="G430" s="88"/>
      <c r="H430" s="88"/>
      <c r="I430" s="91"/>
      <c r="J430" s="88"/>
      <c r="K430" s="88"/>
      <c r="L430" s="91"/>
      <c r="M430" s="88"/>
      <c r="N430" s="88"/>
      <c r="O430" s="91"/>
      <c r="P430" s="88"/>
      <c r="Q430" s="88"/>
      <c r="R430" s="91"/>
      <c r="S430" s="88"/>
      <c r="T430" s="88"/>
      <c r="U430" s="91"/>
      <c r="V430" s="88"/>
      <c r="W430" s="88"/>
      <c r="X430" s="91"/>
      <c r="Y430" s="88"/>
      <c r="Z430" s="88"/>
      <c r="AA430" s="91"/>
      <c r="AB430" s="88"/>
      <c r="AC430" s="88"/>
      <c r="AD430" s="91"/>
      <c r="AE430" s="88"/>
      <c r="AF430" s="88"/>
      <c r="AG430" s="91"/>
    </row>
    <row r="432" spans="1:33" ht="15.75" thickBot="1" x14ac:dyDescent="0.3"/>
    <row r="433" spans="1:33" ht="15.75" thickBot="1" x14ac:dyDescent="0.3">
      <c r="A433" s="68" t="s">
        <v>108</v>
      </c>
      <c r="B433" s="68"/>
      <c r="D433" s="52" t="s">
        <v>27</v>
      </c>
      <c r="E433" s="52"/>
      <c r="F433" s="52"/>
      <c r="G433" s="73" t="s">
        <v>28</v>
      </c>
      <c r="H433" s="73"/>
      <c r="I433" s="73"/>
      <c r="J433" s="52" t="s">
        <v>29</v>
      </c>
      <c r="K433" s="52"/>
      <c r="L433" s="52"/>
      <c r="M433" s="73" t="s">
        <v>30</v>
      </c>
      <c r="N433" s="73"/>
      <c r="O433" s="73"/>
      <c r="P433" s="52" t="s">
        <v>31</v>
      </c>
      <c r="Q433" s="52"/>
      <c r="R433" s="52"/>
      <c r="S433" s="73" t="s">
        <v>32</v>
      </c>
      <c r="T433" s="73"/>
      <c r="U433" s="73"/>
      <c r="V433" s="52" t="s">
        <v>33</v>
      </c>
      <c r="W433" s="52"/>
      <c r="X433" s="52"/>
      <c r="Y433" s="73" t="s">
        <v>34</v>
      </c>
      <c r="Z433" s="73"/>
      <c r="AA433" s="73"/>
      <c r="AB433" s="52" t="s">
        <v>35</v>
      </c>
      <c r="AC433" s="52"/>
      <c r="AD433" s="52"/>
      <c r="AE433" s="73" t="s">
        <v>36</v>
      </c>
      <c r="AF433" s="73"/>
      <c r="AG433" s="73"/>
    </row>
    <row r="434" spans="1:33" ht="15.75" thickBot="1" x14ac:dyDescent="0.3">
      <c r="A434" s="68"/>
      <c r="B434" s="68"/>
      <c r="C434" s="105" t="s">
        <v>243</v>
      </c>
      <c r="D434" s="75">
        <v>0</v>
      </c>
      <c r="E434" s="75"/>
      <c r="F434" s="76"/>
      <c r="G434" s="74">
        <v>0</v>
      </c>
      <c r="H434" s="75"/>
      <c r="I434" s="76"/>
      <c r="J434" s="74">
        <v>0</v>
      </c>
      <c r="K434" s="75"/>
      <c r="L434" s="76"/>
      <c r="M434" s="74">
        <v>0</v>
      </c>
      <c r="N434" s="75"/>
      <c r="O434" s="76"/>
      <c r="P434" s="74">
        <v>0</v>
      </c>
      <c r="Q434" s="75"/>
      <c r="R434" s="76"/>
      <c r="S434" s="74">
        <v>0</v>
      </c>
      <c r="T434" s="75"/>
      <c r="U434" s="76"/>
      <c r="V434" s="74">
        <v>0</v>
      </c>
      <c r="W434" s="75"/>
      <c r="X434" s="76"/>
      <c r="Y434" s="74">
        <v>0</v>
      </c>
      <c r="Z434" s="75"/>
      <c r="AA434" s="76"/>
      <c r="AB434" s="74">
        <v>0</v>
      </c>
      <c r="AC434" s="75"/>
      <c r="AD434" s="76"/>
      <c r="AE434" s="74">
        <v>0</v>
      </c>
      <c r="AF434" s="75"/>
      <c r="AG434" s="76"/>
    </row>
    <row r="435" spans="1:33" ht="15.75" thickBot="1" x14ac:dyDescent="0.3">
      <c r="A435" s="68"/>
      <c r="B435" s="68"/>
      <c r="C435" s="106" t="s">
        <v>244</v>
      </c>
      <c r="D435" s="82">
        <v>0</v>
      </c>
      <c r="E435" s="82"/>
      <c r="F435" s="84"/>
      <c r="G435" s="85">
        <v>0</v>
      </c>
      <c r="H435" s="82"/>
      <c r="I435" s="84"/>
      <c r="J435" s="85">
        <v>0</v>
      </c>
      <c r="K435" s="82"/>
      <c r="L435" s="84"/>
      <c r="M435" s="85">
        <v>0</v>
      </c>
      <c r="N435" s="82"/>
      <c r="O435" s="82"/>
      <c r="P435" s="81">
        <v>0</v>
      </c>
      <c r="Q435" s="82"/>
      <c r="R435" s="83"/>
      <c r="S435" s="82">
        <v>0</v>
      </c>
      <c r="T435" s="82"/>
      <c r="U435" s="84"/>
      <c r="V435" s="85">
        <v>0</v>
      </c>
      <c r="W435" s="82"/>
      <c r="X435" s="84"/>
      <c r="Y435" s="85">
        <v>0</v>
      </c>
      <c r="Z435" s="82"/>
      <c r="AA435" s="84"/>
      <c r="AB435" s="85">
        <v>0</v>
      </c>
      <c r="AC435" s="82"/>
      <c r="AD435" s="84"/>
      <c r="AE435" s="85">
        <v>0</v>
      </c>
      <c r="AF435" s="82"/>
      <c r="AG435" s="84"/>
    </row>
    <row r="436" spans="1:33" ht="15.75" thickBot="1" x14ac:dyDescent="0.3">
      <c r="A436" s="68"/>
      <c r="B436" s="68"/>
      <c r="C436" s="107" t="s">
        <v>37</v>
      </c>
      <c r="D436" s="104"/>
      <c r="E436" s="86"/>
      <c r="F436" s="89"/>
      <c r="G436" s="86"/>
      <c r="H436" s="86"/>
      <c r="I436" s="89"/>
      <c r="J436" s="86"/>
      <c r="K436" s="86"/>
      <c r="L436" s="89"/>
      <c r="M436" s="86"/>
      <c r="N436" s="86"/>
      <c r="O436" s="89"/>
      <c r="P436" s="86"/>
      <c r="Q436" s="86"/>
      <c r="R436" s="89"/>
      <c r="S436" s="86"/>
      <c r="T436" s="86"/>
      <c r="U436" s="89"/>
      <c r="V436" s="86"/>
      <c r="W436" s="86"/>
      <c r="X436" s="89"/>
      <c r="Y436" s="86"/>
      <c r="Z436" s="86"/>
      <c r="AA436" s="89"/>
      <c r="AB436" s="86"/>
      <c r="AC436" s="86"/>
      <c r="AD436" s="89"/>
      <c r="AE436" s="86"/>
      <c r="AF436" s="86"/>
      <c r="AG436" s="89"/>
    </row>
    <row r="437" spans="1:33" ht="15.75" thickBot="1" x14ac:dyDescent="0.3">
      <c r="A437" s="68"/>
      <c r="B437" s="68"/>
      <c r="D437" s="87"/>
      <c r="E437" s="87"/>
      <c r="F437" s="90"/>
      <c r="G437" s="87"/>
      <c r="H437" s="87"/>
      <c r="I437" s="90"/>
      <c r="J437" s="87"/>
      <c r="K437" s="87"/>
      <c r="L437" s="90"/>
      <c r="M437" s="87"/>
      <c r="N437" s="87"/>
      <c r="O437" s="90"/>
      <c r="P437" s="87"/>
      <c r="Q437" s="87"/>
      <c r="R437" s="90"/>
      <c r="S437" s="87"/>
      <c r="T437" s="87"/>
      <c r="U437" s="90"/>
      <c r="V437" s="87"/>
      <c r="W437" s="87"/>
      <c r="X437" s="90"/>
      <c r="Y437" s="87"/>
      <c r="Z437" s="87"/>
      <c r="AA437" s="90"/>
      <c r="AB437" s="87"/>
      <c r="AC437" s="87"/>
      <c r="AD437" s="90"/>
      <c r="AE437" s="87"/>
      <c r="AF437" s="87"/>
      <c r="AG437" s="90"/>
    </row>
    <row r="438" spans="1:33" ht="15.75" thickBot="1" x14ac:dyDescent="0.3">
      <c r="A438" s="68"/>
      <c r="B438" s="68"/>
      <c r="D438" s="88"/>
      <c r="E438" s="88"/>
      <c r="F438" s="91"/>
      <c r="G438" s="88"/>
      <c r="H438" s="88"/>
      <c r="I438" s="91"/>
      <c r="J438" s="88"/>
      <c r="K438" s="88"/>
      <c r="L438" s="91"/>
      <c r="M438" s="88"/>
      <c r="N438" s="88"/>
      <c r="O438" s="91"/>
      <c r="P438" s="88"/>
      <c r="Q438" s="88"/>
      <c r="R438" s="91"/>
      <c r="S438" s="88"/>
      <c r="T438" s="88"/>
      <c r="U438" s="91"/>
      <c r="V438" s="88"/>
      <c r="W438" s="88"/>
      <c r="X438" s="91"/>
      <c r="Y438" s="88"/>
      <c r="Z438" s="88"/>
      <c r="AA438" s="91"/>
      <c r="AB438" s="88"/>
      <c r="AC438" s="88"/>
      <c r="AD438" s="91"/>
      <c r="AE438" s="88"/>
      <c r="AF438" s="88"/>
      <c r="AG438" s="91"/>
    </row>
    <row r="440" spans="1:33" ht="15.75" thickBot="1" x14ac:dyDescent="0.3"/>
    <row r="441" spans="1:33" ht="15.75" thickBot="1" x14ac:dyDescent="0.3">
      <c r="A441" s="68" t="s">
        <v>109</v>
      </c>
      <c r="B441" s="68"/>
      <c r="D441" s="52" t="s">
        <v>27</v>
      </c>
      <c r="E441" s="52"/>
      <c r="F441" s="52"/>
      <c r="G441" s="73" t="s">
        <v>28</v>
      </c>
      <c r="H441" s="73"/>
      <c r="I441" s="73"/>
      <c r="J441" s="52" t="s">
        <v>29</v>
      </c>
      <c r="K441" s="52"/>
      <c r="L441" s="52"/>
      <c r="M441" s="73" t="s">
        <v>30</v>
      </c>
      <c r="N441" s="73"/>
      <c r="O441" s="73"/>
      <c r="P441" s="52" t="s">
        <v>31</v>
      </c>
      <c r="Q441" s="52"/>
      <c r="R441" s="52"/>
      <c r="S441" s="73" t="s">
        <v>32</v>
      </c>
      <c r="T441" s="73"/>
      <c r="U441" s="73"/>
      <c r="V441" s="52" t="s">
        <v>33</v>
      </c>
      <c r="W441" s="52"/>
      <c r="X441" s="52"/>
      <c r="Y441" s="73" t="s">
        <v>34</v>
      </c>
      <c r="Z441" s="73"/>
      <c r="AA441" s="73"/>
      <c r="AB441" s="52" t="s">
        <v>35</v>
      </c>
      <c r="AC441" s="52"/>
      <c r="AD441" s="52"/>
      <c r="AE441" s="73" t="s">
        <v>36</v>
      </c>
      <c r="AF441" s="73"/>
      <c r="AG441" s="73"/>
    </row>
    <row r="442" spans="1:33" ht="15.75" thickBot="1" x14ac:dyDescent="0.3">
      <c r="A442" s="68"/>
      <c r="B442" s="68"/>
      <c r="C442" s="105" t="s">
        <v>243</v>
      </c>
      <c r="D442" s="75">
        <v>0</v>
      </c>
      <c r="E442" s="75"/>
      <c r="F442" s="76"/>
      <c r="G442" s="74">
        <v>0</v>
      </c>
      <c r="H442" s="75"/>
      <c r="I442" s="76"/>
      <c r="J442" s="74">
        <v>0</v>
      </c>
      <c r="K442" s="75"/>
      <c r="L442" s="76"/>
      <c r="M442" s="74">
        <v>0</v>
      </c>
      <c r="N442" s="75"/>
      <c r="O442" s="76"/>
      <c r="P442" s="74">
        <v>0</v>
      </c>
      <c r="Q442" s="75"/>
      <c r="R442" s="76"/>
      <c r="S442" s="74">
        <v>0</v>
      </c>
      <c r="T442" s="75"/>
      <c r="U442" s="76"/>
      <c r="V442" s="74">
        <v>0</v>
      </c>
      <c r="W442" s="75"/>
      <c r="X442" s="76"/>
      <c r="Y442" s="74">
        <v>0</v>
      </c>
      <c r="Z442" s="75"/>
      <c r="AA442" s="76"/>
      <c r="AB442" s="74">
        <v>0</v>
      </c>
      <c r="AC442" s="75"/>
      <c r="AD442" s="76"/>
      <c r="AE442" s="74">
        <v>0</v>
      </c>
      <c r="AF442" s="75"/>
      <c r="AG442" s="76"/>
    </row>
    <row r="443" spans="1:33" ht="15.75" thickBot="1" x14ac:dyDescent="0.3">
      <c r="A443" s="68"/>
      <c r="B443" s="68"/>
      <c r="C443" s="106" t="s">
        <v>244</v>
      </c>
      <c r="D443" s="82">
        <v>0</v>
      </c>
      <c r="E443" s="82"/>
      <c r="F443" s="84"/>
      <c r="G443" s="85">
        <v>0</v>
      </c>
      <c r="H443" s="82"/>
      <c r="I443" s="84"/>
      <c r="J443" s="85">
        <v>0</v>
      </c>
      <c r="K443" s="82"/>
      <c r="L443" s="84"/>
      <c r="M443" s="85">
        <v>0</v>
      </c>
      <c r="N443" s="82"/>
      <c r="O443" s="82"/>
      <c r="P443" s="81">
        <v>0</v>
      </c>
      <c r="Q443" s="82"/>
      <c r="R443" s="83"/>
      <c r="S443" s="82">
        <v>0</v>
      </c>
      <c r="T443" s="82"/>
      <c r="U443" s="84"/>
      <c r="V443" s="85">
        <v>0</v>
      </c>
      <c r="W443" s="82"/>
      <c r="X443" s="84"/>
      <c r="Y443" s="85">
        <v>0</v>
      </c>
      <c r="Z443" s="82"/>
      <c r="AA443" s="84"/>
      <c r="AB443" s="85">
        <v>0</v>
      </c>
      <c r="AC443" s="82"/>
      <c r="AD443" s="84"/>
      <c r="AE443" s="85">
        <v>0</v>
      </c>
      <c r="AF443" s="82"/>
      <c r="AG443" s="84"/>
    </row>
    <row r="444" spans="1:33" ht="15.75" thickBot="1" x14ac:dyDescent="0.3">
      <c r="A444" s="68"/>
      <c r="B444" s="68"/>
      <c r="C444" s="107" t="s">
        <v>37</v>
      </c>
      <c r="D444" s="104"/>
      <c r="E444" s="86"/>
      <c r="F444" s="89"/>
      <c r="G444" s="86"/>
      <c r="H444" s="86"/>
      <c r="I444" s="89"/>
      <c r="J444" s="86"/>
      <c r="K444" s="86"/>
      <c r="L444" s="89"/>
      <c r="M444" s="86"/>
      <c r="N444" s="86"/>
      <c r="O444" s="89"/>
      <c r="P444" s="86"/>
      <c r="Q444" s="86"/>
      <c r="R444" s="89"/>
      <c r="S444" s="86"/>
      <c r="T444" s="86"/>
      <c r="U444" s="89"/>
      <c r="V444" s="86"/>
      <c r="W444" s="86"/>
      <c r="X444" s="89"/>
      <c r="Y444" s="86"/>
      <c r="Z444" s="86"/>
      <c r="AA444" s="89"/>
      <c r="AB444" s="86"/>
      <c r="AC444" s="86"/>
      <c r="AD444" s="89"/>
      <c r="AE444" s="86"/>
      <c r="AF444" s="86"/>
      <c r="AG444" s="89"/>
    </row>
    <row r="445" spans="1:33" ht="15.75" thickBot="1" x14ac:dyDescent="0.3">
      <c r="A445" s="68"/>
      <c r="B445" s="68"/>
      <c r="D445" s="87"/>
      <c r="E445" s="87"/>
      <c r="F445" s="90"/>
      <c r="G445" s="87"/>
      <c r="H445" s="87"/>
      <c r="I445" s="90"/>
      <c r="J445" s="87"/>
      <c r="K445" s="87"/>
      <c r="L445" s="90"/>
      <c r="M445" s="87"/>
      <c r="N445" s="87"/>
      <c r="O445" s="90"/>
      <c r="P445" s="87"/>
      <c r="Q445" s="87"/>
      <c r="R445" s="90"/>
      <c r="S445" s="87"/>
      <c r="T445" s="87"/>
      <c r="U445" s="90"/>
      <c r="V445" s="87"/>
      <c r="W445" s="87"/>
      <c r="X445" s="90"/>
      <c r="Y445" s="87"/>
      <c r="Z445" s="87"/>
      <c r="AA445" s="90"/>
      <c r="AB445" s="87"/>
      <c r="AC445" s="87"/>
      <c r="AD445" s="90"/>
      <c r="AE445" s="87"/>
      <c r="AF445" s="87"/>
      <c r="AG445" s="90"/>
    </row>
    <row r="446" spans="1:33" ht="15.75" thickBot="1" x14ac:dyDescent="0.3">
      <c r="A446" s="68"/>
      <c r="B446" s="68"/>
      <c r="D446" s="88"/>
      <c r="E446" s="88"/>
      <c r="F446" s="91"/>
      <c r="G446" s="88"/>
      <c r="H446" s="88"/>
      <c r="I446" s="91"/>
      <c r="J446" s="88"/>
      <c r="K446" s="88"/>
      <c r="L446" s="91"/>
      <c r="M446" s="88"/>
      <c r="N446" s="88"/>
      <c r="O446" s="91"/>
      <c r="P446" s="88"/>
      <c r="Q446" s="88"/>
      <c r="R446" s="91"/>
      <c r="S446" s="88"/>
      <c r="T446" s="88"/>
      <c r="U446" s="91"/>
      <c r="V446" s="88"/>
      <c r="W446" s="88"/>
      <c r="X446" s="91"/>
      <c r="Y446" s="88"/>
      <c r="Z446" s="88"/>
      <c r="AA446" s="91"/>
      <c r="AB446" s="88"/>
      <c r="AC446" s="88"/>
      <c r="AD446" s="91"/>
      <c r="AE446" s="88"/>
      <c r="AF446" s="88"/>
      <c r="AG446" s="91"/>
    </row>
    <row r="448" spans="1:33" ht="15.75" thickBot="1" x14ac:dyDescent="0.3"/>
    <row r="449" spans="1:33" ht="15.75" thickBot="1" x14ac:dyDescent="0.3">
      <c r="A449" s="68" t="s">
        <v>110</v>
      </c>
      <c r="B449" s="68"/>
      <c r="D449" s="52" t="s">
        <v>27</v>
      </c>
      <c r="E449" s="52"/>
      <c r="F449" s="52"/>
      <c r="G449" s="73" t="s">
        <v>28</v>
      </c>
      <c r="H449" s="73"/>
      <c r="I449" s="73"/>
      <c r="J449" s="52" t="s">
        <v>29</v>
      </c>
      <c r="K449" s="52"/>
      <c r="L449" s="52"/>
      <c r="M449" s="73" t="s">
        <v>30</v>
      </c>
      <c r="N449" s="73"/>
      <c r="O449" s="73"/>
      <c r="P449" s="52" t="s">
        <v>31</v>
      </c>
      <c r="Q449" s="52"/>
      <c r="R449" s="52"/>
      <c r="S449" s="73" t="s">
        <v>32</v>
      </c>
      <c r="T449" s="73"/>
      <c r="U449" s="73"/>
      <c r="V449" s="52" t="s">
        <v>33</v>
      </c>
      <c r="W449" s="52"/>
      <c r="X449" s="52"/>
      <c r="Y449" s="73" t="s">
        <v>34</v>
      </c>
      <c r="Z449" s="73"/>
      <c r="AA449" s="73"/>
      <c r="AB449" s="52" t="s">
        <v>35</v>
      </c>
      <c r="AC449" s="52"/>
      <c r="AD449" s="52"/>
      <c r="AE449" s="73" t="s">
        <v>36</v>
      </c>
      <c r="AF449" s="73"/>
      <c r="AG449" s="73"/>
    </row>
    <row r="450" spans="1:33" ht="15.75" thickBot="1" x14ac:dyDescent="0.3">
      <c r="A450" s="68"/>
      <c r="B450" s="68"/>
      <c r="C450" s="105" t="s">
        <v>243</v>
      </c>
      <c r="D450" s="75">
        <v>0</v>
      </c>
      <c r="E450" s="75"/>
      <c r="F450" s="76"/>
      <c r="G450" s="74">
        <v>0</v>
      </c>
      <c r="H450" s="75"/>
      <c r="I450" s="76"/>
      <c r="J450" s="74">
        <v>0</v>
      </c>
      <c r="K450" s="75"/>
      <c r="L450" s="76"/>
      <c r="M450" s="74">
        <v>0</v>
      </c>
      <c r="N450" s="75"/>
      <c r="O450" s="76"/>
      <c r="P450" s="74">
        <v>0</v>
      </c>
      <c r="Q450" s="75"/>
      <c r="R450" s="76"/>
      <c r="S450" s="74">
        <v>0</v>
      </c>
      <c r="T450" s="75"/>
      <c r="U450" s="76"/>
      <c r="V450" s="74">
        <v>0</v>
      </c>
      <c r="W450" s="75"/>
      <c r="X450" s="76"/>
      <c r="Y450" s="74">
        <v>0</v>
      </c>
      <c r="Z450" s="75"/>
      <c r="AA450" s="76"/>
      <c r="AB450" s="74">
        <v>0</v>
      </c>
      <c r="AC450" s="75"/>
      <c r="AD450" s="76"/>
      <c r="AE450" s="74">
        <v>0</v>
      </c>
      <c r="AF450" s="75"/>
      <c r="AG450" s="76"/>
    </row>
    <row r="451" spans="1:33" ht="15.75" thickBot="1" x14ac:dyDescent="0.3">
      <c r="A451" s="68"/>
      <c r="B451" s="68"/>
      <c r="C451" s="106" t="s">
        <v>244</v>
      </c>
      <c r="D451" s="82">
        <v>0</v>
      </c>
      <c r="E451" s="82"/>
      <c r="F451" s="84"/>
      <c r="G451" s="85">
        <v>0</v>
      </c>
      <c r="H451" s="82"/>
      <c r="I451" s="84"/>
      <c r="J451" s="85">
        <v>0</v>
      </c>
      <c r="K451" s="82"/>
      <c r="L451" s="84"/>
      <c r="M451" s="85">
        <v>0</v>
      </c>
      <c r="N451" s="82"/>
      <c r="O451" s="82"/>
      <c r="P451" s="81">
        <v>0</v>
      </c>
      <c r="Q451" s="82"/>
      <c r="R451" s="83"/>
      <c r="S451" s="82">
        <v>0</v>
      </c>
      <c r="T451" s="82"/>
      <c r="U451" s="84"/>
      <c r="V451" s="85">
        <v>0</v>
      </c>
      <c r="W451" s="82"/>
      <c r="X451" s="84"/>
      <c r="Y451" s="85">
        <v>0</v>
      </c>
      <c r="Z451" s="82"/>
      <c r="AA451" s="84"/>
      <c r="AB451" s="85">
        <v>0</v>
      </c>
      <c r="AC451" s="82"/>
      <c r="AD451" s="84"/>
      <c r="AE451" s="85">
        <v>0</v>
      </c>
      <c r="AF451" s="82"/>
      <c r="AG451" s="84"/>
    </row>
    <row r="452" spans="1:33" ht="15.75" thickBot="1" x14ac:dyDescent="0.3">
      <c r="A452" s="68"/>
      <c r="B452" s="68"/>
      <c r="C452" s="107" t="s">
        <v>37</v>
      </c>
      <c r="D452" s="104"/>
      <c r="E452" s="86"/>
      <c r="F452" s="89"/>
      <c r="G452" s="86"/>
      <c r="H452" s="86"/>
      <c r="I452" s="89"/>
      <c r="J452" s="86"/>
      <c r="K452" s="86"/>
      <c r="L452" s="89"/>
      <c r="M452" s="86"/>
      <c r="N452" s="86"/>
      <c r="O452" s="89"/>
      <c r="P452" s="86"/>
      <c r="Q452" s="86"/>
      <c r="R452" s="89"/>
      <c r="S452" s="86"/>
      <c r="T452" s="86"/>
      <c r="U452" s="89"/>
      <c r="V452" s="86"/>
      <c r="W452" s="86"/>
      <c r="X452" s="89"/>
      <c r="Y452" s="86"/>
      <c r="Z452" s="86"/>
      <c r="AA452" s="89"/>
      <c r="AB452" s="86"/>
      <c r="AC452" s="86"/>
      <c r="AD452" s="89"/>
      <c r="AE452" s="86"/>
      <c r="AF452" s="86"/>
      <c r="AG452" s="89"/>
    </row>
    <row r="453" spans="1:33" ht="15.75" thickBot="1" x14ac:dyDescent="0.3">
      <c r="A453" s="68"/>
      <c r="B453" s="68"/>
      <c r="D453" s="87"/>
      <c r="E453" s="87"/>
      <c r="F453" s="90"/>
      <c r="G453" s="87"/>
      <c r="H453" s="87"/>
      <c r="I453" s="90"/>
      <c r="J453" s="87"/>
      <c r="K453" s="87"/>
      <c r="L453" s="90"/>
      <c r="M453" s="87"/>
      <c r="N453" s="87"/>
      <c r="O453" s="90"/>
      <c r="P453" s="87"/>
      <c r="Q453" s="87"/>
      <c r="R453" s="90"/>
      <c r="S453" s="87"/>
      <c r="T453" s="87"/>
      <c r="U453" s="90"/>
      <c r="V453" s="87"/>
      <c r="W453" s="87"/>
      <c r="X453" s="90"/>
      <c r="Y453" s="87"/>
      <c r="Z453" s="87"/>
      <c r="AA453" s="90"/>
      <c r="AB453" s="87"/>
      <c r="AC453" s="87"/>
      <c r="AD453" s="90"/>
      <c r="AE453" s="87"/>
      <c r="AF453" s="87"/>
      <c r="AG453" s="90"/>
    </row>
    <row r="454" spans="1:33" ht="15.75" thickBot="1" x14ac:dyDescent="0.3">
      <c r="A454" s="68"/>
      <c r="B454" s="68"/>
      <c r="D454" s="88"/>
      <c r="E454" s="88"/>
      <c r="F454" s="91"/>
      <c r="G454" s="88"/>
      <c r="H454" s="88"/>
      <c r="I454" s="91"/>
      <c r="J454" s="88"/>
      <c r="K454" s="88"/>
      <c r="L454" s="91"/>
      <c r="M454" s="88"/>
      <c r="N454" s="88"/>
      <c r="O454" s="91"/>
      <c r="P454" s="88"/>
      <c r="Q454" s="88"/>
      <c r="R454" s="91"/>
      <c r="S454" s="88"/>
      <c r="T454" s="88"/>
      <c r="U454" s="91"/>
      <c r="V454" s="88"/>
      <c r="W454" s="88"/>
      <c r="X454" s="91"/>
      <c r="Y454" s="88"/>
      <c r="Z454" s="88"/>
      <c r="AA454" s="91"/>
      <c r="AB454" s="88"/>
      <c r="AC454" s="88"/>
      <c r="AD454" s="91"/>
      <c r="AE454" s="88"/>
      <c r="AF454" s="88"/>
      <c r="AG454" s="91"/>
    </row>
    <row r="456" spans="1:33" ht="15.75" thickBot="1" x14ac:dyDescent="0.3"/>
    <row r="457" spans="1:33" ht="15.75" thickBot="1" x14ac:dyDescent="0.3">
      <c r="A457" s="68" t="s">
        <v>111</v>
      </c>
      <c r="B457" s="68"/>
      <c r="D457" s="52" t="s">
        <v>27</v>
      </c>
      <c r="E457" s="52"/>
      <c r="F457" s="52"/>
      <c r="G457" s="73" t="s">
        <v>28</v>
      </c>
      <c r="H457" s="73"/>
      <c r="I457" s="73"/>
      <c r="J457" s="52" t="s">
        <v>29</v>
      </c>
      <c r="K457" s="52"/>
      <c r="L457" s="52"/>
      <c r="M457" s="73" t="s">
        <v>30</v>
      </c>
      <c r="N457" s="73"/>
      <c r="O457" s="73"/>
      <c r="P457" s="52" t="s">
        <v>31</v>
      </c>
      <c r="Q457" s="52"/>
      <c r="R457" s="52"/>
      <c r="S457" s="73" t="s">
        <v>32</v>
      </c>
      <c r="T457" s="73"/>
      <c r="U457" s="73"/>
      <c r="V457" s="52" t="s">
        <v>33</v>
      </c>
      <c r="W457" s="52"/>
      <c r="X457" s="52"/>
      <c r="Y457" s="73" t="s">
        <v>34</v>
      </c>
      <c r="Z457" s="73"/>
      <c r="AA457" s="73"/>
      <c r="AB457" s="52" t="s">
        <v>35</v>
      </c>
      <c r="AC457" s="52"/>
      <c r="AD457" s="52"/>
      <c r="AE457" s="73" t="s">
        <v>36</v>
      </c>
      <c r="AF457" s="73"/>
      <c r="AG457" s="73"/>
    </row>
    <row r="458" spans="1:33" ht="15.75" thickBot="1" x14ac:dyDescent="0.3">
      <c r="A458" s="68"/>
      <c r="B458" s="68"/>
      <c r="C458" s="105" t="s">
        <v>243</v>
      </c>
      <c r="D458" s="75">
        <v>0</v>
      </c>
      <c r="E458" s="75"/>
      <c r="F458" s="76"/>
      <c r="G458" s="74">
        <v>0</v>
      </c>
      <c r="H458" s="75"/>
      <c r="I458" s="76"/>
      <c r="J458" s="74">
        <v>0</v>
      </c>
      <c r="K458" s="75"/>
      <c r="L458" s="76"/>
      <c r="M458" s="74">
        <v>0</v>
      </c>
      <c r="N458" s="75"/>
      <c r="O458" s="76"/>
      <c r="P458" s="74">
        <v>0</v>
      </c>
      <c r="Q458" s="75"/>
      <c r="R458" s="76"/>
      <c r="S458" s="74">
        <v>0</v>
      </c>
      <c r="T458" s="75"/>
      <c r="U458" s="76"/>
      <c r="V458" s="74">
        <v>0</v>
      </c>
      <c r="W458" s="75"/>
      <c r="X458" s="76"/>
      <c r="Y458" s="74">
        <v>0</v>
      </c>
      <c r="Z458" s="75"/>
      <c r="AA458" s="76"/>
      <c r="AB458" s="74">
        <v>0</v>
      </c>
      <c r="AC458" s="75"/>
      <c r="AD458" s="76"/>
      <c r="AE458" s="74">
        <v>0</v>
      </c>
      <c r="AF458" s="75"/>
      <c r="AG458" s="76"/>
    </row>
    <row r="459" spans="1:33" ht="15.75" thickBot="1" x14ac:dyDescent="0.3">
      <c r="A459" s="68"/>
      <c r="B459" s="68"/>
      <c r="C459" s="106" t="s">
        <v>244</v>
      </c>
      <c r="D459" s="82">
        <v>0</v>
      </c>
      <c r="E459" s="82"/>
      <c r="F459" s="84"/>
      <c r="G459" s="85">
        <v>0</v>
      </c>
      <c r="H459" s="82"/>
      <c r="I459" s="84"/>
      <c r="J459" s="85">
        <v>0</v>
      </c>
      <c r="K459" s="82"/>
      <c r="L459" s="84"/>
      <c r="M459" s="85">
        <v>0</v>
      </c>
      <c r="N459" s="82"/>
      <c r="O459" s="82"/>
      <c r="P459" s="81">
        <v>0</v>
      </c>
      <c r="Q459" s="82"/>
      <c r="R459" s="83"/>
      <c r="S459" s="82">
        <v>0</v>
      </c>
      <c r="T459" s="82"/>
      <c r="U459" s="84"/>
      <c r="V459" s="85">
        <v>0</v>
      </c>
      <c r="W459" s="82"/>
      <c r="X459" s="84"/>
      <c r="Y459" s="85">
        <v>0</v>
      </c>
      <c r="Z459" s="82"/>
      <c r="AA459" s="84"/>
      <c r="AB459" s="85">
        <v>0</v>
      </c>
      <c r="AC459" s="82"/>
      <c r="AD459" s="84"/>
      <c r="AE459" s="85">
        <v>0</v>
      </c>
      <c r="AF459" s="82"/>
      <c r="AG459" s="84"/>
    </row>
    <row r="460" spans="1:33" ht="15.75" thickBot="1" x14ac:dyDescent="0.3">
      <c r="A460" s="68"/>
      <c r="B460" s="68"/>
      <c r="C460" s="107" t="s">
        <v>37</v>
      </c>
      <c r="D460" s="104"/>
      <c r="E460" s="86"/>
      <c r="F460" s="89"/>
      <c r="G460" s="86"/>
      <c r="H460" s="86"/>
      <c r="I460" s="89"/>
      <c r="J460" s="86"/>
      <c r="K460" s="86"/>
      <c r="L460" s="89"/>
      <c r="M460" s="86"/>
      <c r="N460" s="86"/>
      <c r="O460" s="89"/>
      <c r="P460" s="86"/>
      <c r="Q460" s="86"/>
      <c r="R460" s="89"/>
      <c r="S460" s="86"/>
      <c r="T460" s="86"/>
      <c r="U460" s="89"/>
      <c r="V460" s="86"/>
      <c r="W460" s="86"/>
      <c r="X460" s="89"/>
      <c r="Y460" s="86"/>
      <c r="Z460" s="86"/>
      <c r="AA460" s="89"/>
      <c r="AB460" s="86"/>
      <c r="AC460" s="86"/>
      <c r="AD460" s="89"/>
      <c r="AE460" s="86"/>
      <c r="AF460" s="86"/>
      <c r="AG460" s="89"/>
    </row>
    <row r="461" spans="1:33" ht="15.75" thickBot="1" x14ac:dyDescent="0.3">
      <c r="A461" s="68"/>
      <c r="B461" s="68"/>
      <c r="D461" s="87"/>
      <c r="E461" s="87"/>
      <c r="F461" s="90"/>
      <c r="G461" s="87"/>
      <c r="H461" s="87"/>
      <c r="I461" s="90"/>
      <c r="J461" s="87"/>
      <c r="K461" s="87"/>
      <c r="L461" s="90"/>
      <c r="M461" s="87"/>
      <c r="N461" s="87"/>
      <c r="O461" s="90"/>
      <c r="P461" s="87"/>
      <c r="Q461" s="87"/>
      <c r="R461" s="90"/>
      <c r="S461" s="87"/>
      <c r="T461" s="87"/>
      <c r="U461" s="90"/>
      <c r="V461" s="87"/>
      <c r="W461" s="87"/>
      <c r="X461" s="90"/>
      <c r="Y461" s="87"/>
      <c r="Z461" s="87"/>
      <c r="AA461" s="90"/>
      <c r="AB461" s="87"/>
      <c r="AC461" s="87"/>
      <c r="AD461" s="90"/>
      <c r="AE461" s="87"/>
      <c r="AF461" s="87"/>
      <c r="AG461" s="90"/>
    </row>
    <row r="462" spans="1:33" ht="15.75" thickBot="1" x14ac:dyDescent="0.3">
      <c r="A462" s="68"/>
      <c r="B462" s="68"/>
      <c r="D462" s="88"/>
      <c r="E462" s="88"/>
      <c r="F462" s="91"/>
      <c r="G462" s="88"/>
      <c r="H462" s="88"/>
      <c r="I462" s="91"/>
      <c r="J462" s="88"/>
      <c r="K462" s="88"/>
      <c r="L462" s="91"/>
      <c r="M462" s="88"/>
      <c r="N462" s="88"/>
      <c r="O462" s="91"/>
      <c r="P462" s="88"/>
      <c r="Q462" s="88"/>
      <c r="R462" s="91"/>
      <c r="S462" s="88"/>
      <c r="T462" s="88"/>
      <c r="U462" s="91"/>
      <c r="V462" s="88"/>
      <c r="W462" s="88"/>
      <c r="X462" s="91"/>
      <c r="Y462" s="88"/>
      <c r="Z462" s="88"/>
      <c r="AA462" s="91"/>
      <c r="AB462" s="88"/>
      <c r="AC462" s="88"/>
      <c r="AD462" s="91"/>
      <c r="AE462" s="88"/>
      <c r="AF462" s="88"/>
      <c r="AG462" s="91"/>
    </row>
    <row r="464" spans="1:33" ht="15.75" thickBot="1" x14ac:dyDescent="0.3"/>
    <row r="465" spans="1:33" ht="15.75" thickBot="1" x14ac:dyDescent="0.3">
      <c r="A465" s="68" t="s">
        <v>112</v>
      </c>
      <c r="B465" s="68"/>
      <c r="D465" s="52" t="s">
        <v>27</v>
      </c>
      <c r="E465" s="52"/>
      <c r="F465" s="52"/>
      <c r="G465" s="73" t="s">
        <v>28</v>
      </c>
      <c r="H465" s="73"/>
      <c r="I465" s="73"/>
      <c r="J465" s="52" t="s">
        <v>29</v>
      </c>
      <c r="K465" s="52"/>
      <c r="L465" s="52"/>
      <c r="M465" s="73" t="s">
        <v>30</v>
      </c>
      <c r="N465" s="73"/>
      <c r="O465" s="73"/>
      <c r="P465" s="52" t="s">
        <v>31</v>
      </c>
      <c r="Q465" s="52"/>
      <c r="R465" s="52"/>
      <c r="S465" s="73" t="s">
        <v>32</v>
      </c>
      <c r="T465" s="73"/>
      <c r="U465" s="73"/>
      <c r="V465" s="52" t="s">
        <v>33</v>
      </c>
      <c r="W465" s="52"/>
      <c r="X465" s="52"/>
      <c r="Y465" s="73" t="s">
        <v>34</v>
      </c>
      <c r="Z465" s="73"/>
      <c r="AA465" s="73"/>
      <c r="AB465" s="52" t="s">
        <v>35</v>
      </c>
      <c r="AC465" s="52"/>
      <c r="AD465" s="52"/>
      <c r="AE465" s="73" t="s">
        <v>36</v>
      </c>
      <c r="AF465" s="73"/>
      <c r="AG465" s="73"/>
    </row>
    <row r="466" spans="1:33" ht="15.75" thickBot="1" x14ac:dyDescent="0.3">
      <c r="A466" s="68"/>
      <c r="B466" s="68"/>
      <c r="C466" s="105" t="s">
        <v>243</v>
      </c>
      <c r="D466" s="75">
        <v>0</v>
      </c>
      <c r="E466" s="75"/>
      <c r="F466" s="76"/>
      <c r="G466" s="74">
        <v>0</v>
      </c>
      <c r="H466" s="75"/>
      <c r="I466" s="76"/>
      <c r="J466" s="74">
        <v>0</v>
      </c>
      <c r="K466" s="75"/>
      <c r="L466" s="76"/>
      <c r="M466" s="74">
        <v>0</v>
      </c>
      <c r="N466" s="75"/>
      <c r="O466" s="76"/>
      <c r="P466" s="74">
        <v>0</v>
      </c>
      <c r="Q466" s="75"/>
      <c r="R466" s="76"/>
      <c r="S466" s="74">
        <v>0</v>
      </c>
      <c r="T466" s="75"/>
      <c r="U466" s="76"/>
      <c r="V466" s="74">
        <v>0</v>
      </c>
      <c r="W466" s="75"/>
      <c r="X466" s="76"/>
      <c r="Y466" s="74">
        <v>0</v>
      </c>
      <c r="Z466" s="75"/>
      <c r="AA466" s="76"/>
      <c r="AB466" s="74">
        <v>0</v>
      </c>
      <c r="AC466" s="75"/>
      <c r="AD466" s="76"/>
      <c r="AE466" s="74">
        <v>0</v>
      </c>
      <c r="AF466" s="75"/>
      <c r="AG466" s="76"/>
    </row>
    <row r="467" spans="1:33" ht="15.75" thickBot="1" x14ac:dyDescent="0.3">
      <c r="A467" s="68"/>
      <c r="B467" s="68"/>
      <c r="C467" s="106" t="s">
        <v>244</v>
      </c>
      <c r="D467" s="82">
        <v>0</v>
      </c>
      <c r="E467" s="82"/>
      <c r="F467" s="84"/>
      <c r="G467" s="85">
        <v>0</v>
      </c>
      <c r="H467" s="82"/>
      <c r="I467" s="84"/>
      <c r="J467" s="85">
        <v>0</v>
      </c>
      <c r="K467" s="82"/>
      <c r="L467" s="84"/>
      <c r="M467" s="85">
        <v>0</v>
      </c>
      <c r="N467" s="82"/>
      <c r="O467" s="82"/>
      <c r="P467" s="81">
        <v>0</v>
      </c>
      <c r="Q467" s="82"/>
      <c r="R467" s="83"/>
      <c r="S467" s="82">
        <v>0</v>
      </c>
      <c r="T467" s="82"/>
      <c r="U467" s="84"/>
      <c r="V467" s="85">
        <v>0</v>
      </c>
      <c r="W467" s="82"/>
      <c r="X467" s="84"/>
      <c r="Y467" s="85">
        <v>0</v>
      </c>
      <c r="Z467" s="82"/>
      <c r="AA467" s="84"/>
      <c r="AB467" s="85">
        <v>0</v>
      </c>
      <c r="AC467" s="82"/>
      <c r="AD467" s="84"/>
      <c r="AE467" s="85">
        <v>0</v>
      </c>
      <c r="AF467" s="82"/>
      <c r="AG467" s="84"/>
    </row>
    <row r="468" spans="1:33" ht="15.75" thickBot="1" x14ac:dyDescent="0.3">
      <c r="A468" s="68"/>
      <c r="B468" s="68"/>
      <c r="C468" s="107" t="s">
        <v>37</v>
      </c>
      <c r="D468" s="104"/>
      <c r="E468" s="86"/>
      <c r="F468" s="89"/>
      <c r="G468" s="86"/>
      <c r="H468" s="86"/>
      <c r="I468" s="89"/>
      <c r="J468" s="86"/>
      <c r="K468" s="86"/>
      <c r="L468" s="89"/>
      <c r="M468" s="86"/>
      <c r="N468" s="86"/>
      <c r="O468" s="89"/>
      <c r="P468" s="86"/>
      <c r="Q468" s="86"/>
      <c r="R468" s="89"/>
      <c r="S468" s="86"/>
      <c r="T468" s="86"/>
      <c r="U468" s="89"/>
      <c r="V468" s="86"/>
      <c r="W468" s="86"/>
      <c r="X468" s="89"/>
      <c r="Y468" s="86"/>
      <c r="Z468" s="86"/>
      <c r="AA468" s="89"/>
      <c r="AB468" s="86"/>
      <c r="AC468" s="86"/>
      <c r="AD468" s="89"/>
      <c r="AE468" s="86"/>
      <c r="AF468" s="86"/>
      <c r="AG468" s="89"/>
    </row>
    <row r="469" spans="1:33" ht="15.75" thickBot="1" x14ac:dyDescent="0.3">
      <c r="A469" s="68"/>
      <c r="B469" s="68"/>
      <c r="D469" s="87"/>
      <c r="E469" s="87"/>
      <c r="F469" s="90"/>
      <c r="G469" s="87"/>
      <c r="H469" s="87"/>
      <c r="I469" s="90"/>
      <c r="J469" s="87"/>
      <c r="K469" s="87"/>
      <c r="L469" s="90"/>
      <c r="M469" s="87"/>
      <c r="N469" s="87"/>
      <c r="O469" s="90"/>
      <c r="P469" s="87"/>
      <c r="Q469" s="87"/>
      <c r="R469" s="90"/>
      <c r="S469" s="87"/>
      <c r="T469" s="87"/>
      <c r="U469" s="90"/>
      <c r="V469" s="87"/>
      <c r="W469" s="87"/>
      <c r="X469" s="90"/>
      <c r="Y469" s="87"/>
      <c r="Z469" s="87"/>
      <c r="AA469" s="90"/>
      <c r="AB469" s="87"/>
      <c r="AC469" s="87"/>
      <c r="AD469" s="90"/>
      <c r="AE469" s="87"/>
      <c r="AF469" s="87"/>
      <c r="AG469" s="90"/>
    </row>
    <row r="470" spans="1:33" ht="15.75" thickBot="1" x14ac:dyDescent="0.3">
      <c r="A470" s="68"/>
      <c r="B470" s="68"/>
      <c r="D470" s="88"/>
      <c r="E470" s="88"/>
      <c r="F470" s="91"/>
      <c r="G470" s="88"/>
      <c r="H470" s="88"/>
      <c r="I470" s="91"/>
      <c r="J470" s="88"/>
      <c r="K470" s="88"/>
      <c r="L470" s="91"/>
      <c r="M470" s="88"/>
      <c r="N470" s="88"/>
      <c r="O470" s="91"/>
      <c r="P470" s="88"/>
      <c r="Q470" s="88"/>
      <c r="R470" s="91"/>
      <c r="S470" s="88"/>
      <c r="T470" s="88"/>
      <c r="U470" s="91"/>
      <c r="V470" s="88"/>
      <c r="W470" s="88"/>
      <c r="X470" s="91"/>
      <c r="Y470" s="88"/>
      <c r="Z470" s="88"/>
      <c r="AA470" s="91"/>
      <c r="AB470" s="88"/>
      <c r="AC470" s="88"/>
      <c r="AD470" s="91"/>
      <c r="AE470" s="88"/>
      <c r="AF470" s="88"/>
      <c r="AG470" s="91"/>
    </row>
    <row r="472" spans="1:33" ht="15.75" thickBot="1" x14ac:dyDescent="0.3"/>
    <row r="473" spans="1:33" ht="15.75" thickBot="1" x14ac:dyDescent="0.3">
      <c r="A473" s="68" t="s">
        <v>238</v>
      </c>
      <c r="B473" s="68"/>
      <c r="D473" s="52" t="s">
        <v>27</v>
      </c>
      <c r="E473" s="52"/>
      <c r="F473" s="52"/>
      <c r="G473" s="73" t="s">
        <v>28</v>
      </c>
      <c r="H473" s="73"/>
      <c r="I473" s="73"/>
      <c r="J473" s="52" t="s">
        <v>29</v>
      </c>
      <c r="K473" s="52"/>
      <c r="L473" s="52"/>
      <c r="M473" s="73" t="s">
        <v>30</v>
      </c>
      <c r="N473" s="73"/>
      <c r="O473" s="73"/>
      <c r="P473" s="52" t="s">
        <v>31</v>
      </c>
      <c r="Q473" s="52"/>
      <c r="R473" s="52"/>
      <c r="S473" s="73" t="s">
        <v>32</v>
      </c>
      <c r="T473" s="73"/>
      <c r="U473" s="73"/>
      <c r="V473" s="52" t="s">
        <v>33</v>
      </c>
      <c r="W473" s="52"/>
      <c r="X473" s="52"/>
      <c r="Y473" s="73" t="s">
        <v>34</v>
      </c>
      <c r="Z473" s="73"/>
      <c r="AA473" s="73"/>
      <c r="AB473" s="52" t="s">
        <v>35</v>
      </c>
      <c r="AC473" s="52"/>
      <c r="AD473" s="52"/>
      <c r="AE473" s="73" t="s">
        <v>36</v>
      </c>
      <c r="AF473" s="73"/>
      <c r="AG473" s="73"/>
    </row>
    <row r="474" spans="1:33" ht="15.75" thickBot="1" x14ac:dyDescent="0.3">
      <c r="A474" s="68"/>
      <c r="B474" s="68"/>
      <c r="C474" s="105" t="s">
        <v>243</v>
      </c>
      <c r="D474" s="75">
        <v>0</v>
      </c>
      <c r="E474" s="75"/>
      <c r="F474" s="76"/>
      <c r="G474" s="74">
        <v>0</v>
      </c>
      <c r="H474" s="75"/>
      <c r="I474" s="76"/>
      <c r="J474" s="74">
        <v>0</v>
      </c>
      <c r="K474" s="75"/>
      <c r="L474" s="76"/>
      <c r="M474" s="74">
        <v>0</v>
      </c>
      <c r="N474" s="75"/>
      <c r="O474" s="76"/>
      <c r="P474" s="74">
        <v>0</v>
      </c>
      <c r="Q474" s="75"/>
      <c r="R474" s="76"/>
      <c r="S474" s="74">
        <v>0</v>
      </c>
      <c r="T474" s="75"/>
      <c r="U474" s="76"/>
      <c r="V474" s="74">
        <v>0</v>
      </c>
      <c r="W474" s="75"/>
      <c r="X474" s="76"/>
      <c r="Y474" s="74">
        <v>0</v>
      </c>
      <c r="Z474" s="75"/>
      <c r="AA474" s="76"/>
      <c r="AB474" s="74">
        <v>0</v>
      </c>
      <c r="AC474" s="75"/>
      <c r="AD474" s="76"/>
      <c r="AE474" s="74">
        <v>0</v>
      </c>
      <c r="AF474" s="75"/>
      <c r="AG474" s="76"/>
    </row>
    <row r="475" spans="1:33" ht="15.75" thickBot="1" x14ac:dyDescent="0.3">
      <c r="A475" s="68"/>
      <c r="B475" s="68"/>
      <c r="C475" s="106" t="s">
        <v>244</v>
      </c>
      <c r="D475" s="82">
        <v>0</v>
      </c>
      <c r="E475" s="82"/>
      <c r="F475" s="84"/>
      <c r="G475" s="85">
        <v>0</v>
      </c>
      <c r="H475" s="82"/>
      <c r="I475" s="84"/>
      <c r="J475" s="85">
        <v>0</v>
      </c>
      <c r="K475" s="82"/>
      <c r="L475" s="84"/>
      <c r="M475" s="85">
        <v>0</v>
      </c>
      <c r="N475" s="82"/>
      <c r="O475" s="82"/>
      <c r="P475" s="81">
        <v>0</v>
      </c>
      <c r="Q475" s="82"/>
      <c r="R475" s="83"/>
      <c r="S475" s="82">
        <v>0</v>
      </c>
      <c r="T475" s="82"/>
      <c r="U475" s="84"/>
      <c r="V475" s="85">
        <v>0</v>
      </c>
      <c r="W475" s="82"/>
      <c r="X475" s="84"/>
      <c r="Y475" s="85">
        <v>0</v>
      </c>
      <c r="Z475" s="82"/>
      <c r="AA475" s="84"/>
      <c r="AB475" s="85">
        <v>0</v>
      </c>
      <c r="AC475" s="82"/>
      <c r="AD475" s="84"/>
      <c r="AE475" s="85">
        <v>0</v>
      </c>
      <c r="AF475" s="82"/>
      <c r="AG475" s="84"/>
    </row>
    <row r="476" spans="1:33" ht="15.75" thickBot="1" x14ac:dyDescent="0.3">
      <c r="A476" s="68"/>
      <c r="B476" s="68"/>
      <c r="C476" s="107" t="s">
        <v>37</v>
      </c>
      <c r="D476" s="104"/>
      <c r="E476" s="86"/>
      <c r="F476" s="89"/>
      <c r="G476" s="86"/>
      <c r="H476" s="86"/>
      <c r="I476" s="89"/>
      <c r="J476" s="86"/>
      <c r="K476" s="86"/>
      <c r="L476" s="89"/>
      <c r="M476" s="86"/>
      <c r="N476" s="86"/>
      <c r="O476" s="89"/>
      <c r="P476" s="86"/>
      <c r="Q476" s="86"/>
      <c r="R476" s="89"/>
      <c r="S476" s="86"/>
      <c r="T476" s="86"/>
      <c r="U476" s="89"/>
      <c r="V476" s="86"/>
      <c r="W476" s="86"/>
      <c r="X476" s="89"/>
      <c r="Y476" s="86"/>
      <c r="Z476" s="86"/>
      <c r="AA476" s="89"/>
      <c r="AB476" s="86"/>
      <c r="AC476" s="86"/>
      <c r="AD476" s="89"/>
      <c r="AE476" s="86"/>
      <c r="AF476" s="86"/>
      <c r="AG476" s="89"/>
    </row>
    <row r="477" spans="1:33" ht="15.75" thickBot="1" x14ac:dyDescent="0.3">
      <c r="A477" s="68"/>
      <c r="B477" s="68"/>
      <c r="D477" s="87"/>
      <c r="E477" s="87"/>
      <c r="F477" s="90"/>
      <c r="G477" s="87"/>
      <c r="H477" s="87"/>
      <c r="I477" s="90"/>
      <c r="J477" s="87"/>
      <c r="K477" s="87"/>
      <c r="L477" s="90"/>
      <c r="M477" s="87"/>
      <c r="N477" s="87"/>
      <c r="O477" s="90"/>
      <c r="P477" s="87"/>
      <c r="Q477" s="87"/>
      <c r="R477" s="90"/>
      <c r="S477" s="87"/>
      <c r="T477" s="87"/>
      <c r="U477" s="90"/>
      <c r="V477" s="87"/>
      <c r="W477" s="87"/>
      <c r="X477" s="90"/>
      <c r="Y477" s="87"/>
      <c r="Z477" s="87"/>
      <c r="AA477" s="90"/>
      <c r="AB477" s="87"/>
      <c r="AC477" s="87"/>
      <c r="AD477" s="90"/>
      <c r="AE477" s="87"/>
      <c r="AF477" s="87"/>
      <c r="AG477" s="90"/>
    </row>
    <row r="478" spans="1:33" ht="15.75" thickBot="1" x14ac:dyDescent="0.3">
      <c r="A478" s="68"/>
      <c r="B478" s="68"/>
      <c r="D478" s="88"/>
      <c r="E478" s="88"/>
      <c r="F478" s="91"/>
      <c r="G478" s="88"/>
      <c r="H478" s="88"/>
      <c r="I478" s="91"/>
      <c r="J478" s="88"/>
      <c r="K478" s="88"/>
      <c r="L478" s="91"/>
      <c r="M478" s="88"/>
      <c r="N478" s="88"/>
      <c r="O478" s="91"/>
      <c r="P478" s="88"/>
      <c r="Q478" s="88"/>
      <c r="R478" s="91"/>
      <c r="S478" s="88"/>
      <c r="T478" s="88"/>
      <c r="U478" s="91"/>
      <c r="V478" s="88"/>
      <c r="W478" s="88"/>
      <c r="X478" s="91"/>
      <c r="Y478" s="88"/>
      <c r="Z478" s="88"/>
      <c r="AA478" s="91"/>
      <c r="AB478" s="88"/>
      <c r="AC478" s="88"/>
      <c r="AD478" s="91"/>
      <c r="AE478" s="88"/>
      <c r="AF478" s="88"/>
      <c r="AG478" s="91"/>
    </row>
    <row r="480" spans="1:33" ht="15.75" thickBot="1" x14ac:dyDescent="0.3"/>
    <row r="481" spans="1:33" ht="15.75" thickBot="1" x14ac:dyDescent="0.3">
      <c r="A481" s="68" t="s">
        <v>269</v>
      </c>
      <c r="B481" s="68"/>
      <c r="D481" s="52" t="s">
        <v>27</v>
      </c>
      <c r="E481" s="52"/>
      <c r="F481" s="52"/>
      <c r="G481" s="73" t="s">
        <v>28</v>
      </c>
      <c r="H481" s="73"/>
      <c r="I481" s="73"/>
      <c r="J481" s="52" t="s">
        <v>29</v>
      </c>
      <c r="K481" s="52"/>
      <c r="L481" s="52"/>
      <c r="M481" s="73" t="s">
        <v>30</v>
      </c>
      <c r="N481" s="73"/>
      <c r="O481" s="73"/>
      <c r="P481" s="52" t="s">
        <v>31</v>
      </c>
      <c r="Q481" s="52"/>
      <c r="R481" s="52"/>
      <c r="S481" s="73" t="s">
        <v>32</v>
      </c>
      <c r="T481" s="73"/>
      <c r="U481" s="73"/>
      <c r="V481" s="52" t="s">
        <v>33</v>
      </c>
      <c r="W481" s="52"/>
      <c r="X481" s="52"/>
      <c r="Y481" s="73" t="s">
        <v>34</v>
      </c>
      <c r="Z481" s="73"/>
      <c r="AA481" s="73"/>
      <c r="AB481" s="52" t="s">
        <v>35</v>
      </c>
      <c r="AC481" s="52"/>
      <c r="AD481" s="52"/>
      <c r="AE481" s="73" t="s">
        <v>36</v>
      </c>
      <c r="AF481" s="73"/>
      <c r="AG481" s="73"/>
    </row>
    <row r="482" spans="1:33" ht="15.75" thickBot="1" x14ac:dyDescent="0.3">
      <c r="A482" s="68"/>
      <c r="B482" s="68"/>
      <c r="C482" s="105" t="s">
        <v>243</v>
      </c>
      <c r="D482" s="75">
        <v>0</v>
      </c>
      <c r="E482" s="75"/>
      <c r="F482" s="76"/>
      <c r="G482" s="74">
        <v>0</v>
      </c>
      <c r="H482" s="75"/>
      <c r="I482" s="76"/>
      <c r="J482" s="74">
        <v>0</v>
      </c>
      <c r="K482" s="75"/>
      <c r="L482" s="76"/>
      <c r="M482" s="74">
        <v>0</v>
      </c>
      <c r="N482" s="75"/>
      <c r="O482" s="76"/>
      <c r="P482" s="74">
        <v>0</v>
      </c>
      <c r="Q482" s="75"/>
      <c r="R482" s="76"/>
      <c r="S482" s="74">
        <v>0</v>
      </c>
      <c r="T482" s="75"/>
      <c r="U482" s="76"/>
      <c r="V482" s="74">
        <v>0</v>
      </c>
      <c r="W482" s="75"/>
      <c r="X482" s="76"/>
      <c r="Y482" s="74">
        <v>0</v>
      </c>
      <c r="Z482" s="75"/>
      <c r="AA482" s="76"/>
      <c r="AB482" s="74">
        <v>0</v>
      </c>
      <c r="AC482" s="75"/>
      <c r="AD482" s="76"/>
      <c r="AE482" s="74">
        <v>0</v>
      </c>
      <c r="AF482" s="75"/>
      <c r="AG482" s="76"/>
    </row>
    <row r="483" spans="1:33" ht="15.75" thickBot="1" x14ac:dyDescent="0.3">
      <c r="A483" s="68"/>
      <c r="B483" s="68"/>
      <c r="C483" s="106" t="s">
        <v>244</v>
      </c>
      <c r="D483" s="82">
        <v>0</v>
      </c>
      <c r="E483" s="82"/>
      <c r="F483" s="84"/>
      <c r="G483" s="85">
        <v>0</v>
      </c>
      <c r="H483" s="82"/>
      <c r="I483" s="84"/>
      <c r="J483" s="85">
        <v>0</v>
      </c>
      <c r="K483" s="82"/>
      <c r="L483" s="84"/>
      <c r="M483" s="85">
        <v>0</v>
      </c>
      <c r="N483" s="82"/>
      <c r="O483" s="82"/>
      <c r="P483" s="81">
        <v>0</v>
      </c>
      <c r="Q483" s="82"/>
      <c r="R483" s="83"/>
      <c r="S483" s="82">
        <v>0</v>
      </c>
      <c r="T483" s="82"/>
      <c r="U483" s="84"/>
      <c r="V483" s="85">
        <v>0</v>
      </c>
      <c r="W483" s="82"/>
      <c r="X483" s="84"/>
      <c r="Y483" s="85">
        <v>0</v>
      </c>
      <c r="Z483" s="82"/>
      <c r="AA483" s="84"/>
      <c r="AB483" s="85">
        <v>0</v>
      </c>
      <c r="AC483" s="82"/>
      <c r="AD483" s="84"/>
      <c r="AE483" s="85">
        <v>0</v>
      </c>
      <c r="AF483" s="82"/>
      <c r="AG483" s="84"/>
    </row>
    <row r="484" spans="1:33" ht="15.75" thickBot="1" x14ac:dyDescent="0.3">
      <c r="A484" s="68"/>
      <c r="B484" s="68"/>
      <c r="C484" s="107" t="s">
        <v>37</v>
      </c>
      <c r="D484" s="104"/>
      <c r="E484" s="86"/>
      <c r="F484" s="89"/>
      <c r="G484" s="86"/>
      <c r="H484" s="86"/>
      <c r="I484" s="89"/>
      <c r="J484" s="86"/>
      <c r="K484" s="86"/>
      <c r="L484" s="89"/>
      <c r="M484" s="86"/>
      <c r="N484" s="86"/>
      <c r="O484" s="89"/>
      <c r="P484" s="86"/>
      <c r="Q484" s="86"/>
      <c r="R484" s="89"/>
      <c r="S484" s="86"/>
      <c r="T484" s="86"/>
      <c r="U484" s="89"/>
      <c r="V484" s="86"/>
      <c r="W484" s="86"/>
      <c r="X484" s="89"/>
      <c r="Y484" s="86"/>
      <c r="Z484" s="86"/>
      <c r="AA484" s="89"/>
      <c r="AB484" s="86"/>
      <c r="AC484" s="86"/>
      <c r="AD484" s="89"/>
      <c r="AE484" s="86"/>
      <c r="AF484" s="86"/>
      <c r="AG484" s="89"/>
    </row>
    <row r="485" spans="1:33" ht="15.75" thickBot="1" x14ac:dyDescent="0.3">
      <c r="A485" s="68"/>
      <c r="B485" s="68"/>
      <c r="D485" s="87"/>
      <c r="E485" s="87"/>
      <c r="F485" s="90"/>
      <c r="G485" s="87"/>
      <c r="H485" s="87"/>
      <c r="I485" s="90"/>
      <c r="J485" s="87"/>
      <c r="K485" s="87"/>
      <c r="L485" s="90"/>
      <c r="M485" s="87"/>
      <c r="N485" s="87"/>
      <c r="O485" s="90"/>
      <c r="P485" s="87"/>
      <c r="Q485" s="87"/>
      <c r="R485" s="90"/>
      <c r="S485" s="87"/>
      <c r="T485" s="87"/>
      <c r="U485" s="90"/>
      <c r="V485" s="87"/>
      <c r="W485" s="87"/>
      <c r="X485" s="90"/>
      <c r="Y485" s="87"/>
      <c r="Z485" s="87"/>
      <c r="AA485" s="90"/>
      <c r="AB485" s="87"/>
      <c r="AC485" s="87"/>
      <c r="AD485" s="90"/>
      <c r="AE485" s="87"/>
      <c r="AF485" s="87"/>
      <c r="AG485" s="90"/>
    </row>
    <row r="486" spans="1:33" ht="15.75" thickBot="1" x14ac:dyDescent="0.3">
      <c r="A486" s="68"/>
      <c r="B486" s="68"/>
      <c r="D486" s="88"/>
      <c r="E486" s="88"/>
      <c r="F486" s="91"/>
      <c r="G486" s="88"/>
      <c r="H486" s="88"/>
      <c r="I486" s="91"/>
      <c r="J486" s="88"/>
      <c r="K486" s="88"/>
      <c r="L486" s="91"/>
      <c r="M486" s="88"/>
      <c r="N486" s="88"/>
      <c r="O486" s="91"/>
      <c r="P486" s="88"/>
      <c r="Q486" s="88"/>
      <c r="R486" s="91"/>
      <c r="S486" s="88"/>
      <c r="T486" s="88"/>
      <c r="U486" s="91"/>
      <c r="V486" s="88"/>
      <c r="W486" s="88"/>
      <c r="X486" s="91"/>
      <c r="Y486" s="88"/>
      <c r="Z486" s="88"/>
      <c r="AA486" s="91"/>
      <c r="AB486" s="88"/>
      <c r="AC486" s="88"/>
      <c r="AD486" s="91"/>
      <c r="AE486" s="88"/>
      <c r="AF486" s="88"/>
      <c r="AG486" s="91"/>
    </row>
    <row r="488" spans="1:33" ht="15.75" thickBot="1" x14ac:dyDescent="0.3"/>
    <row r="489" spans="1:33" ht="15.75" thickBot="1" x14ac:dyDescent="0.3">
      <c r="A489" s="68" t="s">
        <v>239</v>
      </c>
      <c r="B489" s="68"/>
      <c r="D489" s="52" t="s">
        <v>27</v>
      </c>
      <c r="E489" s="52"/>
      <c r="F489" s="52"/>
      <c r="G489" s="73" t="s">
        <v>28</v>
      </c>
      <c r="H489" s="73"/>
      <c r="I489" s="73"/>
      <c r="J489" s="52" t="s">
        <v>29</v>
      </c>
      <c r="K489" s="52"/>
      <c r="L489" s="52"/>
      <c r="M489" s="73" t="s">
        <v>30</v>
      </c>
      <c r="N489" s="73"/>
      <c r="O489" s="73"/>
      <c r="P489" s="52" t="s">
        <v>31</v>
      </c>
      <c r="Q489" s="52"/>
      <c r="R489" s="52"/>
      <c r="S489" s="73" t="s">
        <v>32</v>
      </c>
      <c r="T489" s="73"/>
      <c r="U489" s="73"/>
      <c r="V489" s="52" t="s">
        <v>33</v>
      </c>
      <c r="W489" s="52"/>
      <c r="X489" s="52"/>
      <c r="Y489" s="73" t="s">
        <v>34</v>
      </c>
      <c r="Z489" s="73"/>
      <c r="AA489" s="73"/>
      <c r="AB489" s="52" t="s">
        <v>35</v>
      </c>
      <c r="AC489" s="52"/>
      <c r="AD489" s="52"/>
      <c r="AE489" s="73" t="s">
        <v>36</v>
      </c>
      <c r="AF489" s="73"/>
      <c r="AG489" s="73"/>
    </row>
    <row r="490" spans="1:33" ht="15.75" thickBot="1" x14ac:dyDescent="0.3">
      <c r="A490" s="68"/>
      <c r="B490" s="68"/>
      <c r="C490" s="105" t="s">
        <v>243</v>
      </c>
      <c r="D490" s="75">
        <v>0</v>
      </c>
      <c r="E490" s="75"/>
      <c r="F490" s="76"/>
      <c r="G490" s="74">
        <v>0</v>
      </c>
      <c r="H490" s="75"/>
      <c r="I490" s="76"/>
      <c r="J490" s="74">
        <v>0</v>
      </c>
      <c r="K490" s="75"/>
      <c r="L490" s="76"/>
      <c r="M490" s="74">
        <v>0</v>
      </c>
      <c r="N490" s="75"/>
      <c r="O490" s="76"/>
      <c r="P490" s="74">
        <v>0</v>
      </c>
      <c r="Q490" s="75"/>
      <c r="R490" s="76"/>
      <c r="S490" s="74">
        <v>0</v>
      </c>
      <c r="T490" s="75"/>
      <c r="U490" s="76"/>
      <c r="V490" s="74">
        <v>0</v>
      </c>
      <c r="W490" s="75"/>
      <c r="X490" s="76"/>
      <c r="Y490" s="74">
        <v>0</v>
      </c>
      <c r="Z490" s="75"/>
      <c r="AA490" s="76"/>
      <c r="AB490" s="74">
        <v>0</v>
      </c>
      <c r="AC490" s="75"/>
      <c r="AD490" s="76"/>
      <c r="AE490" s="74">
        <v>0</v>
      </c>
      <c r="AF490" s="75"/>
      <c r="AG490" s="76"/>
    </row>
    <row r="491" spans="1:33" ht="15.75" thickBot="1" x14ac:dyDescent="0.3">
      <c r="A491" s="68"/>
      <c r="B491" s="68"/>
      <c r="C491" s="106" t="s">
        <v>244</v>
      </c>
      <c r="D491" s="82">
        <v>0</v>
      </c>
      <c r="E491" s="82"/>
      <c r="F491" s="84"/>
      <c r="G491" s="85">
        <v>0</v>
      </c>
      <c r="H491" s="82"/>
      <c r="I491" s="84"/>
      <c r="J491" s="85">
        <v>0</v>
      </c>
      <c r="K491" s="82"/>
      <c r="L491" s="84"/>
      <c r="M491" s="85">
        <v>0</v>
      </c>
      <c r="N491" s="82"/>
      <c r="O491" s="82"/>
      <c r="P491" s="81">
        <v>0</v>
      </c>
      <c r="Q491" s="82"/>
      <c r="R491" s="83"/>
      <c r="S491" s="82">
        <v>0</v>
      </c>
      <c r="T491" s="82"/>
      <c r="U491" s="84"/>
      <c r="V491" s="85">
        <v>0</v>
      </c>
      <c r="W491" s="82"/>
      <c r="X491" s="84"/>
      <c r="Y491" s="85">
        <v>0</v>
      </c>
      <c r="Z491" s="82"/>
      <c r="AA491" s="84"/>
      <c r="AB491" s="85">
        <v>0</v>
      </c>
      <c r="AC491" s="82"/>
      <c r="AD491" s="84"/>
      <c r="AE491" s="85">
        <v>0</v>
      </c>
      <c r="AF491" s="82"/>
      <c r="AG491" s="84"/>
    </row>
    <row r="492" spans="1:33" ht="15.75" thickBot="1" x14ac:dyDescent="0.3">
      <c r="A492" s="68"/>
      <c r="B492" s="68"/>
      <c r="C492" s="107" t="s">
        <v>37</v>
      </c>
      <c r="D492" s="104"/>
      <c r="E492" s="86"/>
      <c r="F492" s="89"/>
      <c r="G492" s="86"/>
      <c r="H492" s="86"/>
      <c r="I492" s="89"/>
      <c r="J492" s="86"/>
      <c r="K492" s="86"/>
      <c r="L492" s="89"/>
      <c r="M492" s="86"/>
      <c r="N492" s="86"/>
      <c r="O492" s="89"/>
      <c r="P492" s="86"/>
      <c r="Q492" s="86"/>
      <c r="R492" s="89"/>
      <c r="S492" s="86"/>
      <c r="T492" s="86"/>
      <c r="U492" s="89"/>
      <c r="V492" s="86"/>
      <c r="W492" s="86"/>
      <c r="X492" s="89"/>
      <c r="Y492" s="86"/>
      <c r="Z492" s="86"/>
      <c r="AA492" s="89"/>
      <c r="AB492" s="86"/>
      <c r="AC492" s="86"/>
      <c r="AD492" s="89"/>
      <c r="AE492" s="86"/>
      <c r="AF492" s="86"/>
      <c r="AG492" s="89"/>
    </row>
    <row r="493" spans="1:33" ht="15.75" thickBot="1" x14ac:dyDescent="0.3">
      <c r="A493" s="68"/>
      <c r="B493" s="68"/>
      <c r="D493" s="87"/>
      <c r="E493" s="87"/>
      <c r="F493" s="90"/>
      <c r="G493" s="87"/>
      <c r="H493" s="87"/>
      <c r="I493" s="90"/>
      <c r="J493" s="87"/>
      <c r="K493" s="87"/>
      <c r="L493" s="90"/>
      <c r="M493" s="87"/>
      <c r="N493" s="87"/>
      <c r="O493" s="90"/>
      <c r="P493" s="87"/>
      <c r="Q493" s="87"/>
      <c r="R493" s="90"/>
      <c r="S493" s="87"/>
      <c r="T493" s="87"/>
      <c r="U493" s="90"/>
      <c r="V493" s="87"/>
      <c r="W493" s="87"/>
      <c r="X493" s="90"/>
      <c r="Y493" s="87"/>
      <c r="Z493" s="87"/>
      <c r="AA493" s="90"/>
      <c r="AB493" s="87"/>
      <c r="AC493" s="87"/>
      <c r="AD493" s="90"/>
      <c r="AE493" s="87"/>
      <c r="AF493" s="87"/>
      <c r="AG493" s="90"/>
    </row>
    <row r="494" spans="1:33" ht="15.75" thickBot="1" x14ac:dyDescent="0.3">
      <c r="A494" s="68"/>
      <c r="B494" s="68"/>
      <c r="D494" s="88"/>
      <c r="E494" s="88"/>
      <c r="F494" s="91"/>
      <c r="G494" s="88"/>
      <c r="H494" s="88"/>
      <c r="I494" s="91"/>
      <c r="J494" s="88"/>
      <c r="K494" s="88"/>
      <c r="L494" s="91"/>
      <c r="M494" s="88"/>
      <c r="N494" s="88"/>
      <c r="O494" s="91"/>
      <c r="P494" s="88"/>
      <c r="Q494" s="88"/>
      <c r="R494" s="91"/>
      <c r="S494" s="88"/>
      <c r="T494" s="88"/>
      <c r="U494" s="91"/>
      <c r="V494" s="88"/>
      <c r="W494" s="88"/>
      <c r="X494" s="91"/>
      <c r="Y494" s="88"/>
      <c r="Z494" s="88"/>
      <c r="AA494" s="91"/>
      <c r="AB494" s="88"/>
      <c r="AC494" s="88"/>
      <c r="AD494" s="91"/>
      <c r="AE494" s="88"/>
      <c r="AF494" s="88"/>
      <c r="AG494" s="91"/>
    </row>
    <row r="496" spans="1:33" ht="15.75" thickBot="1" x14ac:dyDescent="0.3"/>
    <row r="497" spans="1:33" ht="15.75" thickBot="1" x14ac:dyDescent="0.3">
      <c r="A497" s="68" t="s">
        <v>270</v>
      </c>
      <c r="B497" s="68"/>
      <c r="D497" s="52" t="s">
        <v>27</v>
      </c>
      <c r="E497" s="52"/>
      <c r="F497" s="52"/>
      <c r="G497" s="73" t="s">
        <v>28</v>
      </c>
      <c r="H497" s="73"/>
      <c r="I497" s="73"/>
      <c r="J497" s="52" t="s">
        <v>29</v>
      </c>
      <c r="K497" s="52"/>
      <c r="L497" s="52"/>
      <c r="M497" s="73" t="s">
        <v>30</v>
      </c>
      <c r="N497" s="73"/>
      <c r="O497" s="73"/>
      <c r="P497" s="52" t="s">
        <v>31</v>
      </c>
      <c r="Q497" s="52"/>
      <c r="R497" s="52"/>
      <c r="S497" s="73" t="s">
        <v>32</v>
      </c>
      <c r="T497" s="73"/>
      <c r="U497" s="73"/>
      <c r="V497" s="52" t="s">
        <v>33</v>
      </c>
      <c r="W497" s="52"/>
      <c r="X497" s="52"/>
      <c r="Y497" s="73" t="s">
        <v>34</v>
      </c>
      <c r="Z497" s="73"/>
      <c r="AA497" s="73"/>
      <c r="AB497" s="52" t="s">
        <v>35</v>
      </c>
      <c r="AC497" s="52"/>
      <c r="AD497" s="52"/>
      <c r="AE497" s="73" t="s">
        <v>36</v>
      </c>
      <c r="AF497" s="73"/>
      <c r="AG497" s="73"/>
    </row>
    <row r="498" spans="1:33" ht="15.75" thickBot="1" x14ac:dyDescent="0.3">
      <c r="A498" s="68"/>
      <c r="B498" s="68"/>
      <c r="C498" s="105" t="s">
        <v>243</v>
      </c>
      <c r="D498" s="75">
        <v>0</v>
      </c>
      <c r="E498" s="75"/>
      <c r="F498" s="76"/>
      <c r="G498" s="74">
        <v>0</v>
      </c>
      <c r="H498" s="75"/>
      <c r="I498" s="76"/>
      <c r="J498" s="74">
        <v>0</v>
      </c>
      <c r="K498" s="75"/>
      <c r="L498" s="76"/>
      <c r="M498" s="74">
        <v>0</v>
      </c>
      <c r="N498" s="75"/>
      <c r="O498" s="76"/>
      <c r="P498" s="74">
        <v>0</v>
      </c>
      <c r="Q498" s="75"/>
      <c r="R498" s="76"/>
      <c r="S498" s="74">
        <v>0</v>
      </c>
      <c r="T498" s="75"/>
      <c r="U498" s="76"/>
      <c r="V498" s="74">
        <v>0</v>
      </c>
      <c r="W498" s="75"/>
      <c r="X498" s="76"/>
      <c r="Y498" s="74">
        <v>0</v>
      </c>
      <c r="Z498" s="75"/>
      <c r="AA498" s="76"/>
      <c r="AB498" s="74">
        <v>0</v>
      </c>
      <c r="AC498" s="75"/>
      <c r="AD498" s="76"/>
      <c r="AE498" s="74">
        <v>0</v>
      </c>
      <c r="AF498" s="75"/>
      <c r="AG498" s="76"/>
    </row>
    <row r="499" spans="1:33" ht="15.75" thickBot="1" x14ac:dyDescent="0.3">
      <c r="A499" s="68"/>
      <c r="B499" s="68"/>
      <c r="C499" s="106" t="s">
        <v>244</v>
      </c>
      <c r="D499" s="82">
        <v>0</v>
      </c>
      <c r="E499" s="82"/>
      <c r="F499" s="84"/>
      <c r="G499" s="85">
        <v>0</v>
      </c>
      <c r="H499" s="82"/>
      <c r="I499" s="84"/>
      <c r="J499" s="85">
        <v>0</v>
      </c>
      <c r="K499" s="82"/>
      <c r="L499" s="84"/>
      <c r="M499" s="85">
        <v>0</v>
      </c>
      <c r="N499" s="82"/>
      <c r="O499" s="82"/>
      <c r="P499" s="81">
        <v>0</v>
      </c>
      <c r="Q499" s="82"/>
      <c r="R499" s="83"/>
      <c r="S499" s="82">
        <v>0</v>
      </c>
      <c r="T499" s="82"/>
      <c r="U499" s="84"/>
      <c r="V499" s="85">
        <v>0</v>
      </c>
      <c r="W499" s="82"/>
      <c r="X499" s="84"/>
      <c r="Y499" s="85">
        <v>0</v>
      </c>
      <c r="Z499" s="82"/>
      <c r="AA499" s="84"/>
      <c r="AB499" s="85">
        <v>0</v>
      </c>
      <c r="AC499" s="82"/>
      <c r="AD499" s="84"/>
      <c r="AE499" s="85">
        <v>0</v>
      </c>
      <c r="AF499" s="82"/>
      <c r="AG499" s="84"/>
    </row>
    <row r="500" spans="1:33" ht="15.75" thickBot="1" x14ac:dyDescent="0.3">
      <c r="A500" s="68"/>
      <c r="B500" s="68"/>
      <c r="C500" s="107" t="s">
        <v>37</v>
      </c>
      <c r="D500" s="104"/>
      <c r="E500" s="86"/>
      <c r="F500" s="89"/>
      <c r="G500" s="86"/>
      <c r="H500" s="86"/>
      <c r="I500" s="89"/>
      <c r="J500" s="86"/>
      <c r="K500" s="86"/>
      <c r="L500" s="89"/>
      <c r="M500" s="86"/>
      <c r="N500" s="86"/>
      <c r="O500" s="89"/>
      <c r="P500" s="86"/>
      <c r="Q500" s="86"/>
      <c r="R500" s="89"/>
      <c r="S500" s="86"/>
      <c r="T500" s="86"/>
      <c r="U500" s="89"/>
      <c r="V500" s="86"/>
      <c r="W500" s="86"/>
      <c r="X500" s="89"/>
      <c r="Y500" s="86"/>
      <c r="Z500" s="86"/>
      <c r="AA500" s="89"/>
      <c r="AB500" s="86"/>
      <c r="AC500" s="86"/>
      <c r="AD500" s="89"/>
      <c r="AE500" s="86"/>
      <c r="AF500" s="86"/>
      <c r="AG500" s="89"/>
    </row>
    <row r="501" spans="1:33" ht="15.75" thickBot="1" x14ac:dyDescent="0.3">
      <c r="A501" s="68"/>
      <c r="B501" s="68"/>
      <c r="D501" s="87"/>
      <c r="E501" s="87"/>
      <c r="F501" s="90"/>
      <c r="G501" s="87"/>
      <c r="H501" s="87"/>
      <c r="I501" s="90"/>
      <c r="J501" s="87"/>
      <c r="K501" s="87"/>
      <c r="L501" s="90"/>
      <c r="M501" s="87"/>
      <c r="N501" s="87"/>
      <c r="O501" s="90"/>
      <c r="P501" s="87"/>
      <c r="Q501" s="87"/>
      <c r="R501" s="90"/>
      <c r="S501" s="87"/>
      <c r="T501" s="87"/>
      <c r="U501" s="90"/>
      <c r="V501" s="87"/>
      <c r="W501" s="87"/>
      <c r="X501" s="90"/>
      <c r="Y501" s="87"/>
      <c r="Z501" s="87"/>
      <c r="AA501" s="90"/>
      <c r="AB501" s="87"/>
      <c r="AC501" s="87"/>
      <c r="AD501" s="90"/>
      <c r="AE501" s="87"/>
      <c r="AF501" s="87"/>
      <c r="AG501" s="90"/>
    </row>
    <row r="502" spans="1:33" ht="15.75" thickBot="1" x14ac:dyDescent="0.3">
      <c r="A502" s="68"/>
      <c r="B502" s="68"/>
      <c r="D502" s="88"/>
      <c r="E502" s="88"/>
      <c r="F502" s="91"/>
      <c r="G502" s="88"/>
      <c r="H502" s="88"/>
      <c r="I502" s="91"/>
      <c r="J502" s="88"/>
      <c r="K502" s="88"/>
      <c r="L502" s="91"/>
      <c r="M502" s="88"/>
      <c r="N502" s="88"/>
      <c r="O502" s="91"/>
      <c r="P502" s="88"/>
      <c r="Q502" s="88"/>
      <c r="R502" s="91"/>
      <c r="S502" s="88"/>
      <c r="T502" s="88"/>
      <c r="U502" s="91"/>
      <c r="V502" s="88"/>
      <c r="W502" s="88"/>
      <c r="X502" s="91"/>
      <c r="Y502" s="88"/>
      <c r="Z502" s="88"/>
      <c r="AA502" s="91"/>
      <c r="AB502" s="88"/>
      <c r="AC502" s="88"/>
      <c r="AD502" s="91"/>
      <c r="AE502" s="88"/>
      <c r="AF502" s="88"/>
      <c r="AG502" s="91"/>
    </row>
    <row r="504" spans="1:33" ht="15.75" thickBot="1" x14ac:dyDescent="0.3"/>
    <row r="505" spans="1:33" ht="15.75" thickBot="1" x14ac:dyDescent="0.3">
      <c r="A505" s="68" t="s">
        <v>271</v>
      </c>
      <c r="B505" s="68"/>
      <c r="D505" s="52" t="s">
        <v>27</v>
      </c>
      <c r="E505" s="52"/>
      <c r="F505" s="52"/>
      <c r="G505" s="73" t="s">
        <v>28</v>
      </c>
      <c r="H505" s="73"/>
      <c r="I505" s="73"/>
      <c r="J505" s="52" t="s">
        <v>29</v>
      </c>
      <c r="K505" s="52"/>
      <c r="L505" s="52"/>
      <c r="M505" s="73" t="s">
        <v>30</v>
      </c>
      <c r="N505" s="73"/>
      <c r="O505" s="73"/>
      <c r="P505" s="52" t="s">
        <v>31</v>
      </c>
      <c r="Q505" s="52"/>
      <c r="R505" s="52"/>
      <c r="S505" s="73" t="s">
        <v>32</v>
      </c>
      <c r="T505" s="73"/>
      <c r="U505" s="73"/>
      <c r="V505" s="52" t="s">
        <v>33</v>
      </c>
      <c r="W505" s="52"/>
      <c r="X505" s="52"/>
      <c r="Y505" s="73" t="s">
        <v>34</v>
      </c>
      <c r="Z505" s="73"/>
      <c r="AA505" s="73"/>
      <c r="AB505" s="52" t="s">
        <v>35</v>
      </c>
      <c r="AC505" s="52"/>
      <c r="AD505" s="52"/>
      <c r="AE505" s="73" t="s">
        <v>36</v>
      </c>
      <c r="AF505" s="73"/>
      <c r="AG505" s="73"/>
    </row>
    <row r="506" spans="1:33" ht="15.75" thickBot="1" x14ac:dyDescent="0.3">
      <c r="A506" s="68"/>
      <c r="B506" s="68"/>
      <c r="C506" s="105" t="s">
        <v>243</v>
      </c>
      <c r="D506" s="75">
        <v>0</v>
      </c>
      <c r="E506" s="75"/>
      <c r="F506" s="76"/>
      <c r="G506" s="74">
        <v>0</v>
      </c>
      <c r="H506" s="75"/>
      <c r="I506" s="76"/>
      <c r="J506" s="74">
        <v>0</v>
      </c>
      <c r="K506" s="75"/>
      <c r="L506" s="76"/>
      <c r="M506" s="74">
        <v>0</v>
      </c>
      <c r="N506" s="75"/>
      <c r="O506" s="76"/>
      <c r="P506" s="74">
        <v>0</v>
      </c>
      <c r="Q506" s="75"/>
      <c r="R506" s="76"/>
      <c r="S506" s="74">
        <v>0</v>
      </c>
      <c r="T506" s="75"/>
      <c r="U506" s="76"/>
      <c r="V506" s="74">
        <v>0</v>
      </c>
      <c r="W506" s="75"/>
      <c r="X506" s="76"/>
      <c r="Y506" s="74">
        <v>0</v>
      </c>
      <c r="Z506" s="75"/>
      <c r="AA506" s="76"/>
      <c r="AB506" s="74">
        <v>0</v>
      </c>
      <c r="AC506" s="75"/>
      <c r="AD506" s="76"/>
      <c r="AE506" s="74">
        <v>0</v>
      </c>
      <c r="AF506" s="75"/>
      <c r="AG506" s="76"/>
    </row>
    <row r="507" spans="1:33" ht="15.75" thickBot="1" x14ac:dyDescent="0.3">
      <c r="A507" s="68"/>
      <c r="B507" s="68"/>
      <c r="C507" s="106" t="s">
        <v>244</v>
      </c>
      <c r="D507" s="82">
        <v>0</v>
      </c>
      <c r="E507" s="82"/>
      <c r="F507" s="84"/>
      <c r="G507" s="85">
        <v>0</v>
      </c>
      <c r="H507" s="82"/>
      <c r="I507" s="84"/>
      <c r="J507" s="85">
        <v>0</v>
      </c>
      <c r="K507" s="82"/>
      <c r="L507" s="84"/>
      <c r="M507" s="85">
        <v>0</v>
      </c>
      <c r="N507" s="82"/>
      <c r="O507" s="82"/>
      <c r="P507" s="81">
        <v>0</v>
      </c>
      <c r="Q507" s="82"/>
      <c r="R507" s="83"/>
      <c r="S507" s="82">
        <v>0</v>
      </c>
      <c r="T507" s="82"/>
      <c r="U507" s="84"/>
      <c r="V507" s="85">
        <v>0</v>
      </c>
      <c r="W507" s="82"/>
      <c r="X507" s="84"/>
      <c r="Y507" s="85">
        <v>0</v>
      </c>
      <c r="Z507" s="82"/>
      <c r="AA507" s="84"/>
      <c r="AB507" s="85">
        <v>0</v>
      </c>
      <c r="AC507" s="82"/>
      <c r="AD507" s="84"/>
      <c r="AE507" s="85">
        <v>0</v>
      </c>
      <c r="AF507" s="82"/>
      <c r="AG507" s="84"/>
    </row>
    <row r="508" spans="1:33" ht="15.75" thickBot="1" x14ac:dyDescent="0.3">
      <c r="A508" s="68"/>
      <c r="B508" s="68"/>
      <c r="C508" s="107" t="s">
        <v>37</v>
      </c>
      <c r="D508" s="104"/>
      <c r="E508" s="86"/>
      <c r="F508" s="89"/>
      <c r="G508" s="86"/>
      <c r="H508" s="86"/>
      <c r="I508" s="89"/>
      <c r="J508" s="86"/>
      <c r="K508" s="86"/>
      <c r="L508" s="89"/>
      <c r="M508" s="86"/>
      <c r="N508" s="86"/>
      <c r="O508" s="89"/>
      <c r="P508" s="86"/>
      <c r="Q508" s="86"/>
      <c r="R508" s="89"/>
      <c r="S508" s="86"/>
      <c r="T508" s="86"/>
      <c r="U508" s="89"/>
      <c r="V508" s="86"/>
      <c r="W508" s="86"/>
      <c r="X508" s="89"/>
      <c r="Y508" s="86"/>
      <c r="Z508" s="86"/>
      <c r="AA508" s="89"/>
      <c r="AB508" s="86"/>
      <c r="AC508" s="86"/>
      <c r="AD508" s="89"/>
      <c r="AE508" s="86"/>
      <c r="AF508" s="86"/>
      <c r="AG508" s="89"/>
    </row>
    <row r="509" spans="1:33" ht="15.75" thickBot="1" x14ac:dyDescent="0.3">
      <c r="A509" s="68"/>
      <c r="B509" s="68"/>
      <c r="D509" s="87"/>
      <c r="E509" s="87"/>
      <c r="F509" s="90"/>
      <c r="G509" s="87"/>
      <c r="H509" s="87"/>
      <c r="I509" s="90"/>
      <c r="J509" s="87"/>
      <c r="K509" s="87"/>
      <c r="L509" s="90"/>
      <c r="M509" s="87"/>
      <c r="N509" s="87"/>
      <c r="O509" s="90"/>
      <c r="P509" s="87"/>
      <c r="Q509" s="87"/>
      <c r="R509" s="90"/>
      <c r="S509" s="87"/>
      <c r="T509" s="87"/>
      <c r="U509" s="90"/>
      <c r="V509" s="87"/>
      <c r="W509" s="87"/>
      <c r="X509" s="90"/>
      <c r="Y509" s="87"/>
      <c r="Z509" s="87"/>
      <c r="AA509" s="90"/>
      <c r="AB509" s="87"/>
      <c r="AC509" s="87"/>
      <c r="AD509" s="90"/>
      <c r="AE509" s="87"/>
      <c r="AF509" s="87"/>
      <c r="AG509" s="90"/>
    </row>
    <row r="510" spans="1:33" ht="15.75" thickBot="1" x14ac:dyDescent="0.3">
      <c r="A510" s="68"/>
      <c r="B510" s="68"/>
      <c r="D510" s="88"/>
      <c r="E510" s="88"/>
      <c r="F510" s="91"/>
      <c r="G510" s="88"/>
      <c r="H510" s="88"/>
      <c r="I510" s="91"/>
      <c r="J510" s="88"/>
      <c r="K510" s="88"/>
      <c r="L510" s="91"/>
      <c r="M510" s="88"/>
      <c r="N510" s="88"/>
      <c r="O510" s="91"/>
      <c r="P510" s="88"/>
      <c r="Q510" s="88"/>
      <c r="R510" s="91"/>
      <c r="S510" s="88"/>
      <c r="T510" s="88"/>
      <c r="U510" s="91"/>
      <c r="V510" s="88"/>
      <c r="W510" s="88"/>
      <c r="X510" s="91"/>
      <c r="Y510" s="88"/>
      <c r="Z510" s="88"/>
      <c r="AA510" s="91"/>
      <c r="AB510" s="88"/>
      <c r="AC510" s="88"/>
      <c r="AD510" s="91"/>
      <c r="AE510" s="88"/>
      <c r="AF510" s="88"/>
      <c r="AG510" s="91"/>
    </row>
    <row r="512" spans="1:33" ht="15.75" thickBot="1" x14ac:dyDescent="0.3"/>
    <row r="513" spans="1:33" ht="15.75" thickBot="1" x14ac:dyDescent="0.3">
      <c r="A513" s="68" t="s">
        <v>272</v>
      </c>
      <c r="B513" s="68"/>
      <c r="D513" s="52" t="s">
        <v>27</v>
      </c>
      <c r="E513" s="52"/>
      <c r="F513" s="52"/>
      <c r="G513" s="73" t="s">
        <v>28</v>
      </c>
      <c r="H513" s="73"/>
      <c r="I513" s="73"/>
      <c r="J513" s="52" t="s">
        <v>29</v>
      </c>
      <c r="K513" s="52"/>
      <c r="L513" s="52"/>
      <c r="M513" s="73" t="s">
        <v>30</v>
      </c>
      <c r="N513" s="73"/>
      <c r="O513" s="73"/>
      <c r="P513" s="52" t="s">
        <v>31</v>
      </c>
      <c r="Q513" s="52"/>
      <c r="R513" s="52"/>
      <c r="S513" s="73" t="s">
        <v>32</v>
      </c>
      <c r="T513" s="73"/>
      <c r="U513" s="73"/>
      <c r="V513" s="52" t="s">
        <v>33</v>
      </c>
      <c r="W513" s="52"/>
      <c r="X513" s="52"/>
      <c r="Y513" s="73" t="s">
        <v>34</v>
      </c>
      <c r="Z513" s="73"/>
      <c r="AA513" s="73"/>
      <c r="AB513" s="52" t="s">
        <v>35</v>
      </c>
      <c r="AC513" s="52"/>
      <c r="AD513" s="52"/>
      <c r="AE513" s="73" t="s">
        <v>36</v>
      </c>
      <c r="AF513" s="73"/>
      <c r="AG513" s="73"/>
    </row>
    <row r="514" spans="1:33" ht="15.75" thickBot="1" x14ac:dyDescent="0.3">
      <c r="A514" s="68"/>
      <c r="B514" s="68"/>
      <c r="C514" s="105" t="s">
        <v>243</v>
      </c>
      <c r="D514" s="75">
        <v>0</v>
      </c>
      <c r="E514" s="75"/>
      <c r="F514" s="76"/>
      <c r="G514" s="74">
        <v>0</v>
      </c>
      <c r="H514" s="75"/>
      <c r="I514" s="76"/>
      <c r="J514" s="74">
        <v>0</v>
      </c>
      <c r="K514" s="75"/>
      <c r="L514" s="76"/>
      <c r="M514" s="74">
        <v>0</v>
      </c>
      <c r="N514" s="75"/>
      <c r="O514" s="76"/>
      <c r="P514" s="74">
        <v>0</v>
      </c>
      <c r="Q514" s="75"/>
      <c r="R514" s="76"/>
      <c r="S514" s="74">
        <v>0</v>
      </c>
      <c r="T514" s="75"/>
      <c r="U514" s="76"/>
      <c r="V514" s="74">
        <v>0</v>
      </c>
      <c r="W514" s="75"/>
      <c r="X514" s="76"/>
      <c r="Y514" s="74">
        <v>0</v>
      </c>
      <c r="Z514" s="75"/>
      <c r="AA514" s="76"/>
      <c r="AB514" s="74">
        <v>0</v>
      </c>
      <c r="AC514" s="75"/>
      <c r="AD514" s="76"/>
      <c r="AE514" s="74">
        <v>0</v>
      </c>
      <c r="AF514" s="75"/>
      <c r="AG514" s="76"/>
    </row>
    <row r="515" spans="1:33" ht="15.75" thickBot="1" x14ac:dyDescent="0.3">
      <c r="A515" s="68"/>
      <c r="B515" s="68"/>
      <c r="C515" s="106" t="s">
        <v>244</v>
      </c>
      <c r="D515" s="82">
        <v>0</v>
      </c>
      <c r="E515" s="82"/>
      <c r="F515" s="84"/>
      <c r="G515" s="85">
        <v>0</v>
      </c>
      <c r="H515" s="82"/>
      <c r="I515" s="84"/>
      <c r="J515" s="85">
        <v>0</v>
      </c>
      <c r="K515" s="82"/>
      <c r="L515" s="84"/>
      <c r="M515" s="85">
        <v>0</v>
      </c>
      <c r="N515" s="82"/>
      <c r="O515" s="82"/>
      <c r="P515" s="81">
        <v>0</v>
      </c>
      <c r="Q515" s="82"/>
      <c r="R515" s="83"/>
      <c r="S515" s="82">
        <v>0</v>
      </c>
      <c r="T515" s="82"/>
      <c r="U515" s="84"/>
      <c r="V515" s="85">
        <v>0</v>
      </c>
      <c r="W515" s="82"/>
      <c r="X515" s="84"/>
      <c r="Y515" s="85">
        <v>0</v>
      </c>
      <c r="Z515" s="82"/>
      <c r="AA515" s="84"/>
      <c r="AB515" s="85">
        <v>0</v>
      </c>
      <c r="AC515" s="82"/>
      <c r="AD515" s="84"/>
      <c r="AE515" s="85">
        <v>0</v>
      </c>
      <c r="AF515" s="82"/>
      <c r="AG515" s="84"/>
    </row>
    <row r="516" spans="1:33" ht="15.75" thickBot="1" x14ac:dyDescent="0.3">
      <c r="A516" s="68"/>
      <c r="B516" s="68"/>
      <c r="C516" s="107" t="s">
        <v>37</v>
      </c>
      <c r="D516" s="104"/>
      <c r="E516" s="86"/>
      <c r="F516" s="89"/>
      <c r="G516" s="86"/>
      <c r="H516" s="86"/>
      <c r="I516" s="89"/>
      <c r="J516" s="86"/>
      <c r="K516" s="86"/>
      <c r="L516" s="89"/>
      <c r="M516" s="86"/>
      <c r="N516" s="86"/>
      <c r="O516" s="89"/>
      <c r="P516" s="86"/>
      <c r="Q516" s="86"/>
      <c r="R516" s="89"/>
      <c r="S516" s="86"/>
      <c r="T516" s="86"/>
      <c r="U516" s="89"/>
      <c r="V516" s="86"/>
      <c r="W516" s="86"/>
      <c r="X516" s="89"/>
      <c r="Y516" s="86"/>
      <c r="Z516" s="86"/>
      <c r="AA516" s="89"/>
      <c r="AB516" s="86"/>
      <c r="AC516" s="86"/>
      <c r="AD516" s="89"/>
      <c r="AE516" s="86"/>
      <c r="AF516" s="86"/>
      <c r="AG516" s="89"/>
    </row>
    <row r="517" spans="1:33" ht="15.75" thickBot="1" x14ac:dyDescent="0.3">
      <c r="A517" s="68"/>
      <c r="B517" s="68"/>
      <c r="D517" s="87"/>
      <c r="E517" s="87"/>
      <c r="F517" s="90"/>
      <c r="G517" s="87"/>
      <c r="H517" s="87"/>
      <c r="I517" s="90"/>
      <c r="J517" s="87"/>
      <c r="K517" s="87"/>
      <c r="L517" s="90"/>
      <c r="M517" s="87"/>
      <c r="N517" s="87"/>
      <c r="O517" s="90"/>
      <c r="P517" s="87"/>
      <c r="Q517" s="87"/>
      <c r="R517" s="90"/>
      <c r="S517" s="87"/>
      <c r="T517" s="87"/>
      <c r="U517" s="90"/>
      <c r="V517" s="87"/>
      <c r="W517" s="87"/>
      <c r="X517" s="90"/>
      <c r="Y517" s="87"/>
      <c r="Z517" s="87"/>
      <c r="AA517" s="90"/>
      <c r="AB517" s="87"/>
      <c r="AC517" s="87"/>
      <c r="AD517" s="90"/>
      <c r="AE517" s="87"/>
      <c r="AF517" s="87"/>
      <c r="AG517" s="90"/>
    </row>
    <row r="518" spans="1:33" ht="15.75" thickBot="1" x14ac:dyDescent="0.3">
      <c r="A518" s="68"/>
      <c r="B518" s="68"/>
      <c r="D518" s="88"/>
      <c r="E518" s="88"/>
      <c r="F518" s="91"/>
      <c r="G518" s="88"/>
      <c r="H518" s="88"/>
      <c r="I518" s="91"/>
      <c r="J518" s="88"/>
      <c r="K518" s="88"/>
      <c r="L518" s="91"/>
      <c r="M518" s="88"/>
      <c r="N518" s="88"/>
      <c r="O518" s="91"/>
      <c r="P518" s="88"/>
      <c r="Q518" s="88"/>
      <c r="R518" s="91"/>
      <c r="S518" s="88"/>
      <c r="T518" s="88"/>
      <c r="U518" s="91"/>
      <c r="V518" s="88"/>
      <c r="W518" s="88"/>
      <c r="X518" s="91"/>
      <c r="Y518" s="88"/>
      <c r="Z518" s="88"/>
      <c r="AA518" s="91"/>
      <c r="AB518" s="88"/>
      <c r="AC518" s="88"/>
      <c r="AD518" s="91"/>
      <c r="AE518" s="88"/>
      <c r="AF518" s="88"/>
      <c r="AG518" s="91"/>
    </row>
    <row r="520" spans="1:33" ht="15.75" thickBot="1" x14ac:dyDescent="0.3"/>
    <row r="521" spans="1:33" ht="15.75" thickBot="1" x14ac:dyDescent="0.3">
      <c r="A521" s="68" t="s">
        <v>240</v>
      </c>
      <c r="B521" s="68"/>
      <c r="D521" s="52" t="s">
        <v>27</v>
      </c>
      <c r="E521" s="52"/>
      <c r="F521" s="52"/>
      <c r="G521" s="73" t="s">
        <v>28</v>
      </c>
      <c r="H521" s="73"/>
      <c r="I521" s="73"/>
      <c r="J521" s="52" t="s">
        <v>29</v>
      </c>
      <c r="K521" s="52"/>
      <c r="L521" s="52"/>
      <c r="M521" s="73" t="s">
        <v>30</v>
      </c>
      <c r="N521" s="73"/>
      <c r="O521" s="73"/>
      <c r="P521" s="52" t="s">
        <v>31</v>
      </c>
      <c r="Q521" s="52"/>
      <c r="R521" s="52"/>
      <c r="S521" s="73" t="s">
        <v>32</v>
      </c>
      <c r="T521" s="73"/>
      <c r="U521" s="73"/>
      <c r="V521" s="52" t="s">
        <v>33</v>
      </c>
      <c r="W521" s="52"/>
      <c r="X521" s="52"/>
      <c r="Y521" s="73" t="s">
        <v>34</v>
      </c>
      <c r="Z521" s="73"/>
      <c r="AA521" s="73"/>
      <c r="AB521" s="52" t="s">
        <v>35</v>
      </c>
      <c r="AC521" s="52"/>
      <c r="AD521" s="52"/>
      <c r="AE521" s="73" t="s">
        <v>36</v>
      </c>
      <c r="AF521" s="73"/>
      <c r="AG521" s="73"/>
    </row>
    <row r="522" spans="1:33" ht="15.75" thickBot="1" x14ac:dyDescent="0.3">
      <c r="A522" s="68"/>
      <c r="B522" s="68"/>
      <c r="C522" s="105" t="s">
        <v>243</v>
      </c>
      <c r="D522" s="75">
        <v>0</v>
      </c>
      <c r="E522" s="75"/>
      <c r="F522" s="76"/>
      <c r="G522" s="74">
        <v>0</v>
      </c>
      <c r="H522" s="75"/>
      <c r="I522" s="76"/>
      <c r="J522" s="74">
        <v>0</v>
      </c>
      <c r="K522" s="75"/>
      <c r="L522" s="76"/>
      <c r="M522" s="74">
        <v>0</v>
      </c>
      <c r="N522" s="75"/>
      <c r="O522" s="76"/>
      <c r="P522" s="74">
        <v>0</v>
      </c>
      <c r="Q522" s="75"/>
      <c r="R522" s="76"/>
      <c r="S522" s="74">
        <v>0</v>
      </c>
      <c r="T522" s="75"/>
      <c r="U522" s="76"/>
      <c r="V522" s="74">
        <v>0</v>
      </c>
      <c r="W522" s="75"/>
      <c r="X522" s="76"/>
      <c r="Y522" s="74">
        <v>0</v>
      </c>
      <c r="Z522" s="75"/>
      <c r="AA522" s="76"/>
      <c r="AB522" s="74">
        <v>0</v>
      </c>
      <c r="AC522" s="75"/>
      <c r="AD522" s="76"/>
      <c r="AE522" s="74">
        <v>0</v>
      </c>
      <c r="AF522" s="75"/>
      <c r="AG522" s="76"/>
    </row>
    <row r="523" spans="1:33" ht="15.75" thickBot="1" x14ac:dyDescent="0.3">
      <c r="A523" s="68"/>
      <c r="B523" s="68"/>
      <c r="C523" s="106" t="s">
        <v>244</v>
      </c>
      <c r="D523" s="82">
        <v>0</v>
      </c>
      <c r="E523" s="82"/>
      <c r="F523" s="84"/>
      <c r="G523" s="85">
        <v>0</v>
      </c>
      <c r="H523" s="82"/>
      <c r="I523" s="84"/>
      <c r="J523" s="85">
        <v>0</v>
      </c>
      <c r="K523" s="82"/>
      <c r="L523" s="84"/>
      <c r="M523" s="85">
        <v>0</v>
      </c>
      <c r="N523" s="82"/>
      <c r="O523" s="82"/>
      <c r="P523" s="81">
        <v>0</v>
      </c>
      <c r="Q523" s="82"/>
      <c r="R523" s="83"/>
      <c r="S523" s="82">
        <v>0</v>
      </c>
      <c r="T523" s="82"/>
      <c r="U523" s="84"/>
      <c r="V523" s="85">
        <v>0</v>
      </c>
      <c r="W523" s="82"/>
      <c r="X523" s="84"/>
      <c r="Y523" s="85">
        <v>0</v>
      </c>
      <c r="Z523" s="82"/>
      <c r="AA523" s="84"/>
      <c r="AB523" s="85">
        <v>0</v>
      </c>
      <c r="AC523" s="82"/>
      <c r="AD523" s="84"/>
      <c r="AE523" s="85">
        <v>0</v>
      </c>
      <c r="AF523" s="82"/>
      <c r="AG523" s="84"/>
    </row>
    <row r="524" spans="1:33" ht="15.75" thickBot="1" x14ac:dyDescent="0.3">
      <c r="A524" s="68"/>
      <c r="B524" s="68"/>
      <c r="C524" s="107" t="s">
        <v>37</v>
      </c>
      <c r="D524" s="104"/>
      <c r="E524" s="86"/>
      <c r="F524" s="89"/>
      <c r="G524" s="86"/>
      <c r="H524" s="86"/>
      <c r="I524" s="89"/>
      <c r="J524" s="86"/>
      <c r="K524" s="86"/>
      <c r="L524" s="89"/>
      <c r="M524" s="86"/>
      <c r="N524" s="86"/>
      <c r="O524" s="89"/>
      <c r="P524" s="86"/>
      <c r="Q524" s="86"/>
      <c r="R524" s="89"/>
      <c r="S524" s="86"/>
      <c r="T524" s="86"/>
      <c r="U524" s="89"/>
      <c r="V524" s="86"/>
      <c r="W524" s="86"/>
      <c r="X524" s="89"/>
      <c r="Y524" s="86"/>
      <c r="Z524" s="86"/>
      <c r="AA524" s="89"/>
      <c r="AB524" s="86"/>
      <c r="AC524" s="86"/>
      <c r="AD524" s="89"/>
      <c r="AE524" s="86"/>
      <c r="AF524" s="86"/>
      <c r="AG524" s="89"/>
    </row>
    <row r="525" spans="1:33" ht="15.75" thickBot="1" x14ac:dyDescent="0.3">
      <c r="A525" s="68"/>
      <c r="B525" s="68"/>
      <c r="D525" s="87"/>
      <c r="E525" s="87"/>
      <c r="F525" s="90"/>
      <c r="G525" s="87"/>
      <c r="H525" s="87"/>
      <c r="I525" s="90"/>
      <c r="J525" s="87"/>
      <c r="K525" s="87"/>
      <c r="L525" s="90"/>
      <c r="M525" s="87"/>
      <c r="N525" s="87"/>
      <c r="O525" s="90"/>
      <c r="P525" s="87"/>
      <c r="Q525" s="87"/>
      <c r="R525" s="90"/>
      <c r="S525" s="87"/>
      <c r="T525" s="87"/>
      <c r="U525" s="90"/>
      <c r="V525" s="87"/>
      <c r="W525" s="87"/>
      <c r="X525" s="90"/>
      <c r="Y525" s="87"/>
      <c r="Z525" s="87"/>
      <c r="AA525" s="90"/>
      <c r="AB525" s="87"/>
      <c r="AC525" s="87"/>
      <c r="AD525" s="90"/>
      <c r="AE525" s="87"/>
      <c r="AF525" s="87"/>
      <c r="AG525" s="90"/>
    </row>
    <row r="526" spans="1:33" ht="15.75" thickBot="1" x14ac:dyDescent="0.3">
      <c r="A526" s="68"/>
      <c r="B526" s="68"/>
      <c r="D526" s="88"/>
      <c r="E526" s="88"/>
      <c r="F526" s="91"/>
      <c r="G526" s="88"/>
      <c r="H526" s="88"/>
      <c r="I526" s="91"/>
      <c r="J526" s="88"/>
      <c r="K526" s="88"/>
      <c r="L526" s="91"/>
      <c r="M526" s="88"/>
      <c r="N526" s="88"/>
      <c r="O526" s="91"/>
      <c r="P526" s="88"/>
      <c r="Q526" s="88"/>
      <c r="R526" s="91"/>
      <c r="S526" s="88"/>
      <c r="T526" s="88"/>
      <c r="U526" s="91"/>
      <c r="V526" s="88"/>
      <c r="W526" s="88"/>
      <c r="X526" s="91"/>
      <c r="Y526" s="88"/>
      <c r="Z526" s="88"/>
      <c r="AA526" s="91"/>
      <c r="AB526" s="88"/>
      <c r="AC526" s="88"/>
      <c r="AD526" s="91"/>
      <c r="AE526" s="88"/>
      <c r="AF526" s="88"/>
      <c r="AG526" s="91"/>
    </row>
    <row r="528" spans="1:33" ht="15.75" thickBot="1" x14ac:dyDescent="0.3"/>
    <row r="529" spans="1:33" ht="15.75" thickBot="1" x14ac:dyDescent="0.3">
      <c r="A529" s="68" t="s">
        <v>273</v>
      </c>
      <c r="B529" s="68"/>
      <c r="D529" s="52" t="s">
        <v>27</v>
      </c>
      <c r="E529" s="52"/>
      <c r="F529" s="52"/>
      <c r="G529" s="73" t="s">
        <v>28</v>
      </c>
      <c r="H529" s="73"/>
      <c r="I529" s="73"/>
      <c r="J529" s="52" t="s">
        <v>29</v>
      </c>
      <c r="K529" s="52"/>
      <c r="L529" s="52"/>
      <c r="M529" s="73" t="s">
        <v>30</v>
      </c>
      <c r="N529" s="73"/>
      <c r="O529" s="73"/>
      <c r="P529" s="52" t="s">
        <v>31</v>
      </c>
      <c r="Q529" s="52"/>
      <c r="R529" s="52"/>
      <c r="S529" s="73" t="s">
        <v>32</v>
      </c>
      <c r="T529" s="73"/>
      <c r="U529" s="73"/>
      <c r="V529" s="52" t="s">
        <v>33</v>
      </c>
      <c r="W529" s="52"/>
      <c r="X529" s="52"/>
      <c r="Y529" s="73" t="s">
        <v>34</v>
      </c>
      <c r="Z529" s="73"/>
      <c r="AA529" s="73"/>
      <c r="AB529" s="52" t="s">
        <v>35</v>
      </c>
      <c r="AC529" s="52"/>
      <c r="AD529" s="52"/>
      <c r="AE529" s="73" t="s">
        <v>36</v>
      </c>
      <c r="AF529" s="73"/>
      <c r="AG529" s="73"/>
    </row>
    <row r="530" spans="1:33" ht="15.75" thickBot="1" x14ac:dyDescent="0.3">
      <c r="A530" s="68"/>
      <c r="B530" s="68"/>
      <c r="C530" s="105" t="s">
        <v>243</v>
      </c>
      <c r="D530" s="75">
        <v>0</v>
      </c>
      <c r="E530" s="75"/>
      <c r="F530" s="76"/>
      <c r="G530" s="74">
        <v>0</v>
      </c>
      <c r="H530" s="75"/>
      <c r="I530" s="76"/>
      <c r="J530" s="74">
        <v>0</v>
      </c>
      <c r="K530" s="75"/>
      <c r="L530" s="76"/>
      <c r="M530" s="74">
        <v>0</v>
      </c>
      <c r="N530" s="75"/>
      <c r="O530" s="76"/>
      <c r="P530" s="74">
        <v>0</v>
      </c>
      <c r="Q530" s="75"/>
      <c r="R530" s="76"/>
      <c r="S530" s="74">
        <v>0</v>
      </c>
      <c r="T530" s="75"/>
      <c r="U530" s="76"/>
      <c r="V530" s="74">
        <v>0</v>
      </c>
      <c r="W530" s="75"/>
      <c r="X530" s="76"/>
      <c r="Y530" s="74">
        <v>0</v>
      </c>
      <c r="Z530" s="75"/>
      <c r="AA530" s="76"/>
      <c r="AB530" s="74">
        <v>0</v>
      </c>
      <c r="AC530" s="75"/>
      <c r="AD530" s="76"/>
      <c r="AE530" s="74">
        <v>0</v>
      </c>
      <c r="AF530" s="75"/>
      <c r="AG530" s="76"/>
    </row>
    <row r="531" spans="1:33" ht="15.75" thickBot="1" x14ac:dyDescent="0.3">
      <c r="A531" s="68"/>
      <c r="B531" s="68"/>
      <c r="C531" s="106" t="s">
        <v>244</v>
      </c>
      <c r="D531" s="82">
        <v>0</v>
      </c>
      <c r="E531" s="82"/>
      <c r="F531" s="84"/>
      <c r="G531" s="85">
        <v>0</v>
      </c>
      <c r="H531" s="82"/>
      <c r="I531" s="84"/>
      <c r="J531" s="85">
        <v>0</v>
      </c>
      <c r="K531" s="82"/>
      <c r="L531" s="84"/>
      <c r="M531" s="85">
        <v>0</v>
      </c>
      <c r="N531" s="82"/>
      <c r="O531" s="82"/>
      <c r="P531" s="81">
        <v>0</v>
      </c>
      <c r="Q531" s="82"/>
      <c r="R531" s="83"/>
      <c r="S531" s="82">
        <v>0</v>
      </c>
      <c r="T531" s="82"/>
      <c r="U531" s="84"/>
      <c r="V531" s="85">
        <v>0</v>
      </c>
      <c r="W531" s="82"/>
      <c r="X531" s="84"/>
      <c r="Y531" s="85">
        <v>0</v>
      </c>
      <c r="Z531" s="82"/>
      <c r="AA531" s="84"/>
      <c r="AB531" s="85">
        <v>0</v>
      </c>
      <c r="AC531" s="82"/>
      <c r="AD531" s="84"/>
      <c r="AE531" s="85">
        <v>0</v>
      </c>
      <c r="AF531" s="82"/>
      <c r="AG531" s="84"/>
    </row>
    <row r="532" spans="1:33" ht="15.75" thickBot="1" x14ac:dyDescent="0.3">
      <c r="A532" s="68"/>
      <c r="B532" s="68"/>
      <c r="C532" s="107" t="s">
        <v>37</v>
      </c>
      <c r="D532" s="104"/>
      <c r="E532" s="86"/>
      <c r="F532" s="89"/>
      <c r="G532" s="86"/>
      <c r="H532" s="86"/>
      <c r="I532" s="89"/>
      <c r="J532" s="86"/>
      <c r="K532" s="86"/>
      <c r="L532" s="89"/>
      <c r="M532" s="86"/>
      <c r="N532" s="86"/>
      <c r="O532" s="89"/>
      <c r="P532" s="86"/>
      <c r="Q532" s="86"/>
      <c r="R532" s="89"/>
      <c r="S532" s="86"/>
      <c r="T532" s="86"/>
      <c r="U532" s="89"/>
      <c r="V532" s="86"/>
      <c r="W532" s="86"/>
      <c r="X532" s="89"/>
      <c r="Y532" s="86"/>
      <c r="Z532" s="86"/>
      <c r="AA532" s="89"/>
      <c r="AB532" s="86"/>
      <c r="AC532" s="86"/>
      <c r="AD532" s="89"/>
      <c r="AE532" s="86"/>
      <c r="AF532" s="86"/>
      <c r="AG532" s="89"/>
    </row>
    <row r="533" spans="1:33" ht="15.75" thickBot="1" x14ac:dyDescent="0.3">
      <c r="A533" s="68"/>
      <c r="B533" s="68"/>
      <c r="D533" s="87"/>
      <c r="E533" s="87"/>
      <c r="F533" s="90"/>
      <c r="G533" s="87"/>
      <c r="H533" s="87"/>
      <c r="I533" s="90"/>
      <c r="J533" s="87"/>
      <c r="K533" s="87"/>
      <c r="L533" s="90"/>
      <c r="M533" s="87"/>
      <c r="N533" s="87"/>
      <c r="O533" s="90"/>
      <c r="P533" s="87"/>
      <c r="Q533" s="87"/>
      <c r="R533" s="90"/>
      <c r="S533" s="87"/>
      <c r="T533" s="87"/>
      <c r="U533" s="90"/>
      <c r="V533" s="87"/>
      <c r="W533" s="87"/>
      <c r="X533" s="90"/>
      <c r="Y533" s="87"/>
      <c r="Z533" s="87"/>
      <c r="AA533" s="90"/>
      <c r="AB533" s="87"/>
      <c r="AC533" s="87"/>
      <c r="AD533" s="90"/>
      <c r="AE533" s="87"/>
      <c r="AF533" s="87"/>
      <c r="AG533" s="90"/>
    </row>
    <row r="534" spans="1:33" ht="15.75" thickBot="1" x14ac:dyDescent="0.3">
      <c r="A534" s="68"/>
      <c r="B534" s="68"/>
      <c r="D534" s="88"/>
      <c r="E534" s="88"/>
      <c r="F534" s="91"/>
      <c r="G534" s="88"/>
      <c r="H534" s="88"/>
      <c r="I534" s="91"/>
      <c r="J534" s="88"/>
      <c r="K534" s="88"/>
      <c r="L534" s="91"/>
      <c r="M534" s="88"/>
      <c r="N534" s="88"/>
      <c r="O534" s="91"/>
      <c r="P534" s="88"/>
      <c r="Q534" s="88"/>
      <c r="R534" s="91"/>
      <c r="S534" s="88"/>
      <c r="T534" s="88"/>
      <c r="U534" s="91"/>
      <c r="V534" s="88"/>
      <c r="W534" s="88"/>
      <c r="X534" s="91"/>
      <c r="Y534" s="88"/>
      <c r="Z534" s="88"/>
      <c r="AA534" s="91"/>
      <c r="AB534" s="88"/>
      <c r="AC534" s="88"/>
      <c r="AD534" s="91"/>
      <c r="AE534" s="88"/>
      <c r="AF534" s="88"/>
      <c r="AG534" s="91"/>
    </row>
    <row r="536" spans="1:33" ht="15.75" thickBot="1" x14ac:dyDescent="0.3"/>
    <row r="537" spans="1:33" ht="15.75" thickBot="1" x14ac:dyDescent="0.3">
      <c r="A537" s="68" t="s">
        <v>274</v>
      </c>
      <c r="B537" s="68"/>
      <c r="D537" s="52" t="s">
        <v>27</v>
      </c>
      <c r="E537" s="52"/>
      <c r="F537" s="52"/>
      <c r="G537" s="73" t="s">
        <v>28</v>
      </c>
      <c r="H537" s="73"/>
      <c r="I537" s="73"/>
      <c r="J537" s="52" t="s">
        <v>29</v>
      </c>
      <c r="K537" s="52"/>
      <c r="L537" s="52"/>
      <c r="M537" s="73" t="s">
        <v>30</v>
      </c>
      <c r="N537" s="73"/>
      <c r="O537" s="73"/>
      <c r="P537" s="52" t="s">
        <v>31</v>
      </c>
      <c r="Q537" s="52"/>
      <c r="R537" s="52"/>
      <c r="S537" s="73" t="s">
        <v>32</v>
      </c>
      <c r="T537" s="73"/>
      <c r="U537" s="73"/>
      <c r="V537" s="52" t="s">
        <v>33</v>
      </c>
      <c r="W537" s="52"/>
      <c r="X537" s="52"/>
      <c r="Y537" s="73" t="s">
        <v>34</v>
      </c>
      <c r="Z537" s="73"/>
      <c r="AA537" s="73"/>
      <c r="AB537" s="52" t="s">
        <v>35</v>
      </c>
      <c r="AC537" s="52"/>
      <c r="AD537" s="52"/>
      <c r="AE537" s="73" t="s">
        <v>36</v>
      </c>
      <c r="AF537" s="73"/>
      <c r="AG537" s="73"/>
    </row>
    <row r="538" spans="1:33" ht="15.75" thickBot="1" x14ac:dyDescent="0.3">
      <c r="A538" s="68"/>
      <c r="B538" s="68"/>
      <c r="C538" s="105" t="s">
        <v>243</v>
      </c>
      <c r="D538" s="75">
        <v>0</v>
      </c>
      <c r="E538" s="75"/>
      <c r="F538" s="76"/>
      <c r="G538" s="74">
        <v>0</v>
      </c>
      <c r="H538" s="75"/>
      <c r="I538" s="76"/>
      <c r="J538" s="74">
        <v>0</v>
      </c>
      <c r="K538" s="75"/>
      <c r="L538" s="76"/>
      <c r="M538" s="74">
        <v>0</v>
      </c>
      <c r="N538" s="75"/>
      <c r="O538" s="76"/>
      <c r="P538" s="74">
        <v>0</v>
      </c>
      <c r="Q538" s="75"/>
      <c r="R538" s="76"/>
      <c r="S538" s="74">
        <v>0</v>
      </c>
      <c r="T538" s="75"/>
      <c r="U538" s="76"/>
      <c r="V538" s="74">
        <v>0</v>
      </c>
      <c r="W538" s="75"/>
      <c r="X538" s="76"/>
      <c r="Y538" s="74">
        <v>0</v>
      </c>
      <c r="Z538" s="75"/>
      <c r="AA538" s="76"/>
      <c r="AB538" s="74">
        <v>0</v>
      </c>
      <c r="AC538" s="75"/>
      <c r="AD538" s="76"/>
      <c r="AE538" s="74">
        <v>0</v>
      </c>
      <c r="AF538" s="75"/>
      <c r="AG538" s="76"/>
    </row>
    <row r="539" spans="1:33" ht="15.75" thickBot="1" x14ac:dyDescent="0.3">
      <c r="A539" s="68"/>
      <c r="B539" s="68"/>
      <c r="C539" s="106" t="s">
        <v>244</v>
      </c>
      <c r="D539" s="82">
        <v>0</v>
      </c>
      <c r="E539" s="82"/>
      <c r="F539" s="84"/>
      <c r="G539" s="85">
        <v>0</v>
      </c>
      <c r="H539" s="82"/>
      <c r="I539" s="84"/>
      <c r="J539" s="85">
        <v>0</v>
      </c>
      <c r="K539" s="82"/>
      <c r="L539" s="84"/>
      <c r="M539" s="85">
        <v>0</v>
      </c>
      <c r="N539" s="82"/>
      <c r="O539" s="82"/>
      <c r="P539" s="81">
        <v>0</v>
      </c>
      <c r="Q539" s="82"/>
      <c r="R539" s="83"/>
      <c r="S539" s="82">
        <v>0</v>
      </c>
      <c r="T539" s="82"/>
      <c r="U539" s="84"/>
      <c r="V539" s="85">
        <v>0</v>
      </c>
      <c r="W539" s="82"/>
      <c r="X539" s="84"/>
      <c r="Y539" s="85">
        <v>0</v>
      </c>
      <c r="Z539" s="82"/>
      <c r="AA539" s="84"/>
      <c r="AB539" s="85">
        <v>0</v>
      </c>
      <c r="AC539" s="82"/>
      <c r="AD539" s="84"/>
      <c r="AE539" s="85">
        <v>0</v>
      </c>
      <c r="AF539" s="82"/>
      <c r="AG539" s="84"/>
    </row>
    <row r="540" spans="1:33" ht="15.75" thickBot="1" x14ac:dyDescent="0.3">
      <c r="A540" s="68"/>
      <c r="B540" s="68"/>
      <c r="C540" s="107" t="s">
        <v>37</v>
      </c>
      <c r="D540" s="104"/>
      <c r="E540" s="86"/>
      <c r="F540" s="89"/>
      <c r="G540" s="86"/>
      <c r="H540" s="86"/>
      <c r="I540" s="89"/>
      <c r="J540" s="86"/>
      <c r="K540" s="86"/>
      <c r="L540" s="89"/>
      <c r="M540" s="86"/>
      <c r="N540" s="86"/>
      <c r="O540" s="89"/>
      <c r="P540" s="86"/>
      <c r="Q540" s="86"/>
      <c r="R540" s="89"/>
      <c r="S540" s="86"/>
      <c r="T540" s="86"/>
      <c r="U540" s="89"/>
      <c r="V540" s="86"/>
      <c r="W540" s="86"/>
      <c r="X540" s="89"/>
      <c r="Y540" s="86"/>
      <c r="Z540" s="86"/>
      <c r="AA540" s="89"/>
      <c r="AB540" s="86"/>
      <c r="AC540" s="86"/>
      <c r="AD540" s="89"/>
      <c r="AE540" s="86"/>
      <c r="AF540" s="86"/>
      <c r="AG540" s="89"/>
    </row>
    <row r="541" spans="1:33" ht="15.75" thickBot="1" x14ac:dyDescent="0.3">
      <c r="A541" s="68"/>
      <c r="B541" s="68"/>
      <c r="D541" s="87"/>
      <c r="E541" s="87"/>
      <c r="F541" s="90"/>
      <c r="G541" s="87"/>
      <c r="H541" s="87"/>
      <c r="I541" s="90"/>
      <c r="J541" s="87"/>
      <c r="K541" s="87"/>
      <c r="L541" s="90"/>
      <c r="M541" s="87"/>
      <c r="N541" s="87"/>
      <c r="O541" s="90"/>
      <c r="P541" s="87"/>
      <c r="Q541" s="87"/>
      <c r="R541" s="90"/>
      <c r="S541" s="87"/>
      <c r="T541" s="87"/>
      <c r="U541" s="90"/>
      <c r="V541" s="87"/>
      <c r="W541" s="87"/>
      <c r="X541" s="90"/>
      <c r="Y541" s="87"/>
      <c r="Z541" s="87"/>
      <c r="AA541" s="90"/>
      <c r="AB541" s="87"/>
      <c r="AC541" s="87"/>
      <c r="AD541" s="90"/>
      <c r="AE541" s="87"/>
      <c r="AF541" s="87"/>
      <c r="AG541" s="90"/>
    </row>
    <row r="542" spans="1:33" ht="15.75" thickBot="1" x14ac:dyDescent="0.3">
      <c r="A542" s="68"/>
      <c r="B542" s="68"/>
      <c r="D542" s="88"/>
      <c r="E542" s="88"/>
      <c r="F542" s="91"/>
      <c r="G542" s="88"/>
      <c r="H542" s="88"/>
      <c r="I542" s="91"/>
      <c r="J542" s="88"/>
      <c r="K542" s="88"/>
      <c r="L542" s="91"/>
      <c r="M542" s="88"/>
      <c r="N542" s="88"/>
      <c r="O542" s="91"/>
      <c r="P542" s="88"/>
      <c r="Q542" s="88"/>
      <c r="R542" s="91"/>
      <c r="S542" s="88"/>
      <c r="T542" s="88"/>
      <c r="U542" s="91"/>
      <c r="V542" s="88"/>
      <c r="W542" s="88"/>
      <c r="X542" s="91"/>
      <c r="Y542" s="88"/>
      <c r="Z542" s="88"/>
      <c r="AA542" s="91"/>
      <c r="AB542" s="88"/>
      <c r="AC542" s="88"/>
      <c r="AD542" s="91"/>
      <c r="AE542" s="88"/>
      <c r="AF542" s="88"/>
      <c r="AG542" s="91"/>
    </row>
  </sheetData>
  <mergeCells count="4148">
    <mergeCell ref="V542:W542"/>
    <mergeCell ref="Y542:Z542"/>
    <mergeCell ref="AB542:AC542"/>
    <mergeCell ref="AE542:AF542"/>
    <mergeCell ref="V541:W541"/>
    <mergeCell ref="Y541:Z541"/>
    <mergeCell ref="AB541:AC541"/>
    <mergeCell ref="AE541:AF541"/>
    <mergeCell ref="D542:E542"/>
    <mergeCell ref="G542:H542"/>
    <mergeCell ref="J542:K542"/>
    <mergeCell ref="M542:N542"/>
    <mergeCell ref="P542:Q542"/>
    <mergeCell ref="S542:T542"/>
    <mergeCell ref="V540:W540"/>
    <mergeCell ref="Y540:Z540"/>
    <mergeCell ref="AB540:AC540"/>
    <mergeCell ref="AE540:AF540"/>
    <mergeCell ref="D541:E541"/>
    <mergeCell ref="G541:H541"/>
    <mergeCell ref="J541:K541"/>
    <mergeCell ref="M541:N541"/>
    <mergeCell ref="P541:Q541"/>
    <mergeCell ref="S541:T541"/>
    <mergeCell ref="V539:X539"/>
    <mergeCell ref="Y539:AA539"/>
    <mergeCell ref="AB539:AD539"/>
    <mergeCell ref="AE539:AG539"/>
    <mergeCell ref="D540:E540"/>
    <mergeCell ref="G540:H540"/>
    <mergeCell ref="J540:K540"/>
    <mergeCell ref="M540:N540"/>
    <mergeCell ref="P540:Q540"/>
    <mergeCell ref="S540:T540"/>
    <mergeCell ref="V538:X538"/>
    <mergeCell ref="Y538:AA538"/>
    <mergeCell ref="AB538:AD538"/>
    <mergeCell ref="AE538:AG538"/>
    <mergeCell ref="D539:F539"/>
    <mergeCell ref="G539:I539"/>
    <mergeCell ref="J539:L539"/>
    <mergeCell ref="M539:O539"/>
    <mergeCell ref="P539:R539"/>
    <mergeCell ref="S539:U539"/>
    <mergeCell ref="D538:F538"/>
    <mergeCell ref="G538:I538"/>
    <mergeCell ref="J538:L538"/>
    <mergeCell ref="M538:O538"/>
    <mergeCell ref="P538:R538"/>
    <mergeCell ref="S538:U538"/>
    <mergeCell ref="P537:R537"/>
    <mergeCell ref="S537:U537"/>
    <mergeCell ref="V537:X537"/>
    <mergeCell ref="Y537:AA537"/>
    <mergeCell ref="AB537:AD537"/>
    <mergeCell ref="AE537:AG537"/>
    <mergeCell ref="S534:T534"/>
    <mergeCell ref="V534:W534"/>
    <mergeCell ref="Y534:Z534"/>
    <mergeCell ref="AB534:AC534"/>
    <mergeCell ref="AE534:AF534"/>
    <mergeCell ref="A537:B542"/>
    <mergeCell ref="D537:F537"/>
    <mergeCell ref="G537:I537"/>
    <mergeCell ref="J537:L537"/>
    <mergeCell ref="M537:O537"/>
    <mergeCell ref="S533:T533"/>
    <mergeCell ref="V533:W533"/>
    <mergeCell ref="Y533:Z533"/>
    <mergeCell ref="AB533:AC533"/>
    <mergeCell ref="AE533:AF533"/>
    <mergeCell ref="D534:E534"/>
    <mergeCell ref="G534:H534"/>
    <mergeCell ref="J534:K534"/>
    <mergeCell ref="M534:N534"/>
    <mergeCell ref="P534:Q534"/>
    <mergeCell ref="S532:T532"/>
    <mergeCell ref="V532:W532"/>
    <mergeCell ref="Y532:Z532"/>
    <mergeCell ref="AB532:AC532"/>
    <mergeCell ref="AE532:AF532"/>
    <mergeCell ref="D533:E533"/>
    <mergeCell ref="G533:H533"/>
    <mergeCell ref="J533:K533"/>
    <mergeCell ref="M533:N533"/>
    <mergeCell ref="P533:Q533"/>
    <mergeCell ref="S531:U531"/>
    <mergeCell ref="V531:X531"/>
    <mergeCell ref="Y531:AA531"/>
    <mergeCell ref="AB531:AD531"/>
    <mergeCell ref="AE531:AG531"/>
    <mergeCell ref="D532:E532"/>
    <mergeCell ref="G532:H532"/>
    <mergeCell ref="J532:K532"/>
    <mergeCell ref="M532:N532"/>
    <mergeCell ref="P532:Q532"/>
    <mergeCell ref="S530:U530"/>
    <mergeCell ref="V530:X530"/>
    <mergeCell ref="Y530:AA530"/>
    <mergeCell ref="AB530:AD530"/>
    <mergeCell ref="AE530:AG530"/>
    <mergeCell ref="D531:F531"/>
    <mergeCell ref="G531:I531"/>
    <mergeCell ref="J531:L531"/>
    <mergeCell ref="M531:O531"/>
    <mergeCell ref="P531:R531"/>
    <mergeCell ref="S529:U529"/>
    <mergeCell ref="V529:X529"/>
    <mergeCell ref="Y529:AA529"/>
    <mergeCell ref="AB529:AD529"/>
    <mergeCell ref="AE529:AG529"/>
    <mergeCell ref="D530:F530"/>
    <mergeCell ref="G530:I530"/>
    <mergeCell ref="J530:L530"/>
    <mergeCell ref="M530:O530"/>
    <mergeCell ref="P530:R530"/>
    <mergeCell ref="V526:W526"/>
    <mergeCell ref="Y526:Z526"/>
    <mergeCell ref="AB526:AC526"/>
    <mergeCell ref="AE526:AF526"/>
    <mergeCell ref="A529:B534"/>
    <mergeCell ref="D529:F529"/>
    <mergeCell ref="G529:I529"/>
    <mergeCell ref="J529:L529"/>
    <mergeCell ref="M529:O529"/>
    <mergeCell ref="P529:R529"/>
    <mergeCell ref="V525:W525"/>
    <mergeCell ref="Y525:Z525"/>
    <mergeCell ref="AB525:AC525"/>
    <mergeCell ref="AE525:AF525"/>
    <mergeCell ref="D526:E526"/>
    <mergeCell ref="G526:H526"/>
    <mergeCell ref="J526:K526"/>
    <mergeCell ref="M526:N526"/>
    <mergeCell ref="P526:Q526"/>
    <mergeCell ref="S526:T526"/>
    <mergeCell ref="V524:W524"/>
    <mergeCell ref="Y524:Z524"/>
    <mergeCell ref="AB524:AC524"/>
    <mergeCell ref="AE524:AF524"/>
    <mergeCell ref="D525:E525"/>
    <mergeCell ref="G525:H525"/>
    <mergeCell ref="J525:K525"/>
    <mergeCell ref="M525:N525"/>
    <mergeCell ref="P525:Q525"/>
    <mergeCell ref="S525:T525"/>
    <mergeCell ref="V523:X523"/>
    <mergeCell ref="Y523:AA523"/>
    <mergeCell ref="AB523:AD523"/>
    <mergeCell ref="AE523:AG523"/>
    <mergeCell ref="D524:E524"/>
    <mergeCell ref="G524:H524"/>
    <mergeCell ref="J524:K524"/>
    <mergeCell ref="M524:N524"/>
    <mergeCell ref="P524:Q524"/>
    <mergeCell ref="S524:T524"/>
    <mergeCell ref="V522:X522"/>
    <mergeCell ref="Y522:AA522"/>
    <mergeCell ref="AB522:AD522"/>
    <mergeCell ref="AE522:AG522"/>
    <mergeCell ref="D523:F523"/>
    <mergeCell ref="G523:I523"/>
    <mergeCell ref="J523:L523"/>
    <mergeCell ref="M523:O523"/>
    <mergeCell ref="P523:R523"/>
    <mergeCell ref="S523:U523"/>
    <mergeCell ref="D522:F522"/>
    <mergeCell ref="G522:I522"/>
    <mergeCell ref="J522:L522"/>
    <mergeCell ref="M522:O522"/>
    <mergeCell ref="P522:R522"/>
    <mergeCell ref="S522:U522"/>
    <mergeCell ref="P521:R521"/>
    <mergeCell ref="S521:U521"/>
    <mergeCell ref="V521:X521"/>
    <mergeCell ref="Y521:AA521"/>
    <mergeCell ref="AB521:AD521"/>
    <mergeCell ref="AE521:AG521"/>
    <mergeCell ref="S518:T518"/>
    <mergeCell ref="V518:W518"/>
    <mergeCell ref="Y518:Z518"/>
    <mergeCell ref="AB518:AC518"/>
    <mergeCell ref="AE518:AF518"/>
    <mergeCell ref="A521:B526"/>
    <mergeCell ref="D521:F521"/>
    <mergeCell ref="G521:I521"/>
    <mergeCell ref="J521:L521"/>
    <mergeCell ref="M521:O521"/>
    <mergeCell ref="S517:T517"/>
    <mergeCell ref="V517:W517"/>
    <mergeCell ref="Y517:Z517"/>
    <mergeCell ref="AB517:AC517"/>
    <mergeCell ref="AE517:AF517"/>
    <mergeCell ref="D518:E518"/>
    <mergeCell ref="G518:H518"/>
    <mergeCell ref="J518:K518"/>
    <mergeCell ref="M518:N518"/>
    <mergeCell ref="P518:Q518"/>
    <mergeCell ref="S516:T516"/>
    <mergeCell ref="V516:W516"/>
    <mergeCell ref="Y516:Z516"/>
    <mergeCell ref="AB516:AC516"/>
    <mergeCell ref="AE516:AF516"/>
    <mergeCell ref="D517:E517"/>
    <mergeCell ref="G517:H517"/>
    <mergeCell ref="J517:K517"/>
    <mergeCell ref="M517:N517"/>
    <mergeCell ref="P517:Q517"/>
    <mergeCell ref="S515:U515"/>
    <mergeCell ref="V515:X515"/>
    <mergeCell ref="Y515:AA515"/>
    <mergeCell ref="AB515:AD515"/>
    <mergeCell ref="AE515:AG515"/>
    <mergeCell ref="D516:E516"/>
    <mergeCell ref="G516:H516"/>
    <mergeCell ref="J516:K516"/>
    <mergeCell ref="M516:N516"/>
    <mergeCell ref="P516:Q516"/>
    <mergeCell ref="S514:U514"/>
    <mergeCell ref="V514:X514"/>
    <mergeCell ref="Y514:AA514"/>
    <mergeCell ref="AB514:AD514"/>
    <mergeCell ref="AE514:AG514"/>
    <mergeCell ref="D515:F515"/>
    <mergeCell ref="G515:I515"/>
    <mergeCell ref="J515:L515"/>
    <mergeCell ref="M515:O515"/>
    <mergeCell ref="P515:R515"/>
    <mergeCell ref="S513:U513"/>
    <mergeCell ref="V513:X513"/>
    <mergeCell ref="Y513:AA513"/>
    <mergeCell ref="AB513:AD513"/>
    <mergeCell ref="AE513:AG513"/>
    <mergeCell ref="D514:F514"/>
    <mergeCell ref="G514:I514"/>
    <mergeCell ref="J514:L514"/>
    <mergeCell ref="M514:O514"/>
    <mergeCell ref="P514:R514"/>
    <mergeCell ref="V510:W510"/>
    <mergeCell ref="Y510:Z510"/>
    <mergeCell ref="AB510:AC510"/>
    <mergeCell ref="AE510:AF510"/>
    <mergeCell ref="A513:B518"/>
    <mergeCell ref="D513:F513"/>
    <mergeCell ref="G513:I513"/>
    <mergeCell ref="J513:L513"/>
    <mergeCell ref="M513:O513"/>
    <mergeCell ref="P513:R513"/>
    <mergeCell ref="V509:W509"/>
    <mergeCell ref="Y509:Z509"/>
    <mergeCell ref="AB509:AC509"/>
    <mergeCell ref="AE509:AF509"/>
    <mergeCell ref="D510:E510"/>
    <mergeCell ref="G510:H510"/>
    <mergeCell ref="J510:K510"/>
    <mergeCell ref="M510:N510"/>
    <mergeCell ref="P510:Q510"/>
    <mergeCell ref="S510:T510"/>
    <mergeCell ref="V508:W508"/>
    <mergeCell ref="Y508:Z508"/>
    <mergeCell ref="AB508:AC508"/>
    <mergeCell ref="AE508:AF508"/>
    <mergeCell ref="D509:E509"/>
    <mergeCell ref="G509:H509"/>
    <mergeCell ref="J509:K509"/>
    <mergeCell ref="M509:N509"/>
    <mergeCell ref="P509:Q509"/>
    <mergeCell ref="S509:T509"/>
    <mergeCell ref="V507:X507"/>
    <mergeCell ref="Y507:AA507"/>
    <mergeCell ref="AB507:AD507"/>
    <mergeCell ref="AE507:AG507"/>
    <mergeCell ref="D508:E508"/>
    <mergeCell ref="G508:H508"/>
    <mergeCell ref="J508:K508"/>
    <mergeCell ref="M508:N508"/>
    <mergeCell ref="P508:Q508"/>
    <mergeCell ref="S508:T508"/>
    <mergeCell ref="V506:X506"/>
    <mergeCell ref="Y506:AA506"/>
    <mergeCell ref="AB506:AD506"/>
    <mergeCell ref="AE506:AG506"/>
    <mergeCell ref="D507:F507"/>
    <mergeCell ref="G507:I507"/>
    <mergeCell ref="J507:L507"/>
    <mergeCell ref="M507:O507"/>
    <mergeCell ref="P507:R507"/>
    <mergeCell ref="S507:U507"/>
    <mergeCell ref="D506:F506"/>
    <mergeCell ref="G506:I506"/>
    <mergeCell ref="J506:L506"/>
    <mergeCell ref="M506:O506"/>
    <mergeCell ref="P506:R506"/>
    <mergeCell ref="S506:U506"/>
    <mergeCell ref="P505:R505"/>
    <mergeCell ref="S505:U505"/>
    <mergeCell ref="V505:X505"/>
    <mergeCell ref="Y505:AA505"/>
    <mergeCell ref="AB505:AD505"/>
    <mergeCell ref="AE505:AG505"/>
    <mergeCell ref="S502:T502"/>
    <mergeCell ref="V502:W502"/>
    <mergeCell ref="Y502:Z502"/>
    <mergeCell ref="AB502:AC502"/>
    <mergeCell ref="AE502:AF502"/>
    <mergeCell ref="A505:B510"/>
    <mergeCell ref="D505:F505"/>
    <mergeCell ref="G505:I505"/>
    <mergeCell ref="J505:L505"/>
    <mergeCell ref="M505:O505"/>
    <mergeCell ref="S501:T501"/>
    <mergeCell ref="V501:W501"/>
    <mergeCell ref="Y501:Z501"/>
    <mergeCell ref="AB501:AC501"/>
    <mergeCell ref="AE501:AF501"/>
    <mergeCell ref="D502:E502"/>
    <mergeCell ref="G502:H502"/>
    <mergeCell ref="J502:K502"/>
    <mergeCell ref="M502:N502"/>
    <mergeCell ref="P502:Q502"/>
    <mergeCell ref="S500:T500"/>
    <mergeCell ref="V500:W500"/>
    <mergeCell ref="Y500:Z500"/>
    <mergeCell ref="AB500:AC500"/>
    <mergeCell ref="AE500:AF500"/>
    <mergeCell ref="D501:E501"/>
    <mergeCell ref="G501:H501"/>
    <mergeCell ref="J501:K501"/>
    <mergeCell ref="M501:N501"/>
    <mergeCell ref="P501:Q501"/>
    <mergeCell ref="S499:U499"/>
    <mergeCell ref="V499:X499"/>
    <mergeCell ref="Y499:AA499"/>
    <mergeCell ref="AB499:AD499"/>
    <mergeCell ref="AE499:AG499"/>
    <mergeCell ref="D500:E500"/>
    <mergeCell ref="G500:H500"/>
    <mergeCell ref="J500:K500"/>
    <mergeCell ref="M500:N500"/>
    <mergeCell ref="P500:Q500"/>
    <mergeCell ref="S498:U498"/>
    <mergeCell ref="V498:X498"/>
    <mergeCell ref="Y498:AA498"/>
    <mergeCell ref="AB498:AD498"/>
    <mergeCell ref="AE498:AG498"/>
    <mergeCell ref="D499:F499"/>
    <mergeCell ref="G499:I499"/>
    <mergeCell ref="J499:L499"/>
    <mergeCell ref="M499:O499"/>
    <mergeCell ref="P499:R499"/>
    <mergeCell ref="S497:U497"/>
    <mergeCell ref="V497:X497"/>
    <mergeCell ref="Y497:AA497"/>
    <mergeCell ref="AB497:AD497"/>
    <mergeCell ref="AE497:AG497"/>
    <mergeCell ref="D498:F498"/>
    <mergeCell ref="G498:I498"/>
    <mergeCell ref="J498:L498"/>
    <mergeCell ref="M498:O498"/>
    <mergeCell ref="P498:R498"/>
    <mergeCell ref="V494:W494"/>
    <mergeCell ref="Y494:Z494"/>
    <mergeCell ref="AB494:AC494"/>
    <mergeCell ref="AE494:AF494"/>
    <mergeCell ref="A497:B502"/>
    <mergeCell ref="D497:F497"/>
    <mergeCell ref="G497:I497"/>
    <mergeCell ref="J497:L497"/>
    <mergeCell ref="M497:O497"/>
    <mergeCell ref="P497:R497"/>
    <mergeCell ref="V493:W493"/>
    <mergeCell ref="Y493:Z493"/>
    <mergeCell ref="AB493:AC493"/>
    <mergeCell ref="AE493:AF493"/>
    <mergeCell ref="D494:E494"/>
    <mergeCell ref="G494:H494"/>
    <mergeCell ref="J494:K494"/>
    <mergeCell ref="M494:N494"/>
    <mergeCell ref="P494:Q494"/>
    <mergeCell ref="S494:T494"/>
    <mergeCell ref="V492:W492"/>
    <mergeCell ref="Y492:Z492"/>
    <mergeCell ref="AB492:AC492"/>
    <mergeCell ref="AE492:AF492"/>
    <mergeCell ref="D493:E493"/>
    <mergeCell ref="G493:H493"/>
    <mergeCell ref="J493:K493"/>
    <mergeCell ref="M493:N493"/>
    <mergeCell ref="P493:Q493"/>
    <mergeCell ref="S493:T493"/>
    <mergeCell ref="V491:X491"/>
    <mergeCell ref="Y491:AA491"/>
    <mergeCell ref="AB491:AD491"/>
    <mergeCell ref="AE491:AG491"/>
    <mergeCell ref="D492:E492"/>
    <mergeCell ref="G492:H492"/>
    <mergeCell ref="J492:K492"/>
    <mergeCell ref="M492:N492"/>
    <mergeCell ref="P492:Q492"/>
    <mergeCell ref="S492:T492"/>
    <mergeCell ref="V490:X490"/>
    <mergeCell ref="Y490:AA490"/>
    <mergeCell ref="AB490:AD490"/>
    <mergeCell ref="AE490:AG490"/>
    <mergeCell ref="D491:F491"/>
    <mergeCell ref="G491:I491"/>
    <mergeCell ref="J491:L491"/>
    <mergeCell ref="M491:O491"/>
    <mergeCell ref="P491:R491"/>
    <mergeCell ref="S491:U491"/>
    <mergeCell ref="D490:F490"/>
    <mergeCell ref="G490:I490"/>
    <mergeCell ref="J490:L490"/>
    <mergeCell ref="M490:O490"/>
    <mergeCell ref="P490:R490"/>
    <mergeCell ref="S490:U490"/>
    <mergeCell ref="P489:R489"/>
    <mergeCell ref="S489:U489"/>
    <mergeCell ref="V489:X489"/>
    <mergeCell ref="Y489:AA489"/>
    <mergeCell ref="AB489:AD489"/>
    <mergeCell ref="AE489:AG489"/>
    <mergeCell ref="S486:T486"/>
    <mergeCell ref="V486:W486"/>
    <mergeCell ref="Y486:Z486"/>
    <mergeCell ref="AB486:AC486"/>
    <mergeCell ref="AE486:AF486"/>
    <mergeCell ref="A489:B494"/>
    <mergeCell ref="D489:F489"/>
    <mergeCell ref="G489:I489"/>
    <mergeCell ref="J489:L489"/>
    <mergeCell ref="M489:O489"/>
    <mergeCell ref="S485:T485"/>
    <mergeCell ref="V485:W485"/>
    <mergeCell ref="Y485:Z485"/>
    <mergeCell ref="AB485:AC485"/>
    <mergeCell ref="AE485:AF485"/>
    <mergeCell ref="D486:E486"/>
    <mergeCell ref="G486:H486"/>
    <mergeCell ref="J486:K486"/>
    <mergeCell ref="M486:N486"/>
    <mergeCell ref="P486:Q486"/>
    <mergeCell ref="S484:T484"/>
    <mergeCell ref="V484:W484"/>
    <mergeCell ref="Y484:Z484"/>
    <mergeCell ref="AB484:AC484"/>
    <mergeCell ref="AE484:AF484"/>
    <mergeCell ref="D485:E485"/>
    <mergeCell ref="G485:H485"/>
    <mergeCell ref="J485:K485"/>
    <mergeCell ref="M485:N485"/>
    <mergeCell ref="P485:Q485"/>
    <mergeCell ref="S483:U483"/>
    <mergeCell ref="V483:X483"/>
    <mergeCell ref="Y483:AA483"/>
    <mergeCell ref="AB483:AD483"/>
    <mergeCell ref="AE483:AG483"/>
    <mergeCell ref="D484:E484"/>
    <mergeCell ref="G484:H484"/>
    <mergeCell ref="J484:K484"/>
    <mergeCell ref="M484:N484"/>
    <mergeCell ref="P484:Q484"/>
    <mergeCell ref="S482:U482"/>
    <mergeCell ref="V482:X482"/>
    <mergeCell ref="Y482:AA482"/>
    <mergeCell ref="AB482:AD482"/>
    <mergeCell ref="AE482:AG482"/>
    <mergeCell ref="D483:F483"/>
    <mergeCell ref="G483:I483"/>
    <mergeCell ref="J483:L483"/>
    <mergeCell ref="M483:O483"/>
    <mergeCell ref="P483:R483"/>
    <mergeCell ref="S481:U481"/>
    <mergeCell ref="V481:X481"/>
    <mergeCell ref="Y481:AA481"/>
    <mergeCell ref="AB481:AD481"/>
    <mergeCell ref="AE481:AG481"/>
    <mergeCell ref="D482:F482"/>
    <mergeCell ref="G482:I482"/>
    <mergeCell ref="J482:L482"/>
    <mergeCell ref="M482:O482"/>
    <mergeCell ref="P482:R482"/>
    <mergeCell ref="V478:W478"/>
    <mergeCell ref="Y478:Z478"/>
    <mergeCell ref="AB478:AC478"/>
    <mergeCell ref="AE478:AF478"/>
    <mergeCell ref="A481:B486"/>
    <mergeCell ref="D481:F481"/>
    <mergeCell ref="G481:I481"/>
    <mergeCell ref="J481:L481"/>
    <mergeCell ref="M481:O481"/>
    <mergeCell ref="P481:R481"/>
    <mergeCell ref="V477:W477"/>
    <mergeCell ref="Y477:Z477"/>
    <mergeCell ref="AB477:AC477"/>
    <mergeCell ref="AE477:AF477"/>
    <mergeCell ref="D478:E478"/>
    <mergeCell ref="G478:H478"/>
    <mergeCell ref="J478:K478"/>
    <mergeCell ref="M478:N478"/>
    <mergeCell ref="P478:Q478"/>
    <mergeCell ref="S478:T478"/>
    <mergeCell ref="V476:W476"/>
    <mergeCell ref="Y476:Z476"/>
    <mergeCell ref="AB476:AC476"/>
    <mergeCell ref="AE476:AF476"/>
    <mergeCell ref="D477:E477"/>
    <mergeCell ref="G477:H477"/>
    <mergeCell ref="J477:K477"/>
    <mergeCell ref="M477:N477"/>
    <mergeCell ref="P477:Q477"/>
    <mergeCell ref="S477:T477"/>
    <mergeCell ref="V475:X475"/>
    <mergeCell ref="Y475:AA475"/>
    <mergeCell ref="AB475:AD475"/>
    <mergeCell ref="AE475:AG475"/>
    <mergeCell ref="D476:E476"/>
    <mergeCell ref="G476:H476"/>
    <mergeCell ref="J476:K476"/>
    <mergeCell ref="M476:N476"/>
    <mergeCell ref="P476:Q476"/>
    <mergeCell ref="S476:T476"/>
    <mergeCell ref="V474:X474"/>
    <mergeCell ref="Y474:AA474"/>
    <mergeCell ref="AB474:AD474"/>
    <mergeCell ref="AE474:AG474"/>
    <mergeCell ref="D475:F475"/>
    <mergeCell ref="G475:I475"/>
    <mergeCell ref="J475:L475"/>
    <mergeCell ref="M475:O475"/>
    <mergeCell ref="P475:R475"/>
    <mergeCell ref="S475:U475"/>
    <mergeCell ref="D474:F474"/>
    <mergeCell ref="G474:I474"/>
    <mergeCell ref="J474:L474"/>
    <mergeCell ref="M474:O474"/>
    <mergeCell ref="P474:R474"/>
    <mergeCell ref="S474:U474"/>
    <mergeCell ref="P473:R473"/>
    <mergeCell ref="S473:U473"/>
    <mergeCell ref="V473:X473"/>
    <mergeCell ref="Y473:AA473"/>
    <mergeCell ref="AB473:AD473"/>
    <mergeCell ref="AE473:AG473"/>
    <mergeCell ref="S470:T470"/>
    <mergeCell ref="V470:W470"/>
    <mergeCell ref="Y470:Z470"/>
    <mergeCell ref="AB470:AC470"/>
    <mergeCell ref="AE470:AF470"/>
    <mergeCell ref="A473:B478"/>
    <mergeCell ref="D473:F473"/>
    <mergeCell ref="G473:I473"/>
    <mergeCell ref="J473:L473"/>
    <mergeCell ref="M473:O473"/>
    <mergeCell ref="S469:T469"/>
    <mergeCell ref="V469:W469"/>
    <mergeCell ref="Y469:Z469"/>
    <mergeCell ref="AB469:AC469"/>
    <mergeCell ref="AE469:AF469"/>
    <mergeCell ref="D470:E470"/>
    <mergeCell ref="G470:H470"/>
    <mergeCell ref="J470:K470"/>
    <mergeCell ref="M470:N470"/>
    <mergeCell ref="P470:Q470"/>
    <mergeCell ref="S468:T468"/>
    <mergeCell ref="V468:W468"/>
    <mergeCell ref="Y468:Z468"/>
    <mergeCell ref="AB468:AC468"/>
    <mergeCell ref="AE468:AF468"/>
    <mergeCell ref="D469:E469"/>
    <mergeCell ref="G469:H469"/>
    <mergeCell ref="J469:K469"/>
    <mergeCell ref="M469:N469"/>
    <mergeCell ref="P469:Q469"/>
    <mergeCell ref="S467:U467"/>
    <mergeCell ref="V467:X467"/>
    <mergeCell ref="Y467:AA467"/>
    <mergeCell ref="AB467:AD467"/>
    <mergeCell ref="AE467:AG467"/>
    <mergeCell ref="D468:E468"/>
    <mergeCell ref="G468:H468"/>
    <mergeCell ref="J468:K468"/>
    <mergeCell ref="M468:N468"/>
    <mergeCell ref="P468:Q468"/>
    <mergeCell ref="S466:U466"/>
    <mergeCell ref="V466:X466"/>
    <mergeCell ref="Y466:AA466"/>
    <mergeCell ref="AB466:AD466"/>
    <mergeCell ref="AE466:AG466"/>
    <mergeCell ref="D467:F467"/>
    <mergeCell ref="G467:I467"/>
    <mergeCell ref="J467:L467"/>
    <mergeCell ref="M467:O467"/>
    <mergeCell ref="P467:R467"/>
    <mergeCell ref="S465:U465"/>
    <mergeCell ref="V465:X465"/>
    <mergeCell ref="Y465:AA465"/>
    <mergeCell ref="AB465:AD465"/>
    <mergeCell ref="AE465:AG465"/>
    <mergeCell ref="D466:F466"/>
    <mergeCell ref="G466:I466"/>
    <mergeCell ref="J466:L466"/>
    <mergeCell ref="M466:O466"/>
    <mergeCell ref="P466:R466"/>
    <mergeCell ref="V462:W462"/>
    <mergeCell ref="Y462:Z462"/>
    <mergeCell ref="AB462:AC462"/>
    <mergeCell ref="AE462:AF462"/>
    <mergeCell ref="A465:B470"/>
    <mergeCell ref="D465:F465"/>
    <mergeCell ref="G465:I465"/>
    <mergeCell ref="J465:L465"/>
    <mergeCell ref="M465:O465"/>
    <mergeCell ref="P465:R465"/>
    <mergeCell ref="V461:W461"/>
    <mergeCell ref="Y461:Z461"/>
    <mergeCell ref="AB461:AC461"/>
    <mergeCell ref="AE461:AF461"/>
    <mergeCell ref="D462:E462"/>
    <mergeCell ref="G462:H462"/>
    <mergeCell ref="J462:K462"/>
    <mergeCell ref="M462:N462"/>
    <mergeCell ref="P462:Q462"/>
    <mergeCell ref="S462:T462"/>
    <mergeCell ref="V460:W460"/>
    <mergeCell ref="Y460:Z460"/>
    <mergeCell ref="AB460:AC460"/>
    <mergeCell ref="AE460:AF460"/>
    <mergeCell ref="D461:E461"/>
    <mergeCell ref="G461:H461"/>
    <mergeCell ref="J461:K461"/>
    <mergeCell ref="M461:N461"/>
    <mergeCell ref="P461:Q461"/>
    <mergeCell ref="S461:T461"/>
    <mergeCell ref="V459:X459"/>
    <mergeCell ref="Y459:AA459"/>
    <mergeCell ref="AB459:AD459"/>
    <mergeCell ref="AE459:AG459"/>
    <mergeCell ref="D460:E460"/>
    <mergeCell ref="G460:H460"/>
    <mergeCell ref="J460:K460"/>
    <mergeCell ref="M460:N460"/>
    <mergeCell ref="P460:Q460"/>
    <mergeCell ref="S460:T460"/>
    <mergeCell ref="V458:X458"/>
    <mergeCell ref="Y458:AA458"/>
    <mergeCell ref="AB458:AD458"/>
    <mergeCell ref="AE458:AG458"/>
    <mergeCell ref="D459:F459"/>
    <mergeCell ref="G459:I459"/>
    <mergeCell ref="J459:L459"/>
    <mergeCell ref="M459:O459"/>
    <mergeCell ref="P459:R459"/>
    <mergeCell ref="S459:U459"/>
    <mergeCell ref="D458:F458"/>
    <mergeCell ref="G458:I458"/>
    <mergeCell ref="J458:L458"/>
    <mergeCell ref="M458:O458"/>
    <mergeCell ref="P458:R458"/>
    <mergeCell ref="S458:U458"/>
    <mergeCell ref="P457:R457"/>
    <mergeCell ref="S457:U457"/>
    <mergeCell ref="V457:X457"/>
    <mergeCell ref="Y457:AA457"/>
    <mergeCell ref="AB457:AD457"/>
    <mergeCell ref="AE457:AG457"/>
    <mergeCell ref="S454:T454"/>
    <mergeCell ref="V454:W454"/>
    <mergeCell ref="Y454:Z454"/>
    <mergeCell ref="AB454:AC454"/>
    <mergeCell ref="AE454:AF454"/>
    <mergeCell ref="A457:B462"/>
    <mergeCell ref="D457:F457"/>
    <mergeCell ref="G457:I457"/>
    <mergeCell ref="J457:L457"/>
    <mergeCell ref="M457:O457"/>
    <mergeCell ref="S453:T453"/>
    <mergeCell ref="V453:W453"/>
    <mergeCell ref="Y453:Z453"/>
    <mergeCell ref="AB453:AC453"/>
    <mergeCell ref="AE453:AF453"/>
    <mergeCell ref="D454:E454"/>
    <mergeCell ref="G454:H454"/>
    <mergeCell ref="J454:K454"/>
    <mergeCell ref="M454:N454"/>
    <mergeCell ref="P454:Q454"/>
    <mergeCell ref="S452:T452"/>
    <mergeCell ref="V452:W452"/>
    <mergeCell ref="Y452:Z452"/>
    <mergeCell ref="AB452:AC452"/>
    <mergeCell ref="AE452:AF452"/>
    <mergeCell ref="D453:E453"/>
    <mergeCell ref="G453:H453"/>
    <mergeCell ref="J453:K453"/>
    <mergeCell ref="M453:N453"/>
    <mergeCell ref="P453:Q453"/>
    <mergeCell ref="S451:U451"/>
    <mergeCell ref="V451:X451"/>
    <mergeCell ref="Y451:AA451"/>
    <mergeCell ref="AB451:AD451"/>
    <mergeCell ref="AE451:AG451"/>
    <mergeCell ref="D452:E452"/>
    <mergeCell ref="G452:H452"/>
    <mergeCell ref="J452:K452"/>
    <mergeCell ref="M452:N452"/>
    <mergeCell ref="P452:Q452"/>
    <mergeCell ref="S450:U450"/>
    <mergeCell ref="V450:X450"/>
    <mergeCell ref="Y450:AA450"/>
    <mergeCell ref="AB450:AD450"/>
    <mergeCell ref="AE450:AG450"/>
    <mergeCell ref="D451:F451"/>
    <mergeCell ref="G451:I451"/>
    <mergeCell ref="J451:L451"/>
    <mergeCell ref="M451:O451"/>
    <mergeCell ref="P451:R451"/>
    <mergeCell ref="S449:U449"/>
    <mergeCell ref="V449:X449"/>
    <mergeCell ref="Y449:AA449"/>
    <mergeCell ref="AB449:AD449"/>
    <mergeCell ref="AE449:AG449"/>
    <mergeCell ref="D450:F450"/>
    <mergeCell ref="G450:I450"/>
    <mergeCell ref="J450:L450"/>
    <mergeCell ref="M450:O450"/>
    <mergeCell ref="P450:R450"/>
    <mergeCell ref="V446:W446"/>
    <mergeCell ref="Y446:Z446"/>
    <mergeCell ref="AB446:AC446"/>
    <mergeCell ref="AE446:AF446"/>
    <mergeCell ref="A449:B454"/>
    <mergeCell ref="D449:F449"/>
    <mergeCell ref="G449:I449"/>
    <mergeCell ref="J449:L449"/>
    <mergeCell ref="M449:O449"/>
    <mergeCell ref="P449:R449"/>
    <mergeCell ref="V445:W445"/>
    <mergeCell ref="Y445:Z445"/>
    <mergeCell ref="AB445:AC445"/>
    <mergeCell ref="AE445:AF445"/>
    <mergeCell ref="D446:E446"/>
    <mergeCell ref="G446:H446"/>
    <mergeCell ref="J446:K446"/>
    <mergeCell ref="M446:N446"/>
    <mergeCell ref="P446:Q446"/>
    <mergeCell ref="S446:T446"/>
    <mergeCell ref="V444:W444"/>
    <mergeCell ref="Y444:Z444"/>
    <mergeCell ref="AB444:AC444"/>
    <mergeCell ref="AE444:AF444"/>
    <mergeCell ref="D445:E445"/>
    <mergeCell ref="G445:H445"/>
    <mergeCell ref="J445:K445"/>
    <mergeCell ref="M445:N445"/>
    <mergeCell ref="P445:Q445"/>
    <mergeCell ref="S445:T445"/>
    <mergeCell ref="V443:X443"/>
    <mergeCell ref="Y443:AA443"/>
    <mergeCell ref="AB443:AD443"/>
    <mergeCell ref="AE443:AG443"/>
    <mergeCell ref="D444:E444"/>
    <mergeCell ref="G444:H444"/>
    <mergeCell ref="J444:K444"/>
    <mergeCell ref="M444:N444"/>
    <mergeCell ref="P444:Q444"/>
    <mergeCell ref="S444:T444"/>
    <mergeCell ref="V442:X442"/>
    <mergeCell ref="Y442:AA442"/>
    <mergeCell ref="AB442:AD442"/>
    <mergeCell ref="AE442:AG442"/>
    <mergeCell ref="D443:F443"/>
    <mergeCell ref="G443:I443"/>
    <mergeCell ref="J443:L443"/>
    <mergeCell ref="M443:O443"/>
    <mergeCell ref="P443:R443"/>
    <mergeCell ref="S443:U443"/>
    <mergeCell ref="D442:F442"/>
    <mergeCell ref="G442:I442"/>
    <mergeCell ref="J442:L442"/>
    <mergeCell ref="M442:O442"/>
    <mergeCell ref="P442:R442"/>
    <mergeCell ref="S442:U442"/>
    <mergeCell ref="P441:R441"/>
    <mergeCell ref="S441:U441"/>
    <mergeCell ref="V441:X441"/>
    <mergeCell ref="Y441:AA441"/>
    <mergeCell ref="AB441:AD441"/>
    <mergeCell ref="AE441:AG441"/>
    <mergeCell ref="S438:T438"/>
    <mergeCell ref="V438:W438"/>
    <mergeCell ref="Y438:Z438"/>
    <mergeCell ref="AB438:AC438"/>
    <mergeCell ref="AE438:AF438"/>
    <mergeCell ref="A441:B446"/>
    <mergeCell ref="D441:F441"/>
    <mergeCell ref="G441:I441"/>
    <mergeCell ref="J441:L441"/>
    <mergeCell ref="M441:O441"/>
    <mergeCell ref="S437:T437"/>
    <mergeCell ref="V437:W437"/>
    <mergeCell ref="Y437:Z437"/>
    <mergeCell ref="AB437:AC437"/>
    <mergeCell ref="AE437:AF437"/>
    <mergeCell ref="D438:E438"/>
    <mergeCell ref="G438:H438"/>
    <mergeCell ref="J438:K438"/>
    <mergeCell ref="M438:N438"/>
    <mergeCell ref="P438:Q438"/>
    <mergeCell ref="S436:T436"/>
    <mergeCell ref="V436:W436"/>
    <mergeCell ref="Y436:Z436"/>
    <mergeCell ref="AB436:AC436"/>
    <mergeCell ref="AE436:AF436"/>
    <mergeCell ref="D437:E437"/>
    <mergeCell ref="G437:H437"/>
    <mergeCell ref="J437:K437"/>
    <mergeCell ref="M437:N437"/>
    <mergeCell ref="P437:Q437"/>
    <mergeCell ref="S435:U435"/>
    <mergeCell ref="V435:X435"/>
    <mergeCell ref="Y435:AA435"/>
    <mergeCell ref="AB435:AD435"/>
    <mergeCell ref="AE435:AG435"/>
    <mergeCell ref="D436:E436"/>
    <mergeCell ref="G436:H436"/>
    <mergeCell ref="J436:K436"/>
    <mergeCell ref="M436:N436"/>
    <mergeCell ref="P436:Q436"/>
    <mergeCell ref="S434:U434"/>
    <mergeCell ref="V434:X434"/>
    <mergeCell ref="Y434:AA434"/>
    <mergeCell ref="AB434:AD434"/>
    <mergeCell ref="AE434:AG434"/>
    <mergeCell ref="D435:F435"/>
    <mergeCell ref="G435:I435"/>
    <mergeCell ref="J435:L435"/>
    <mergeCell ref="M435:O435"/>
    <mergeCell ref="P435:R435"/>
    <mergeCell ref="S433:U433"/>
    <mergeCell ref="V433:X433"/>
    <mergeCell ref="Y433:AA433"/>
    <mergeCell ref="AB433:AD433"/>
    <mergeCell ref="AE433:AG433"/>
    <mergeCell ref="D434:F434"/>
    <mergeCell ref="G434:I434"/>
    <mergeCell ref="J434:L434"/>
    <mergeCell ref="M434:O434"/>
    <mergeCell ref="P434:R434"/>
    <mergeCell ref="V430:W430"/>
    <mergeCell ref="Y430:Z430"/>
    <mergeCell ref="AB430:AC430"/>
    <mergeCell ref="AE430:AF430"/>
    <mergeCell ref="A433:B438"/>
    <mergeCell ref="D433:F433"/>
    <mergeCell ref="G433:I433"/>
    <mergeCell ref="J433:L433"/>
    <mergeCell ref="M433:O433"/>
    <mergeCell ref="P433:R433"/>
    <mergeCell ref="V429:W429"/>
    <mergeCell ref="Y429:Z429"/>
    <mergeCell ref="AB429:AC429"/>
    <mergeCell ref="AE429:AF429"/>
    <mergeCell ref="D430:E430"/>
    <mergeCell ref="G430:H430"/>
    <mergeCell ref="J430:K430"/>
    <mergeCell ref="M430:N430"/>
    <mergeCell ref="P430:Q430"/>
    <mergeCell ref="S430:T430"/>
    <mergeCell ref="V428:W428"/>
    <mergeCell ref="Y428:Z428"/>
    <mergeCell ref="AB428:AC428"/>
    <mergeCell ref="AE428:AF428"/>
    <mergeCell ref="D429:E429"/>
    <mergeCell ref="G429:H429"/>
    <mergeCell ref="J429:K429"/>
    <mergeCell ref="M429:N429"/>
    <mergeCell ref="P429:Q429"/>
    <mergeCell ref="S429:T429"/>
    <mergeCell ref="V427:X427"/>
    <mergeCell ref="Y427:AA427"/>
    <mergeCell ref="AB427:AD427"/>
    <mergeCell ref="AE427:AG427"/>
    <mergeCell ref="D428:E428"/>
    <mergeCell ref="G428:H428"/>
    <mergeCell ref="J428:K428"/>
    <mergeCell ref="M428:N428"/>
    <mergeCell ref="P428:Q428"/>
    <mergeCell ref="S428:T428"/>
    <mergeCell ref="V426:X426"/>
    <mergeCell ref="Y426:AA426"/>
    <mergeCell ref="AB426:AD426"/>
    <mergeCell ref="AE426:AG426"/>
    <mergeCell ref="D427:F427"/>
    <mergeCell ref="G427:I427"/>
    <mergeCell ref="J427:L427"/>
    <mergeCell ref="M427:O427"/>
    <mergeCell ref="P427:R427"/>
    <mergeCell ref="S427:U427"/>
    <mergeCell ref="D426:F426"/>
    <mergeCell ref="G426:I426"/>
    <mergeCell ref="J426:L426"/>
    <mergeCell ref="M426:O426"/>
    <mergeCell ref="P426:R426"/>
    <mergeCell ref="S426:U426"/>
    <mergeCell ref="P425:R425"/>
    <mergeCell ref="S425:U425"/>
    <mergeCell ref="V425:X425"/>
    <mergeCell ref="Y425:AA425"/>
    <mergeCell ref="AB425:AD425"/>
    <mergeCell ref="AE425:AG425"/>
    <mergeCell ref="S422:T422"/>
    <mergeCell ref="V422:W422"/>
    <mergeCell ref="Y422:Z422"/>
    <mergeCell ref="AB422:AC422"/>
    <mergeCell ref="AE422:AF422"/>
    <mergeCell ref="A425:B430"/>
    <mergeCell ref="D425:F425"/>
    <mergeCell ref="G425:I425"/>
    <mergeCell ref="J425:L425"/>
    <mergeCell ref="M425:O425"/>
    <mergeCell ref="S421:T421"/>
    <mergeCell ref="V421:W421"/>
    <mergeCell ref="Y421:Z421"/>
    <mergeCell ref="AB421:AC421"/>
    <mergeCell ref="AE421:AF421"/>
    <mergeCell ref="D422:E422"/>
    <mergeCell ref="G422:H422"/>
    <mergeCell ref="J422:K422"/>
    <mergeCell ref="M422:N422"/>
    <mergeCell ref="P422:Q422"/>
    <mergeCell ref="S420:T420"/>
    <mergeCell ref="V420:W420"/>
    <mergeCell ref="Y420:Z420"/>
    <mergeCell ref="AB420:AC420"/>
    <mergeCell ref="AE420:AF420"/>
    <mergeCell ref="D421:E421"/>
    <mergeCell ref="G421:H421"/>
    <mergeCell ref="J421:K421"/>
    <mergeCell ref="M421:N421"/>
    <mergeCell ref="P421:Q421"/>
    <mergeCell ref="S419:U419"/>
    <mergeCell ref="V419:X419"/>
    <mergeCell ref="Y419:AA419"/>
    <mergeCell ref="AB419:AD419"/>
    <mergeCell ref="AE419:AG419"/>
    <mergeCell ref="D420:E420"/>
    <mergeCell ref="G420:H420"/>
    <mergeCell ref="J420:K420"/>
    <mergeCell ref="M420:N420"/>
    <mergeCell ref="P420:Q420"/>
    <mergeCell ref="S418:U418"/>
    <mergeCell ref="V418:X418"/>
    <mergeCell ref="Y418:AA418"/>
    <mergeCell ref="AB418:AD418"/>
    <mergeCell ref="AE418:AG418"/>
    <mergeCell ref="D419:F419"/>
    <mergeCell ref="G419:I419"/>
    <mergeCell ref="J419:L419"/>
    <mergeCell ref="M419:O419"/>
    <mergeCell ref="P419:R419"/>
    <mergeCell ref="S417:U417"/>
    <mergeCell ref="V417:X417"/>
    <mergeCell ref="Y417:AA417"/>
    <mergeCell ref="AB417:AD417"/>
    <mergeCell ref="AE417:AG417"/>
    <mergeCell ref="D418:F418"/>
    <mergeCell ref="G418:I418"/>
    <mergeCell ref="J418:L418"/>
    <mergeCell ref="M418:O418"/>
    <mergeCell ref="P418:R418"/>
    <mergeCell ref="V414:W414"/>
    <mergeCell ref="Y414:Z414"/>
    <mergeCell ref="AB414:AC414"/>
    <mergeCell ref="AE414:AF414"/>
    <mergeCell ref="A417:B422"/>
    <mergeCell ref="D417:F417"/>
    <mergeCell ref="G417:I417"/>
    <mergeCell ref="J417:L417"/>
    <mergeCell ref="M417:O417"/>
    <mergeCell ref="P417:R417"/>
    <mergeCell ref="V413:W413"/>
    <mergeCell ref="Y413:Z413"/>
    <mergeCell ref="AB413:AC413"/>
    <mergeCell ref="AE413:AF413"/>
    <mergeCell ref="D414:E414"/>
    <mergeCell ref="G414:H414"/>
    <mergeCell ref="J414:K414"/>
    <mergeCell ref="M414:N414"/>
    <mergeCell ref="P414:Q414"/>
    <mergeCell ref="S414:T414"/>
    <mergeCell ref="V412:W412"/>
    <mergeCell ref="Y412:Z412"/>
    <mergeCell ref="AB412:AC412"/>
    <mergeCell ref="AE412:AF412"/>
    <mergeCell ref="D413:E413"/>
    <mergeCell ref="G413:H413"/>
    <mergeCell ref="J413:K413"/>
    <mergeCell ref="M413:N413"/>
    <mergeCell ref="P413:Q413"/>
    <mergeCell ref="S413:T413"/>
    <mergeCell ref="V411:X411"/>
    <mergeCell ref="Y411:AA411"/>
    <mergeCell ref="AB411:AD411"/>
    <mergeCell ref="AE411:AG411"/>
    <mergeCell ref="D412:E412"/>
    <mergeCell ref="G412:H412"/>
    <mergeCell ref="J412:K412"/>
    <mergeCell ref="M412:N412"/>
    <mergeCell ref="P412:Q412"/>
    <mergeCell ref="S412:T412"/>
    <mergeCell ref="V410:X410"/>
    <mergeCell ref="Y410:AA410"/>
    <mergeCell ref="AB410:AD410"/>
    <mergeCell ref="AE410:AG410"/>
    <mergeCell ref="D411:F411"/>
    <mergeCell ref="G411:I411"/>
    <mergeCell ref="J411:L411"/>
    <mergeCell ref="M411:O411"/>
    <mergeCell ref="P411:R411"/>
    <mergeCell ref="S411:U411"/>
    <mergeCell ref="D410:F410"/>
    <mergeCell ref="G410:I410"/>
    <mergeCell ref="J410:L410"/>
    <mergeCell ref="M410:O410"/>
    <mergeCell ref="P410:R410"/>
    <mergeCell ref="S410:U410"/>
    <mergeCell ref="P409:R409"/>
    <mergeCell ref="S409:U409"/>
    <mergeCell ref="V409:X409"/>
    <mergeCell ref="Y409:AA409"/>
    <mergeCell ref="AB409:AD409"/>
    <mergeCell ref="AE409:AG409"/>
    <mergeCell ref="S406:T406"/>
    <mergeCell ref="V406:W406"/>
    <mergeCell ref="Y406:Z406"/>
    <mergeCell ref="AB406:AC406"/>
    <mergeCell ref="AE406:AF406"/>
    <mergeCell ref="A409:B414"/>
    <mergeCell ref="D409:F409"/>
    <mergeCell ref="G409:I409"/>
    <mergeCell ref="J409:L409"/>
    <mergeCell ref="M409:O409"/>
    <mergeCell ref="S405:T405"/>
    <mergeCell ref="V405:W405"/>
    <mergeCell ref="Y405:Z405"/>
    <mergeCell ref="AB405:AC405"/>
    <mergeCell ref="AE405:AF405"/>
    <mergeCell ref="D406:E406"/>
    <mergeCell ref="G406:H406"/>
    <mergeCell ref="J406:K406"/>
    <mergeCell ref="M406:N406"/>
    <mergeCell ref="P406:Q406"/>
    <mergeCell ref="S404:T404"/>
    <mergeCell ref="V404:W404"/>
    <mergeCell ref="Y404:Z404"/>
    <mergeCell ref="AB404:AC404"/>
    <mergeCell ref="AE404:AF404"/>
    <mergeCell ref="D405:E405"/>
    <mergeCell ref="G405:H405"/>
    <mergeCell ref="J405:K405"/>
    <mergeCell ref="M405:N405"/>
    <mergeCell ref="P405:Q405"/>
    <mergeCell ref="S403:U403"/>
    <mergeCell ref="V403:X403"/>
    <mergeCell ref="Y403:AA403"/>
    <mergeCell ref="AB403:AD403"/>
    <mergeCell ref="AE403:AG403"/>
    <mergeCell ref="D404:E404"/>
    <mergeCell ref="G404:H404"/>
    <mergeCell ref="J404:K404"/>
    <mergeCell ref="M404:N404"/>
    <mergeCell ref="P404:Q404"/>
    <mergeCell ref="S402:U402"/>
    <mergeCell ref="V402:X402"/>
    <mergeCell ref="Y402:AA402"/>
    <mergeCell ref="AB402:AD402"/>
    <mergeCell ref="AE402:AG402"/>
    <mergeCell ref="D403:F403"/>
    <mergeCell ref="G403:I403"/>
    <mergeCell ref="J403:L403"/>
    <mergeCell ref="M403:O403"/>
    <mergeCell ref="P403:R403"/>
    <mergeCell ref="S401:U401"/>
    <mergeCell ref="V401:X401"/>
    <mergeCell ref="Y401:AA401"/>
    <mergeCell ref="AB401:AD401"/>
    <mergeCell ref="AE401:AG401"/>
    <mergeCell ref="D402:F402"/>
    <mergeCell ref="G402:I402"/>
    <mergeCell ref="J402:L402"/>
    <mergeCell ref="M402:O402"/>
    <mergeCell ref="P402:R402"/>
    <mergeCell ref="V398:W398"/>
    <mergeCell ref="Y398:Z398"/>
    <mergeCell ref="AB398:AC398"/>
    <mergeCell ref="AE398:AF398"/>
    <mergeCell ref="A401:B406"/>
    <mergeCell ref="D401:F401"/>
    <mergeCell ref="G401:I401"/>
    <mergeCell ref="J401:L401"/>
    <mergeCell ref="M401:O401"/>
    <mergeCell ref="P401:R401"/>
    <mergeCell ref="V397:W397"/>
    <mergeCell ref="Y397:Z397"/>
    <mergeCell ref="AB397:AC397"/>
    <mergeCell ref="AE397:AF397"/>
    <mergeCell ref="D398:E398"/>
    <mergeCell ref="G398:H398"/>
    <mergeCell ref="J398:K398"/>
    <mergeCell ref="M398:N398"/>
    <mergeCell ref="P398:Q398"/>
    <mergeCell ref="S398:T398"/>
    <mergeCell ref="V396:W396"/>
    <mergeCell ref="Y396:Z396"/>
    <mergeCell ref="AB396:AC396"/>
    <mergeCell ref="AE396:AF396"/>
    <mergeCell ref="D397:E397"/>
    <mergeCell ref="G397:H397"/>
    <mergeCell ref="J397:K397"/>
    <mergeCell ref="M397:N397"/>
    <mergeCell ref="P397:Q397"/>
    <mergeCell ref="S397:T397"/>
    <mergeCell ref="V395:X395"/>
    <mergeCell ref="Y395:AA395"/>
    <mergeCell ref="AB395:AD395"/>
    <mergeCell ref="AE395:AG395"/>
    <mergeCell ref="D396:E396"/>
    <mergeCell ref="G396:H396"/>
    <mergeCell ref="J396:K396"/>
    <mergeCell ref="M396:N396"/>
    <mergeCell ref="P396:Q396"/>
    <mergeCell ref="S396:T396"/>
    <mergeCell ref="V394:X394"/>
    <mergeCell ref="Y394:AA394"/>
    <mergeCell ref="AB394:AD394"/>
    <mergeCell ref="AE394:AG394"/>
    <mergeCell ref="D395:F395"/>
    <mergeCell ref="G395:I395"/>
    <mergeCell ref="J395:L395"/>
    <mergeCell ref="M395:O395"/>
    <mergeCell ref="P395:R395"/>
    <mergeCell ref="S395:U395"/>
    <mergeCell ref="D394:F394"/>
    <mergeCell ref="G394:I394"/>
    <mergeCell ref="J394:L394"/>
    <mergeCell ref="M394:O394"/>
    <mergeCell ref="P394:R394"/>
    <mergeCell ref="S394:U394"/>
    <mergeCell ref="P393:R393"/>
    <mergeCell ref="S393:U393"/>
    <mergeCell ref="V393:X393"/>
    <mergeCell ref="Y393:AA393"/>
    <mergeCell ref="AB393:AD393"/>
    <mergeCell ref="AE393:AG393"/>
    <mergeCell ref="S390:T390"/>
    <mergeCell ref="V390:W390"/>
    <mergeCell ref="Y390:Z390"/>
    <mergeCell ref="AB390:AC390"/>
    <mergeCell ref="AE390:AF390"/>
    <mergeCell ref="A393:B398"/>
    <mergeCell ref="D393:F393"/>
    <mergeCell ref="G393:I393"/>
    <mergeCell ref="J393:L393"/>
    <mergeCell ref="M393:O393"/>
    <mergeCell ref="S389:T389"/>
    <mergeCell ref="V389:W389"/>
    <mergeCell ref="Y389:Z389"/>
    <mergeCell ref="AB389:AC389"/>
    <mergeCell ref="AE389:AF389"/>
    <mergeCell ref="D390:E390"/>
    <mergeCell ref="G390:H390"/>
    <mergeCell ref="J390:K390"/>
    <mergeCell ref="M390:N390"/>
    <mergeCell ref="P390:Q390"/>
    <mergeCell ref="S388:T388"/>
    <mergeCell ref="V388:W388"/>
    <mergeCell ref="Y388:Z388"/>
    <mergeCell ref="AB388:AC388"/>
    <mergeCell ref="AE388:AF388"/>
    <mergeCell ref="D389:E389"/>
    <mergeCell ref="G389:H389"/>
    <mergeCell ref="J389:K389"/>
    <mergeCell ref="M389:N389"/>
    <mergeCell ref="P389:Q389"/>
    <mergeCell ref="S387:U387"/>
    <mergeCell ref="V387:X387"/>
    <mergeCell ref="Y387:AA387"/>
    <mergeCell ref="AB387:AD387"/>
    <mergeCell ref="AE387:AG387"/>
    <mergeCell ref="D388:E388"/>
    <mergeCell ref="G388:H388"/>
    <mergeCell ref="J388:K388"/>
    <mergeCell ref="M388:N388"/>
    <mergeCell ref="P388:Q388"/>
    <mergeCell ref="S386:U386"/>
    <mergeCell ref="V386:X386"/>
    <mergeCell ref="Y386:AA386"/>
    <mergeCell ref="AB386:AD386"/>
    <mergeCell ref="AE386:AG386"/>
    <mergeCell ref="D387:F387"/>
    <mergeCell ref="G387:I387"/>
    <mergeCell ref="J387:L387"/>
    <mergeCell ref="M387:O387"/>
    <mergeCell ref="P387:R387"/>
    <mergeCell ref="S385:U385"/>
    <mergeCell ref="V385:X385"/>
    <mergeCell ref="Y385:AA385"/>
    <mergeCell ref="AB385:AD385"/>
    <mergeCell ref="AE385:AG385"/>
    <mergeCell ref="D386:F386"/>
    <mergeCell ref="G386:I386"/>
    <mergeCell ref="J386:L386"/>
    <mergeCell ref="M386:O386"/>
    <mergeCell ref="P386:R386"/>
    <mergeCell ref="V382:W382"/>
    <mergeCell ref="Y382:Z382"/>
    <mergeCell ref="AB382:AC382"/>
    <mergeCell ref="AE382:AF382"/>
    <mergeCell ref="A385:B390"/>
    <mergeCell ref="D385:F385"/>
    <mergeCell ref="G385:I385"/>
    <mergeCell ref="J385:L385"/>
    <mergeCell ref="M385:O385"/>
    <mergeCell ref="P385:R385"/>
    <mergeCell ref="V381:W381"/>
    <mergeCell ref="Y381:Z381"/>
    <mergeCell ref="AB381:AC381"/>
    <mergeCell ref="AE381:AF381"/>
    <mergeCell ref="D382:E382"/>
    <mergeCell ref="G382:H382"/>
    <mergeCell ref="J382:K382"/>
    <mergeCell ref="M382:N382"/>
    <mergeCell ref="P382:Q382"/>
    <mergeCell ref="S382:T382"/>
    <mergeCell ref="V380:W380"/>
    <mergeCell ref="Y380:Z380"/>
    <mergeCell ref="AB380:AC380"/>
    <mergeCell ref="AE380:AF380"/>
    <mergeCell ref="D381:E381"/>
    <mergeCell ref="G381:H381"/>
    <mergeCell ref="J381:K381"/>
    <mergeCell ref="M381:N381"/>
    <mergeCell ref="P381:Q381"/>
    <mergeCell ref="S381:T381"/>
    <mergeCell ref="V379:X379"/>
    <mergeCell ref="Y379:AA379"/>
    <mergeCell ref="AB379:AD379"/>
    <mergeCell ref="AE379:AG379"/>
    <mergeCell ref="D380:E380"/>
    <mergeCell ref="G380:H380"/>
    <mergeCell ref="J380:K380"/>
    <mergeCell ref="M380:N380"/>
    <mergeCell ref="P380:Q380"/>
    <mergeCell ref="S380:T380"/>
    <mergeCell ref="V378:X378"/>
    <mergeCell ref="Y378:AA378"/>
    <mergeCell ref="AB378:AD378"/>
    <mergeCell ref="AE378:AG378"/>
    <mergeCell ref="D379:F379"/>
    <mergeCell ref="G379:I379"/>
    <mergeCell ref="J379:L379"/>
    <mergeCell ref="M379:O379"/>
    <mergeCell ref="P379:R379"/>
    <mergeCell ref="S379:U379"/>
    <mergeCell ref="D378:F378"/>
    <mergeCell ref="G378:I378"/>
    <mergeCell ref="J378:L378"/>
    <mergeCell ref="M378:O378"/>
    <mergeCell ref="P378:R378"/>
    <mergeCell ref="S378:U378"/>
    <mergeCell ref="P377:R377"/>
    <mergeCell ref="S377:U377"/>
    <mergeCell ref="V377:X377"/>
    <mergeCell ref="Y377:AA377"/>
    <mergeCell ref="AB377:AD377"/>
    <mergeCell ref="AE377:AG377"/>
    <mergeCell ref="S374:T374"/>
    <mergeCell ref="V374:W374"/>
    <mergeCell ref="Y374:Z374"/>
    <mergeCell ref="AB374:AC374"/>
    <mergeCell ref="AE374:AF374"/>
    <mergeCell ref="A377:B382"/>
    <mergeCell ref="D377:F377"/>
    <mergeCell ref="G377:I377"/>
    <mergeCell ref="J377:L377"/>
    <mergeCell ref="M377:O377"/>
    <mergeCell ref="S373:T373"/>
    <mergeCell ref="V373:W373"/>
    <mergeCell ref="Y373:Z373"/>
    <mergeCell ref="AB373:AC373"/>
    <mergeCell ref="AE373:AF373"/>
    <mergeCell ref="D374:E374"/>
    <mergeCell ref="G374:H374"/>
    <mergeCell ref="J374:K374"/>
    <mergeCell ref="M374:N374"/>
    <mergeCell ref="P374:Q374"/>
    <mergeCell ref="S372:T372"/>
    <mergeCell ref="V372:W372"/>
    <mergeCell ref="Y372:Z372"/>
    <mergeCell ref="AB372:AC372"/>
    <mergeCell ref="AE372:AF372"/>
    <mergeCell ref="D373:E373"/>
    <mergeCell ref="G373:H373"/>
    <mergeCell ref="J373:K373"/>
    <mergeCell ref="M373:N373"/>
    <mergeCell ref="P373:Q373"/>
    <mergeCell ref="S371:U371"/>
    <mergeCell ref="V371:X371"/>
    <mergeCell ref="Y371:AA371"/>
    <mergeCell ref="AB371:AD371"/>
    <mergeCell ref="AE371:AG371"/>
    <mergeCell ref="D372:E372"/>
    <mergeCell ref="G372:H372"/>
    <mergeCell ref="J372:K372"/>
    <mergeCell ref="M372:N372"/>
    <mergeCell ref="P372:Q372"/>
    <mergeCell ref="S370:U370"/>
    <mergeCell ref="V370:X370"/>
    <mergeCell ref="Y370:AA370"/>
    <mergeCell ref="AB370:AD370"/>
    <mergeCell ref="AE370:AG370"/>
    <mergeCell ref="D371:F371"/>
    <mergeCell ref="G371:I371"/>
    <mergeCell ref="J371:L371"/>
    <mergeCell ref="M371:O371"/>
    <mergeCell ref="P371:R371"/>
    <mergeCell ref="S369:U369"/>
    <mergeCell ref="V369:X369"/>
    <mergeCell ref="Y369:AA369"/>
    <mergeCell ref="AB369:AD369"/>
    <mergeCell ref="AE369:AG369"/>
    <mergeCell ref="D370:F370"/>
    <mergeCell ref="G370:I370"/>
    <mergeCell ref="J370:L370"/>
    <mergeCell ref="M370:O370"/>
    <mergeCell ref="P370:R370"/>
    <mergeCell ref="V366:W366"/>
    <mergeCell ref="Y366:Z366"/>
    <mergeCell ref="AB366:AC366"/>
    <mergeCell ref="AE366:AF366"/>
    <mergeCell ref="A369:B374"/>
    <mergeCell ref="D369:F369"/>
    <mergeCell ref="G369:I369"/>
    <mergeCell ref="J369:L369"/>
    <mergeCell ref="M369:O369"/>
    <mergeCell ref="P369:R369"/>
    <mergeCell ref="V365:W365"/>
    <mergeCell ref="Y365:Z365"/>
    <mergeCell ref="AB365:AC365"/>
    <mergeCell ref="AE365:AF365"/>
    <mergeCell ref="D366:E366"/>
    <mergeCell ref="G366:H366"/>
    <mergeCell ref="J366:K366"/>
    <mergeCell ref="M366:N366"/>
    <mergeCell ref="P366:Q366"/>
    <mergeCell ref="S366:T366"/>
    <mergeCell ref="V364:W364"/>
    <mergeCell ref="Y364:Z364"/>
    <mergeCell ref="AB364:AC364"/>
    <mergeCell ref="AE364:AF364"/>
    <mergeCell ref="D365:E365"/>
    <mergeCell ref="G365:H365"/>
    <mergeCell ref="J365:K365"/>
    <mergeCell ref="M365:N365"/>
    <mergeCell ref="P365:Q365"/>
    <mergeCell ref="S365:T365"/>
    <mergeCell ref="V363:X363"/>
    <mergeCell ref="Y363:AA363"/>
    <mergeCell ref="AB363:AD363"/>
    <mergeCell ref="AE363:AG363"/>
    <mergeCell ref="D364:E364"/>
    <mergeCell ref="G364:H364"/>
    <mergeCell ref="J364:K364"/>
    <mergeCell ref="M364:N364"/>
    <mergeCell ref="P364:Q364"/>
    <mergeCell ref="S364:T364"/>
    <mergeCell ref="V362:X362"/>
    <mergeCell ref="Y362:AA362"/>
    <mergeCell ref="AB362:AD362"/>
    <mergeCell ref="AE362:AG362"/>
    <mergeCell ref="D363:F363"/>
    <mergeCell ref="G363:I363"/>
    <mergeCell ref="J363:L363"/>
    <mergeCell ref="M363:O363"/>
    <mergeCell ref="P363:R363"/>
    <mergeCell ref="S363:U363"/>
    <mergeCell ref="D362:F362"/>
    <mergeCell ref="G362:I362"/>
    <mergeCell ref="J362:L362"/>
    <mergeCell ref="M362:O362"/>
    <mergeCell ref="P362:R362"/>
    <mergeCell ref="S362:U362"/>
    <mergeCell ref="P361:R361"/>
    <mergeCell ref="S361:U361"/>
    <mergeCell ref="V361:X361"/>
    <mergeCell ref="Y361:AA361"/>
    <mergeCell ref="AB361:AD361"/>
    <mergeCell ref="AE361:AG361"/>
    <mergeCell ref="S358:T358"/>
    <mergeCell ref="V358:W358"/>
    <mergeCell ref="Y358:Z358"/>
    <mergeCell ref="AB358:AC358"/>
    <mergeCell ref="AE358:AF358"/>
    <mergeCell ref="A361:B366"/>
    <mergeCell ref="D361:F361"/>
    <mergeCell ref="G361:I361"/>
    <mergeCell ref="J361:L361"/>
    <mergeCell ref="M361:O361"/>
    <mergeCell ref="S357:T357"/>
    <mergeCell ref="V357:W357"/>
    <mergeCell ref="Y357:Z357"/>
    <mergeCell ref="AB357:AC357"/>
    <mergeCell ref="AE357:AF357"/>
    <mergeCell ref="D358:E358"/>
    <mergeCell ref="G358:H358"/>
    <mergeCell ref="J358:K358"/>
    <mergeCell ref="M358:N358"/>
    <mergeCell ref="P358:Q358"/>
    <mergeCell ref="S356:T356"/>
    <mergeCell ref="V356:W356"/>
    <mergeCell ref="Y356:Z356"/>
    <mergeCell ref="AB356:AC356"/>
    <mergeCell ref="AE356:AF356"/>
    <mergeCell ref="D357:E357"/>
    <mergeCell ref="G357:H357"/>
    <mergeCell ref="J357:K357"/>
    <mergeCell ref="M357:N357"/>
    <mergeCell ref="P357:Q357"/>
    <mergeCell ref="S355:U355"/>
    <mergeCell ref="V355:X355"/>
    <mergeCell ref="Y355:AA355"/>
    <mergeCell ref="AB355:AD355"/>
    <mergeCell ref="AE355:AG355"/>
    <mergeCell ref="D356:E356"/>
    <mergeCell ref="G356:H356"/>
    <mergeCell ref="J356:K356"/>
    <mergeCell ref="M356:N356"/>
    <mergeCell ref="P356:Q356"/>
    <mergeCell ref="S354:U354"/>
    <mergeCell ref="V354:X354"/>
    <mergeCell ref="Y354:AA354"/>
    <mergeCell ref="AB354:AD354"/>
    <mergeCell ref="AE354:AG354"/>
    <mergeCell ref="D355:F355"/>
    <mergeCell ref="G355:I355"/>
    <mergeCell ref="J355:L355"/>
    <mergeCell ref="M355:O355"/>
    <mergeCell ref="P355:R355"/>
    <mergeCell ref="S353:U353"/>
    <mergeCell ref="V353:X353"/>
    <mergeCell ref="Y353:AA353"/>
    <mergeCell ref="AB353:AD353"/>
    <mergeCell ref="AE353:AG353"/>
    <mergeCell ref="D354:F354"/>
    <mergeCell ref="G354:I354"/>
    <mergeCell ref="J354:L354"/>
    <mergeCell ref="M354:O354"/>
    <mergeCell ref="P354:R354"/>
    <mergeCell ref="V350:W350"/>
    <mergeCell ref="Y350:Z350"/>
    <mergeCell ref="AB350:AC350"/>
    <mergeCell ref="AE350:AF350"/>
    <mergeCell ref="A353:B358"/>
    <mergeCell ref="D353:F353"/>
    <mergeCell ref="G353:I353"/>
    <mergeCell ref="J353:L353"/>
    <mergeCell ref="M353:O353"/>
    <mergeCell ref="P353:R353"/>
    <mergeCell ref="V349:W349"/>
    <mergeCell ref="Y349:Z349"/>
    <mergeCell ref="AB349:AC349"/>
    <mergeCell ref="AE349:AF349"/>
    <mergeCell ref="D350:E350"/>
    <mergeCell ref="G350:H350"/>
    <mergeCell ref="J350:K350"/>
    <mergeCell ref="M350:N350"/>
    <mergeCell ref="P350:Q350"/>
    <mergeCell ref="S350:T350"/>
    <mergeCell ref="V348:W348"/>
    <mergeCell ref="Y348:Z348"/>
    <mergeCell ref="AB348:AC348"/>
    <mergeCell ref="AE348:AF348"/>
    <mergeCell ref="D349:E349"/>
    <mergeCell ref="G349:H349"/>
    <mergeCell ref="J349:K349"/>
    <mergeCell ref="M349:N349"/>
    <mergeCell ref="P349:Q349"/>
    <mergeCell ref="S349:T349"/>
    <mergeCell ref="V347:X347"/>
    <mergeCell ref="Y347:AA347"/>
    <mergeCell ref="AB347:AD347"/>
    <mergeCell ref="AE347:AG347"/>
    <mergeCell ref="D348:E348"/>
    <mergeCell ref="G348:H348"/>
    <mergeCell ref="J348:K348"/>
    <mergeCell ref="M348:N348"/>
    <mergeCell ref="P348:Q348"/>
    <mergeCell ref="S348:T348"/>
    <mergeCell ref="V346:X346"/>
    <mergeCell ref="Y346:AA346"/>
    <mergeCell ref="AB346:AD346"/>
    <mergeCell ref="AE346:AG346"/>
    <mergeCell ref="D347:F347"/>
    <mergeCell ref="G347:I347"/>
    <mergeCell ref="J347:L347"/>
    <mergeCell ref="M347:O347"/>
    <mergeCell ref="P347:R347"/>
    <mergeCell ref="S347:U347"/>
    <mergeCell ref="D346:F346"/>
    <mergeCell ref="G346:I346"/>
    <mergeCell ref="J346:L346"/>
    <mergeCell ref="M346:O346"/>
    <mergeCell ref="P346:R346"/>
    <mergeCell ref="S346:U346"/>
    <mergeCell ref="P345:R345"/>
    <mergeCell ref="S345:U345"/>
    <mergeCell ref="V345:X345"/>
    <mergeCell ref="Y345:AA345"/>
    <mergeCell ref="AB345:AD345"/>
    <mergeCell ref="AE345:AG345"/>
    <mergeCell ref="S342:T342"/>
    <mergeCell ref="V342:W342"/>
    <mergeCell ref="Y342:Z342"/>
    <mergeCell ref="AB342:AC342"/>
    <mergeCell ref="AE342:AF342"/>
    <mergeCell ref="A345:B350"/>
    <mergeCell ref="D345:F345"/>
    <mergeCell ref="G345:I345"/>
    <mergeCell ref="J345:L345"/>
    <mergeCell ref="M345:O345"/>
    <mergeCell ref="S341:T341"/>
    <mergeCell ref="V341:W341"/>
    <mergeCell ref="Y341:Z341"/>
    <mergeCell ref="AB341:AC341"/>
    <mergeCell ref="AE341:AF341"/>
    <mergeCell ref="D342:E342"/>
    <mergeCell ref="G342:H342"/>
    <mergeCell ref="J342:K342"/>
    <mergeCell ref="M342:N342"/>
    <mergeCell ref="P342:Q342"/>
    <mergeCell ref="S340:T340"/>
    <mergeCell ref="V340:W340"/>
    <mergeCell ref="Y340:Z340"/>
    <mergeCell ref="AB340:AC340"/>
    <mergeCell ref="AE340:AF340"/>
    <mergeCell ref="D341:E341"/>
    <mergeCell ref="G341:H341"/>
    <mergeCell ref="J341:K341"/>
    <mergeCell ref="M341:N341"/>
    <mergeCell ref="P341:Q341"/>
    <mergeCell ref="S339:U339"/>
    <mergeCell ref="V339:X339"/>
    <mergeCell ref="Y339:AA339"/>
    <mergeCell ref="AB339:AD339"/>
    <mergeCell ref="AE339:AG339"/>
    <mergeCell ref="D340:E340"/>
    <mergeCell ref="G340:H340"/>
    <mergeCell ref="J340:K340"/>
    <mergeCell ref="M340:N340"/>
    <mergeCell ref="P340:Q340"/>
    <mergeCell ref="S338:U338"/>
    <mergeCell ref="V338:X338"/>
    <mergeCell ref="Y338:AA338"/>
    <mergeCell ref="AB338:AD338"/>
    <mergeCell ref="AE338:AG338"/>
    <mergeCell ref="D339:F339"/>
    <mergeCell ref="G339:I339"/>
    <mergeCell ref="J339:L339"/>
    <mergeCell ref="M339:O339"/>
    <mergeCell ref="P339:R339"/>
    <mergeCell ref="S337:U337"/>
    <mergeCell ref="V337:X337"/>
    <mergeCell ref="Y337:AA337"/>
    <mergeCell ref="AB337:AD337"/>
    <mergeCell ref="AE337:AG337"/>
    <mergeCell ref="D338:F338"/>
    <mergeCell ref="G338:I338"/>
    <mergeCell ref="J338:L338"/>
    <mergeCell ref="M338:O338"/>
    <mergeCell ref="P338:R338"/>
    <mergeCell ref="V334:W334"/>
    <mergeCell ref="Y334:Z334"/>
    <mergeCell ref="AB334:AC334"/>
    <mergeCell ref="AE334:AF334"/>
    <mergeCell ref="A337:B342"/>
    <mergeCell ref="D337:F337"/>
    <mergeCell ref="G337:I337"/>
    <mergeCell ref="J337:L337"/>
    <mergeCell ref="M337:O337"/>
    <mergeCell ref="P337:R337"/>
    <mergeCell ref="V333:W333"/>
    <mergeCell ref="Y333:Z333"/>
    <mergeCell ref="AB333:AC333"/>
    <mergeCell ref="AE333:AF333"/>
    <mergeCell ref="D334:E334"/>
    <mergeCell ref="G334:H334"/>
    <mergeCell ref="J334:K334"/>
    <mergeCell ref="M334:N334"/>
    <mergeCell ref="P334:Q334"/>
    <mergeCell ref="S334:T334"/>
    <mergeCell ref="V332:W332"/>
    <mergeCell ref="Y332:Z332"/>
    <mergeCell ref="AB332:AC332"/>
    <mergeCell ref="AE332:AF332"/>
    <mergeCell ref="D333:E333"/>
    <mergeCell ref="G333:H333"/>
    <mergeCell ref="J333:K333"/>
    <mergeCell ref="M333:N333"/>
    <mergeCell ref="P333:Q333"/>
    <mergeCell ref="S333:T333"/>
    <mergeCell ref="V331:X331"/>
    <mergeCell ref="Y331:AA331"/>
    <mergeCell ref="AB331:AD331"/>
    <mergeCell ref="AE331:AG331"/>
    <mergeCell ref="D332:E332"/>
    <mergeCell ref="G332:H332"/>
    <mergeCell ref="J332:K332"/>
    <mergeCell ref="M332:N332"/>
    <mergeCell ref="P332:Q332"/>
    <mergeCell ref="S332:T332"/>
    <mergeCell ref="V330:X330"/>
    <mergeCell ref="Y330:AA330"/>
    <mergeCell ref="AB330:AD330"/>
    <mergeCell ref="AE330:AG330"/>
    <mergeCell ref="D331:F331"/>
    <mergeCell ref="G331:I331"/>
    <mergeCell ref="J331:L331"/>
    <mergeCell ref="M331:O331"/>
    <mergeCell ref="P331:R331"/>
    <mergeCell ref="S331:U331"/>
    <mergeCell ref="D330:F330"/>
    <mergeCell ref="G330:I330"/>
    <mergeCell ref="J330:L330"/>
    <mergeCell ref="M330:O330"/>
    <mergeCell ref="P330:R330"/>
    <mergeCell ref="S330:U330"/>
    <mergeCell ref="P329:R329"/>
    <mergeCell ref="S329:U329"/>
    <mergeCell ref="V329:X329"/>
    <mergeCell ref="Y329:AA329"/>
    <mergeCell ref="AB329:AD329"/>
    <mergeCell ref="AE329:AG329"/>
    <mergeCell ref="S326:T326"/>
    <mergeCell ref="V326:W326"/>
    <mergeCell ref="Y326:Z326"/>
    <mergeCell ref="AB326:AC326"/>
    <mergeCell ref="AE326:AF326"/>
    <mergeCell ref="A329:B334"/>
    <mergeCell ref="D329:F329"/>
    <mergeCell ref="G329:I329"/>
    <mergeCell ref="J329:L329"/>
    <mergeCell ref="M329:O329"/>
    <mergeCell ref="S325:T325"/>
    <mergeCell ref="V325:W325"/>
    <mergeCell ref="Y325:Z325"/>
    <mergeCell ref="AB325:AC325"/>
    <mergeCell ref="AE325:AF325"/>
    <mergeCell ref="D326:E326"/>
    <mergeCell ref="G326:H326"/>
    <mergeCell ref="J326:K326"/>
    <mergeCell ref="M326:N326"/>
    <mergeCell ref="P326:Q326"/>
    <mergeCell ref="S324:T324"/>
    <mergeCell ref="V324:W324"/>
    <mergeCell ref="Y324:Z324"/>
    <mergeCell ref="AB324:AC324"/>
    <mergeCell ref="AE324:AF324"/>
    <mergeCell ref="D325:E325"/>
    <mergeCell ref="G325:H325"/>
    <mergeCell ref="J325:K325"/>
    <mergeCell ref="M325:N325"/>
    <mergeCell ref="P325:Q325"/>
    <mergeCell ref="S323:U323"/>
    <mergeCell ref="V323:X323"/>
    <mergeCell ref="Y323:AA323"/>
    <mergeCell ref="AB323:AD323"/>
    <mergeCell ref="AE323:AG323"/>
    <mergeCell ref="D324:E324"/>
    <mergeCell ref="G324:H324"/>
    <mergeCell ref="J324:K324"/>
    <mergeCell ref="M324:N324"/>
    <mergeCell ref="P324:Q324"/>
    <mergeCell ref="S322:U322"/>
    <mergeCell ref="V322:X322"/>
    <mergeCell ref="Y322:AA322"/>
    <mergeCell ref="AB322:AD322"/>
    <mergeCell ref="AE322:AG322"/>
    <mergeCell ref="D323:F323"/>
    <mergeCell ref="G323:I323"/>
    <mergeCell ref="J323:L323"/>
    <mergeCell ref="M323:O323"/>
    <mergeCell ref="P323:R323"/>
    <mergeCell ref="S321:U321"/>
    <mergeCell ref="V321:X321"/>
    <mergeCell ref="Y321:AA321"/>
    <mergeCell ref="AB321:AD321"/>
    <mergeCell ref="AE321:AG321"/>
    <mergeCell ref="D322:F322"/>
    <mergeCell ref="G322:I322"/>
    <mergeCell ref="J322:L322"/>
    <mergeCell ref="M322:O322"/>
    <mergeCell ref="P322:R322"/>
    <mergeCell ref="V318:W318"/>
    <mergeCell ref="Y318:Z318"/>
    <mergeCell ref="AB318:AC318"/>
    <mergeCell ref="AE318:AF318"/>
    <mergeCell ref="A321:B326"/>
    <mergeCell ref="D321:F321"/>
    <mergeCell ref="G321:I321"/>
    <mergeCell ref="J321:L321"/>
    <mergeCell ref="M321:O321"/>
    <mergeCell ref="P321:R321"/>
    <mergeCell ref="V317:W317"/>
    <mergeCell ref="Y317:Z317"/>
    <mergeCell ref="AB317:AC317"/>
    <mergeCell ref="AE317:AF317"/>
    <mergeCell ref="D318:E318"/>
    <mergeCell ref="G318:H318"/>
    <mergeCell ref="J318:K318"/>
    <mergeCell ref="M318:N318"/>
    <mergeCell ref="P318:Q318"/>
    <mergeCell ref="S318:T318"/>
    <mergeCell ref="V316:W316"/>
    <mergeCell ref="Y316:Z316"/>
    <mergeCell ref="AB316:AC316"/>
    <mergeCell ref="AE316:AF316"/>
    <mergeCell ref="D317:E317"/>
    <mergeCell ref="G317:H317"/>
    <mergeCell ref="J317:K317"/>
    <mergeCell ref="M317:N317"/>
    <mergeCell ref="P317:Q317"/>
    <mergeCell ref="S317:T317"/>
    <mergeCell ref="V315:X315"/>
    <mergeCell ref="Y315:AA315"/>
    <mergeCell ref="AB315:AD315"/>
    <mergeCell ref="AE315:AG315"/>
    <mergeCell ref="D316:E316"/>
    <mergeCell ref="G316:H316"/>
    <mergeCell ref="J316:K316"/>
    <mergeCell ref="M316:N316"/>
    <mergeCell ref="P316:Q316"/>
    <mergeCell ref="S316:T316"/>
    <mergeCell ref="V314:X314"/>
    <mergeCell ref="Y314:AA314"/>
    <mergeCell ref="AB314:AD314"/>
    <mergeCell ref="AE314:AG314"/>
    <mergeCell ref="D315:F315"/>
    <mergeCell ref="G315:I315"/>
    <mergeCell ref="J315:L315"/>
    <mergeCell ref="M315:O315"/>
    <mergeCell ref="P315:R315"/>
    <mergeCell ref="S315:U315"/>
    <mergeCell ref="D314:F314"/>
    <mergeCell ref="G314:I314"/>
    <mergeCell ref="J314:L314"/>
    <mergeCell ref="M314:O314"/>
    <mergeCell ref="P314:R314"/>
    <mergeCell ref="S314:U314"/>
    <mergeCell ref="P313:R313"/>
    <mergeCell ref="S313:U313"/>
    <mergeCell ref="V313:X313"/>
    <mergeCell ref="Y313:AA313"/>
    <mergeCell ref="AB313:AD313"/>
    <mergeCell ref="AE313:AG313"/>
    <mergeCell ref="S310:T310"/>
    <mergeCell ref="V310:W310"/>
    <mergeCell ref="Y310:Z310"/>
    <mergeCell ref="AB310:AC310"/>
    <mergeCell ref="AE310:AF310"/>
    <mergeCell ref="A313:B318"/>
    <mergeCell ref="D313:F313"/>
    <mergeCell ref="G313:I313"/>
    <mergeCell ref="J313:L313"/>
    <mergeCell ref="M313:O313"/>
    <mergeCell ref="S309:T309"/>
    <mergeCell ref="V309:W309"/>
    <mergeCell ref="Y309:Z309"/>
    <mergeCell ref="AB309:AC309"/>
    <mergeCell ref="AE309:AF309"/>
    <mergeCell ref="D310:E310"/>
    <mergeCell ref="G310:H310"/>
    <mergeCell ref="J310:K310"/>
    <mergeCell ref="M310:N310"/>
    <mergeCell ref="P310:Q310"/>
    <mergeCell ref="S308:T308"/>
    <mergeCell ref="V308:W308"/>
    <mergeCell ref="Y308:Z308"/>
    <mergeCell ref="AB308:AC308"/>
    <mergeCell ref="AE308:AF308"/>
    <mergeCell ref="D309:E309"/>
    <mergeCell ref="G309:H309"/>
    <mergeCell ref="J309:K309"/>
    <mergeCell ref="M309:N309"/>
    <mergeCell ref="P309:Q309"/>
    <mergeCell ref="S307:U307"/>
    <mergeCell ref="V307:X307"/>
    <mergeCell ref="Y307:AA307"/>
    <mergeCell ref="AB307:AD307"/>
    <mergeCell ref="AE307:AG307"/>
    <mergeCell ref="D308:E308"/>
    <mergeCell ref="G308:H308"/>
    <mergeCell ref="J308:K308"/>
    <mergeCell ref="M308:N308"/>
    <mergeCell ref="P308:Q308"/>
    <mergeCell ref="S306:U306"/>
    <mergeCell ref="V306:X306"/>
    <mergeCell ref="Y306:AA306"/>
    <mergeCell ref="AB306:AD306"/>
    <mergeCell ref="AE306:AG306"/>
    <mergeCell ref="D307:F307"/>
    <mergeCell ref="G307:I307"/>
    <mergeCell ref="J307:L307"/>
    <mergeCell ref="M307:O307"/>
    <mergeCell ref="P307:R307"/>
    <mergeCell ref="S305:U305"/>
    <mergeCell ref="V305:X305"/>
    <mergeCell ref="Y305:AA305"/>
    <mergeCell ref="AB305:AD305"/>
    <mergeCell ref="AE305:AG305"/>
    <mergeCell ref="D306:F306"/>
    <mergeCell ref="G306:I306"/>
    <mergeCell ref="J306:L306"/>
    <mergeCell ref="M306:O306"/>
    <mergeCell ref="P306:R306"/>
    <mergeCell ref="V302:W302"/>
    <mergeCell ref="Y302:Z302"/>
    <mergeCell ref="AB302:AC302"/>
    <mergeCell ref="AE302:AF302"/>
    <mergeCell ref="A305:B310"/>
    <mergeCell ref="D305:F305"/>
    <mergeCell ref="G305:I305"/>
    <mergeCell ref="J305:L305"/>
    <mergeCell ref="M305:O305"/>
    <mergeCell ref="P305:R305"/>
    <mergeCell ref="V301:W301"/>
    <mergeCell ref="Y301:Z301"/>
    <mergeCell ref="AB301:AC301"/>
    <mergeCell ref="AE301:AF301"/>
    <mergeCell ref="D302:E302"/>
    <mergeCell ref="G302:H302"/>
    <mergeCell ref="J302:K302"/>
    <mergeCell ref="M302:N302"/>
    <mergeCell ref="P302:Q302"/>
    <mergeCell ref="S302:T302"/>
    <mergeCell ref="V300:W300"/>
    <mergeCell ref="Y300:Z300"/>
    <mergeCell ref="AB300:AC300"/>
    <mergeCell ref="AE300:AF300"/>
    <mergeCell ref="D301:E301"/>
    <mergeCell ref="G301:H301"/>
    <mergeCell ref="J301:K301"/>
    <mergeCell ref="M301:N301"/>
    <mergeCell ref="P301:Q301"/>
    <mergeCell ref="S301:T301"/>
    <mergeCell ref="V299:X299"/>
    <mergeCell ref="Y299:AA299"/>
    <mergeCell ref="AB299:AD299"/>
    <mergeCell ref="AE299:AG299"/>
    <mergeCell ref="D300:E300"/>
    <mergeCell ref="G300:H300"/>
    <mergeCell ref="J300:K300"/>
    <mergeCell ref="M300:N300"/>
    <mergeCell ref="P300:Q300"/>
    <mergeCell ref="S300:T300"/>
    <mergeCell ref="V298:X298"/>
    <mergeCell ref="Y298:AA298"/>
    <mergeCell ref="AB298:AD298"/>
    <mergeCell ref="AE298:AG298"/>
    <mergeCell ref="D299:F299"/>
    <mergeCell ref="G299:I299"/>
    <mergeCell ref="J299:L299"/>
    <mergeCell ref="M299:O299"/>
    <mergeCell ref="P299:R299"/>
    <mergeCell ref="S299:U299"/>
    <mergeCell ref="D298:F298"/>
    <mergeCell ref="G298:I298"/>
    <mergeCell ref="J298:L298"/>
    <mergeCell ref="M298:O298"/>
    <mergeCell ref="P298:R298"/>
    <mergeCell ref="S298:U298"/>
    <mergeCell ref="P297:R297"/>
    <mergeCell ref="S297:U297"/>
    <mergeCell ref="V297:X297"/>
    <mergeCell ref="Y297:AA297"/>
    <mergeCell ref="AB297:AD297"/>
    <mergeCell ref="AE297:AG297"/>
    <mergeCell ref="S294:T294"/>
    <mergeCell ref="V294:W294"/>
    <mergeCell ref="Y294:Z294"/>
    <mergeCell ref="AB294:AC294"/>
    <mergeCell ref="AE294:AF294"/>
    <mergeCell ref="A297:B302"/>
    <mergeCell ref="D297:F297"/>
    <mergeCell ref="G297:I297"/>
    <mergeCell ref="J297:L297"/>
    <mergeCell ref="M297:O297"/>
    <mergeCell ref="S293:T293"/>
    <mergeCell ref="V293:W293"/>
    <mergeCell ref="Y293:Z293"/>
    <mergeCell ref="AB293:AC293"/>
    <mergeCell ref="AE293:AF293"/>
    <mergeCell ref="D294:E294"/>
    <mergeCell ref="G294:H294"/>
    <mergeCell ref="J294:K294"/>
    <mergeCell ref="M294:N294"/>
    <mergeCell ref="P294:Q294"/>
    <mergeCell ref="S292:T292"/>
    <mergeCell ref="V292:W292"/>
    <mergeCell ref="Y292:Z292"/>
    <mergeCell ref="AB292:AC292"/>
    <mergeCell ref="AE292:AF292"/>
    <mergeCell ref="D293:E293"/>
    <mergeCell ref="G293:H293"/>
    <mergeCell ref="J293:K293"/>
    <mergeCell ref="M293:N293"/>
    <mergeCell ref="P293:Q293"/>
    <mergeCell ref="S291:U291"/>
    <mergeCell ref="V291:X291"/>
    <mergeCell ref="Y291:AA291"/>
    <mergeCell ref="AB291:AD291"/>
    <mergeCell ref="AE291:AG291"/>
    <mergeCell ref="D292:E292"/>
    <mergeCell ref="G292:H292"/>
    <mergeCell ref="J292:K292"/>
    <mergeCell ref="M292:N292"/>
    <mergeCell ref="P292:Q292"/>
    <mergeCell ref="S290:U290"/>
    <mergeCell ref="V290:X290"/>
    <mergeCell ref="Y290:AA290"/>
    <mergeCell ref="AB290:AD290"/>
    <mergeCell ref="AE290:AG290"/>
    <mergeCell ref="D291:F291"/>
    <mergeCell ref="G291:I291"/>
    <mergeCell ref="J291:L291"/>
    <mergeCell ref="M291:O291"/>
    <mergeCell ref="P291:R291"/>
    <mergeCell ref="S289:U289"/>
    <mergeCell ref="V289:X289"/>
    <mergeCell ref="Y289:AA289"/>
    <mergeCell ref="AB289:AD289"/>
    <mergeCell ref="AE289:AG289"/>
    <mergeCell ref="D290:F290"/>
    <mergeCell ref="G290:I290"/>
    <mergeCell ref="J290:L290"/>
    <mergeCell ref="M290:O290"/>
    <mergeCell ref="P290:R290"/>
    <mergeCell ref="V286:W286"/>
    <mergeCell ref="Y286:Z286"/>
    <mergeCell ref="AB286:AC286"/>
    <mergeCell ref="AE286:AF286"/>
    <mergeCell ref="A289:B294"/>
    <mergeCell ref="D289:F289"/>
    <mergeCell ref="G289:I289"/>
    <mergeCell ref="J289:L289"/>
    <mergeCell ref="M289:O289"/>
    <mergeCell ref="P289:R289"/>
    <mergeCell ref="V285:W285"/>
    <mergeCell ref="Y285:Z285"/>
    <mergeCell ref="AB285:AC285"/>
    <mergeCell ref="AE285:AF285"/>
    <mergeCell ref="D286:E286"/>
    <mergeCell ref="G286:H286"/>
    <mergeCell ref="J286:K286"/>
    <mergeCell ref="M286:N286"/>
    <mergeCell ref="P286:Q286"/>
    <mergeCell ref="S286:T286"/>
    <mergeCell ref="V284:W284"/>
    <mergeCell ref="Y284:Z284"/>
    <mergeCell ref="AB284:AC284"/>
    <mergeCell ref="AE284:AF284"/>
    <mergeCell ref="D285:E285"/>
    <mergeCell ref="G285:H285"/>
    <mergeCell ref="J285:K285"/>
    <mergeCell ref="M285:N285"/>
    <mergeCell ref="P285:Q285"/>
    <mergeCell ref="S285:T285"/>
    <mergeCell ref="V283:X283"/>
    <mergeCell ref="Y283:AA283"/>
    <mergeCell ref="AB283:AD283"/>
    <mergeCell ref="AE283:AG283"/>
    <mergeCell ref="D284:E284"/>
    <mergeCell ref="G284:H284"/>
    <mergeCell ref="J284:K284"/>
    <mergeCell ref="M284:N284"/>
    <mergeCell ref="P284:Q284"/>
    <mergeCell ref="S284:T284"/>
    <mergeCell ref="V282:X282"/>
    <mergeCell ref="Y282:AA282"/>
    <mergeCell ref="AB282:AD282"/>
    <mergeCell ref="AE282:AG282"/>
    <mergeCell ref="D283:F283"/>
    <mergeCell ref="G283:I283"/>
    <mergeCell ref="J283:L283"/>
    <mergeCell ref="M283:O283"/>
    <mergeCell ref="P283:R283"/>
    <mergeCell ref="S283:U283"/>
    <mergeCell ref="D282:F282"/>
    <mergeCell ref="G282:I282"/>
    <mergeCell ref="J282:L282"/>
    <mergeCell ref="M282:O282"/>
    <mergeCell ref="P282:R282"/>
    <mergeCell ref="S282:U282"/>
    <mergeCell ref="P281:R281"/>
    <mergeCell ref="S281:U281"/>
    <mergeCell ref="V281:X281"/>
    <mergeCell ref="Y281:AA281"/>
    <mergeCell ref="AB281:AD281"/>
    <mergeCell ref="AE281:AG281"/>
    <mergeCell ref="S278:T278"/>
    <mergeCell ref="V278:W278"/>
    <mergeCell ref="Y278:Z278"/>
    <mergeCell ref="AB278:AC278"/>
    <mergeCell ref="AE278:AF278"/>
    <mergeCell ref="A281:B286"/>
    <mergeCell ref="D281:F281"/>
    <mergeCell ref="G281:I281"/>
    <mergeCell ref="J281:L281"/>
    <mergeCell ref="M281:O281"/>
    <mergeCell ref="S277:T277"/>
    <mergeCell ref="V277:W277"/>
    <mergeCell ref="Y277:Z277"/>
    <mergeCell ref="AB277:AC277"/>
    <mergeCell ref="AE277:AF277"/>
    <mergeCell ref="D278:E278"/>
    <mergeCell ref="G278:H278"/>
    <mergeCell ref="J278:K278"/>
    <mergeCell ref="M278:N278"/>
    <mergeCell ref="P278:Q278"/>
    <mergeCell ref="S276:T276"/>
    <mergeCell ref="V276:W276"/>
    <mergeCell ref="Y276:Z276"/>
    <mergeCell ref="AB276:AC276"/>
    <mergeCell ref="AE276:AF276"/>
    <mergeCell ref="D277:E277"/>
    <mergeCell ref="G277:H277"/>
    <mergeCell ref="J277:K277"/>
    <mergeCell ref="M277:N277"/>
    <mergeCell ref="P277:Q277"/>
    <mergeCell ref="S275:U275"/>
    <mergeCell ref="V275:X275"/>
    <mergeCell ref="Y275:AA275"/>
    <mergeCell ref="AB275:AD275"/>
    <mergeCell ref="AE275:AG275"/>
    <mergeCell ref="D276:E276"/>
    <mergeCell ref="G276:H276"/>
    <mergeCell ref="J276:K276"/>
    <mergeCell ref="M276:N276"/>
    <mergeCell ref="P276:Q276"/>
    <mergeCell ref="S274:U274"/>
    <mergeCell ref="V274:X274"/>
    <mergeCell ref="Y274:AA274"/>
    <mergeCell ref="AB274:AD274"/>
    <mergeCell ref="AE274:AG274"/>
    <mergeCell ref="D275:F275"/>
    <mergeCell ref="G275:I275"/>
    <mergeCell ref="J275:L275"/>
    <mergeCell ref="M275:O275"/>
    <mergeCell ref="P275:R275"/>
    <mergeCell ref="S273:U273"/>
    <mergeCell ref="V273:X273"/>
    <mergeCell ref="Y273:AA273"/>
    <mergeCell ref="AB273:AD273"/>
    <mergeCell ref="AE273:AG273"/>
    <mergeCell ref="D274:F274"/>
    <mergeCell ref="G274:I274"/>
    <mergeCell ref="J274:L274"/>
    <mergeCell ref="M274:O274"/>
    <mergeCell ref="P274:R274"/>
    <mergeCell ref="V270:W270"/>
    <mergeCell ref="Y270:Z270"/>
    <mergeCell ref="AB270:AC270"/>
    <mergeCell ref="AE270:AF270"/>
    <mergeCell ref="A273:B278"/>
    <mergeCell ref="D273:F273"/>
    <mergeCell ref="G273:I273"/>
    <mergeCell ref="J273:L273"/>
    <mergeCell ref="M273:O273"/>
    <mergeCell ref="P273:R273"/>
    <mergeCell ref="V269:W269"/>
    <mergeCell ref="Y269:Z269"/>
    <mergeCell ref="AB269:AC269"/>
    <mergeCell ref="AE269:AF269"/>
    <mergeCell ref="D270:E270"/>
    <mergeCell ref="G270:H270"/>
    <mergeCell ref="J270:K270"/>
    <mergeCell ref="M270:N270"/>
    <mergeCell ref="P270:Q270"/>
    <mergeCell ref="S270:T270"/>
    <mergeCell ref="V268:W268"/>
    <mergeCell ref="Y268:Z268"/>
    <mergeCell ref="AB268:AC268"/>
    <mergeCell ref="AE268:AF268"/>
    <mergeCell ref="D269:E269"/>
    <mergeCell ref="G269:H269"/>
    <mergeCell ref="J269:K269"/>
    <mergeCell ref="M269:N269"/>
    <mergeCell ref="P269:Q269"/>
    <mergeCell ref="S269:T269"/>
    <mergeCell ref="V267:X267"/>
    <mergeCell ref="Y267:AA267"/>
    <mergeCell ref="AB267:AD267"/>
    <mergeCell ref="AE267:AG267"/>
    <mergeCell ref="D268:E268"/>
    <mergeCell ref="G268:H268"/>
    <mergeCell ref="J268:K268"/>
    <mergeCell ref="M268:N268"/>
    <mergeCell ref="P268:Q268"/>
    <mergeCell ref="S268:T268"/>
    <mergeCell ref="V266:X266"/>
    <mergeCell ref="Y266:AA266"/>
    <mergeCell ref="AB266:AD266"/>
    <mergeCell ref="AE266:AG266"/>
    <mergeCell ref="D267:F267"/>
    <mergeCell ref="G267:I267"/>
    <mergeCell ref="J267:L267"/>
    <mergeCell ref="M267:O267"/>
    <mergeCell ref="P267:R267"/>
    <mergeCell ref="S267:U267"/>
    <mergeCell ref="D266:F266"/>
    <mergeCell ref="G266:I266"/>
    <mergeCell ref="J266:L266"/>
    <mergeCell ref="M266:O266"/>
    <mergeCell ref="P266:R266"/>
    <mergeCell ref="S266:U266"/>
    <mergeCell ref="P265:R265"/>
    <mergeCell ref="S265:U265"/>
    <mergeCell ref="V265:X265"/>
    <mergeCell ref="Y265:AA265"/>
    <mergeCell ref="AB265:AD265"/>
    <mergeCell ref="AE265:AG265"/>
    <mergeCell ref="S262:T262"/>
    <mergeCell ref="V262:W262"/>
    <mergeCell ref="Y262:Z262"/>
    <mergeCell ref="AB262:AC262"/>
    <mergeCell ref="AE262:AF262"/>
    <mergeCell ref="A265:B270"/>
    <mergeCell ref="D265:F265"/>
    <mergeCell ref="G265:I265"/>
    <mergeCell ref="J265:L265"/>
    <mergeCell ref="M265:O265"/>
    <mergeCell ref="S261:T261"/>
    <mergeCell ref="V261:W261"/>
    <mergeCell ref="Y261:Z261"/>
    <mergeCell ref="AB261:AC261"/>
    <mergeCell ref="AE261:AF261"/>
    <mergeCell ref="D262:E262"/>
    <mergeCell ref="G262:H262"/>
    <mergeCell ref="J262:K262"/>
    <mergeCell ref="M262:N262"/>
    <mergeCell ref="P262:Q262"/>
    <mergeCell ref="S260:T260"/>
    <mergeCell ref="V260:W260"/>
    <mergeCell ref="Y260:Z260"/>
    <mergeCell ref="AB260:AC260"/>
    <mergeCell ref="AE260:AF260"/>
    <mergeCell ref="D261:E261"/>
    <mergeCell ref="G261:H261"/>
    <mergeCell ref="J261:K261"/>
    <mergeCell ref="M261:N261"/>
    <mergeCell ref="P261:Q261"/>
    <mergeCell ref="S259:U259"/>
    <mergeCell ref="V259:X259"/>
    <mergeCell ref="Y259:AA259"/>
    <mergeCell ref="AB259:AD259"/>
    <mergeCell ref="AE259:AG259"/>
    <mergeCell ref="D260:E260"/>
    <mergeCell ref="G260:H260"/>
    <mergeCell ref="J260:K260"/>
    <mergeCell ref="M260:N260"/>
    <mergeCell ref="P260:Q260"/>
    <mergeCell ref="S258:U258"/>
    <mergeCell ref="V258:X258"/>
    <mergeCell ref="Y258:AA258"/>
    <mergeCell ref="AB258:AD258"/>
    <mergeCell ref="AE258:AG258"/>
    <mergeCell ref="D259:F259"/>
    <mergeCell ref="G259:I259"/>
    <mergeCell ref="J259:L259"/>
    <mergeCell ref="M259:O259"/>
    <mergeCell ref="P259:R259"/>
    <mergeCell ref="S257:U257"/>
    <mergeCell ref="V257:X257"/>
    <mergeCell ref="Y257:AA257"/>
    <mergeCell ref="AB257:AD257"/>
    <mergeCell ref="AE257:AG257"/>
    <mergeCell ref="D258:F258"/>
    <mergeCell ref="G258:I258"/>
    <mergeCell ref="J258:L258"/>
    <mergeCell ref="M258:O258"/>
    <mergeCell ref="P258:R258"/>
    <mergeCell ref="V254:W254"/>
    <mergeCell ref="Y254:Z254"/>
    <mergeCell ref="AB254:AC254"/>
    <mergeCell ref="AE254:AF254"/>
    <mergeCell ref="A257:B262"/>
    <mergeCell ref="D257:F257"/>
    <mergeCell ref="G257:I257"/>
    <mergeCell ref="J257:L257"/>
    <mergeCell ref="M257:O257"/>
    <mergeCell ref="P257:R257"/>
    <mergeCell ref="V253:W253"/>
    <mergeCell ref="Y253:Z253"/>
    <mergeCell ref="AB253:AC253"/>
    <mergeCell ref="AE253:AF253"/>
    <mergeCell ref="D254:E254"/>
    <mergeCell ref="G254:H254"/>
    <mergeCell ref="J254:K254"/>
    <mergeCell ref="M254:N254"/>
    <mergeCell ref="P254:Q254"/>
    <mergeCell ref="S254:T254"/>
    <mergeCell ref="V252:W252"/>
    <mergeCell ref="Y252:Z252"/>
    <mergeCell ref="AB252:AC252"/>
    <mergeCell ref="AE252:AF252"/>
    <mergeCell ref="D253:E253"/>
    <mergeCell ref="G253:H253"/>
    <mergeCell ref="J253:K253"/>
    <mergeCell ref="M253:N253"/>
    <mergeCell ref="P253:Q253"/>
    <mergeCell ref="S253:T253"/>
    <mergeCell ref="V251:X251"/>
    <mergeCell ref="Y251:AA251"/>
    <mergeCell ref="AB251:AD251"/>
    <mergeCell ref="AE251:AG251"/>
    <mergeCell ref="D252:E252"/>
    <mergeCell ref="G252:H252"/>
    <mergeCell ref="J252:K252"/>
    <mergeCell ref="M252:N252"/>
    <mergeCell ref="P252:Q252"/>
    <mergeCell ref="S252:T252"/>
    <mergeCell ref="V250:X250"/>
    <mergeCell ref="Y250:AA250"/>
    <mergeCell ref="AB250:AD250"/>
    <mergeCell ref="AE250:AG250"/>
    <mergeCell ref="D251:F251"/>
    <mergeCell ref="G251:I251"/>
    <mergeCell ref="J251:L251"/>
    <mergeCell ref="M251:O251"/>
    <mergeCell ref="P251:R251"/>
    <mergeCell ref="S251:U251"/>
    <mergeCell ref="D250:F250"/>
    <mergeCell ref="G250:I250"/>
    <mergeCell ref="J250:L250"/>
    <mergeCell ref="M250:O250"/>
    <mergeCell ref="P250:R250"/>
    <mergeCell ref="S250:U250"/>
    <mergeCell ref="P249:R249"/>
    <mergeCell ref="S249:U249"/>
    <mergeCell ref="V249:X249"/>
    <mergeCell ref="Y249:AA249"/>
    <mergeCell ref="AB249:AD249"/>
    <mergeCell ref="AE249:AG249"/>
    <mergeCell ref="S246:T246"/>
    <mergeCell ref="V246:W246"/>
    <mergeCell ref="Y246:Z246"/>
    <mergeCell ref="AB246:AC246"/>
    <mergeCell ref="AE246:AF246"/>
    <mergeCell ref="A249:B254"/>
    <mergeCell ref="D249:F249"/>
    <mergeCell ref="G249:I249"/>
    <mergeCell ref="J249:L249"/>
    <mergeCell ref="M249:O249"/>
    <mergeCell ref="S245:T245"/>
    <mergeCell ref="V245:W245"/>
    <mergeCell ref="Y245:Z245"/>
    <mergeCell ref="AB245:AC245"/>
    <mergeCell ref="AE245:AF245"/>
    <mergeCell ref="D246:E246"/>
    <mergeCell ref="G246:H246"/>
    <mergeCell ref="J246:K246"/>
    <mergeCell ref="M246:N246"/>
    <mergeCell ref="P246:Q246"/>
    <mergeCell ref="S244:T244"/>
    <mergeCell ref="V244:W244"/>
    <mergeCell ref="Y244:Z244"/>
    <mergeCell ref="AB244:AC244"/>
    <mergeCell ref="AE244:AF244"/>
    <mergeCell ref="D245:E245"/>
    <mergeCell ref="G245:H245"/>
    <mergeCell ref="J245:K245"/>
    <mergeCell ref="M245:N245"/>
    <mergeCell ref="P245:Q245"/>
    <mergeCell ref="S243:U243"/>
    <mergeCell ref="V243:X243"/>
    <mergeCell ref="Y243:AA243"/>
    <mergeCell ref="AB243:AD243"/>
    <mergeCell ref="AE243:AG243"/>
    <mergeCell ref="D244:E244"/>
    <mergeCell ref="G244:H244"/>
    <mergeCell ref="J244:K244"/>
    <mergeCell ref="M244:N244"/>
    <mergeCell ref="P244:Q244"/>
    <mergeCell ref="S242:U242"/>
    <mergeCell ref="V242:X242"/>
    <mergeCell ref="Y242:AA242"/>
    <mergeCell ref="AB242:AD242"/>
    <mergeCell ref="AE242:AG242"/>
    <mergeCell ref="D243:F243"/>
    <mergeCell ref="G243:I243"/>
    <mergeCell ref="J243:L243"/>
    <mergeCell ref="M243:O243"/>
    <mergeCell ref="P243:R243"/>
    <mergeCell ref="S241:U241"/>
    <mergeCell ref="V241:X241"/>
    <mergeCell ref="Y241:AA241"/>
    <mergeCell ref="AB241:AD241"/>
    <mergeCell ref="AE241:AG241"/>
    <mergeCell ref="D242:F242"/>
    <mergeCell ref="G242:I242"/>
    <mergeCell ref="J242:L242"/>
    <mergeCell ref="M242:O242"/>
    <mergeCell ref="P242:R242"/>
    <mergeCell ref="V238:W238"/>
    <mergeCell ref="Y238:Z238"/>
    <mergeCell ref="AB238:AC238"/>
    <mergeCell ref="AE238:AF238"/>
    <mergeCell ref="A241:B246"/>
    <mergeCell ref="D241:F241"/>
    <mergeCell ref="G241:I241"/>
    <mergeCell ref="J241:L241"/>
    <mergeCell ref="M241:O241"/>
    <mergeCell ref="P241:R241"/>
    <mergeCell ref="V237:W237"/>
    <mergeCell ref="Y237:Z237"/>
    <mergeCell ref="AB237:AC237"/>
    <mergeCell ref="AE237:AF237"/>
    <mergeCell ref="D238:E238"/>
    <mergeCell ref="G238:H238"/>
    <mergeCell ref="J238:K238"/>
    <mergeCell ref="M238:N238"/>
    <mergeCell ref="P238:Q238"/>
    <mergeCell ref="S238:T238"/>
    <mergeCell ref="V236:W236"/>
    <mergeCell ref="Y236:Z236"/>
    <mergeCell ref="AB236:AC236"/>
    <mergeCell ref="AE236:AF236"/>
    <mergeCell ref="D237:E237"/>
    <mergeCell ref="G237:H237"/>
    <mergeCell ref="J237:K237"/>
    <mergeCell ref="M237:N237"/>
    <mergeCell ref="P237:Q237"/>
    <mergeCell ref="S237:T237"/>
    <mergeCell ref="V235:X235"/>
    <mergeCell ref="Y235:AA235"/>
    <mergeCell ref="AB235:AD235"/>
    <mergeCell ref="AE235:AG235"/>
    <mergeCell ref="D236:E236"/>
    <mergeCell ref="G236:H236"/>
    <mergeCell ref="J236:K236"/>
    <mergeCell ref="M236:N236"/>
    <mergeCell ref="P236:Q236"/>
    <mergeCell ref="S236:T236"/>
    <mergeCell ref="V234:X234"/>
    <mergeCell ref="Y234:AA234"/>
    <mergeCell ref="AB234:AD234"/>
    <mergeCell ref="AE234:AG234"/>
    <mergeCell ref="D235:F235"/>
    <mergeCell ref="G235:I235"/>
    <mergeCell ref="J235:L235"/>
    <mergeCell ref="M235:O235"/>
    <mergeCell ref="P235:R235"/>
    <mergeCell ref="S235:U235"/>
    <mergeCell ref="D234:F234"/>
    <mergeCell ref="G234:I234"/>
    <mergeCell ref="J234:L234"/>
    <mergeCell ref="M234:O234"/>
    <mergeCell ref="P234:R234"/>
    <mergeCell ref="S234:U234"/>
    <mergeCell ref="P233:R233"/>
    <mergeCell ref="S233:U233"/>
    <mergeCell ref="V233:X233"/>
    <mergeCell ref="Y233:AA233"/>
    <mergeCell ref="AB233:AD233"/>
    <mergeCell ref="AE233:AG233"/>
    <mergeCell ref="S230:T230"/>
    <mergeCell ref="V230:W230"/>
    <mergeCell ref="Y230:Z230"/>
    <mergeCell ref="AB230:AC230"/>
    <mergeCell ref="AE230:AF230"/>
    <mergeCell ref="A233:B238"/>
    <mergeCell ref="D233:F233"/>
    <mergeCell ref="G233:I233"/>
    <mergeCell ref="J233:L233"/>
    <mergeCell ref="M233:O233"/>
    <mergeCell ref="S229:T229"/>
    <mergeCell ref="V229:W229"/>
    <mergeCell ref="Y229:Z229"/>
    <mergeCell ref="AB229:AC229"/>
    <mergeCell ref="AE229:AF229"/>
    <mergeCell ref="D230:E230"/>
    <mergeCell ref="G230:H230"/>
    <mergeCell ref="J230:K230"/>
    <mergeCell ref="M230:N230"/>
    <mergeCell ref="P230:Q230"/>
    <mergeCell ref="S228:T228"/>
    <mergeCell ref="V228:W228"/>
    <mergeCell ref="Y228:Z228"/>
    <mergeCell ref="AB228:AC228"/>
    <mergeCell ref="AE228:AF228"/>
    <mergeCell ref="D229:E229"/>
    <mergeCell ref="G229:H229"/>
    <mergeCell ref="J229:K229"/>
    <mergeCell ref="M229:N229"/>
    <mergeCell ref="P229:Q229"/>
    <mergeCell ref="S227:U227"/>
    <mergeCell ref="V227:X227"/>
    <mergeCell ref="Y227:AA227"/>
    <mergeCell ref="AB227:AD227"/>
    <mergeCell ref="AE227:AG227"/>
    <mergeCell ref="D228:E228"/>
    <mergeCell ref="G228:H228"/>
    <mergeCell ref="J228:K228"/>
    <mergeCell ref="M228:N228"/>
    <mergeCell ref="P228:Q228"/>
    <mergeCell ref="S226:U226"/>
    <mergeCell ref="V226:X226"/>
    <mergeCell ref="Y226:AA226"/>
    <mergeCell ref="AB226:AD226"/>
    <mergeCell ref="AE226:AG226"/>
    <mergeCell ref="D227:F227"/>
    <mergeCell ref="G227:I227"/>
    <mergeCell ref="J227:L227"/>
    <mergeCell ref="M227:O227"/>
    <mergeCell ref="P227:R227"/>
    <mergeCell ref="S225:U225"/>
    <mergeCell ref="V225:X225"/>
    <mergeCell ref="Y225:AA225"/>
    <mergeCell ref="AB225:AD225"/>
    <mergeCell ref="AE225:AG225"/>
    <mergeCell ref="D226:F226"/>
    <mergeCell ref="G226:I226"/>
    <mergeCell ref="J226:L226"/>
    <mergeCell ref="M226:O226"/>
    <mergeCell ref="P226:R226"/>
    <mergeCell ref="V222:W222"/>
    <mergeCell ref="Y222:Z222"/>
    <mergeCell ref="AB222:AC222"/>
    <mergeCell ref="AE222:AF222"/>
    <mergeCell ref="A225:B230"/>
    <mergeCell ref="D225:F225"/>
    <mergeCell ref="G225:I225"/>
    <mergeCell ref="J225:L225"/>
    <mergeCell ref="M225:O225"/>
    <mergeCell ref="P225:R225"/>
    <mergeCell ref="V221:W221"/>
    <mergeCell ref="Y221:Z221"/>
    <mergeCell ref="AB221:AC221"/>
    <mergeCell ref="AE221:AF221"/>
    <mergeCell ref="D222:E222"/>
    <mergeCell ref="G222:H222"/>
    <mergeCell ref="J222:K222"/>
    <mergeCell ref="M222:N222"/>
    <mergeCell ref="P222:Q222"/>
    <mergeCell ref="S222:T222"/>
    <mergeCell ref="V220:W220"/>
    <mergeCell ref="Y220:Z220"/>
    <mergeCell ref="AB220:AC220"/>
    <mergeCell ref="AE220:AF220"/>
    <mergeCell ref="D221:E221"/>
    <mergeCell ref="G221:H221"/>
    <mergeCell ref="J221:K221"/>
    <mergeCell ref="M221:N221"/>
    <mergeCell ref="P221:Q221"/>
    <mergeCell ref="S221:T221"/>
    <mergeCell ref="V219:X219"/>
    <mergeCell ref="Y219:AA219"/>
    <mergeCell ref="AB219:AD219"/>
    <mergeCell ref="AE219:AG219"/>
    <mergeCell ref="D220:E220"/>
    <mergeCell ref="G220:H220"/>
    <mergeCell ref="J220:K220"/>
    <mergeCell ref="M220:N220"/>
    <mergeCell ref="P220:Q220"/>
    <mergeCell ref="S220:T220"/>
    <mergeCell ref="V218:X218"/>
    <mergeCell ref="Y218:AA218"/>
    <mergeCell ref="AB218:AD218"/>
    <mergeCell ref="AE218:AG218"/>
    <mergeCell ref="D219:F219"/>
    <mergeCell ref="G219:I219"/>
    <mergeCell ref="J219:L219"/>
    <mergeCell ref="M219:O219"/>
    <mergeCell ref="P219:R219"/>
    <mergeCell ref="S219:U219"/>
    <mergeCell ref="D218:F218"/>
    <mergeCell ref="G218:I218"/>
    <mergeCell ref="J218:L218"/>
    <mergeCell ref="M218:O218"/>
    <mergeCell ref="P218:R218"/>
    <mergeCell ref="S218:U218"/>
    <mergeCell ref="P217:R217"/>
    <mergeCell ref="S217:U217"/>
    <mergeCell ref="V217:X217"/>
    <mergeCell ref="Y217:AA217"/>
    <mergeCell ref="AB217:AD217"/>
    <mergeCell ref="AE217:AG217"/>
    <mergeCell ref="S214:T214"/>
    <mergeCell ref="V214:W214"/>
    <mergeCell ref="Y214:Z214"/>
    <mergeCell ref="AB214:AC214"/>
    <mergeCell ref="AE214:AF214"/>
    <mergeCell ref="A217:B222"/>
    <mergeCell ref="D217:F217"/>
    <mergeCell ref="G217:I217"/>
    <mergeCell ref="J217:L217"/>
    <mergeCell ref="M217:O217"/>
    <mergeCell ref="S213:T213"/>
    <mergeCell ref="V213:W213"/>
    <mergeCell ref="Y213:Z213"/>
    <mergeCell ref="AB213:AC213"/>
    <mergeCell ref="AE213:AF213"/>
    <mergeCell ref="D214:E214"/>
    <mergeCell ref="G214:H214"/>
    <mergeCell ref="J214:K214"/>
    <mergeCell ref="M214:N214"/>
    <mergeCell ref="P214:Q214"/>
    <mergeCell ref="S212:T212"/>
    <mergeCell ref="V212:W212"/>
    <mergeCell ref="Y212:Z212"/>
    <mergeCell ref="AB212:AC212"/>
    <mergeCell ref="AE212:AF212"/>
    <mergeCell ref="D213:E213"/>
    <mergeCell ref="G213:H213"/>
    <mergeCell ref="J213:K213"/>
    <mergeCell ref="M213:N213"/>
    <mergeCell ref="P213:Q213"/>
    <mergeCell ref="S211:U211"/>
    <mergeCell ref="V211:X211"/>
    <mergeCell ref="Y211:AA211"/>
    <mergeCell ref="AB211:AD211"/>
    <mergeCell ref="AE211:AG211"/>
    <mergeCell ref="D212:E212"/>
    <mergeCell ref="G212:H212"/>
    <mergeCell ref="J212:K212"/>
    <mergeCell ref="M212:N212"/>
    <mergeCell ref="P212:Q212"/>
    <mergeCell ref="S210:U210"/>
    <mergeCell ref="V210:X210"/>
    <mergeCell ref="Y210:AA210"/>
    <mergeCell ref="AB210:AD210"/>
    <mergeCell ref="AE210:AG210"/>
    <mergeCell ref="D211:F211"/>
    <mergeCell ref="G211:I211"/>
    <mergeCell ref="J211:L211"/>
    <mergeCell ref="M211:O211"/>
    <mergeCell ref="P211:R211"/>
    <mergeCell ref="S209:U209"/>
    <mergeCell ref="V209:X209"/>
    <mergeCell ref="Y209:AA209"/>
    <mergeCell ref="AB209:AD209"/>
    <mergeCell ref="AE209:AG209"/>
    <mergeCell ref="D210:F210"/>
    <mergeCell ref="G210:I210"/>
    <mergeCell ref="J210:L210"/>
    <mergeCell ref="M210:O210"/>
    <mergeCell ref="P210:R210"/>
    <mergeCell ref="V206:W206"/>
    <mergeCell ref="Y206:Z206"/>
    <mergeCell ref="AB206:AC206"/>
    <mergeCell ref="AE206:AF206"/>
    <mergeCell ref="A209:B214"/>
    <mergeCell ref="D209:F209"/>
    <mergeCell ref="G209:I209"/>
    <mergeCell ref="J209:L209"/>
    <mergeCell ref="M209:O209"/>
    <mergeCell ref="P209:R209"/>
    <mergeCell ref="V205:W205"/>
    <mergeCell ref="Y205:Z205"/>
    <mergeCell ref="AB205:AC205"/>
    <mergeCell ref="AE205:AF205"/>
    <mergeCell ref="D206:E206"/>
    <mergeCell ref="G206:H206"/>
    <mergeCell ref="J206:K206"/>
    <mergeCell ref="M206:N206"/>
    <mergeCell ref="P206:Q206"/>
    <mergeCell ref="S206:T206"/>
    <mergeCell ref="V204:W204"/>
    <mergeCell ref="Y204:Z204"/>
    <mergeCell ref="AB204:AC204"/>
    <mergeCell ref="AE204:AF204"/>
    <mergeCell ref="D205:E205"/>
    <mergeCell ref="G205:H205"/>
    <mergeCell ref="J205:K205"/>
    <mergeCell ref="M205:N205"/>
    <mergeCell ref="P205:Q205"/>
    <mergeCell ref="S205:T205"/>
    <mergeCell ref="V203:X203"/>
    <mergeCell ref="Y203:AA203"/>
    <mergeCell ref="AB203:AD203"/>
    <mergeCell ref="AE203:AG203"/>
    <mergeCell ref="D204:E204"/>
    <mergeCell ref="G204:H204"/>
    <mergeCell ref="J204:K204"/>
    <mergeCell ref="M204:N204"/>
    <mergeCell ref="P204:Q204"/>
    <mergeCell ref="S204:T204"/>
    <mergeCell ref="V202:X202"/>
    <mergeCell ref="Y202:AA202"/>
    <mergeCell ref="AB202:AD202"/>
    <mergeCell ref="AE202:AG202"/>
    <mergeCell ref="D203:F203"/>
    <mergeCell ref="G203:I203"/>
    <mergeCell ref="J203:L203"/>
    <mergeCell ref="M203:O203"/>
    <mergeCell ref="P203:R203"/>
    <mergeCell ref="S203:U203"/>
    <mergeCell ref="D202:F202"/>
    <mergeCell ref="G202:I202"/>
    <mergeCell ref="J202:L202"/>
    <mergeCell ref="M202:O202"/>
    <mergeCell ref="P202:R202"/>
    <mergeCell ref="S202:U202"/>
    <mergeCell ref="P201:R201"/>
    <mergeCell ref="S201:U201"/>
    <mergeCell ref="V201:X201"/>
    <mergeCell ref="Y201:AA201"/>
    <mergeCell ref="AB201:AD201"/>
    <mergeCell ref="AE201:AG201"/>
    <mergeCell ref="S198:T198"/>
    <mergeCell ref="V198:W198"/>
    <mergeCell ref="Y198:Z198"/>
    <mergeCell ref="AB198:AC198"/>
    <mergeCell ref="AE198:AF198"/>
    <mergeCell ref="A201:B206"/>
    <mergeCell ref="D201:F201"/>
    <mergeCell ref="G201:I201"/>
    <mergeCell ref="J201:L201"/>
    <mergeCell ref="M201:O201"/>
    <mergeCell ref="S197:T197"/>
    <mergeCell ref="V197:W197"/>
    <mergeCell ref="Y197:Z197"/>
    <mergeCell ref="AB197:AC197"/>
    <mergeCell ref="AE197:AF197"/>
    <mergeCell ref="D198:E198"/>
    <mergeCell ref="G198:H198"/>
    <mergeCell ref="J198:K198"/>
    <mergeCell ref="M198:N198"/>
    <mergeCell ref="P198:Q198"/>
    <mergeCell ref="S196:T196"/>
    <mergeCell ref="V196:W196"/>
    <mergeCell ref="Y196:Z196"/>
    <mergeCell ref="AB196:AC196"/>
    <mergeCell ref="AE196:AF196"/>
    <mergeCell ref="D197:E197"/>
    <mergeCell ref="G197:H197"/>
    <mergeCell ref="J197:K197"/>
    <mergeCell ref="M197:N197"/>
    <mergeCell ref="P197:Q197"/>
    <mergeCell ref="S195:U195"/>
    <mergeCell ref="V195:X195"/>
    <mergeCell ref="Y195:AA195"/>
    <mergeCell ref="AB195:AD195"/>
    <mergeCell ref="AE195:AG195"/>
    <mergeCell ref="D196:E196"/>
    <mergeCell ref="G196:H196"/>
    <mergeCell ref="J196:K196"/>
    <mergeCell ref="M196:N196"/>
    <mergeCell ref="P196:Q196"/>
    <mergeCell ref="S194:U194"/>
    <mergeCell ref="V194:X194"/>
    <mergeCell ref="Y194:AA194"/>
    <mergeCell ref="AB194:AD194"/>
    <mergeCell ref="AE194:AG194"/>
    <mergeCell ref="D195:F195"/>
    <mergeCell ref="G195:I195"/>
    <mergeCell ref="J195:L195"/>
    <mergeCell ref="M195:O195"/>
    <mergeCell ref="P195:R195"/>
    <mergeCell ref="S193:U193"/>
    <mergeCell ref="V193:X193"/>
    <mergeCell ref="Y193:AA193"/>
    <mergeCell ref="AB193:AD193"/>
    <mergeCell ref="AE193:AG193"/>
    <mergeCell ref="D194:F194"/>
    <mergeCell ref="G194:I194"/>
    <mergeCell ref="J194:L194"/>
    <mergeCell ref="M194:O194"/>
    <mergeCell ref="P194:R194"/>
    <mergeCell ref="V190:W190"/>
    <mergeCell ref="Y190:Z190"/>
    <mergeCell ref="AB190:AC190"/>
    <mergeCell ref="AE190:AF190"/>
    <mergeCell ref="A193:B198"/>
    <mergeCell ref="D193:F193"/>
    <mergeCell ref="G193:I193"/>
    <mergeCell ref="J193:L193"/>
    <mergeCell ref="M193:O193"/>
    <mergeCell ref="P193:R193"/>
    <mergeCell ref="V189:W189"/>
    <mergeCell ref="Y189:Z189"/>
    <mergeCell ref="AB189:AC189"/>
    <mergeCell ref="AE189:AF189"/>
    <mergeCell ref="D190:E190"/>
    <mergeCell ref="G190:H190"/>
    <mergeCell ref="J190:K190"/>
    <mergeCell ref="M190:N190"/>
    <mergeCell ref="P190:Q190"/>
    <mergeCell ref="S190:T190"/>
    <mergeCell ref="V188:W188"/>
    <mergeCell ref="Y188:Z188"/>
    <mergeCell ref="AB188:AC188"/>
    <mergeCell ref="AE188:AF188"/>
    <mergeCell ref="D189:E189"/>
    <mergeCell ref="G189:H189"/>
    <mergeCell ref="J189:K189"/>
    <mergeCell ref="M189:N189"/>
    <mergeCell ref="P189:Q189"/>
    <mergeCell ref="S189:T189"/>
    <mergeCell ref="V187:X187"/>
    <mergeCell ref="Y187:AA187"/>
    <mergeCell ref="AB187:AD187"/>
    <mergeCell ref="AE187:AG187"/>
    <mergeCell ref="D188:E188"/>
    <mergeCell ref="G188:H188"/>
    <mergeCell ref="J188:K188"/>
    <mergeCell ref="M188:N188"/>
    <mergeCell ref="P188:Q188"/>
    <mergeCell ref="S188:T188"/>
    <mergeCell ref="V186:X186"/>
    <mergeCell ref="Y186:AA186"/>
    <mergeCell ref="AB186:AD186"/>
    <mergeCell ref="AE186:AG186"/>
    <mergeCell ref="D187:F187"/>
    <mergeCell ref="G187:I187"/>
    <mergeCell ref="J187:L187"/>
    <mergeCell ref="M187:O187"/>
    <mergeCell ref="P187:R187"/>
    <mergeCell ref="S187:U187"/>
    <mergeCell ref="D186:F186"/>
    <mergeCell ref="G186:I186"/>
    <mergeCell ref="J186:L186"/>
    <mergeCell ref="M186:O186"/>
    <mergeCell ref="P186:R186"/>
    <mergeCell ref="S186:U186"/>
    <mergeCell ref="P185:R185"/>
    <mergeCell ref="S185:U185"/>
    <mergeCell ref="V185:X185"/>
    <mergeCell ref="Y185:AA185"/>
    <mergeCell ref="AB185:AD185"/>
    <mergeCell ref="AE185:AG185"/>
    <mergeCell ref="S182:T182"/>
    <mergeCell ref="V182:W182"/>
    <mergeCell ref="Y182:Z182"/>
    <mergeCell ref="AB182:AC182"/>
    <mergeCell ref="AE182:AF182"/>
    <mergeCell ref="A185:B190"/>
    <mergeCell ref="D185:F185"/>
    <mergeCell ref="G185:I185"/>
    <mergeCell ref="J185:L185"/>
    <mergeCell ref="M185:O185"/>
    <mergeCell ref="S181:T181"/>
    <mergeCell ref="V181:W181"/>
    <mergeCell ref="Y181:Z181"/>
    <mergeCell ref="AB181:AC181"/>
    <mergeCell ref="AE181:AF181"/>
    <mergeCell ref="D182:E182"/>
    <mergeCell ref="G182:H182"/>
    <mergeCell ref="J182:K182"/>
    <mergeCell ref="M182:N182"/>
    <mergeCell ref="P182:Q182"/>
    <mergeCell ref="S180:T180"/>
    <mergeCell ref="V180:W180"/>
    <mergeCell ref="Y180:Z180"/>
    <mergeCell ref="AB180:AC180"/>
    <mergeCell ref="AE180:AF180"/>
    <mergeCell ref="D181:E181"/>
    <mergeCell ref="G181:H181"/>
    <mergeCell ref="J181:K181"/>
    <mergeCell ref="M181:N181"/>
    <mergeCell ref="P181:Q181"/>
    <mergeCell ref="S179:U179"/>
    <mergeCell ref="V179:X179"/>
    <mergeCell ref="Y179:AA179"/>
    <mergeCell ref="AB179:AD179"/>
    <mergeCell ref="AE179:AG179"/>
    <mergeCell ref="D180:E180"/>
    <mergeCell ref="G180:H180"/>
    <mergeCell ref="J180:K180"/>
    <mergeCell ref="M180:N180"/>
    <mergeCell ref="P180:Q180"/>
    <mergeCell ref="S178:U178"/>
    <mergeCell ref="V178:X178"/>
    <mergeCell ref="Y178:AA178"/>
    <mergeCell ref="AB178:AD178"/>
    <mergeCell ref="AE178:AG178"/>
    <mergeCell ref="D179:F179"/>
    <mergeCell ref="G179:I179"/>
    <mergeCell ref="J179:L179"/>
    <mergeCell ref="M179:O179"/>
    <mergeCell ref="P179:R179"/>
    <mergeCell ref="S177:U177"/>
    <mergeCell ref="V177:X177"/>
    <mergeCell ref="Y177:AA177"/>
    <mergeCell ref="AB177:AD177"/>
    <mergeCell ref="AE177:AG177"/>
    <mergeCell ref="D178:F178"/>
    <mergeCell ref="G178:I178"/>
    <mergeCell ref="J178:L178"/>
    <mergeCell ref="M178:O178"/>
    <mergeCell ref="P178:R178"/>
    <mergeCell ref="V174:W174"/>
    <mergeCell ref="Y174:Z174"/>
    <mergeCell ref="AB174:AC174"/>
    <mergeCell ref="AE174:AF174"/>
    <mergeCell ref="A177:B182"/>
    <mergeCell ref="D177:F177"/>
    <mergeCell ref="G177:I177"/>
    <mergeCell ref="J177:L177"/>
    <mergeCell ref="M177:O177"/>
    <mergeCell ref="P177:R177"/>
    <mergeCell ref="V173:W173"/>
    <mergeCell ref="Y173:Z173"/>
    <mergeCell ref="AB173:AC173"/>
    <mergeCell ref="AE173:AF173"/>
    <mergeCell ref="D174:E174"/>
    <mergeCell ref="G174:H174"/>
    <mergeCell ref="J174:K174"/>
    <mergeCell ref="M174:N174"/>
    <mergeCell ref="P174:Q174"/>
    <mergeCell ref="S174:T174"/>
    <mergeCell ref="V172:W172"/>
    <mergeCell ref="Y172:Z172"/>
    <mergeCell ref="AB172:AC172"/>
    <mergeCell ref="AE172:AF172"/>
    <mergeCell ref="D173:E173"/>
    <mergeCell ref="G173:H173"/>
    <mergeCell ref="J173:K173"/>
    <mergeCell ref="M173:N173"/>
    <mergeCell ref="P173:Q173"/>
    <mergeCell ref="S173:T173"/>
    <mergeCell ref="V171:X171"/>
    <mergeCell ref="Y171:AA171"/>
    <mergeCell ref="AB171:AD171"/>
    <mergeCell ref="AE171:AG171"/>
    <mergeCell ref="D172:E172"/>
    <mergeCell ref="G172:H172"/>
    <mergeCell ref="J172:K172"/>
    <mergeCell ref="M172:N172"/>
    <mergeCell ref="P172:Q172"/>
    <mergeCell ref="S172:T172"/>
    <mergeCell ref="V170:X170"/>
    <mergeCell ref="Y170:AA170"/>
    <mergeCell ref="AB170:AD170"/>
    <mergeCell ref="AE170:AG170"/>
    <mergeCell ref="D171:F171"/>
    <mergeCell ref="G171:I171"/>
    <mergeCell ref="J171:L171"/>
    <mergeCell ref="M171:O171"/>
    <mergeCell ref="P171:R171"/>
    <mergeCell ref="S171:U171"/>
    <mergeCell ref="D170:F170"/>
    <mergeCell ref="G170:I170"/>
    <mergeCell ref="J170:L170"/>
    <mergeCell ref="M170:O170"/>
    <mergeCell ref="P170:R170"/>
    <mergeCell ref="S170:U170"/>
    <mergeCell ref="P169:R169"/>
    <mergeCell ref="S169:U169"/>
    <mergeCell ref="V169:X169"/>
    <mergeCell ref="Y169:AA169"/>
    <mergeCell ref="AB169:AD169"/>
    <mergeCell ref="AE169:AG169"/>
    <mergeCell ref="S166:T166"/>
    <mergeCell ref="V166:W166"/>
    <mergeCell ref="Y166:Z166"/>
    <mergeCell ref="AB166:AC166"/>
    <mergeCell ref="AE166:AF166"/>
    <mergeCell ref="A169:B174"/>
    <mergeCell ref="D169:F169"/>
    <mergeCell ref="G169:I169"/>
    <mergeCell ref="J169:L169"/>
    <mergeCell ref="M169:O169"/>
    <mergeCell ref="S165:T165"/>
    <mergeCell ref="V165:W165"/>
    <mergeCell ref="Y165:Z165"/>
    <mergeCell ref="AB165:AC165"/>
    <mergeCell ref="AE165:AF165"/>
    <mergeCell ref="D166:E166"/>
    <mergeCell ref="G166:H166"/>
    <mergeCell ref="J166:K166"/>
    <mergeCell ref="M166:N166"/>
    <mergeCell ref="P166:Q166"/>
    <mergeCell ref="S164:T164"/>
    <mergeCell ref="V164:W164"/>
    <mergeCell ref="Y164:Z164"/>
    <mergeCell ref="AB164:AC164"/>
    <mergeCell ref="AE164:AF164"/>
    <mergeCell ref="D165:E165"/>
    <mergeCell ref="G165:H165"/>
    <mergeCell ref="J165:K165"/>
    <mergeCell ref="M165:N165"/>
    <mergeCell ref="P165:Q165"/>
    <mergeCell ref="S163:U163"/>
    <mergeCell ref="V163:X163"/>
    <mergeCell ref="Y163:AA163"/>
    <mergeCell ref="AB163:AD163"/>
    <mergeCell ref="AE163:AG163"/>
    <mergeCell ref="D164:E164"/>
    <mergeCell ref="G164:H164"/>
    <mergeCell ref="J164:K164"/>
    <mergeCell ref="M164:N164"/>
    <mergeCell ref="P164:Q164"/>
    <mergeCell ref="S162:U162"/>
    <mergeCell ref="V162:X162"/>
    <mergeCell ref="Y162:AA162"/>
    <mergeCell ref="AB162:AD162"/>
    <mergeCell ref="AE162:AG162"/>
    <mergeCell ref="D163:F163"/>
    <mergeCell ref="G163:I163"/>
    <mergeCell ref="J163:L163"/>
    <mergeCell ref="M163:O163"/>
    <mergeCell ref="P163:R163"/>
    <mergeCell ref="S161:U161"/>
    <mergeCell ref="V161:X161"/>
    <mergeCell ref="Y161:AA161"/>
    <mergeCell ref="AB161:AD161"/>
    <mergeCell ref="AE161:AG161"/>
    <mergeCell ref="D162:F162"/>
    <mergeCell ref="G162:I162"/>
    <mergeCell ref="J162:L162"/>
    <mergeCell ref="M162:O162"/>
    <mergeCell ref="P162:R162"/>
    <mergeCell ref="V158:W158"/>
    <mergeCell ref="Y158:Z158"/>
    <mergeCell ref="AB158:AC158"/>
    <mergeCell ref="AE158:AF158"/>
    <mergeCell ref="A161:B166"/>
    <mergeCell ref="D161:F161"/>
    <mergeCell ref="G161:I161"/>
    <mergeCell ref="J161:L161"/>
    <mergeCell ref="M161:O161"/>
    <mergeCell ref="P161:R161"/>
    <mergeCell ref="V157:W157"/>
    <mergeCell ref="Y157:Z157"/>
    <mergeCell ref="AB157:AC157"/>
    <mergeCell ref="AE157:AF157"/>
    <mergeCell ref="D158:E158"/>
    <mergeCell ref="G158:H158"/>
    <mergeCell ref="J158:K158"/>
    <mergeCell ref="M158:N158"/>
    <mergeCell ref="P158:Q158"/>
    <mergeCell ref="S158:T158"/>
    <mergeCell ref="V156:W156"/>
    <mergeCell ref="Y156:Z156"/>
    <mergeCell ref="AB156:AC156"/>
    <mergeCell ref="AE156:AF156"/>
    <mergeCell ref="D157:E157"/>
    <mergeCell ref="G157:H157"/>
    <mergeCell ref="J157:K157"/>
    <mergeCell ref="M157:N157"/>
    <mergeCell ref="P157:Q157"/>
    <mergeCell ref="S157:T157"/>
    <mergeCell ref="V155:X155"/>
    <mergeCell ref="Y155:AA155"/>
    <mergeCell ref="AB155:AD155"/>
    <mergeCell ref="AE155:AG155"/>
    <mergeCell ref="D156:E156"/>
    <mergeCell ref="G156:H156"/>
    <mergeCell ref="J156:K156"/>
    <mergeCell ref="M156:N156"/>
    <mergeCell ref="P156:Q156"/>
    <mergeCell ref="S156:T156"/>
    <mergeCell ref="V154:X154"/>
    <mergeCell ref="Y154:AA154"/>
    <mergeCell ref="AB154:AD154"/>
    <mergeCell ref="AE154:AG154"/>
    <mergeCell ref="D155:F155"/>
    <mergeCell ref="G155:I155"/>
    <mergeCell ref="J155:L155"/>
    <mergeCell ref="M155:O155"/>
    <mergeCell ref="P155:R155"/>
    <mergeCell ref="S155:U155"/>
    <mergeCell ref="D154:F154"/>
    <mergeCell ref="G154:I154"/>
    <mergeCell ref="J154:L154"/>
    <mergeCell ref="M154:O154"/>
    <mergeCell ref="P154:R154"/>
    <mergeCell ref="S154:U154"/>
    <mergeCell ref="P153:R153"/>
    <mergeCell ref="S153:U153"/>
    <mergeCell ref="V153:X153"/>
    <mergeCell ref="Y153:AA153"/>
    <mergeCell ref="AB153:AD153"/>
    <mergeCell ref="AE153:AG153"/>
    <mergeCell ref="S150:T150"/>
    <mergeCell ref="V150:W150"/>
    <mergeCell ref="Y150:Z150"/>
    <mergeCell ref="AB150:AC150"/>
    <mergeCell ref="AE150:AF150"/>
    <mergeCell ref="A153:B158"/>
    <mergeCell ref="D153:F153"/>
    <mergeCell ref="G153:I153"/>
    <mergeCell ref="J153:L153"/>
    <mergeCell ref="M153:O153"/>
    <mergeCell ref="S149:T149"/>
    <mergeCell ref="V149:W149"/>
    <mergeCell ref="Y149:Z149"/>
    <mergeCell ref="AB149:AC149"/>
    <mergeCell ref="AE149:AF149"/>
    <mergeCell ref="D150:E150"/>
    <mergeCell ref="G150:H150"/>
    <mergeCell ref="J150:K150"/>
    <mergeCell ref="M150:N150"/>
    <mergeCell ref="P150:Q150"/>
    <mergeCell ref="S148:T148"/>
    <mergeCell ref="V148:W148"/>
    <mergeCell ref="Y148:Z148"/>
    <mergeCell ref="AB148:AC148"/>
    <mergeCell ref="AE148:AF148"/>
    <mergeCell ref="D149:E149"/>
    <mergeCell ref="G149:H149"/>
    <mergeCell ref="J149:K149"/>
    <mergeCell ref="M149:N149"/>
    <mergeCell ref="P149:Q149"/>
    <mergeCell ref="S147:U147"/>
    <mergeCell ref="V147:X147"/>
    <mergeCell ref="Y147:AA147"/>
    <mergeCell ref="AB147:AD147"/>
    <mergeCell ref="AE147:AG147"/>
    <mergeCell ref="D148:E148"/>
    <mergeCell ref="G148:H148"/>
    <mergeCell ref="J148:K148"/>
    <mergeCell ref="M148:N148"/>
    <mergeCell ref="P148:Q148"/>
    <mergeCell ref="S146:U146"/>
    <mergeCell ref="V146:X146"/>
    <mergeCell ref="Y146:AA146"/>
    <mergeCell ref="AB146:AD146"/>
    <mergeCell ref="AE146:AG146"/>
    <mergeCell ref="D147:F147"/>
    <mergeCell ref="G147:I147"/>
    <mergeCell ref="J147:L147"/>
    <mergeCell ref="M147:O147"/>
    <mergeCell ref="P147:R147"/>
    <mergeCell ref="S145:U145"/>
    <mergeCell ref="V145:X145"/>
    <mergeCell ref="Y145:AA145"/>
    <mergeCell ref="AB145:AD145"/>
    <mergeCell ref="AE145:AG145"/>
    <mergeCell ref="D146:F146"/>
    <mergeCell ref="G146:I146"/>
    <mergeCell ref="J146:L146"/>
    <mergeCell ref="M146:O146"/>
    <mergeCell ref="P146:R146"/>
    <mergeCell ref="V142:W142"/>
    <mergeCell ref="Y142:Z142"/>
    <mergeCell ref="AB142:AC142"/>
    <mergeCell ref="AE142:AF142"/>
    <mergeCell ref="A145:B150"/>
    <mergeCell ref="D145:F145"/>
    <mergeCell ref="G145:I145"/>
    <mergeCell ref="J145:L145"/>
    <mergeCell ref="M145:O145"/>
    <mergeCell ref="P145:R145"/>
    <mergeCell ref="V141:W141"/>
    <mergeCell ref="Y141:Z141"/>
    <mergeCell ref="AB141:AC141"/>
    <mergeCell ref="AE141:AF141"/>
    <mergeCell ref="D142:E142"/>
    <mergeCell ref="G142:H142"/>
    <mergeCell ref="J142:K142"/>
    <mergeCell ref="M142:N142"/>
    <mergeCell ref="P142:Q142"/>
    <mergeCell ref="S142:T142"/>
    <mergeCell ref="V140:W140"/>
    <mergeCell ref="Y140:Z140"/>
    <mergeCell ref="AB140:AC140"/>
    <mergeCell ref="AE140:AF140"/>
    <mergeCell ref="D141:E141"/>
    <mergeCell ref="G141:H141"/>
    <mergeCell ref="J141:K141"/>
    <mergeCell ref="M141:N141"/>
    <mergeCell ref="P141:Q141"/>
    <mergeCell ref="S141:T141"/>
    <mergeCell ref="V139:X139"/>
    <mergeCell ref="Y139:AA139"/>
    <mergeCell ref="AB139:AD139"/>
    <mergeCell ref="AE139:AG139"/>
    <mergeCell ref="D140:E140"/>
    <mergeCell ref="G140:H140"/>
    <mergeCell ref="J140:K140"/>
    <mergeCell ref="M140:N140"/>
    <mergeCell ref="P140:Q140"/>
    <mergeCell ref="S140:T140"/>
    <mergeCell ref="V138:X138"/>
    <mergeCell ref="Y138:AA138"/>
    <mergeCell ref="AB138:AD138"/>
    <mergeCell ref="AE138:AG138"/>
    <mergeCell ref="D139:F139"/>
    <mergeCell ref="G139:I139"/>
    <mergeCell ref="J139:L139"/>
    <mergeCell ref="M139:O139"/>
    <mergeCell ref="P139:R139"/>
    <mergeCell ref="S139:U139"/>
    <mergeCell ref="D138:F138"/>
    <mergeCell ref="G138:I138"/>
    <mergeCell ref="J138:L138"/>
    <mergeCell ref="M138:O138"/>
    <mergeCell ref="P138:R138"/>
    <mergeCell ref="S138:U138"/>
    <mergeCell ref="P137:R137"/>
    <mergeCell ref="S137:U137"/>
    <mergeCell ref="V137:X137"/>
    <mergeCell ref="Y137:AA137"/>
    <mergeCell ref="AB137:AD137"/>
    <mergeCell ref="AE137:AG137"/>
    <mergeCell ref="S134:T134"/>
    <mergeCell ref="V134:W134"/>
    <mergeCell ref="Y134:Z134"/>
    <mergeCell ref="AB134:AC134"/>
    <mergeCell ref="AE134:AF134"/>
    <mergeCell ref="A137:B142"/>
    <mergeCell ref="D137:F137"/>
    <mergeCell ref="G137:I137"/>
    <mergeCell ref="J137:L137"/>
    <mergeCell ref="M137:O137"/>
    <mergeCell ref="S133:T133"/>
    <mergeCell ref="V133:W133"/>
    <mergeCell ref="Y133:Z133"/>
    <mergeCell ref="AB133:AC133"/>
    <mergeCell ref="AE133:AF133"/>
    <mergeCell ref="D134:E134"/>
    <mergeCell ref="G134:H134"/>
    <mergeCell ref="J134:K134"/>
    <mergeCell ref="M134:N134"/>
    <mergeCell ref="P134:Q134"/>
    <mergeCell ref="S132:T132"/>
    <mergeCell ref="V132:W132"/>
    <mergeCell ref="Y132:Z132"/>
    <mergeCell ref="AB132:AC132"/>
    <mergeCell ref="AE132:AF132"/>
    <mergeCell ref="D133:E133"/>
    <mergeCell ref="G133:H133"/>
    <mergeCell ref="J133:K133"/>
    <mergeCell ref="M133:N133"/>
    <mergeCell ref="P133:Q133"/>
    <mergeCell ref="S131:U131"/>
    <mergeCell ref="V131:X131"/>
    <mergeCell ref="Y131:AA131"/>
    <mergeCell ref="AB131:AD131"/>
    <mergeCell ref="AE131:AG131"/>
    <mergeCell ref="D132:E132"/>
    <mergeCell ref="G132:H132"/>
    <mergeCell ref="J132:K132"/>
    <mergeCell ref="M132:N132"/>
    <mergeCell ref="P132:Q132"/>
    <mergeCell ref="S130:U130"/>
    <mergeCell ref="V130:X130"/>
    <mergeCell ref="Y130:AA130"/>
    <mergeCell ref="AB130:AD130"/>
    <mergeCell ref="AE130:AG130"/>
    <mergeCell ref="D131:F131"/>
    <mergeCell ref="G131:I131"/>
    <mergeCell ref="J131:L131"/>
    <mergeCell ref="M131:O131"/>
    <mergeCell ref="P131:R131"/>
    <mergeCell ref="S129:U129"/>
    <mergeCell ref="V129:X129"/>
    <mergeCell ref="Y129:AA129"/>
    <mergeCell ref="AB129:AD129"/>
    <mergeCell ref="AE129:AG129"/>
    <mergeCell ref="D130:F130"/>
    <mergeCell ref="G130:I130"/>
    <mergeCell ref="J130:L130"/>
    <mergeCell ref="M130:O130"/>
    <mergeCell ref="P130:R130"/>
    <mergeCell ref="V126:W126"/>
    <mergeCell ref="Y126:Z126"/>
    <mergeCell ref="AB126:AC126"/>
    <mergeCell ref="AE126:AF126"/>
    <mergeCell ref="A129:B134"/>
    <mergeCell ref="D129:F129"/>
    <mergeCell ref="G129:I129"/>
    <mergeCell ref="J129:L129"/>
    <mergeCell ref="M129:O129"/>
    <mergeCell ref="P129:R129"/>
    <mergeCell ref="V125:W125"/>
    <mergeCell ref="Y125:Z125"/>
    <mergeCell ref="AB125:AC125"/>
    <mergeCell ref="AE125:AF125"/>
    <mergeCell ref="D126:E126"/>
    <mergeCell ref="G126:H126"/>
    <mergeCell ref="J126:K126"/>
    <mergeCell ref="M126:N126"/>
    <mergeCell ref="P126:Q126"/>
    <mergeCell ref="S126:T126"/>
    <mergeCell ref="V124:W124"/>
    <mergeCell ref="Y124:Z124"/>
    <mergeCell ref="AB124:AC124"/>
    <mergeCell ref="AE124:AF124"/>
    <mergeCell ref="D125:E125"/>
    <mergeCell ref="G125:H125"/>
    <mergeCell ref="J125:K125"/>
    <mergeCell ref="M125:N125"/>
    <mergeCell ref="P125:Q125"/>
    <mergeCell ref="S125:T125"/>
    <mergeCell ref="V123:X123"/>
    <mergeCell ref="Y123:AA123"/>
    <mergeCell ref="AB123:AD123"/>
    <mergeCell ref="AE123:AG123"/>
    <mergeCell ref="D124:E124"/>
    <mergeCell ref="G124:H124"/>
    <mergeCell ref="J124:K124"/>
    <mergeCell ref="M124:N124"/>
    <mergeCell ref="P124:Q124"/>
    <mergeCell ref="S124:T124"/>
    <mergeCell ref="V122:X122"/>
    <mergeCell ref="Y122:AA122"/>
    <mergeCell ref="AB122:AD122"/>
    <mergeCell ref="AE122:AG122"/>
    <mergeCell ref="D123:F123"/>
    <mergeCell ref="G123:I123"/>
    <mergeCell ref="J123:L123"/>
    <mergeCell ref="M123:O123"/>
    <mergeCell ref="P123:R123"/>
    <mergeCell ref="S123:U123"/>
    <mergeCell ref="D122:F122"/>
    <mergeCell ref="G122:I122"/>
    <mergeCell ref="J122:L122"/>
    <mergeCell ref="M122:O122"/>
    <mergeCell ref="P122:R122"/>
    <mergeCell ref="S122:U122"/>
    <mergeCell ref="P121:R121"/>
    <mergeCell ref="S121:U121"/>
    <mergeCell ref="V121:X121"/>
    <mergeCell ref="Y121:AA121"/>
    <mergeCell ref="AB121:AD121"/>
    <mergeCell ref="AE121:AG121"/>
    <mergeCell ref="S118:T118"/>
    <mergeCell ref="V118:W118"/>
    <mergeCell ref="Y118:Z118"/>
    <mergeCell ref="AB118:AC118"/>
    <mergeCell ref="AE118:AF118"/>
    <mergeCell ref="A121:B126"/>
    <mergeCell ref="D121:F121"/>
    <mergeCell ref="G121:I121"/>
    <mergeCell ref="J121:L121"/>
    <mergeCell ref="M121:O121"/>
    <mergeCell ref="S117:T117"/>
    <mergeCell ref="V117:W117"/>
    <mergeCell ref="Y117:Z117"/>
    <mergeCell ref="AB117:AC117"/>
    <mergeCell ref="AE117:AF117"/>
    <mergeCell ref="D118:E118"/>
    <mergeCell ref="G118:H118"/>
    <mergeCell ref="J118:K118"/>
    <mergeCell ref="M118:N118"/>
    <mergeCell ref="P118:Q118"/>
    <mergeCell ref="S116:T116"/>
    <mergeCell ref="V116:W116"/>
    <mergeCell ref="Y116:Z116"/>
    <mergeCell ref="AB116:AC116"/>
    <mergeCell ref="AE116:AF116"/>
    <mergeCell ref="D117:E117"/>
    <mergeCell ref="G117:H117"/>
    <mergeCell ref="J117:K117"/>
    <mergeCell ref="M117:N117"/>
    <mergeCell ref="P117:Q117"/>
    <mergeCell ref="S115:U115"/>
    <mergeCell ref="V115:X115"/>
    <mergeCell ref="Y115:AA115"/>
    <mergeCell ref="AB115:AD115"/>
    <mergeCell ref="AE115:AG115"/>
    <mergeCell ref="D116:E116"/>
    <mergeCell ref="G116:H116"/>
    <mergeCell ref="J116:K116"/>
    <mergeCell ref="M116:N116"/>
    <mergeCell ref="P116:Q116"/>
    <mergeCell ref="S114:U114"/>
    <mergeCell ref="V114:X114"/>
    <mergeCell ref="Y114:AA114"/>
    <mergeCell ref="AB114:AD114"/>
    <mergeCell ref="AE114:AG114"/>
    <mergeCell ref="D115:F115"/>
    <mergeCell ref="G115:I115"/>
    <mergeCell ref="J115:L115"/>
    <mergeCell ref="M115:O115"/>
    <mergeCell ref="P115:R115"/>
    <mergeCell ref="S113:U113"/>
    <mergeCell ref="V113:X113"/>
    <mergeCell ref="Y113:AA113"/>
    <mergeCell ref="AB113:AD113"/>
    <mergeCell ref="AE113:AG113"/>
    <mergeCell ref="D114:F114"/>
    <mergeCell ref="G114:I114"/>
    <mergeCell ref="J114:L114"/>
    <mergeCell ref="M114:O114"/>
    <mergeCell ref="P114:R114"/>
    <mergeCell ref="V110:W110"/>
    <mergeCell ref="Y110:Z110"/>
    <mergeCell ref="AB110:AC110"/>
    <mergeCell ref="AE110:AF110"/>
    <mergeCell ref="A113:B118"/>
    <mergeCell ref="D113:F113"/>
    <mergeCell ref="G113:I113"/>
    <mergeCell ref="J113:L113"/>
    <mergeCell ref="M113:O113"/>
    <mergeCell ref="P113:R113"/>
    <mergeCell ref="V109:W109"/>
    <mergeCell ref="Y109:Z109"/>
    <mergeCell ref="AB109:AC109"/>
    <mergeCell ref="AE109:AF109"/>
    <mergeCell ref="D110:E110"/>
    <mergeCell ref="G110:H110"/>
    <mergeCell ref="J110:K110"/>
    <mergeCell ref="M110:N110"/>
    <mergeCell ref="P110:Q110"/>
    <mergeCell ref="S110:T110"/>
    <mergeCell ref="V108:W108"/>
    <mergeCell ref="Y108:Z108"/>
    <mergeCell ref="AB108:AC108"/>
    <mergeCell ref="AE108:AF108"/>
    <mergeCell ref="D109:E109"/>
    <mergeCell ref="G109:H109"/>
    <mergeCell ref="J109:K109"/>
    <mergeCell ref="M109:N109"/>
    <mergeCell ref="P109:Q109"/>
    <mergeCell ref="S109:T109"/>
    <mergeCell ref="V107:X107"/>
    <mergeCell ref="Y107:AA107"/>
    <mergeCell ref="AB107:AD107"/>
    <mergeCell ref="AE107:AG107"/>
    <mergeCell ref="D108:E108"/>
    <mergeCell ref="G108:H108"/>
    <mergeCell ref="J108:K108"/>
    <mergeCell ref="M108:N108"/>
    <mergeCell ref="P108:Q108"/>
    <mergeCell ref="S108:T108"/>
    <mergeCell ref="V106:X106"/>
    <mergeCell ref="Y106:AA106"/>
    <mergeCell ref="AB106:AD106"/>
    <mergeCell ref="AE106:AG106"/>
    <mergeCell ref="D107:F107"/>
    <mergeCell ref="G107:I107"/>
    <mergeCell ref="J107:L107"/>
    <mergeCell ref="M107:O107"/>
    <mergeCell ref="P107:R107"/>
    <mergeCell ref="S107:U107"/>
    <mergeCell ref="D106:F106"/>
    <mergeCell ref="G106:I106"/>
    <mergeCell ref="J106:L106"/>
    <mergeCell ref="M106:O106"/>
    <mergeCell ref="P106:R106"/>
    <mergeCell ref="S106:U106"/>
    <mergeCell ref="P105:R105"/>
    <mergeCell ref="S105:U105"/>
    <mergeCell ref="V105:X105"/>
    <mergeCell ref="Y105:AA105"/>
    <mergeCell ref="AB105:AD105"/>
    <mergeCell ref="AE105:AG105"/>
    <mergeCell ref="S102:T102"/>
    <mergeCell ref="V102:W102"/>
    <mergeCell ref="Y102:Z102"/>
    <mergeCell ref="AB102:AC102"/>
    <mergeCell ref="AE102:AF102"/>
    <mergeCell ref="A105:B110"/>
    <mergeCell ref="D105:F105"/>
    <mergeCell ref="G105:I105"/>
    <mergeCell ref="J105:L105"/>
    <mergeCell ref="M105:O105"/>
    <mergeCell ref="S101:T101"/>
    <mergeCell ref="V101:W101"/>
    <mergeCell ref="Y101:Z101"/>
    <mergeCell ref="AB101:AC101"/>
    <mergeCell ref="AE101:AF101"/>
    <mergeCell ref="D102:E102"/>
    <mergeCell ref="G102:H102"/>
    <mergeCell ref="J102:K102"/>
    <mergeCell ref="M102:N102"/>
    <mergeCell ref="P102:Q102"/>
    <mergeCell ref="S100:T100"/>
    <mergeCell ref="V100:W100"/>
    <mergeCell ref="Y100:Z100"/>
    <mergeCell ref="AB100:AC100"/>
    <mergeCell ref="AE100:AF100"/>
    <mergeCell ref="D101:E101"/>
    <mergeCell ref="G101:H101"/>
    <mergeCell ref="J101:K101"/>
    <mergeCell ref="M101:N101"/>
    <mergeCell ref="P101:Q101"/>
    <mergeCell ref="S99:U99"/>
    <mergeCell ref="V99:X99"/>
    <mergeCell ref="Y99:AA99"/>
    <mergeCell ref="AB99:AD99"/>
    <mergeCell ref="AE99:AG99"/>
    <mergeCell ref="D100:E100"/>
    <mergeCell ref="G100:H100"/>
    <mergeCell ref="J100:K100"/>
    <mergeCell ref="M100:N100"/>
    <mergeCell ref="P100:Q100"/>
    <mergeCell ref="S98:U98"/>
    <mergeCell ref="V98:X98"/>
    <mergeCell ref="Y98:AA98"/>
    <mergeCell ref="AB98:AD98"/>
    <mergeCell ref="AE98:AG98"/>
    <mergeCell ref="D99:F99"/>
    <mergeCell ref="G99:I99"/>
    <mergeCell ref="J99:L99"/>
    <mergeCell ref="M99:O99"/>
    <mergeCell ref="P99:R99"/>
    <mergeCell ref="S97:U97"/>
    <mergeCell ref="V97:X97"/>
    <mergeCell ref="Y97:AA97"/>
    <mergeCell ref="AB97:AD97"/>
    <mergeCell ref="AE97:AG97"/>
    <mergeCell ref="D98:F98"/>
    <mergeCell ref="G98:I98"/>
    <mergeCell ref="J98:L98"/>
    <mergeCell ref="M98:O98"/>
    <mergeCell ref="P98:R98"/>
    <mergeCell ref="V94:W94"/>
    <mergeCell ref="Y94:Z94"/>
    <mergeCell ref="AB94:AC94"/>
    <mergeCell ref="AE94:AF94"/>
    <mergeCell ref="A97:B102"/>
    <mergeCell ref="D97:F97"/>
    <mergeCell ref="G97:I97"/>
    <mergeCell ref="J97:L97"/>
    <mergeCell ref="M97:O97"/>
    <mergeCell ref="P97:R97"/>
    <mergeCell ref="V93:W93"/>
    <mergeCell ref="Y93:Z93"/>
    <mergeCell ref="AB93:AC93"/>
    <mergeCell ref="AE93:AF93"/>
    <mergeCell ref="D94:E94"/>
    <mergeCell ref="G94:H94"/>
    <mergeCell ref="J94:K94"/>
    <mergeCell ref="M94:N94"/>
    <mergeCell ref="P94:Q94"/>
    <mergeCell ref="S94:T94"/>
    <mergeCell ref="V92:W92"/>
    <mergeCell ref="Y92:Z92"/>
    <mergeCell ref="AB92:AC92"/>
    <mergeCell ref="AE92:AF92"/>
    <mergeCell ref="D93:E93"/>
    <mergeCell ref="G93:H93"/>
    <mergeCell ref="J93:K93"/>
    <mergeCell ref="M93:N93"/>
    <mergeCell ref="P93:Q93"/>
    <mergeCell ref="S93:T93"/>
    <mergeCell ref="V91:X91"/>
    <mergeCell ref="Y91:AA91"/>
    <mergeCell ref="AB91:AD91"/>
    <mergeCell ref="AE91:AG91"/>
    <mergeCell ref="D92:E92"/>
    <mergeCell ref="G92:H92"/>
    <mergeCell ref="J92:K92"/>
    <mergeCell ref="M92:N92"/>
    <mergeCell ref="P92:Q92"/>
    <mergeCell ref="S92:T92"/>
    <mergeCell ref="V90:X90"/>
    <mergeCell ref="Y90:AA90"/>
    <mergeCell ref="AB90:AD90"/>
    <mergeCell ref="AE90:AG90"/>
    <mergeCell ref="D91:F91"/>
    <mergeCell ref="G91:I91"/>
    <mergeCell ref="J91:L91"/>
    <mergeCell ref="M91:O91"/>
    <mergeCell ref="P91:R91"/>
    <mergeCell ref="S91:U91"/>
    <mergeCell ref="D90:F90"/>
    <mergeCell ref="G90:I90"/>
    <mergeCell ref="J90:L90"/>
    <mergeCell ref="M90:O90"/>
    <mergeCell ref="P90:R90"/>
    <mergeCell ref="S90:U90"/>
    <mergeCell ref="P89:R89"/>
    <mergeCell ref="S89:U89"/>
    <mergeCell ref="V89:X89"/>
    <mergeCell ref="Y89:AA89"/>
    <mergeCell ref="AB89:AD89"/>
    <mergeCell ref="AE89:AG89"/>
    <mergeCell ref="S86:T86"/>
    <mergeCell ref="V86:W86"/>
    <mergeCell ref="Y86:Z86"/>
    <mergeCell ref="AB86:AC86"/>
    <mergeCell ref="AE86:AF86"/>
    <mergeCell ref="A89:B94"/>
    <mergeCell ref="D89:F89"/>
    <mergeCell ref="G89:I89"/>
    <mergeCell ref="J89:L89"/>
    <mergeCell ref="M89:O89"/>
    <mergeCell ref="S85:T85"/>
    <mergeCell ref="V85:W85"/>
    <mergeCell ref="Y85:Z85"/>
    <mergeCell ref="AB85:AC85"/>
    <mergeCell ref="AE85:AF85"/>
    <mergeCell ref="D86:E86"/>
    <mergeCell ref="G86:H86"/>
    <mergeCell ref="J86:K86"/>
    <mergeCell ref="M86:N86"/>
    <mergeCell ref="P86:Q86"/>
    <mergeCell ref="S84:T84"/>
    <mergeCell ref="V84:W84"/>
    <mergeCell ref="Y84:Z84"/>
    <mergeCell ref="AB84:AC84"/>
    <mergeCell ref="AE84:AF84"/>
    <mergeCell ref="D85:E85"/>
    <mergeCell ref="G85:H85"/>
    <mergeCell ref="J85:K85"/>
    <mergeCell ref="M85:N85"/>
    <mergeCell ref="P85:Q85"/>
    <mergeCell ref="S83:U83"/>
    <mergeCell ref="V83:X83"/>
    <mergeCell ref="Y83:AA83"/>
    <mergeCell ref="AB83:AD83"/>
    <mergeCell ref="AE83:AG83"/>
    <mergeCell ref="D84:E84"/>
    <mergeCell ref="G84:H84"/>
    <mergeCell ref="J84:K84"/>
    <mergeCell ref="M84:N84"/>
    <mergeCell ref="P84:Q84"/>
    <mergeCell ref="S82:U82"/>
    <mergeCell ref="V82:X82"/>
    <mergeCell ref="Y82:AA82"/>
    <mergeCell ref="AB82:AD82"/>
    <mergeCell ref="AE82:AG82"/>
    <mergeCell ref="D83:F83"/>
    <mergeCell ref="G83:I83"/>
    <mergeCell ref="J83:L83"/>
    <mergeCell ref="M83:O83"/>
    <mergeCell ref="P83:R83"/>
    <mergeCell ref="S81:U81"/>
    <mergeCell ref="V81:X81"/>
    <mergeCell ref="Y81:AA81"/>
    <mergeCell ref="AB81:AD81"/>
    <mergeCell ref="AE81:AG81"/>
    <mergeCell ref="D82:F82"/>
    <mergeCell ref="G82:I82"/>
    <mergeCell ref="J82:L82"/>
    <mergeCell ref="M82:O82"/>
    <mergeCell ref="P82:R82"/>
    <mergeCell ref="V78:W78"/>
    <mergeCell ref="Y78:Z78"/>
    <mergeCell ref="AB78:AC78"/>
    <mergeCell ref="AE78:AF78"/>
    <mergeCell ref="A81:B86"/>
    <mergeCell ref="D81:F81"/>
    <mergeCell ref="G81:I81"/>
    <mergeCell ref="J81:L81"/>
    <mergeCell ref="M81:O81"/>
    <mergeCell ref="P81:R81"/>
    <mergeCell ref="V77:W77"/>
    <mergeCell ref="Y77:Z77"/>
    <mergeCell ref="AB77:AC77"/>
    <mergeCell ref="AE77:AF77"/>
    <mergeCell ref="D78:E78"/>
    <mergeCell ref="G78:H78"/>
    <mergeCell ref="J78:K78"/>
    <mergeCell ref="M78:N78"/>
    <mergeCell ref="P78:Q78"/>
    <mergeCell ref="S78:T78"/>
    <mergeCell ref="V76:W76"/>
    <mergeCell ref="Y76:Z76"/>
    <mergeCell ref="AB76:AC76"/>
    <mergeCell ref="AE76:AF76"/>
    <mergeCell ref="D77:E77"/>
    <mergeCell ref="G77:H77"/>
    <mergeCell ref="J77:K77"/>
    <mergeCell ref="M77:N77"/>
    <mergeCell ref="P77:Q77"/>
    <mergeCell ref="S77:T77"/>
    <mergeCell ref="V75:X75"/>
    <mergeCell ref="Y75:AA75"/>
    <mergeCell ref="AB75:AD75"/>
    <mergeCell ref="AE75:AG75"/>
    <mergeCell ref="D76:E76"/>
    <mergeCell ref="G76:H76"/>
    <mergeCell ref="J76:K76"/>
    <mergeCell ref="M76:N76"/>
    <mergeCell ref="P76:Q76"/>
    <mergeCell ref="S76:T76"/>
    <mergeCell ref="V74:X74"/>
    <mergeCell ref="Y74:AA74"/>
    <mergeCell ref="AB74:AD74"/>
    <mergeCell ref="AE74:AG74"/>
    <mergeCell ref="D75:F75"/>
    <mergeCell ref="G75:I75"/>
    <mergeCell ref="J75:L75"/>
    <mergeCell ref="M75:O75"/>
    <mergeCell ref="P75:R75"/>
    <mergeCell ref="S75:U75"/>
    <mergeCell ref="D74:F74"/>
    <mergeCell ref="G74:I74"/>
    <mergeCell ref="J74:L74"/>
    <mergeCell ref="M74:O74"/>
    <mergeCell ref="P74:R74"/>
    <mergeCell ref="S74:U74"/>
    <mergeCell ref="P73:R73"/>
    <mergeCell ref="S73:U73"/>
    <mergeCell ref="V73:X73"/>
    <mergeCell ref="Y73:AA73"/>
    <mergeCell ref="AB73:AD73"/>
    <mergeCell ref="AE73:AG73"/>
    <mergeCell ref="S70:T70"/>
    <mergeCell ref="V70:W70"/>
    <mergeCell ref="Y70:Z70"/>
    <mergeCell ref="AB70:AC70"/>
    <mergeCell ref="AE70:AF70"/>
    <mergeCell ref="A73:B78"/>
    <mergeCell ref="D73:F73"/>
    <mergeCell ref="G73:I73"/>
    <mergeCell ref="J73:L73"/>
    <mergeCell ref="M73:O73"/>
    <mergeCell ref="S69:T69"/>
    <mergeCell ref="V69:W69"/>
    <mergeCell ref="Y69:Z69"/>
    <mergeCell ref="AB69:AC69"/>
    <mergeCell ref="AE69:AF69"/>
    <mergeCell ref="D70:E70"/>
    <mergeCell ref="G70:H70"/>
    <mergeCell ref="J70:K70"/>
    <mergeCell ref="M70:N70"/>
    <mergeCell ref="P70:Q70"/>
    <mergeCell ref="S68:T68"/>
    <mergeCell ref="V68:W68"/>
    <mergeCell ref="Y68:Z68"/>
    <mergeCell ref="AB68:AC68"/>
    <mergeCell ref="AE68:AF68"/>
    <mergeCell ref="D69:E69"/>
    <mergeCell ref="G69:H69"/>
    <mergeCell ref="J69:K69"/>
    <mergeCell ref="M69:N69"/>
    <mergeCell ref="P69:Q69"/>
    <mergeCell ref="S67:U67"/>
    <mergeCell ref="V67:X67"/>
    <mergeCell ref="Y67:AA67"/>
    <mergeCell ref="AB67:AD67"/>
    <mergeCell ref="AE67:AG67"/>
    <mergeCell ref="D68:E68"/>
    <mergeCell ref="G68:H68"/>
    <mergeCell ref="J68:K68"/>
    <mergeCell ref="M68:N68"/>
    <mergeCell ref="P68:Q68"/>
    <mergeCell ref="S66:U66"/>
    <mergeCell ref="V66:X66"/>
    <mergeCell ref="Y66:AA66"/>
    <mergeCell ref="AB66:AD66"/>
    <mergeCell ref="AE66:AG66"/>
    <mergeCell ref="D67:F67"/>
    <mergeCell ref="G67:I67"/>
    <mergeCell ref="J67:L67"/>
    <mergeCell ref="M67:O67"/>
    <mergeCell ref="P67:R67"/>
    <mergeCell ref="S65:U65"/>
    <mergeCell ref="V65:X65"/>
    <mergeCell ref="Y65:AA65"/>
    <mergeCell ref="AB65:AD65"/>
    <mergeCell ref="AE65:AG65"/>
    <mergeCell ref="D66:F66"/>
    <mergeCell ref="G66:I66"/>
    <mergeCell ref="J66:L66"/>
    <mergeCell ref="M66:O66"/>
    <mergeCell ref="P66:R66"/>
    <mergeCell ref="V62:W62"/>
    <mergeCell ref="Y62:Z62"/>
    <mergeCell ref="AB62:AC62"/>
    <mergeCell ref="AE62:AF62"/>
    <mergeCell ref="A65:B70"/>
    <mergeCell ref="D65:F65"/>
    <mergeCell ref="G65:I65"/>
    <mergeCell ref="J65:L65"/>
    <mergeCell ref="M65:O65"/>
    <mergeCell ref="P65:R65"/>
    <mergeCell ref="V61:W61"/>
    <mergeCell ref="Y61:Z61"/>
    <mergeCell ref="AB61:AC61"/>
    <mergeCell ref="AE61:AF61"/>
    <mergeCell ref="D62:E62"/>
    <mergeCell ref="G62:H62"/>
    <mergeCell ref="J62:K62"/>
    <mergeCell ref="M62:N62"/>
    <mergeCell ref="P62:Q62"/>
    <mergeCell ref="S62:T62"/>
    <mergeCell ref="V60:W60"/>
    <mergeCell ref="Y60:Z60"/>
    <mergeCell ref="AB60:AC60"/>
    <mergeCell ref="AE60:AF60"/>
    <mergeCell ref="D61:E61"/>
    <mergeCell ref="G61:H61"/>
    <mergeCell ref="J61:K61"/>
    <mergeCell ref="M61:N61"/>
    <mergeCell ref="P61:Q61"/>
    <mergeCell ref="S61:T61"/>
    <mergeCell ref="V59:X59"/>
    <mergeCell ref="Y59:AA59"/>
    <mergeCell ref="AB59:AD59"/>
    <mergeCell ref="AE59:AG59"/>
    <mergeCell ref="D60:E60"/>
    <mergeCell ref="G60:H60"/>
    <mergeCell ref="J60:K60"/>
    <mergeCell ref="M60:N60"/>
    <mergeCell ref="P60:Q60"/>
    <mergeCell ref="S60:T60"/>
    <mergeCell ref="V58:X58"/>
    <mergeCell ref="Y58:AA58"/>
    <mergeCell ref="AB58:AD58"/>
    <mergeCell ref="AE58:AG58"/>
    <mergeCell ref="D59:F59"/>
    <mergeCell ref="G59:I59"/>
    <mergeCell ref="J59:L59"/>
    <mergeCell ref="M59:O59"/>
    <mergeCell ref="P59:R59"/>
    <mergeCell ref="S59:U59"/>
    <mergeCell ref="D58:F58"/>
    <mergeCell ref="G58:I58"/>
    <mergeCell ref="J58:L58"/>
    <mergeCell ref="M58:O58"/>
    <mergeCell ref="P58:R58"/>
    <mergeCell ref="S58:U58"/>
    <mergeCell ref="P57:R57"/>
    <mergeCell ref="S57:U57"/>
    <mergeCell ref="V57:X57"/>
    <mergeCell ref="Y57:AA57"/>
    <mergeCell ref="AB57:AD57"/>
    <mergeCell ref="AE57:AG57"/>
    <mergeCell ref="S54:T54"/>
    <mergeCell ref="V54:W54"/>
    <mergeCell ref="Y54:Z54"/>
    <mergeCell ref="AB54:AC54"/>
    <mergeCell ref="AE54:AF54"/>
    <mergeCell ref="A57:B62"/>
    <mergeCell ref="D57:F57"/>
    <mergeCell ref="G57:I57"/>
    <mergeCell ref="J57:L57"/>
    <mergeCell ref="M57:O57"/>
    <mergeCell ref="S53:T53"/>
    <mergeCell ref="V53:W53"/>
    <mergeCell ref="Y53:Z53"/>
    <mergeCell ref="AB53:AC53"/>
    <mergeCell ref="AE53:AF53"/>
    <mergeCell ref="D54:E54"/>
    <mergeCell ref="G54:H54"/>
    <mergeCell ref="J54:K54"/>
    <mergeCell ref="M54:N54"/>
    <mergeCell ref="P54:Q54"/>
    <mergeCell ref="S52:T52"/>
    <mergeCell ref="V52:W52"/>
    <mergeCell ref="Y52:Z52"/>
    <mergeCell ref="AB52:AC52"/>
    <mergeCell ref="AE52:AF52"/>
    <mergeCell ref="D53:E53"/>
    <mergeCell ref="G53:H53"/>
    <mergeCell ref="J53:K53"/>
    <mergeCell ref="M53:N53"/>
    <mergeCell ref="P53:Q53"/>
    <mergeCell ref="S51:U51"/>
    <mergeCell ref="V51:X51"/>
    <mergeCell ref="Y51:AA51"/>
    <mergeCell ref="AB51:AD51"/>
    <mergeCell ref="AE51:AG51"/>
    <mergeCell ref="D52:E52"/>
    <mergeCell ref="G52:H52"/>
    <mergeCell ref="J52:K52"/>
    <mergeCell ref="M52:N52"/>
    <mergeCell ref="P52:Q52"/>
    <mergeCell ref="S50:U50"/>
    <mergeCell ref="V50:X50"/>
    <mergeCell ref="Y50:AA50"/>
    <mergeCell ref="AB50:AD50"/>
    <mergeCell ref="AE50:AG50"/>
    <mergeCell ref="D51:F51"/>
    <mergeCell ref="G51:I51"/>
    <mergeCell ref="J51:L51"/>
    <mergeCell ref="M51:O51"/>
    <mergeCell ref="P51:R51"/>
    <mergeCell ref="S49:U49"/>
    <mergeCell ref="V49:X49"/>
    <mergeCell ref="Y49:AA49"/>
    <mergeCell ref="AB49:AD49"/>
    <mergeCell ref="AE49:AG49"/>
    <mergeCell ref="D50:F50"/>
    <mergeCell ref="G50:I50"/>
    <mergeCell ref="J50:L50"/>
    <mergeCell ref="M50:O50"/>
    <mergeCell ref="P50:R50"/>
    <mergeCell ref="V46:W46"/>
    <mergeCell ref="Y46:Z46"/>
    <mergeCell ref="AB46:AC46"/>
    <mergeCell ref="AE46:AF46"/>
    <mergeCell ref="A49:B54"/>
    <mergeCell ref="D49:F49"/>
    <mergeCell ref="G49:I49"/>
    <mergeCell ref="J49:L49"/>
    <mergeCell ref="M49:O49"/>
    <mergeCell ref="P49:R49"/>
    <mergeCell ref="V45:W45"/>
    <mergeCell ref="Y45:Z45"/>
    <mergeCell ref="AB45:AC45"/>
    <mergeCell ref="AE45:AF45"/>
    <mergeCell ref="D46:E46"/>
    <mergeCell ref="G46:H46"/>
    <mergeCell ref="J46:K46"/>
    <mergeCell ref="M46:N46"/>
    <mergeCell ref="P46:Q46"/>
    <mergeCell ref="S46:T46"/>
    <mergeCell ref="V44:W44"/>
    <mergeCell ref="Y44:Z44"/>
    <mergeCell ref="AB44:AC44"/>
    <mergeCell ref="AE44:AF44"/>
    <mergeCell ref="D45:E45"/>
    <mergeCell ref="G45:H45"/>
    <mergeCell ref="J45:K45"/>
    <mergeCell ref="M45:N45"/>
    <mergeCell ref="P45:Q45"/>
    <mergeCell ref="S45:T45"/>
    <mergeCell ref="V43:X43"/>
    <mergeCell ref="Y43:AA43"/>
    <mergeCell ref="AB43:AD43"/>
    <mergeCell ref="AE43:AG43"/>
    <mergeCell ref="D44:E44"/>
    <mergeCell ref="G44:H44"/>
    <mergeCell ref="J44:K44"/>
    <mergeCell ref="M44:N44"/>
    <mergeCell ref="P44:Q44"/>
    <mergeCell ref="S44:T44"/>
    <mergeCell ref="V42:X42"/>
    <mergeCell ref="Y42:AA42"/>
    <mergeCell ref="AB42:AD42"/>
    <mergeCell ref="AE42:AG42"/>
    <mergeCell ref="D43:F43"/>
    <mergeCell ref="G43:I43"/>
    <mergeCell ref="J43:L43"/>
    <mergeCell ref="M43:O43"/>
    <mergeCell ref="P43:R43"/>
    <mergeCell ref="S43:U43"/>
    <mergeCell ref="D42:F42"/>
    <mergeCell ref="G42:I42"/>
    <mergeCell ref="J42:L42"/>
    <mergeCell ref="M42:O42"/>
    <mergeCell ref="P42:R42"/>
    <mergeCell ref="S42:U42"/>
    <mergeCell ref="P41:R41"/>
    <mergeCell ref="S41:U41"/>
    <mergeCell ref="V41:X41"/>
    <mergeCell ref="Y41:AA41"/>
    <mergeCell ref="AB41:AD41"/>
    <mergeCell ref="AE41:AG41"/>
    <mergeCell ref="S38:T38"/>
    <mergeCell ref="V38:W38"/>
    <mergeCell ref="Y38:Z38"/>
    <mergeCell ref="AB38:AC38"/>
    <mergeCell ref="AE38:AF38"/>
    <mergeCell ref="A41:B46"/>
    <mergeCell ref="D41:F41"/>
    <mergeCell ref="G41:I41"/>
    <mergeCell ref="J41:L41"/>
    <mergeCell ref="M41:O41"/>
    <mergeCell ref="S37:T37"/>
    <mergeCell ref="V37:W37"/>
    <mergeCell ref="Y37:Z37"/>
    <mergeCell ref="AB37:AC37"/>
    <mergeCell ref="AE37:AF37"/>
    <mergeCell ref="D38:E38"/>
    <mergeCell ref="G38:H38"/>
    <mergeCell ref="J38:K38"/>
    <mergeCell ref="M38:N38"/>
    <mergeCell ref="P38:Q38"/>
    <mergeCell ref="S36:T36"/>
    <mergeCell ref="V36:W36"/>
    <mergeCell ref="Y36:Z36"/>
    <mergeCell ref="AB36:AC36"/>
    <mergeCell ref="AE36:AF36"/>
    <mergeCell ref="D37:E37"/>
    <mergeCell ref="G37:H37"/>
    <mergeCell ref="J37:K37"/>
    <mergeCell ref="M37:N37"/>
    <mergeCell ref="P37:Q37"/>
    <mergeCell ref="S35:U35"/>
    <mergeCell ref="V35:X35"/>
    <mergeCell ref="Y35:AA35"/>
    <mergeCell ref="AB35:AD35"/>
    <mergeCell ref="AE35:AG35"/>
    <mergeCell ref="D36:E36"/>
    <mergeCell ref="G36:H36"/>
    <mergeCell ref="J36:K36"/>
    <mergeCell ref="M36:N36"/>
    <mergeCell ref="P36:Q36"/>
    <mergeCell ref="S34:U34"/>
    <mergeCell ref="V34:X34"/>
    <mergeCell ref="Y34:AA34"/>
    <mergeCell ref="AB34:AD34"/>
    <mergeCell ref="AE34:AG34"/>
    <mergeCell ref="D35:F35"/>
    <mergeCell ref="G35:I35"/>
    <mergeCell ref="J35:L35"/>
    <mergeCell ref="M35:O35"/>
    <mergeCell ref="P35:R35"/>
    <mergeCell ref="S33:U33"/>
    <mergeCell ref="V33:X33"/>
    <mergeCell ref="Y33:AA33"/>
    <mergeCell ref="AB33:AD33"/>
    <mergeCell ref="AE33:AG33"/>
    <mergeCell ref="D34:F34"/>
    <mergeCell ref="G34:I34"/>
    <mergeCell ref="J34:L34"/>
    <mergeCell ref="M34:O34"/>
    <mergeCell ref="P34:R34"/>
    <mergeCell ref="V30:W30"/>
    <mergeCell ref="Y30:Z30"/>
    <mergeCell ref="AB30:AC30"/>
    <mergeCell ref="AE30:AF30"/>
    <mergeCell ref="A33:B38"/>
    <mergeCell ref="D33:F33"/>
    <mergeCell ref="G33:I33"/>
    <mergeCell ref="J33:L33"/>
    <mergeCell ref="M33:O33"/>
    <mergeCell ref="P33:R33"/>
    <mergeCell ref="V29:W29"/>
    <mergeCell ref="Y29:Z29"/>
    <mergeCell ref="AB29:AC29"/>
    <mergeCell ref="AE29:AF29"/>
    <mergeCell ref="D30:E30"/>
    <mergeCell ref="G30:H30"/>
    <mergeCell ref="J30:K30"/>
    <mergeCell ref="M30:N30"/>
    <mergeCell ref="P30:Q30"/>
    <mergeCell ref="S30:T30"/>
    <mergeCell ref="V28:W28"/>
    <mergeCell ref="Y28:Z28"/>
    <mergeCell ref="AB28:AC28"/>
    <mergeCell ref="AE28:AF28"/>
    <mergeCell ref="D29:E29"/>
    <mergeCell ref="G29:H29"/>
    <mergeCell ref="J29:K29"/>
    <mergeCell ref="M29:N29"/>
    <mergeCell ref="P29:Q29"/>
    <mergeCell ref="S29:T29"/>
    <mergeCell ref="V27:X27"/>
    <mergeCell ref="Y27:AA27"/>
    <mergeCell ref="AB27:AD27"/>
    <mergeCell ref="AE27:AG27"/>
    <mergeCell ref="D28:E28"/>
    <mergeCell ref="G28:H28"/>
    <mergeCell ref="J28:K28"/>
    <mergeCell ref="M28:N28"/>
    <mergeCell ref="P28:Q28"/>
    <mergeCell ref="S28:T28"/>
    <mergeCell ref="V26:X26"/>
    <mergeCell ref="Y26:AA26"/>
    <mergeCell ref="AB26:AD26"/>
    <mergeCell ref="AE26:AG26"/>
    <mergeCell ref="D27:F27"/>
    <mergeCell ref="G27:I27"/>
    <mergeCell ref="J27:L27"/>
    <mergeCell ref="M27:O27"/>
    <mergeCell ref="P27:R27"/>
    <mergeCell ref="S27:U27"/>
    <mergeCell ref="D26:F26"/>
    <mergeCell ref="G26:I26"/>
    <mergeCell ref="J26:L26"/>
    <mergeCell ref="M26:O26"/>
    <mergeCell ref="P26:R26"/>
    <mergeCell ref="S26:U26"/>
    <mergeCell ref="P25:R25"/>
    <mergeCell ref="S25:U25"/>
    <mergeCell ref="V25:X25"/>
    <mergeCell ref="Y25:AA25"/>
    <mergeCell ref="AB25:AD25"/>
    <mergeCell ref="AE25:AG25"/>
    <mergeCell ref="S22:T22"/>
    <mergeCell ref="V22:W22"/>
    <mergeCell ref="Y22:Z22"/>
    <mergeCell ref="AB22:AC22"/>
    <mergeCell ref="AE22:AF22"/>
    <mergeCell ref="A25:B30"/>
    <mergeCell ref="D25:F25"/>
    <mergeCell ref="G25:I25"/>
    <mergeCell ref="J25:L25"/>
    <mergeCell ref="M25:O25"/>
    <mergeCell ref="S21:T21"/>
    <mergeCell ref="V21:W21"/>
    <mergeCell ref="Y21:Z21"/>
    <mergeCell ref="AB21:AC21"/>
    <mergeCell ref="AE21:AF21"/>
    <mergeCell ref="D22:E22"/>
    <mergeCell ref="G22:H22"/>
    <mergeCell ref="J22:K22"/>
    <mergeCell ref="M22:N22"/>
    <mergeCell ref="P22:Q22"/>
    <mergeCell ref="S20:T20"/>
    <mergeCell ref="V20:W20"/>
    <mergeCell ref="Y20:Z20"/>
    <mergeCell ref="AB20:AC20"/>
    <mergeCell ref="AE20:AF20"/>
    <mergeCell ref="D21:E21"/>
    <mergeCell ref="G21:H21"/>
    <mergeCell ref="J21:K21"/>
    <mergeCell ref="M21:N21"/>
    <mergeCell ref="P21:Q21"/>
    <mergeCell ref="S19:U19"/>
    <mergeCell ref="V19:X19"/>
    <mergeCell ref="Y19:AA19"/>
    <mergeCell ref="AB19:AD19"/>
    <mergeCell ref="AE19:AG19"/>
    <mergeCell ref="D20:E20"/>
    <mergeCell ref="G20:H20"/>
    <mergeCell ref="J20:K20"/>
    <mergeCell ref="M20:N20"/>
    <mergeCell ref="P20:Q20"/>
    <mergeCell ref="S18:U18"/>
    <mergeCell ref="V18:X18"/>
    <mergeCell ref="Y18:AA18"/>
    <mergeCell ref="AB18:AD18"/>
    <mergeCell ref="AE18:AG18"/>
    <mergeCell ref="D19:F19"/>
    <mergeCell ref="G19:I19"/>
    <mergeCell ref="J19:L19"/>
    <mergeCell ref="M19:O19"/>
    <mergeCell ref="P19:R19"/>
    <mergeCell ref="S17:U17"/>
    <mergeCell ref="V17:X17"/>
    <mergeCell ref="Y17:AA17"/>
    <mergeCell ref="AB17:AD17"/>
    <mergeCell ref="AE17:AG17"/>
    <mergeCell ref="D18:F18"/>
    <mergeCell ref="G18:I18"/>
    <mergeCell ref="J18:L18"/>
    <mergeCell ref="M18:O18"/>
    <mergeCell ref="P18:R18"/>
    <mergeCell ref="V14:W14"/>
    <mergeCell ref="Y14:Z14"/>
    <mergeCell ref="AB14:AC14"/>
    <mergeCell ref="AE14:AF14"/>
    <mergeCell ref="A17:B22"/>
    <mergeCell ref="D17:F17"/>
    <mergeCell ref="G17:I17"/>
    <mergeCell ref="J17:L17"/>
    <mergeCell ref="M17:O17"/>
    <mergeCell ref="P17:R17"/>
    <mergeCell ref="V13:W13"/>
    <mergeCell ref="Y13:Z13"/>
    <mergeCell ref="AB13:AC13"/>
    <mergeCell ref="AE13:AF13"/>
    <mergeCell ref="D14:E14"/>
    <mergeCell ref="G14:H14"/>
    <mergeCell ref="J14:K14"/>
    <mergeCell ref="M14:N14"/>
    <mergeCell ref="P14:Q14"/>
    <mergeCell ref="S14:T14"/>
    <mergeCell ref="V12:W12"/>
    <mergeCell ref="Y12:Z12"/>
    <mergeCell ref="AB12:AC12"/>
    <mergeCell ref="AE12:AF12"/>
    <mergeCell ref="D13:E13"/>
    <mergeCell ref="G13:H13"/>
    <mergeCell ref="J13:K13"/>
    <mergeCell ref="M13:N13"/>
    <mergeCell ref="P13:Q13"/>
    <mergeCell ref="S13:T13"/>
    <mergeCell ref="V11:X11"/>
    <mergeCell ref="Y11:AA11"/>
    <mergeCell ref="AB11:AD11"/>
    <mergeCell ref="AE11:AG11"/>
    <mergeCell ref="D12:E12"/>
    <mergeCell ref="G12:H12"/>
    <mergeCell ref="J12:K12"/>
    <mergeCell ref="M12:N12"/>
    <mergeCell ref="P12:Q12"/>
    <mergeCell ref="S12:T12"/>
    <mergeCell ref="V10:X10"/>
    <mergeCell ref="Y10:AA10"/>
    <mergeCell ref="AB10:AD10"/>
    <mergeCell ref="AE10:AG10"/>
    <mergeCell ref="D11:F11"/>
    <mergeCell ref="G11:I11"/>
    <mergeCell ref="J11:L11"/>
    <mergeCell ref="M11:O11"/>
    <mergeCell ref="P11:R11"/>
    <mergeCell ref="S11:U11"/>
    <mergeCell ref="D10:F10"/>
    <mergeCell ref="G10:I10"/>
    <mergeCell ref="J10:L10"/>
    <mergeCell ref="M10:O10"/>
    <mergeCell ref="P10:R10"/>
    <mergeCell ref="S10:U10"/>
    <mergeCell ref="P9:R9"/>
    <mergeCell ref="S9:U9"/>
    <mergeCell ref="V9:X9"/>
    <mergeCell ref="Y9:AA9"/>
    <mergeCell ref="AB9:AD9"/>
    <mergeCell ref="AE9:AG9"/>
    <mergeCell ref="S6:T6"/>
    <mergeCell ref="V6:W6"/>
    <mergeCell ref="Y6:Z6"/>
    <mergeCell ref="AB6:AC6"/>
    <mergeCell ref="AE6:AF6"/>
    <mergeCell ref="A9:B14"/>
    <mergeCell ref="D9:F9"/>
    <mergeCell ref="G9:I9"/>
    <mergeCell ref="J9:L9"/>
    <mergeCell ref="M9:O9"/>
    <mergeCell ref="S5:T5"/>
    <mergeCell ref="V5:W5"/>
    <mergeCell ref="Y5:Z5"/>
    <mergeCell ref="AB5:AC5"/>
    <mergeCell ref="AE5:AF5"/>
    <mergeCell ref="D6:E6"/>
    <mergeCell ref="G6:H6"/>
    <mergeCell ref="J6:K6"/>
    <mergeCell ref="M6:N6"/>
    <mergeCell ref="P6:Q6"/>
    <mergeCell ref="S4:T4"/>
    <mergeCell ref="V4:W4"/>
    <mergeCell ref="Y4:Z4"/>
    <mergeCell ref="AB4:AC4"/>
    <mergeCell ref="AE4:AF4"/>
    <mergeCell ref="D5:E5"/>
    <mergeCell ref="G5:H5"/>
    <mergeCell ref="J5:K5"/>
    <mergeCell ref="M5:N5"/>
    <mergeCell ref="P5:Q5"/>
    <mergeCell ref="S3:U3"/>
    <mergeCell ref="V3:X3"/>
    <mergeCell ref="Y3:AA3"/>
    <mergeCell ref="AB3:AD3"/>
    <mergeCell ref="AE3:AG3"/>
    <mergeCell ref="D4:E4"/>
    <mergeCell ref="G4:H4"/>
    <mergeCell ref="J4:K4"/>
    <mergeCell ref="M4:N4"/>
    <mergeCell ref="P4:Q4"/>
    <mergeCell ref="S2:U2"/>
    <mergeCell ref="V2:X2"/>
    <mergeCell ref="Y2:AA2"/>
    <mergeCell ref="AB2:AD2"/>
    <mergeCell ref="AE2:AG2"/>
    <mergeCell ref="D3:F3"/>
    <mergeCell ref="G3:I3"/>
    <mergeCell ref="J3:L3"/>
    <mergeCell ref="M3:O3"/>
    <mergeCell ref="P3:R3"/>
    <mergeCell ref="S1:U1"/>
    <mergeCell ref="V1:X1"/>
    <mergeCell ref="Y1:AA1"/>
    <mergeCell ref="AB1:AD1"/>
    <mergeCell ref="AE1:AG1"/>
    <mergeCell ref="D2:F2"/>
    <mergeCell ref="G2:I2"/>
    <mergeCell ref="J2:L2"/>
    <mergeCell ref="M2:O2"/>
    <mergeCell ref="P2:R2"/>
    <mergeCell ref="A1:B6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CACD-4CD2-49CF-9436-00A4BB22147C}">
  <sheetPr codeName="Sheet3"/>
  <dimension ref="A1:AG394"/>
  <sheetViews>
    <sheetView topLeftCell="A156" zoomScale="80" zoomScaleNormal="80" workbookViewId="0">
      <selection activeCell="A172" sqref="A172:B178"/>
    </sheetView>
  </sheetViews>
  <sheetFormatPr defaultRowHeight="15" x14ac:dyDescent="0.25"/>
  <sheetData>
    <row r="1" spans="1:33" ht="15.75" thickBot="1" x14ac:dyDescent="0.3">
      <c r="A1" s="68" t="s">
        <v>234</v>
      </c>
      <c r="B1" s="68"/>
      <c r="C1" s="69" t="s">
        <v>72</v>
      </c>
      <c r="D1" s="52" t="s">
        <v>27</v>
      </c>
      <c r="E1" s="52"/>
      <c r="F1" s="52"/>
      <c r="G1" s="73" t="s">
        <v>28</v>
      </c>
      <c r="H1" s="73"/>
      <c r="I1" s="73"/>
      <c r="J1" s="52" t="s">
        <v>29</v>
      </c>
      <c r="K1" s="52"/>
      <c r="L1" s="52"/>
      <c r="M1" s="73" t="s">
        <v>30</v>
      </c>
      <c r="N1" s="73"/>
      <c r="O1" s="73"/>
      <c r="P1" s="52" t="s">
        <v>31</v>
      </c>
      <c r="Q1" s="52"/>
      <c r="R1" s="52"/>
      <c r="S1" s="73" t="s">
        <v>32</v>
      </c>
      <c r="T1" s="73"/>
      <c r="U1" s="73"/>
      <c r="V1" s="52" t="s">
        <v>33</v>
      </c>
      <c r="W1" s="52"/>
      <c r="X1" s="52"/>
      <c r="Y1" s="73" t="s">
        <v>34</v>
      </c>
      <c r="Z1" s="73"/>
      <c r="AA1" s="73"/>
      <c r="AB1" s="52" t="s">
        <v>35</v>
      </c>
      <c r="AC1" s="52"/>
      <c r="AD1" s="52"/>
      <c r="AE1" s="73" t="s">
        <v>36</v>
      </c>
      <c r="AF1" s="73"/>
      <c r="AG1" s="73"/>
    </row>
    <row r="2" spans="1:33" ht="15.75" thickBot="1" x14ac:dyDescent="0.3">
      <c r="A2" s="68"/>
      <c r="B2" s="68"/>
      <c r="C2" s="70" t="s">
        <v>14</v>
      </c>
      <c r="D2" s="74">
        <v>142</v>
      </c>
      <c r="E2" s="75"/>
      <c r="F2" s="76"/>
      <c r="G2" s="74">
        <v>204</v>
      </c>
      <c r="H2" s="75"/>
      <c r="I2" s="76"/>
      <c r="J2" s="74">
        <v>294</v>
      </c>
      <c r="K2" s="75"/>
      <c r="L2" s="76"/>
      <c r="M2" s="74">
        <v>424</v>
      </c>
      <c r="N2" s="75"/>
      <c r="O2" s="76"/>
      <c r="P2" s="74">
        <v>567</v>
      </c>
      <c r="Q2" s="75"/>
      <c r="R2" s="76"/>
      <c r="S2" s="74">
        <v>737</v>
      </c>
      <c r="T2" s="75"/>
      <c r="U2" s="76"/>
      <c r="V2" s="74">
        <v>958</v>
      </c>
      <c r="W2" s="75"/>
      <c r="X2" s="76"/>
      <c r="Y2" s="74">
        <v>1245</v>
      </c>
      <c r="Z2" s="75"/>
      <c r="AA2" s="76"/>
      <c r="AB2" s="74">
        <v>1618</v>
      </c>
      <c r="AC2" s="75"/>
      <c r="AD2" s="76"/>
      <c r="AE2" s="74">
        <v>2103</v>
      </c>
      <c r="AF2" s="75"/>
      <c r="AG2" s="76"/>
    </row>
    <row r="3" spans="1:33" ht="15.75" thickBot="1" x14ac:dyDescent="0.3">
      <c r="A3" s="68"/>
      <c r="B3" s="68"/>
      <c r="C3" s="77" t="s">
        <v>55</v>
      </c>
      <c r="D3" s="81">
        <v>0</v>
      </c>
      <c r="E3" s="82"/>
      <c r="F3" s="84"/>
      <c r="G3" s="85">
        <v>0</v>
      </c>
      <c r="H3" s="82"/>
      <c r="I3" s="84"/>
      <c r="J3" s="85">
        <v>0</v>
      </c>
      <c r="K3" s="82"/>
      <c r="L3" s="84"/>
      <c r="M3" s="85">
        <v>0</v>
      </c>
      <c r="N3" s="82"/>
      <c r="O3" s="82"/>
      <c r="P3" s="81">
        <v>0</v>
      </c>
      <c r="Q3" s="82"/>
      <c r="R3" s="83"/>
      <c r="S3" s="82">
        <v>0</v>
      </c>
      <c r="T3" s="82"/>
      <c r="U3" s="84"/>
      <c r="V3" s="85">
        <v>0</v>
      </c>
      <c r="W3" s="82"/>
      <c r="X3" s="84"/>
      <c r="Y3" s="85">
        <v>0</v>
      </c>
      <c r="Z3" s="82"/>
      <c r="AA3" s="84"/>
      <c r="AB3" s="85">
        <v>0</v>
      </c>
      <c r="AC3" s="82"/>
      <c r="AD3" s="84"/>
      <c r="AE3" s="85">
        <v>0</v>
      </c>
      <c r="AF3" s="82"/>
      <c r="AG3" s="84"/>
    </row>
    <row r="4" spans="1:33" ht="15.75" thickBot="1" x14ac:dyDescent="0.3">
      <c r="A4" s="68"/>
      <c r="B4" s="68"/>
      <c r="C4" s="71" t="s">
        <v>76</v>
      </c>
      <c r="D4" s="78">
        <v>0</v>
      </c>
      <c r="E4" s="79"/>
      <c r="F4" s="79"/>
      <c r="G4" s="78">
        <v>0</v>
      </c>
      <c r="H4" s="79"/>
      <c r="I4" s="80"/>
      <c r="J4" s="78">
        <v>0</v>
      </c>
      <c r="K4" s="79"/>
      <c r="L4" s="80"/>
      <c r="M4" s="78">
        <v>0</v>
      </c>
      <c r="N4" s="79"/>
      <c r="O4" s="80"/>
      <c r="P4" s="78">
        <v>0</v>
      </c>
      <c r="Q4" s="79"/>
      <c r="R4" s="80"/>
      <c r="S4" s="78">
        <v>0</v>
      </c>
      <c r="T4" s="79"/>
      <c r="U4" s="80"/>
      <c r="V4" s="78">
        <v>0</v>
      </c>
      <c r="W4" s="79"/>
      <c r="X4" s="80"/>
      <c r="Y4" s="78">
        <v>0</v>
      </c>
      <c r="Z4" s="79"/>
      <c r="AA4" s="80"/>
      <c r="AB4" s="78">
        <v>0</v>
      </c>
      <c r="AC4" s="79"/>
      <c r="AD4" s="80"/>
      <c r="AE4" s="78">
        <v>0</v>
      </c>
      <c r="AF4" s="79"/>
      <c r="AG4" s="80"/>
    </row>
    <row r="5" spans="1:33" ht="15.75" thickBot="1" x14ac:dyDescent="0.3">
      <c r="A5" s="68"/>
      <c r="B5" s="68"/>
      <c r="C5" s="72" t="s">
        <v>37</v>
      </c>
      <c r="D5" s="86"/>
      <c r="E5" s="86"/>
      <c r="F5" s="89"/>
      <c r="G5" s="86"/>
      <c r="H5" s="86"/>
      <c r="I5" s="89"/>
      <c r="J5" s="86"/>
      <c r="K5" s="86"/>
      <c r="L5" s="89"/>
      <c r="M5" s="86"/>
      <c r="N5" s="86"/>
      <c r="O5" s="89"/>
      <c r="P5" s="86"/>
      <c r="Q5" s="86"/>
      <c r="R5" s="89"/>
      <c r="S5" s="86"/>
      <c r="T5" s="86"/>
      <c r="U5" s="89"/>
      <c r="V5" s="86"/>
      <c r="W5" s="86"/>
      <c r="X5" s="89"/>
      <c r="Y5" s="86"/>
      <c r="Z5" s="86"/>
      <c r="AA5" s="89"/>
      <c r="AB5" s="86"/>
      <c r="AC5" s="86"/>
      <c r="AD5" s="89"/>
      <c r="AE5" s="86"/>
      <c r="AF5" s="86"/>
      <c r="AG5" s="89"/>
    </row>
    <row r="6" spans="1:33" ht="15.75" thickBot="1" x14ac:dyDescent="0.3">
      <c r="A6" s="68"/>
      <c r="B6" s="68"/>
      <c r="D6" s="87"/>
      <c r="E6" s="87"/>
      <c r="F6" s="90"/>
      <c r="G6" s="87"/>
      <c r="H6" s="87"/>
      <c r="I6" s="90"/>
      <c r="J6" s="87"/>
      <c r="K6" s="87"/>
      <c r="L6" s="90"/>
      <c r="M6" s="87"/>
      <c r="N6" s="87"/>
      <c r="O6" s="90"/>
      <c r="P6" s="87"/>
      <c r="Q6" s="87"/>
      <c r="R6" s="90"/>
      <c r="S6" s="87"/>
      <c r="T6" s="87"/>
      <c r="U6" s="90"/>
      <c r="V6" s="87"/>
      <c r="W6" s="87"/>
      <c r="X6" s="90"/>
      <c r="Y6" s="87"/>
      <c r="Z6" s="87"/>
      <c r="AA6" s="90"/>
      <c r="AB6" s="87"/>
      <c r="AC6" s="87"/>
      <c r="AD6" s="90"/>
      <c r="AE6" s="87"/>
      <c r="AF6" s="87"/>
      <c r="AG6" s="90"/>
    </row>
    <row r="7" spans="1:33" ht="15.75" thickBot="1" x14ac:dyDescent="0.3">
      <c r="A7" s="68"/>
      <c r="B7" s="68"/>
      <c r="D7" s="88"/>
      <c r="E7" s="88"/>
      <c r="F7" s="91"/>
      <c r="G7" s="88"/>
      <c r="H7" s="88"/>
      <c r="I7" s="91"/>
      <c r="J7" s="88"/>
      <c r="K7" s="88"/>
      <c r="L7" s="91"/>
      <c r="M7" s="88"/>
      <c r="N7" s="88"/>
      <c r="O7" s="91"/>
      <c r="P7" s="88"/>
      <c r="Q7" s="88"/>
      <c r="R7" s="91"/>
      <c r="S7" s="88"/>
      <c r="T7" s="88"/>
      <c r="U7" s="91"/>
      <c r="V7" s="88"/>
      <c r="W7" s="88"/>
      <c r="X7" s="91"/>
      <c r="Y7" s="88"/>
      <c r="Z7" s="88"/>
      <c r="AA7" s="91"/>
      <c r="AB7" s="88"/>
      <c r="AC7" s="88"/>
      <c r="AD7" s="91"/>
      <c r="AE7" s="88"/>
      <c r="AF7" s="88"/>
      <c r="AG7" s="91"/>
    </row>
    <row r="8" spans="1:33" x14ac:dyDescent="0.25">
      <c r="C8" s="64"/>
      <c r="D8" s="92"/>
      <c r="E8" s="92"/>
      <c r="F8" s="93"/>
      <c r="G8" s="92"/>
      <c r="H8" s="92"/>
      <c r="I8" s="93"/>
      <c r="J8" s="92"/>
      <c r="K8" s="92"/>
      <c r="L8" s="93"/>
      <c r="M8" s="92"/>
      <c r="N8" s="92"/>
      <c r="O8" s="93"/>
      <c r="P8" s="92"/>
      <c r="Q8" s="92"/>
      <c r="R8" s="93"/>
      <c r="S8" s="92"/>
      <c r="T8" s="92"/>
      <c r="U8" s="93"/>
      <c r="V8" s="92"/>
      <c r="W8" s="92"/>
      <c r="X8" s="93"/>
      <c r="Y8" s="92"/>
      <c r="Z8" s="92"/>
      <c r="AA8" s="93"/>
      <c r="AB8" s="92"/>
      <c r="AC8" s="92"/>
      <c r="AD8" s="93"/>
      <c r="AE8" s="92"/>
      <c r="AF8" s="92"/>
      <c r="AG8" s="93"/>
    </row>
    <row r="9" spans="1:33" ht="15.75" thickBot="1" x14ac:dyDescent="0.3"/>
    <row r="10" spans="1:33" ht="15.75" thickBot="1" x14ac:dyDescent="0.3">
      <c r="A10" s="68" t="s">
        <v>235</v>
      </c>
      <c r="B10" s="68"/>
      <c r="C10" s="69" t="s">
        <v>74</v>
      </c>
      <c r="D10" s="52" t="s">
        <v>27</v>
      </c>
      <c r="E10" s="52"/>
      <c r="F10" s="52"/>
      <c r="G10" s="73" t="s">
        <v>28</v>
      </c>
      <c r="H10" s="73"/>
      <c r="I10" s="73"/>
      <c r="J10" s="52" t="s">
        <v>29</v>
      </c>
      <c r="K10" s="52"/>
      <c r="L10" s="52"/>
      <c r="M10" s="73" t="s">
        <v>30</v>
      </c>
      <c r="N10" s="73"/>
      <c r="O10" s="73"/>
      <c r="P10" s="52" t="s">
        <v>31</v>
      </c>
      <c r="Q10" s="52"/>
      <c r="R10" s="52"/>
      <c r="S10" s="73" t="s">
        <v>32</v>
      </c>
      <c r="T10" s="73"/>
      <c r="U10" s="73"/>
      <c r="V10" s="52" t="s">
        <v>33</v>
      </c>
      <c r="W10" s="52"/>
      <c r="X10" s="52"/>
      <c r="Y10" s="73" t="s">
        <v>34</v>
      </c>
      <c r="Z10" s="73"/>
      <c r="AA10" s="73"/>
      <c r="AB10" s="52" t="s">
        <v>35</v>
      </c>
      <c r="AC10" s="52"/>
      <c r="AD10" s="52"/>
      <c r="AE10" s="73" t="s">
        <v>36</v>
      </c>
      <c r="AF10" s="73"/>
      <c r="AG10" s="73"/>
    </row>
    <row r="11" spans="1:33" ht="15.75" thickBot="1" x14ac:dyDescent="0.3">
      <c r="A11" s="68"/>
      <c r="B11" s="68"/>
      <c r="C11" s="70" t="s">
        <v>14</v>
      </c>
      <c r="D11" s="74">
        <v>142</v>
      </c>
      <c r="E11" s="75"/>
      <c r="F11" s="76"/>
      <c r="G11" s="74">
        <v>204</v>
      </c>
      <c r="H11" s="75"/>
      <c r="I11" s="76"/>
      <c r="J11" s="74">
        <v>294</v>
      </c>
      <c r="K11" s="75"/>
      <c r="L11" s="76"/>
      <c r="M11" s="74">
        <v>424</v>
      </c>
      <c r="N11" s="75"/>
      <c r="O11" s="76"/>
      <c r="P11" s="74">
        <v>567</v>
      </c>
      <c r="Q11" s="75"/>
      <c r="R11" s="76"/>
      <c r="S11" s="74">
        <v>737</v>
      </c>
      <c r="T11" s="75"/>
      <c r="U11" s="76"/>
      <c r="V11" s="74">
        <v>958</v>
      </c>
      <c r="W11" s="75"/>
      <c r="X11" s="76"/>
      <c r="Y11" s="74">
        <v>1245</v>
      </c>
      <c r="Z11" s="75"/>
      <c r="AA11" s="76"/>
      <c r="AB11" s="74">
        <v>1618</v>
      </c>
      <c r="AC11" s="75"/>
      <c r="AD11" s="76"/>
      <c r="AE11" s="74">
        <v>2103</v>
      </c>
      <c r="AF11" s="75"/>
      <c r="AG11" s="76"/>
    </row>
    <row r="12" spans="1:33" ht="15.75" thickBot="1" x14ac:dyDescent="0.3">
      <c r="A12" s="68"/>
      <c r="B12" s="68"/>
      <c r="C12" s="77" t="s">
        <v>55</v>
      </c>
      <c r="D12" s="81">
        <v>0</v>
      </c>
      <c r="E12" s="82"/>
      <c r="F12" s="84"/>
      <c r="G12" s="85">
        <v>0</v>
      </c>
      <c r="H12" s="82"/>
      <c r="I12" s="84"/>
      <c r="J12" s="85">
        <v>0</v>
      </c>
      <c r="K12" s="82"/>
      <c r="L12" s="84"/>
      <c r="M12" s="85">
        <v>0</v>
      </c>
      <c r="N12" s="82"/>
      <c r="O12" s="82"/>
      <c r="P12" s="81">
        <v>0</v>
      </c>
      <c r="Q12" s="82"/>
      <c r="R12" s="83"/>
      <c r="S12" s="82">
        <v>0</v>
      </c>
      <c r="T12" s="82"/>
      <c r="U12" s="84"/>
      <c r="V12" s="85">
        <v>0</v>
      </c>
      <c r="W12" s="82"/>
      <c r="X12" s="84"/>
      <c r="Y12" s="85">
        <v>0</v>
      </c>
      <c r="Z12" s="82"/>
      <c r="AA12" s="84"/>
      <c r="AB12" s="85">
        <v>0</v>
      </c>
      <c r="AC12" s="82"/>
      <c r="AD12" s="84"/>
      <c r="AE12" s="85">
        <v>0</v>
      </c>
      <c r="AF12" s="82"/>
      <c r="AG12" s="84"/>
    </row>
    <row r="13" spans="1:33" ht="15.75" thickBot="1" x14ac:dyDescent="0.3">
      <c r="A13" s="68"/>
      <c r="B13" s="68"/>
      <c r="C13" s="71" t="s">
        <v>76</v>
      </c>
      <c r="D13" s="78">
        <v>0</v>
      </c>
      <c r="E13" s="79"/>
      <c r="F13" s="79"/>
      <c r="G13" s="78">
        <v>0</v>
      </c>
      <c r="H13" s="79"/>
      <c r="I13" s="80"/>
      <c r="J13" s="78">
        <v>0</v>
      </c>
      <c r="K13" s="79"/>
      <c r="L13" s="80"/>
      <c r="M13" s="78">
        <v>0</v>
      </c>
      <c r="N13" s="79"/>
      <c r="O13" s="80"/>
      <c r="P13" s="78">
        <v>0</v>
      </c>
      <c r="Q13" s="79"/>
      <c r="R13" s="80"/>
      <c r="S13" s="78">
        <v>0</v>
      </c>
      <c r="T13" s="79"/>
      <c r="U13" s="80"/>
      <c r="V13" s="78">
        <v>0</v>
      </c>
      <c r="W13" s="79"/>
      <c r="X13" s="80"/>
      <c r="Y13" s="78">
        <v>0</v>
      </c>
      <c r="Z13" s="79"/>
      <c r="AA13" s="80"/>
      <c r="AB13" s="78">
        <v>0</v>
      </c>
      <c r="AC13" s="79"/>
      <c r="AD13" s="80"/>
      <c r="AE13" s="78">
        <v>0</v>
      </c>
      <c r="AF13" s="79"/>
      <c r="AG13" s="80"/>
    </row>
    <row r="14" spans="1:33" ht="15.75" thickBot="1" x14ac:dyDescent="0.3">
      <c r="A14" s="68"/>
      <c r="B14" s="68"/>
      <c r="C14" s="72" t="s">
        <v>37</v>
      </c>
      <c r="D14" s="86"/>
      <c r="E14" s="86"/>
      <c r="F14" s="89"/>
      <c r="G14" s="86"/>
      <c r="H14" s="86"/>
      <c r="I14" s="89"/>
      <c r="J14" s="86"/>
      <c r="K14" s="86"/>
      <c r="L14" s="89"/>
      <c r="M14" s="86" t="s">
        <v>201</v>
      </c>
      <c r="N14" s="86"/>
      <c r="O14" s="89">
        <v>1</v>
      </c>
      <c r="P14" s="86" t="s">
        <v>201</v>
      </c>
      <c r="Q14" s="86"/>
      <c r="R14" s="89">
        <v>1</v>
      </c>
      <c r="S14" s="86" t="s">
        <v>201</v>
      </c>
      <c r="T14" s="86"/>
      <c r="U14" s="89">
        <v>1</v>
      </c>
      <c r="V14" s="86" t="s">
        <v>201</v>
      </c>
      <c r="W14" s="86"/>
      <c r="X14" s="89">
        <v>1</v>
      </c>
      <c r="Y14" s="86" t="s">
        <v>201</v>
      </c>
      <c r="Z14" s="86"/>
      <c r="AA14" s="89">
        <v>2</v>
      </c>
      <c r="AB14" s="86" t="s">
        <v>201</v>
      </c>
      <c r="AC14" s="86"/>
      <c r="AD14" s="89">
        <v>2</v>
      </c>
      <c r="AE14" s="86" t="s">
        <v>201</v>
      </c>
      <c r="AF14" s="86"/>
      <c r="AG14" s="89">
        <v>2</v>
      </c>
    </row>
    <row r="15" spans="1:33" ht="15.75" thickBot="1" x14ac:dyDescent="0.3">
      <c r="A15" s="68"/>
      <c r="B15" s="68"/>
      <c r="D15" s="87"/>
      <c r="E15" s="87"/>
      <c r="F15" s="90"/>
      <c r="G15" s="87"/>
      <c r="H15" s="87"/>
      <c r="I15" s="90"/>
      <c r="J15" s="87"/>
      <c r="K15" s="87"/>
      <c r="L15" s="90"/>
      <c r="M15" s="87"/>
      <c r="N15" s="87"/>
      <c r="O15" s="90"/>
      <c r="P15" s="87"/>
      <c r="Q15" s="87"/>
      <c r="R15" s="90"/>
      <c r="S15" s="87"/>
      <c r="T15" s="87"/>
      <c r="U15" s="90"/>
      <c r="V15" s="87"/>
      <c r="W15" s="87"/>
      <c r="X15" s="90"/>
      <c r="Y15" s="87"/>
      <c r="Z15" s="87"/>
      <c r="AA15" s="90"/>
      <c r="AB15" s="87"/>
      <c r="AC15" s="87"/>
      <c r="AD15" s="90"/>
      <c r="AE15" s="87"/>
      <c r="AF15" s="87"/>
      <c r="AG15" s="90"/>
    </row>
    <row r="16" spans="1:33" ht="15.75" thickBot="1" x14ac:dyDescent="0.3">
      <c r="A16" s="68"/>
      <c r="B16" s="68"/>
      <c r="D16" s="88"/>
      <c r="E16" s="88"/>
      <c r="F16" s="91"/>
      <c r="G16" s="88"/>
      <c r="H16" s="88"/>
      <c r="I16" s="91"/>
      <c r="J16" s="88"/>
      <c r="K16" s="88"/>
      <c r="L16" s="91"/>
      <c r="M16" s="88"/>
      <c r="N16" s="88"/>
      <c r="O16" s="91"/>
      <c r="P16" s="88"/>
      <c r="Q16" s="88"/>
      <c r="R16" s="91"/>
      <c r="S16" s="88"/>
      <c r="T16" s="88"/>
      <c r="U16" s="91"/>
      <c r="V16" s="88"/>
      <c r="W16" s="88"/>
      <c r="X16" s="91"/>
      <c r="Y16" s="88"/>
      <c r="Z16" s="88"/>
      <c r="AA16" s="91"/>
      <c r="AB16" s="88"/>
      <c r="AC16" s="88"/>
      <c r="AD16" s="91"/>
      <c r="AE16" s="88"/>
      <c r="AF16" s="88"/>
      <c r="AG16" s="91"/>
    </row>
    <row r="18" spans="1:33" ht="15.75" thickBot="1" x14ac:dyDescent="0.3"/>
    <row r="19" spans="1:33" ht="15.75" thickBot="1" x14ac:dyDescent="0.3">
      <c r="A19" s="68" t="s">
        <v>56</v>
      </c>
      <c r="B19" s="68"/>
      <c r="C19" s="69" t="s">
        <v>72</v>
      </c>
      <c r="D19" s="52" t="s">
        <v>27</v>
      </c>
      <c r="E19" s="52"/>
      <c r="F19" s="52"/>
      <c r="G19" s="73" t="s">
        <v>28</v>
      </c>
      <c r="H19" s="73"/>
      <c r="I19" s="73"/>
      <c r="J19" s="52" t="s">
        <v>29</v>
      </c>
      <c r="K19" s="52"/>
      <c r="L19" s="52"/>
      <c r="M19" s="73" t="s">
        <v>30</v>
      </c>
      <c r="N19" s="73"/>
      <c r="O19" s="73"/>
      <c r="P19" s="52" t="s">
        <v>31</v>
      </c>
      <c r="Q19" s="52"/>
      <c r="R19" s="52"/>
      <c r="S19" s="73" t="s">
        <v>32</v>
      </c>
      <c r="T19" s="73"/>
      <c r="U19" s="73"/>
      <c r="V19" s="52" t="s">
        <v>33</v>
      </c>
      <c r="W19" s="52"/>
      <c r="X19" s="52"/>
      <c r="Y19" s="73" t="s">
        <v>34</v>
      </c>
      <c r="Z19" s="73"/>
      <c r="AA19" s="73"/>
      <c r="AB19" s="52" t="s">
        <v>35</v>
      </c>
      <c r="AC19" s="52"/>
      <c r="AD19" s="52"/>
      <c r="AE19" s="73" t="s">
        <v>36</v>
      </c>
      <c r="AF19" s="73"/>
      <c r="AG19" s="73"/>
    </row>
    <row r="20" spans="1:33" ht="15.75" thickBot="1" x14ac:dyDescent="0.3">
      <c r="A20" s="68"/>
      <c r="B20" s="68"/>
      <c r="C20" s="70" t="s">
        <v>14</v>
      </c>
      <c r="D20" s="74">
        <v>123</v>
      </c>
      <c r="E20" s="75"/>
      <c r="F20" s="76"/>
      <c r="G20" s="74">
        <v>174</v>
      </c>
      <c r="H20" s="75"/>
      <c r="I20" s="76"/>
      <c r="J20" s="74">
        <v>249</v>
      </c>
      <c r="K20" s="75"/>
      <c r="L20" s="76"/>
      <c r="M20" s="74">
        <v>355</v>
      </c>
      <c r="N20" s="75"/>
      <c r="O20" s="76"/>
      <c r="P20" s="74">
        <v>469</v>
      </c>
      <c r="Q20" s="75"/>
      <c r="R20" s="76"/>
      <c r="S20" s="74">
        <v>603</v>
      </c>
      <c r="T20" s="75"/>
      <c r="U20" s="76"/>
      <c r="V20" s="74">
        <v>775</v>
      </c>
      <c r="W20" s="75"/>
      <c r="X20" s="76"/>
      <c r="Y20" s="74">
        <v>996</v>
      </c>
      <c r="Z20" s="75"/>
      <c r="AA20" s="76"/>
      <c r="AB20" s="74">
        <v>1280</v>
      </c>
      <c r="AC20" s="75"/>
      <c r="AD20" s="76"/>
      <c r="AE20" s="74">
        <v>1644</v>
      </c>
      <c r="AF20" s="75"/>
      <c r="AG20" s="76"/>
    </row>
    <row r="21" spans="1:33" ht="15.75" thickBot="1" x14ac:dyDescent="0.3">
      <c r="A21" s="68"/>
      <c r="B21" s="68"/>
      <c r="C21" s="77" t="s">
        <v>57</v>
      </c>
      <c r="D21" s="81">
        <v>34</v>
      </c>
      <c r="E21" s="82"/>
      <c r="F21" s="84"/>
      <c r="G21" s="85">
        <v>53</v>
      </c>
      <c r="H21" s="82"/>
      <c r="I21" s="84"/>
      <c r="J21" s="85">
        <v>81</v>
      </c>
      <c r="K21" s="82"/>
      <c r="L21" s="84"/>
      <c r="M21" s="85">
        <v>122</v>
      </c>
      <c r="N21" s="82"/>
      <c r="O21" s="82"/>
      <c r="P21" s="81">
        <v>171</v>
      </c>
      <c r="Q21" s="82"/>
      <c r="R21" s="83"/>
      <c r="S21" s="82">
        <v>232</v>
      </c>
      <c r="T21" s="82"/>
      <c r="U21" s="84"/>
      <c r="V21" s="85">
        <v>313</v>
      </c>
      <c r="W21" s="82"/>
      <c r="X21" s="84"/>
      <c r="Y21" s="85">
        <v>421</v>
      </c>
      <c r="Z21" s="82"/>
      <c r="AA21" s="84"/>
      <c r="AB21" s="85">
        <v>565</v>
      </c>
      <c r="AC21" s="82"/>
      <c r="AD21" s="84"/>
      <c r="AE21" s="85">
        <v>754</v>
      </c>
      <c r="AF21" s="82"/>
      <c r="AG21" s="84"/>
    </row>
    <row r="22" spans="1:33" ht="15.75" thickBot="1" x14ac:dyDescent="0.3">
      <c r="A22" s="68"/>
      <c r="B22" s="68"/>
      <c r="C22" s="71" t="s">
        <v>76</v>
      </c>
      <c r="D22" s="78">
        <v>0</v>
      </c>
      <c r="E22" s="79"/>
      <c r="F22" s="79"/>
      <c r="G22" s="78">
        <v>0</v>
      </c>
      <c r="H22" s="79"/>
      <c r="I22" s="80"/>
      <c r="J22" s="78">
        <v>0</v>
      </c>
      <c r="K22" s="79"/>
      <c r="L22" s="80"/>
      <c r="M22" s="78">
        <v>0</v>
      </c>
      <c r="N22" s="79"/>
      <c r="O22" s="80"/>
      <c r="P22" s="78">
        <v>0</v>
      </c>
      <c r="Q22" s="79"/>
      <c r="R22" s="80"/>
      <c r="S22" s="78">
        <v>0</v>
      </c>
      <c r="T22" s="79"/>
      <c r="U22" s="80"/>
      <c r="V22" s="78">
        <v>0</v>
      </c>
      <c r="W22" s="79"/>
      <c r="X22" s="80"/>
      <c r="Y22" s="78">
        <v>0</v>
      </c>
      <c r="Z22" s="79"/>
      <c r="AA22" s="80"/>
      <c r="AB22" s="78">
        <v>0</v>
      </c>
      <c r="AC22" s="79"/>
      <c r="AD22" s="80"/>
      <c r="AE22" s="78">
        <v>0</v>
      </c>
      <c r="AF22" s="79"/>
      <c r="AG22" s="80"/>
    </row>
    <row r="23" spans="1:33" ht="15.75" thickBot="1" x14ac:dyDescent="0.3">
      <c r="A23" s="68"/>
      <c r="B23" s="68"/>
      <c r="C23" s="72" t="s">
        <v>37</v>
      </c>
      <c r="D23" s="86"/>
      <c r="E23" s="86"/>
      <c r="F23" s="89"/>
      <c r="G23" s="86"/>
      <c r="H23" s="86"/>
      <c r="I23" s="89"/>
      <c r="J23" s="86"/>
      <c r="K23" s="86"/>
      <c r="L23" s="89"/>
      <c r="M23" s="86" t="s">
        <v>210</v>
      </c>
      <c r="N23" s="86"/>
      <c r="O23" s="89">
        <v>1</v>
      </c>
      <c r="P23" s="86" t="s">
        <v>210</v>
      </c>
      <c r="Q23" s="86"/>
      <c r="R23" s="89">
        <v>1</v>
      </c>
      <c r="S23" s="86" t="s">
        <v>210</v>
      </c>
      <c r="T23" s="86"/>
      <c r="U23" s="89">
        <v>1</v>
      </c>
      <c r="V23" s="86" t="s">
        <v>210</v>
      </c>
      <c r="W23" s="86"/>
      <c r="X23" s="89">
        <v>1</v>
      </c>
      <c r="Y23" s="86" t="s">
        <v>210</v>
      </c>
      <c r="Z23" s="86"/>
      <c r="AA23" s="89">
        <v>2</v>
      </c>
      <c r="AB23" s="86" t="s">
        <v>210</v>
      </c>
      <c r="AC23" s="86"/>
      <c r="AD23" s="89">
        <v>2</v>
      </c>
      <c r="AE23" s="86" t="s">
        <v>210</v>
      </c>
      <c r="AF23" s="86"/>
      <c r="AG23" s="89">
        <v>2</v>
      </c>
    </row>
    <row r="24" spans="1:33" ht="15.75" thickBot="1" x14ac:dyDescent="0.3">
      <c r="A24" s="68"/>
      <c r="B24" s="68"/>
      <c r="D24" s="87"/>
      <c r="E24" s="87"/>
      <c r="F24" s="90"/>
      <c r="G24" s="87"/>
      <c r="H24" s="87"/>
      <c r="I24" s="90"/>
      <c r="J24" s="87"/>
      <c r="K24" s="87"/>
      <c r="L24" s="90"/>
      <c r="M24" s="87"/>
      <c r="N24" s="87"/>
      <c r="O24" s="90"/>
      <c r="P24" s="87"/>
      <c r="Q24" s="87"/>
      <c r="R24" s="90"/>
      <c r="S24" s="87"/>
      <c r="T24" s="87"/>
      <c r="U24" s="90"/>
      <c r="V24" s="87"/>
      <c r="W24" s="87"/>
      <c r="X24" s="90"/>
      <c r="Y24" s="87"/>
      <c r="Z24" s="87"/>
      <c r="AA24" s="90"/>
      <c r="AB24" s="87"/>
      <c r="AC24" s="87"/>
      <c r="AD24" s="90"/>
      <c r="AE24" s="87"/>
      <c r="AF24" s="87"/>
      <c r="AG24" s="90"/>
    </row>
    <row r="25" spans="1:33" ht="15.75" thickBot="1" x14ac:dyDescent="0.3">
      <c r="A25" s="68"/>
      <c r="B25" s="68"/>
      <c r="D25" s="88"/>
      <c r="E25" s="88"/>
      <c r="F25" s="91"/>
      <c r="G25" s="88"/>
      <c r="H25" s="88"/>
      <c r="I25" s="91"/>
      <c r="J25" s="88"/>
      <c r="K25" s="88"/>
      <c r="L25" s="91"/>
      <c r="M25" s="88"/>
      <c r="N25" s="88"/>
      <c r="O25" s="91"/>
      <c r="P25" s="88"/>
      <c r="Q25" s="88"/>
      <c r="R25" s="91"/>
      <c r="S25" s="88"/>
      <c r="T25" s="88"/>
      <c r="U25" s="91"/>
      <c r="V25" s="88"/>
      <c r="W25" s="88"/>
      <c r="X25" s="91"/>
      <c r="Y25" s="88"/>
      <c r="Z25" s="88"/>
      <c r="AA25" s="91"/>
      <c r="AB25" s="88"/>
      <c r="AC25" s="88"/>
      <c r="AD25" s="91"/>
      <c r="AE25" s="88"/>
      <c r="AF25" s="88"/>
      <c r="AG25" s="91"/>
    </row>
    <row r="26" spans="1:33" x14ac:dyDescent="0.25">
      <c r="C26" s="64"/>
      <c r="D26" s="92"/>
      <c r="E26" s="92"/>
      <c r="F26" s="93"/>
      <c r="G26" s="92"/>
      <c r="H26" s="92"/>
      <c r="I26" s="93"/>
      <c r="J26" s="92"/>
      <c r="K26" s="92"/>
      <c r="L26" s="93"/>
      <c r="M26" s="92"/>
      <c r="N26" s="92"/>
      <c r="O26" s="93"/>
      <c r="P26" s="92"/>
      <c r="Q26" s="92"/>
      <c r="R26" s="93"/>
      <c r="S26" s="92"/>
      <c r="T26" s="92"/>
      <c r="U26" s="93"/>
      <c r="V26" s="92"/>
      <c r="W26" s="92"/>
      <c r="X26" s="93"/>
      <c r="Y26" s="92"/>
      <c r="Z26" s="92"/>
      <c r="AA26" s="93"/>
      <c r="AB26" s="92"/>
      <c r="AC26" s="92"/>
      <c r="AD26" s="93"/>
      <c r="AE26" s="92"/>
      <c r="AF26" s="92"/>
      <c r="AG26" s="93"/>
    </row>
    <row r="27" spans="1:33" ht="15.75" thickBot="1" x14ac:dyDescent="0.3"/>
    <row r="28" spans="1:33" ht="15.75" thickBot="1" x14ac:dyDescent="0.3">
      <c r="A28" s="68" t="s">
        <v>26</v>
      </c>
      <c r="B28" s="68"/>
      <c r="C28" s="69" t="s">
        <v>71</v>
      </c>
      <c r="D28" s="52" t="s">
        <v>27</v>
      </c>
      <c r="E28" s="52"/>
      <c r="F28" s="52"/>
      <c r="G28" s="73" t="s">
        <v>28</v>
      </c>
      <c r="H28" s="73"/>
      <c r="I28" s="73"/>
      <c r="J28" s="52" t="s">
        <v>29</v>
      </c>
      <c r="K28" s="52"/>
      <c r="L28" s="52"/>
      <c r="M28" s="73" t="s">
        <v>30</v>
      </c>
      <c r="N28" s="73"/>
      <c r="O28" s="73"/>
      <c r="P28" s="52" t="s">
        <v>31</v>
      </c>
      <c r="Q28" s="52"/>
      <c r="R28" s="52"/>
      <c r="S28" s="73" t="s">
        <v>32</v>
      </c>
      <c r="T28" s="73"/>
      <c r="U28" s="73"/>
      <c r="V28" s="52" t="s">
        <v>33</v>
      </c>
      <c r="W28" s="52"/>
      <c r="X28" s="52"/>
      <c r="Y28" s="73" t="s">
        <v>34</v>
      </c>
      <c r="Z28" s="73"/>
      <c r="AA28" s="73"/>
      <c r="AB28" s="52" t="s">
        <v>35</v>
      </c>
      <c r="AC28" s="52"/>
      <c r="AD28" s="52"/>
      <c r="AE28" s="73" t="s">
        <v>36</v>
      </c>
      <c r="AF28" s="73"/>
      <c r="AG28" s="73"/>
    </row>
    <row r="29" spans="1:33" ht="15.75" thickBot="1" x14ac:dyDescent="0.3">
      <c r="A29" s="68"/>
      <c r="B29" s="68"/>
      <c r="C29" s="70" t="s">
        <v>14</v>
      </c>
      <c r="D29" s="74">
        <v>142</v>
      </c>
      <c r="E29" s="75"/>
      <c r="F29" s="76"/>
      <c r="G29" s="74">
        <v>204</v>
      </c>
      <c r="H29" s="75"/>
      <c r="I29" s="76"/>
      <c r="J29" s="74">
        <v>294</v>
      </c>
      <c r="K29" s="75"/>
      <c r="L29" s="76"/>
      <c r="M29" s="74">
        <v>424</v>
      </c>
      <c r="N29" s="75"/>
      <c r="O29" s="76"/>
      <c r="P29" s="74">
        <v>567</v>
      </c>
      <c r="Q29" s="75"/>
      <c r="R29" s="76"/>
      <c r="S29" s="74">
        <v>737</v>
      </c>
      <c r="T29" s="75"/>
      <c r="U29" s="76"/>
      <c r="V29" s="74">
        <v>958</v>
      </c>
      <c r="W29" s="75"/>
      <c r="X29" s="76"/>
      <c r="Y29" s="74">
        <v>1245</v>
      </c>
      <c r="Z29" s="75"/>
      <c r="AA29" s="76"/>
      <c r="AB29" s="74">
        <v>1618</v>
      </c>
      <c r="AC29" s="75"/>
      <c r="AD29" s="76"/>
      <c r="AE29" s="74">
        <v>2103</v>
      </c>
      <c r="AF29" s="75"/>
      <c r="AG29" s="76"/>
    </row>
    <row r="30" spans="1:33" ht="15.75" thickBot="1" x14ac:dyDescent="0.3">
      <c r="A30" s="68"/>
      <c r="B30" s="68"/>
      <c r="C30" s="77" t="s">
        <v>55</v>
      </c>
      <c r="D30" s="81">
        <v>0</v>
      </c>
      <c r="E30" s="82"/>
      <c r="F30" s="84"/>
      <c r="G30" s="85">
        <v>0</v>
      </c>
      <c r="H30" s="82"/>
      <c r="I30" s="84"/>
      <c r="J30" s="85">
        <v>0</v>
      </c>
      <c r="K30" s="82"/>
      <c r="L30" s="84"/>
      <c r="M30" s="85">
        <v>0</v>
      </c>
      <c r="N30" s="82"/>
      <c r="O30" s="82"/>
      <c r="P30" s="81">
        <v>0</v>
      </c>
      <c r="Q30" s="82"/>
      <c r="R30" s="83"/>
      <c r="S30" s="82">
        <v>0</v>
      </c>
      <c r="T30" s="82"/>
      <c r="U30" s="84"/>
      <c r="V30" s="85">
        <v>0</v>
      </c>
      <c r="W30" s="82"/>
      <c r="X30" s="84"/>
      <c r="Y30" s="85">
        <v>0</v>
      </c>
      <c r="Z30" s="82"/>
      <c r="AA30" s="84"/>
      <c r="AB30" s="85">
        <v>0</v>
      </c>
      <c r="AC30" s="82"/>
      <c r="AD30" s="84"/>
      <c r="AE30" s="85">
        <v>0</v>
      </c>
      <c r="AF30" s="82"/>
      <c r="AG30" s="84"/>
    </row>
    <row r="31" spans="1:33" ht="15.75" thickBot="1" x14ac:dyDescent="0.3">
      <c r="A31" s="68"/>
      <c r="B31" s="68"/>
      <c r="C31" s="71" t="s">
        <v>76</v>
      </c>
      <c r="D31" s="78">
        <v>0</v>
      </c>
      <c r="E31" s="79"/>
      <c r="F31" s="79"/>
      <c r="G31" s="78">
        <v>0</v>
      </c>
      <c r="H31" s="79"/>
      <c r="I31" s="80"/>
      <c r="J31" s="78">
        <v>0</v>
      </c>
      <c r="K31" s="79"/>
      <c r="L31" s="80"/>
      <c r="M31" s="78">
        <v>0</v>
      </c>
      <c r="N31" s="79"/>
      <c r="O31" s="80"/>
      <c r="P31" s="78">
        <v>0</v>
      </c>
      <c r="Q31" s="79"/>
      <c r="R31" s="80"/>
      <c r="S31" s="78">
        <v>0</v>
      </c>
      <c r="T31" s="79"/>
      <c r="U31" s="80"/>
      <c r="V31" s="78">
        <v>0</v>
      </c>
      <c r="W31" s="79"/>
      <c r="X31" s="80"/>
      <c r="Y31" s="78">
        <v>0</v>
      </c>
      <c r="Z31" s="79"/>
      <c r="AA31" s="80"/>
      <c r="AB31" s="78">
        <v>0</v>
      </c>
      <c r="AC31" s="79"/>
      <c r="AD31" s="80"/>
      <c r="AE31" s="78">
        <v>0</v>
      </c>
      <c r="AF31" s="79"/>
      <c r="AG31" s="80"/>
    </row>
    <row r="32" spans="1:33" ht="15.75" thickBot="1" x14ac:dyDescent="0.3">
      <c r="A32" s="68"/>
      <c r="B32" s="68"/>
      <c r="C32" s="72" t="s">
        <v>37</v>
      </c>
      <c r="D32" s="86"/>
      <c r="E32" s="86"/>
      <c r="F32" s="89"/>
      <c r="G32" s="86"/>
      <c r="H32" s="86"/>
      <c r="I32" s="89"/>
      <c r="J32" s="86"/>
      <c r="K32" s="86"/>
      <c r="L32" s="89"/>
      <c r="M32" s="86" t="s">
        <v>201</v>
      </c>
      <c r="N32" s="86"/>
      <c r="O32" s="89">
        <v>1</v>
      </c>
      <c r="P32" s="86" t="s">
        <v>201</v>
      </c>
      <c r="Q32" s="86"/>
      <c r="R32" s="89">
        <v>1</v>
      </c>
      <c r="S32" s="86" t="s">
        <v>201</v>
      </c>
      <c r="T32" s="86"/>
      <c r="U32" s="89">
        <v>1</v>
      </c>
      <c r="V32" s="86" t="s">
        <v>201</v>
      </c>
      <c r="W32" s="86"/>
      <c r="X32" s="89">
        <v>1</v>
      </c>
      <c r="Y32" s="86" t="s">
        <v>201</v>
      </c>
      <c r="Z32" s="86"/>
      <c r="AA32" s="89">
        <v>2</v>
      </c>
      <c r="AB32" s="86" t="s">
        <v>201</v>
      </c>
      <c r="AC32" s="86"/>
      <c r="AD32" s="89">
        <v>2</v>
      </c>
      <c r="AE32" s="86" t="s">
        <v>201</v>
      </c>
      <c r="AF32" s="86"/>
      <c r="AG32" s="89">
        <v>2</v>
      </c>
    </row>
    <row r="33" spans="1:33" ht="15.75" thickBot="1" x14ac:dyDescent="0.3">
      <c r="A33" s="68"/>
      <c r="B33" s="68"/>
      <c r="D33" s="87"/>
      <c r="E33" s="87"/>
      <c r="F33" s="90"/>
      <c r="G33" s="87"/>
      <c r="H33" s="87"/>
      <c r="I33" s="90"/>
      <c r="J33" s="87"/>
      <c r="K33" s="87"/>
      <c r="L33" s="90"/>
      <c r="M33" s="87"/>
      <c r="N33" s="87"/>
      <c r="O33" s="90"/>
      <c r="P33" s="87"/>
      <c r="Q33" s="87"/>
      <c r="R33" s="90"/>
      <c r="S33" s="87"/>
      <c r="T33" s="87"/>
      <c r="U33" s="90"/>
      <c r="V33" s="87"/>
      <c r="W33" s="87"/>
      <c r="X33" s="90"/>
      <c r="Y33" s="87"/>
      <c r="Z33" s="87"/>
      <c r="AA33" s="90"/>
      <c r="AB33" s="87"/>
      <c r="AC33" s="87"/>
      <c r="AD33" s="90"/>
      <c r="AE33" s="87"/>
      <c r="AF33" s="87"/>
      <c r="AG33" s="90"/>
    </row>
    <row r="34" spans="1:33" ht="15.75" thickBot="1" x14ac:dyDescent="0.3">
      <c r="A34" s="68"/>
      <c r="B34" s="68"/>
      <c r="D34" s="88"/>
      <c r="E34" s="88"/>
      <c r="F34" s="91"/>
      <c r="G34" s="88"/>
      <c r="H34" s="88"/>
      <c r="I34" s="91"/>
      <c r="J34" s="88"/>
      <c r="K34" s="88"/>
      <c r="L34" s="91"/>
      <c r="M34" s="88"/>
      <c r="N34" s="88"/>
      <c r="O34" s="91"/>
      <c r="P34" s="88"/>
      <c r="Q34" s="88"/>
      <c r="R34" s="91"/>
      <c r="S34" s="88"/>
      <c r="T34" s="88"/>
      <c r="U34" s="91"/>
      <c r="V34" s="88"/>
      <c r="W34" s="88"/>
      <c r="X34" s="91"/>
      <c r="Y34" s="88"/>
      <c r="Z34" s="88"/>
      <c r="AA34" s="91"/>
      <c r="AB34" s="88"/>
      <c r="AC34" s="88"/>
      <c r="AD34" s="91"/>
      <c r="AE34" s="88"/>
      <c r="AF34" s="88"/>
      <c r="AG34" s="91"/>
    </row>
    <row r="36" spans="1:33" ht="15.75" thickBot="1" x14ac:dyDescent="0.3"/>
    <row r="37" spans="1:33" ht="15.75" thickBot="1" x14ac:dyDescent="0.3">
      <c r="A37" s="68" t="s">
        <v>77</v>
      </c>
      <c r="B37" s="68"/>
      <c r="C37" s="69" t="s">
        <v>72</v>
      </c>
      <c r="D37" s="52" t="s">
        <v>27</v>
      </c>
      <c r="E37" s="52"/>
      <c r="F37" s="52"/>
      <c r="G37" s="73" t="s">
        <v>28</v>
      </c>
      <c r="H37" s="73"/>
      <c r="I37" s="73"/>
      <c r="J37" s="52" t="s">
        <v>29</v>
      </c>
      <c r="K37" s="52"/>
      <c r="L37" s="52"/>
      <c r="M37" s="73" t="s">
        <v>30</v>
      </c>
      <c r="N37" s="73"/>
      <c r="O37" s="73"/>
      <c r="P37" s="52" t="s">
        <v>31</v>
      </c>
      <c r="Q37" s="52"/>
      <c r="R37" s="52"/>
      <c r="S37" s="73" t="s">
        <v>32</v>
      </c>
      <c r="T37" s="73"/>
      <c r="U37" s="73"/>
      <c r="V37" s="52" t="s">
        <v>33</v>
      </c>
      <c r="W37" s="52"/>
      <c r="X37" s="52"/>
      <c r="Y37" s="73" t="s">
        <v>34</v>
      </c>
      <c r="Z37" s="73"/>
      <c r="AA37" s="73"/>
      <c r="AB37" s="52" t="s">
        <v>35</v>
      </c>
      <c r="AC37" s="52"/>
      <c r="AD37" s="52"/>
      <c r="AE37" s="73" t="s">
        <v>36</v>
      </c>
      <c r="AF37" s="73"/>
      <c r="AG37" s="73"/>
    </row>
    <row r="38" spans="1:33" ht="15.75" thickBot="1" x14ac:dyDescent="0.3">
      <c r="A38" s="68"/>
      <c r="B38" s="68"/>
      <c r="C38" s="70" t="s">
        <v>14</v>
      </c>
      <c r="D38" s="74">
        <v>142</v>
      </c>
      <c r="E38" s="75"/>
      <c r="F38" s="76"/>
      <c r="G38" s="74">
        <v>204</v>
      </c>
      <c r="H38" s="75"/>
      <c r="I38" s="76"/>
      <c r="J38" s="74">
        <v>294</v>
      </c>
      <c r="K38" s="75"/>
      <c r="L38" s="76"/>
      <c r="M38" s="74">
        <v>424</v>
      </c>
      <c r="N38" s="75"/>
      <c r="O38" s="76"/>
      <c r="P38" s="74">
        <v>567</v>
      </c>
      <c r="Q38" s="75"/>
      <c r="R38" s="76"/>
      <c r="S38" s="74">
        <v>737</v>
      </c>
      <c r="T38" s="75"/>
      <c r="U38" s="76"/>
      <c r="V38" s="74">
        <v>958</v>
      </c>
      <c r="W38" s="75"/>
      <c r="X38" s="76"/>
      <c r="Y38" s="74">
        <v>1245</v>
      </c>
      <c r="Z38" s="75"/>
      <c r="AA38" s="76"/>
      <c r="AB38" s="74">
        <v>1618</v>
      </c>
      <c r="AC38" s="75"/>
      <c r="AD38" s="76"/>
      <c r="AE38" s="74">
        <v>2103</v>
      </c>
      <c r="AF38" s="75"/>
      <c r="AG38" s="76"/>
    </row>
    <row r="39" spans="1:33" ht="15.75" thickBot="1" x14ac:dyDescent="0.3">
      <c r="A39" s="68"/>
      <c r="B39" s="68"/>
      <c r="C39" s="77" t="s">
        <v>65</v>
      </c>
      <c r="D39" s="81">
        <v>0</v>
      </c>
      <c r="E39" s="82"/>
      <c r="F39" s="84"/>
      <c r="G39" s="85">
        <v>0</v>
      </c>
      <c r="H39" s="82"/>
      <c r="I39" s="84"/>
      <c r="J39" s="85">
        <v>0</v>
      </c>
      <c r="K39" s="82"/>
      <c r="L39" s="84"/>
      <c r="M39" s="85">
        <v>0</v>
      </c>
      <c r="N39" s="82"/>
      <c r="O39" s="82"/>
      <c r="P39" s="81">
        <v>0</v>
      </c>
      <c r="Q39" s="82"/>
      <c r="R39" s="83"/>
      <c r="S39" s="82">
        <v>0</v>
      </c>
      <c r="T39" s="82"/>
      <c r="U39" s="84"/>
      <c r="V39" s="85">
        <v>0</v>
      </c>
      <c r="W39" s="82"/>
      <c r="X39" s="84"/>
      <c r="Y39" s="85">
        <v>0</v>
      </c>
      <c r="Z39" s="82"/>
      <c r="AA39" s="84"/>
      <c r="AB39" s="85">
        <v>0</v>
      </c>
      <c r="AC39" s="82"/>
      <c r="AD39" s="84"/>
      <c r="AE39" s="85">
        <v>0</v>
      </c>
      <c r="AF39" s="82"/>
      <c r="AG39" s="84"/>
    </row>
    <row r="40" spans="1:33" ht="15.75" thickBot="1" x14ac:dyDescent="0.3">
      <c r="A40" s="68"/>
      <c r="B40" s="68"/>
      <c r="C40" s="71" t="s">
        <v>76</v>
      </c>
      <c r="D40" s="78">
        <v>0</v>
      </c>
      <c r="E40" s="79"/>
      <c r="F40" s="79"/>
      <c r="G40" s="78">
        <v>0</v>
      </c>
      <c r="H40" s="79"/>
      <c r="I40" s="80"/>
      <c r="J40" s="78">
        <v>0</v>
      </c>
      <c r="K40" s="79"/>
      <c r="L40" s="80"/>
      <c r="M40" s="78">
        <v>0</v>
      </c>
      <c r="N40" s="79"/>
      <c r="O40" s="80"/>
      <c r="P40" s="78">
        <v>0</v>
      </c>
      <c r="Q40" s="79"/>
      <c r="R40" s="80"/>
      <c r="S40" s="78">
        <v>0</v>
      </c>
      <c r="T40" s="79"/>
      <c r="U40" s="80"/>
      <c r="V40" s="78">
        <v>0</v>
      </c>
      <c r="W40" s="79"/>
      <c r="X40" s="80"/>
      <c r="Y40" s="78">
        <v>0</v>
      </c>
      <c r="Z40" s="79"/>
      <c r="AA40" s="80"/>
      <c r="AB40" s="78">
        <v>0</v>
      </c>
      <c r="AC40" s="79"/>
      <c r="AD40" s="80"/>
      <c r="AE40" s="78">
        <v>0</v>
      </c>
      <c r="AF40" s="79"/>
      <c r="AG40" s="80"/>
    </row>
    <row r="41" spans="1:33" ht="15.75" thickBot="1" x14ac:dyDescent="0.3">
      <c r="A41" s="68"/>
      <c r="B41" s="68"/>
      <c r="C41" s="72" t="s">
        <v>37</v>
      </c>
      <c r="D41" s="86"/>
      <c r="E41" s="86"/>
      <c r="F41" s="89"/>
      <c r="G41" s="86"/>
      <c r="H41" s="86"/>
      <c r="I41" s="89"/>
      <c r="J41" s="86"/>
      <c r="K41" s="86"/>
      <c r="L41" s="89"/>
      <c r="M41" s="86"/>
      <c r="N41" s="86"/>
      <c r="O41" s="89"/>
      <c r="P41" s="86"/>
      <c r="Q41" s="86"/>
      <c r="R41" s="89"/>
      <c r="S41" s="86"/>
      <c r="T41" s="86"/>
      <c r="U41" s="89"/>
      <c r="V41" s="86"/>
      <c r="W41" s="86"/>
      <c r="X41" s="89"/>
      <c r="Y41" s="86"/>
      <c r="Z41" s="86"/>
      <c r="AA41" s="89"/>
      <c r="AB41" s="86"/>
      <c r="AC41" s="86"/>
      <c r="AD41" s="89"/>
      <c r="AE41" s="86"/>
      <c r="AF41" s="86"/>
      <c r="AG41" s="89"/>
    </row>
    <row r="42" spans="1:33" ht="15.75" thickBot="1" x14ac:dyDescent="0.3">
      <c r="A42" s="68"/>
      <c r="B42" s="68"/>
      <c r="D42" s="87"/>
      <c r="E42" s="87"/>
      <c r="F42" s="90"/>
      <c r="G42" s="87"/>
      <c r="H42" s="87"/>
      <c r="I42" s="90"/>
      <c r="J42" s="87"/>
      <c r="K42" s="87"/>
      <c r="L42" s="90"/>
      <c r="M42" s="87"/>
      <c r="N42" s="87"/>
      <c r="O42" s="90"/>
      <c r="P42" s="87"/>
      <c r="Q42" s="87"/>
      <c r="R42" s="90"/>
      <c r="S42" s="87"/>
      <c r="T42" s="87"/>
      <c r="U42" s="90"/>
      <c r="V42" s="87"/>
      <c r="W42" s="87"/>
      <c r="X42" s="90"/>
      <c r="Y42" s="87"/>
      <c r="Z42" s="87"/>
      <c r="AA42" s="90"/>
      <c r="AB42" s="87"/>
      <c r="AC42" s="87"/>
      <c r="AD42" s="90"/>
      <c r="AE42" s="87"/>
      <c r="AF42" s="87"/>
      <c r="AG42" s="90"/>
    </row>
    <row r="43" spans="1:33" ht="15.75" thickBot="1" x14ac:dyDescent="0.3">
      <c r="A43" s="68"/>
      <c r="B43" s="68"/>
      <c r="D43" s="88"/>
      <c r="E43" s="88"/>
      <c r="F43" s="91"/>
      <c r="G43" s="88"/>
      <c r="H43" s="88"/>
      <c r="I43" s="91"/>
      <c r="J43" s="88"/>
      <c r="K43" s="88"/>
      <c r="L43" s="91"/>
      <c r="M43" s="88"/>
      <c r="N43" s="88"/>
      <c r="O43" s="91"/>
      <c r="P43" s="88"/>
      <c r="Q43" s="88"/>
      <c r="R43" s="91"/>
      <c r="S43" s="88"/>
      <c r="T43" s="88"/>
      <c r="U43" s="91"/>
      <c r="V43" s="88"/>
      <c r="W43" s="88"/>
      <c r="X43" s="91"/>
      <c r="Y43" s="88"/>
      <c r="Z43" s="88"/>
      <c r="AA43" s="91"/>
      <c r="AB43" s="88"/>
      <c r="AC43" s="88"/>
      <c r="AD43" s="91"/>
      <c r="AE43" s="88"/>
      <c r="AF43" s="88"/>
      <c r="AG43" s="91"/>
    </row>
    <row r="44" spans="1:33" x14ac:dyDescent="0.25">
      <c r="C44" s="64"/>
      <c r="D44" s="92"/>
      <c r="E44" s="92"/>
      <c r="F44" s="93"/>
      <c r="G44" s="92"/>
      <c r="H44" s="92"/>
      <c r="I44" s="93"/>
      <c r="J44" s="92"/>
      <c r="K44" s="92"/>
      <c r="L44" s="93"/>
      <c r="M44" s="92"/>
      <c r="N44" s="92"/>
      <c r="O44" s="93"/>
      <c r="P44" s="92"/>
      <c r="Q44" s="92"/>
      <c r="R44" s="93"/>
      <c r="S44" s="92"/>
      <c r="T44" s="92"/>
      <c r="U44" s="93"/>
      <c r="V44" s="92"/>
      <c r="W44" s="92"/>
      <c r="X44" s="93"/>
      <c r="Y44" s="92"/>
      <c r="Z44" s="92"/>
      <c r="AA44" s="93"/>
      <c r="AB44" s="92"/>
      <c r="AC44" s="92"/>
      <c r="AD44" s="93"/>
      <c r="AE44" s="92"/>
      <c r="AF44" s="92"/>
      <c r="AG44" s="93"/>
    </row>
    <row r="45" spans="1:33" ht="15.75" thickBot="1" x14ac:dyDescent="0.3"/>
    <row r="46" spans="1:33" ht="15.75" thickBot="1" x14ac:dyDescent="0.3">
      <c r="A46" s="68" t="s">
        <v>78</v>
      </c>
      <c r="B46" s="68"/>
      <c r="C46" s="69" t="s">
        <v>74</v>
      </c>
      <c r="D46" s="52" t="s">
        <v>27</v>
      </c>
      <c r="E46" s="52"/>
      <c r="F46" s="52"/>
      <c r="G46" s="73" t="s">
        <v>28</v>
      </c>
      <c r="H46" s="73"/>
      <c r="I46" s="73"/>
      <c r="J46" s="52" t="s">
        <v>29</v>
      </c>
      <c r="K46" s="52"/>
      <c r="L46" s="52"/>
      <c r="M46" s="73" t="s">
        <v>30</v>
      </c>
      <c r="N46" s="73"/>
      <c r="O46" s="73"/>
      <c r="P46" s="52" t="s">
        <v>31</v>
      </c>
      <c r="Q46" s="52"/>
      <c r="R46" s="52"/>
      <c r="S46" s="73" t="s">
        <v>32</v>
      </c>
      <c r="T46" s="73"/>
      <c r="U46" s="73"/>
      <c r="V46" s="52" t="s">
        <v>33</v>
      </c>
      <c r="W46" s="52"/>
      <c r="X46" s="52"/>
      <c r="Y46" s="73" t="s">
        <v>34</v>
      </c>
      <c r="Z46" s="73"/>
      <c r="AA46" s="73"/>
      <c r="AB46" s="52" t="s">
        <v>35</v>
      </c>
      <c r="AC46" s="52"/>
      <c r="AD46" s="52"/>
      <c r="AE46" s="73" t="s">
        <v>36</v>
      </c>
      <c r="AF46" s="73"/>
      <c r="AG46" s="73"/>
    </row>
    <row r="47" spans="1:33" ht="15.75" thickBot="1" x14ac:dyDescent="0.3">
      <c r="A47" s="68"/>
      <c r="B47" s="68"/>
      <c r="C47" s="70" t="s">
        <v>14</v>
      </c>
      <c r="D47" s="74">
        <v>142</v>
      </c>
      <c r="E47" s="75"/>
      <c r="F47" s="76"/>
      <c r="G47" s="74">
        <v>204</v>
      </c>
      <c r="H47" s="75"/>
      <c r="I47" s="76"/>
      <c r="J47" s="74">
        <v>294</v>
      </c>
      <c r="K47" s="75"/>
      <c r="L47" s="76"/>
      <c r="M47" s="74">
        <v>424</v>
      </c>
      <c r="N47" s="75"/>
      <c r="O47" s="76"/>
      <c r="P47" s="74">
        <v>567</v>
      </c>
      <c r="Q47" s="75"/>
      <c r="R47" s="76"/>
      <c r="S47" s="74">
        <v>737</v>
      </c>
      <c r="T47" s="75"/>
      <c r="U47" s="76"/>
      <c r="V47" s="74">
        <v>958</v>
      </c>
      <c r="W47" s="75"/>
      <c r="X47" s="76"/>
      <c r="Y47" s="74">
        <v>1245</v>
      </c>
      <c r="Z47" s="75"/>
      <c r="AA47" s="76"/>
      <c r="AB47" s="74">
        <v>1618</v>
      </c>
      <c r="AC47" s="75"/>
      <c r="AD47" s="76"/>
      <c r="AE47" s="74">
        <v>2103</v>
      </c>
      <c r="AF47" s="75"/>
      <c r="AG47" s="76"/>
    </row>
    <row r="48" spans="1:33" ht="15.75" thickBot="1" x14ac:dyDescent="0.3">
      <c r="A48" s="68"/>
      <c r="B48" s="68"/>
      <c r="C48" s="77" t="s">
        <v>62</v>
      </c>
      <c r="D48" s="81">
        <v>0</v>
      </c>
      <c r="E48" s="82"/>
      <c r="F48" s="84"/>
      <c r="G48" s="85">
        <v>0</v>
      </c>
      <c r="H48" s="82"/>
      <c r="I48" s="84"/>
      <c r="J48" s="85">
        <v>0</v>
      </c>
      <c r="K48" s="82"/>
      <c r="L48" s="84"/>
      <c r="M48" s="85">
        <v>0</v>
      </c>
      <c r="N48" s="82"/>
      <c r="O48" s="82"/>
      <c r="P48" s="81">
        <v>0</v>
      </c>
      <c r="Q48" s="82"/>
      <c r="R48" s="83"/>
      <c r="S48" s="82">
        <v>0</v>
      </c>
      <c r="T48" s="82"/>
      <c r="U48" s="84"/>
      <c r="V48" s="85">
        <v>0</v>
      </c>
      <c r="W48" s="82"/>
      <c r="X48" s="84"/>
      <c r="Y48" s="85">
        <v>0</v>
      </c>
      <c r="Z48" s="82"/>
      <c r="AA48" s="84"/>
      <c r="AB48" s="85">
        <v>0</v>
      </c>
      <c r="AC48" s="82"/>
      <c r="AD48" s="84"/>
      <c r="AE48" s="85">
        <v>0</v>
      </c>
      <c r="AF48" s="82"/>
      <c r="AG48" s="84"/>
    </row>
    <row r="49" spans="1:33" ht="15.75" thickBot="1" x14ac:dyDescent="0.3">
      <c r="A49" s="68"/>
      <c r="B49" s="68"/>
      <c r="C49" s="71" t="s">
        <v>76</v>
      </c>
      <c r="D49" s="78">
        <v>0</v>
      </c>
      <c r="E49" s="79"/>
      <c r="F49" s="79"/>
      <c r="G49" s="78">
        <v>0</v>
      </c>
      <c r="H49" s="79"/>
      <c r="I49" s="80"/>
      <c r="J49" s="78">
        <v>0</v>
      </c>
      <c r="K49" s="79"/>
      <c r="L49" s="80"/>
      <c r="M49" s="78">
        <v>0</v>
      </c>
      <c r="N49" s="79"/>
      <c r="O49" s="80"/>
      <c r="P49" s="78">
        <v>0</v>
      </c>
      <c r="Q49" s="79"/>
      <c r="R49" s="80"/>
      <c r="S49" s="78">
        <v>0</v>
      </c>
      <c r="T49" s="79"/>
      <c r="U49" s="80"/>
      <c r="V49" s="78">
        <v>0</v>
      </c>
      <c r="W49" s="79"/>
      <c r="X49" s="80"/>
      <c r="Y49" s="78">
        <v>0</v>
      </c>
      <c r="Z49" s="79"/>
      <c r="AA49" s="80"/>
      <c r="AB49" s="78">
        <v>0</v>
      </c>
      <c r="AC49" s="79"/>
      <c r="AD49" s="80"/>
      <c r="AE49" s="78">
        <v>0</v>
      </c>
      <c r="AF49" s="79"/>
      <c r="AG49" s="80"/>
    </row>
    <row r="50" spans="1:33" ht="15.75" thickBot="1" x14ac:dyDescent="0.3">
      <c r="A50" s="68"/>
      <c r="B50" s="68"/>
      <c r="C50" s="72" t="s">
        <v>37</v>
      </c>
      <c r="D50" s="86"/>
      <c r="E50" s="86"/>
      <c r="F50" s="89"/>
      <c r="G50" s="86"/>
      <c r="H50" s="86"/>
      <c r="I50" s="89"/>
      <c r="J50" s="86"/>
      <c r="K50" s="86"/>
      <c r="L50" s="89"/>
      <c r="M50" s="86" t="s">
        <v>201</v>
      </c>
      <c r="N50" s="86"/>
      <c r="O50" s="89">
        <v>1</v>
      </c>
      <c r="P50" s="86" t="s">
        <v>201</v>
      </c>
      <c r="Q50" s="86"/>
      <c r="R50" s="89">
        <v>1</v>
      </c>
      <c r="S50" s="86" t="s">
        <v>201</v>
      </c>
      <c r="T50" s="86"/>
      <c r="U50" s="89">
        <v>1</v>
      </c>
      <c r="V50" s="86" t="s">
        <v>201</v>
      </c>
      <c r="W50" s="86"/>
      <c r="X50" s="89">
        <v>1</v>
      </c>
      <c r="Y50" s="86" t="s">
        <v>201</v>
      </c>
      <c r="Z50" s="86"/>
      <c r="AA50" s="89">
        <v>2</v>
      </c>
      <c r="AB50" s="86" t="s">
        <v>201</v>
      </c>
      <c r="AC50" s="86"/>
      <c r="AD50" s="89">
        <v>2</v>
      </c>
      <c r="AE50" s="86" t="s">
        <v>201</v>
      </c>
      <c r="AF50" s="86"/>
      <c r="AG50" s="89">
        <v>2</v>
      </c>
    </row>
    <row r="51" spans="1:33" ht="15.75" thickBot="1" x14ac:dyDescent="0.3">
      <c r="A51" s="68"/>
      <c r="B51" s="68"/>
      <c r="D51" s="87"/>
      <c r="E51" s="87"/>
      <c r="F51" s="90"/>
      <c r="G51" s="87"/>
      <c r="H51" s="87"/>
      <c r="I51" s="90"/>
      <c r="J51" s="87"/>
      <c r="K51" s="87"/>
      <c r="L51" s="90"/>
      <c r="M51" s="87"/>
      <c r="N51" s="87"/>
      <c r="O51" s="90"/>
      <c r="P51" s="87"/>
      <c r="Q51" s="87"/>
      <c r="R51" s="90"/>
      <c r="S51" s="87"/>
      <c r="T51" s="87"/>
      <c r="U51" s="90"/>
      <c r="V51" s="87"/>
      <c r="W51" s="87"/>
      <c r="X51" s="90"/>
      <c r="Y51" s="87"/>
      <c r="Z51" s="87"/>
      <c r="AA51" s="90"/>
      <c r="AB51" s="87"/>
      <c r="AC51" s="87"/>
      <c r="AD51" s="90"/>
      <c r="AE51" s="87"/>
      <c r="AF51" s="87"/>
      <c r="AG51" s="90"/>
    </row>
    <row r="52" spans="1:33" ht="15.75" thickBot="1" x14ac:dyDescent="0.3">
      <c r="A52" s="68"/>
      <c r="B52" s="68"/>
      <c r="D52" s="88"/>
      <c r="E52" s="88"/>
      <c r="F52" s="91"/>
      <c r="G52" s="88"/>
      <c r="H52" s="88"/>
      <c r="I52" s="91"/>
      <c r="J52" s="88"/>
      <c r="K52" s="88"/>
      <c r="L52" s="91"/>
      <c r="M52" s="88"/>
      <c r="N52" s="88"/>
      <c r="O52" s="91"/>
      <c r="P52" s="88"/>
      <c r="Q52" s="88"/>
      <c r="R52" s="91"/>
      <c r="S52" s="88"/>
      <c r="T52" s="88"/>
      <c r="U52" s="91"/>
      <c r="V52" s="88"/>
      <c r="W52" s="88"/>
      <c r="X52" s="91"/>
      <c r="Y52" s="88"/>
      <c r="Z52" s="88"/>
      <c r="AA52" s="91"/>
      <c r="AB52" s="88"/>
      <c r="AC52" s="88"/>
      <c r="AD52" s="91"/>
      <c r="AE52" s="88"/>
      <c r="AF52" s="88"/>
      <c r="AG52" s="91"/>
    </row>
    <row r="54" spans="1:33" ht="15.75" thickBot="1" x14ac:dyDescent="0.3"/>
    <row r="55" spans="1:33" ht="15.75" thickBot="1" x14ac:dyDescent="0.3">
      <c r="A55" s="68" t="s">
        <v>79</v>
      </c>
      <c r="B55" s="68"/>
      <c r="C55" s="69" t="s">
        <v>71</v>
      </c>
      <c r="D55" s="52" t="s">
        <v>27</v>
      </c>
      <c r="E55" s="52"/>
      <c r="F55" s="52"/>
      <c r="G55" s="73" t="s">
        <v>28</v>
      </c>
      <c r="H55" s="73"/>
      <c r="I55" s="73"/>
      <c r="J55" s="52" t="s">
        <v>29</v>
      </c>
      <c r="K55" s="52"/>
      <c r="L55" s="52"/>
      <c r="M55" s="73" t="s">
        <v>30</v>
      </c>
      <c r="N55" s="73"/>
      <c r="O55" s="73"/>
      <c r="P55" s="52" t="s">
        <v>31</v>
      </c>
      <c r="Q55" s="52"/>
      <c r="R55" s="52"/>
      <c r="S55" s="73" t="s">
        <v>32</v>
      </c>
      <c r="T55" s="73"/>
      <c r="U55" s="73"/>
      <c r="V55" s="52" t="s">
        <v>33</v>
      </c>
      <c r="W55" s="52"/>
      <c r="X55" s="52"/>
      <c r="Y55" s="73" t="s">
        <v>34</v>
      </c>
      <c r="Z55" s="73"/>
      <c r="AA55" s="73"/>
      <c r="AB55" s="52" t="s">
        <v>35</v>
      </c>
      <c r="AC55" s="52"/>
      <c r="AD55" s="52"/>
      <c r="AE55" s="73" t="s">
        <v>36</v>
      </c>
      <c r="AF55" s="73"/>
      <c r="AG55" s="73"/>
    </row>
    <row r="56" spans="1:33" ht="15.75" thickBot="1" x14ac:dyDescent="0.3">
      <c r="A56" s="68"/>
      <c r="B56" s="68"/>
      <c r="C56" s="70" t="s">
        <v>14</v>
      </c>
      <c r="D56" s="74">
        <v>142</v>
      </c>
      <c r="E56" s="75"/>
      <c r="F56" s="76"/>
      <c r="G56" s="74">
        <v>204</v>
      </c>
      <c r="H56" s="75"/>
      <c r="I56" s="76"/>
      <c r="J56" s="74">
        <v>294</v>
      </c>
      <c r="K56" s="75"/>
      <c r="L56" s="76"/>
      <c r="M56" s="74">
        <v>424</v>
      </c>
      <c r="N56" s="75"/>
      <c r="O56" s="76"/>
      <c r="P56" s="74">
        <v>567</v>
      </c>
      <c r="Q56" s="75"/>
      <c r="R56" s="76"/>
      <c r="S56" s="74">
        <v>737</v>
      </c>
      <c r="T56" s="75"/>
      <c r="U56" s="76"/>
      <c r="V56" s="74">
        <v>958</v>
      </c>
      <c r="W56" s="75"/>
      <c r="X56" s="76"/>
      <c r="Y56" s="74">
        <v>1245</v>
      </c>
      <c r="Z56" s="75"/>
      <c r="AA56" s="76"/>
      <c r="AB56" s="74">
        <v>1618</v>
      </c>
      <c r="AC56" s="75"/>
      <c r="AD56" s="76"/>
      <c r="AE56" s="74">
        <v>2103</v>
      </c>
      <c r="AF56" s="75"/>
      <c r="AG56" s="76"/>
    </row>
    <row r="57" spans="1:33" ht="15.75" thickBot="1" x14ac:dyDescent="0.3">
      <c r="A57" s="68"/>
      <c r="B57" s="68"/>
      <c r="C57" s="77" t="s">
        <v>57</v>
      </c>
      <c r="D57" s="81">
        <v>0</v>
      </c>
      <c r="E57" s="82"/>
      <c r="F57" s="84"/>
      <c r="G57" s="85">
        <v>0</v>
      </c>
      <c r="H57" s="82"/>
      <c r="I57" s="84"/>
      <c r="J57" s="85">
        <v>0</v>
      </c>
      <c r="K57" s="82"/>
      <c r="L57" s="84"/>
      <c r="M57" s="85">
        <v>0</v>
      </c>
      <c r="N57" s="82"/>
      <c r="O57" s="82"/>
      <c r="P57" s="81">
        <v>0</v>
      </c>
      <c r="Q57" s="82"/>
      <c r="R57" s="83"/>
      <c r="S57" s="82">
        <v>0</v>
      </c>
      <c r="T57" s="82"/>
      <c r="U57" s="84"/>
      <c r="V57" s="85">
        <v>0</v>
      </c>
      <c r="W57" s="82"/>
      <c r="X57" s="84"/>
      <c r="Y57" s="85">
        <v>0</v>
      </c>
      <c r="Z57" s="82"/>
      <c r="AA57" s="84"/>
      <c r="AB57" s="85">
        <v>0</v>
      </c>
      <c r="AC57" s="82"/>
      <c r="AD57" s="84"/>
      <c r="AE57" s="85">
        <v>0</v>
      </c>
      <c r="AF57" s="82"/>
      <c r="AG57" s="84"/>
    </row>
    <row r="58" spans="1:33" ht="15.75" thickBot="1" x14ac:dyDescent="0.3">
      <c r="A58" s="68"/>
      <c r="B58" s="68"/>
      <c r="C58" s="71" t="s">
        <v>76</v>
      </c>
      <c r="D58" s="78">
        <v>0</v>
      </c>
      <c r="E58" s="79"/>
      <c r="F58" s="79"/>
      <c r="G58" s="78">
        <v>0</v>
      </c>
      <c r="H58" s="79"/>
      <c r="I58" s="80"/>
      <c r="J58" s="78">
        <v>0</v>
      </c>
      <c r="K58" s="79"/>
      <c r="L58" s="80"/>
      <c r="M58" s="78">
        <v>0</v>
      </c>
      <c r="N58" s="79"/>
      <c r="O58" s="80"/>
      <c r="P58" s="78">
        <v>0</v>
      </c>
      <c r="Q58" s="79"/>
      <c r="R58" s="80"/>
      <c r="S58" s="78">
        <v>0</v>
      </c>
      <c r="T58" s="79"/>
      <c r="U58" s="80"/>
      <c r="V58" s="78">
        <v>0</v>
      </c>
      <c r="W58" s="79"/>
      <c r="X58" s="80"/>
      <c r="Y58" s="78">
        <v>0</v>
      </c>
      <c r="Z58" s="79"/>
      <c r="AA58" s="80"/>
      <c r="AB58" s="78">
        <v>0</v>
      </c>
      <c r="AC58" s="79"/>
      <c r="AD58" s="80"/>
      <c r="AE58" s="78">
        <v>0</v>
      </c>
      <c r="AF58" s="79"/>
      <c r="AG58" s="80"/>
    </row>
    <row r="59" spans="1:33" ht="15.75" thickBot="1" x14ac:dyDescent="0.3">
      <c r="A59" s="68"/>
      <c r="B59" s="68"/>
      <c r="C59" s="72" t="s">
        <v>37</v>
      </c>
      <c r="D59" s="86"/>
      <c r="E59" s="86"/>
      <c r="F59" s="89"/>
      <c r="G59" s="86"/>
      <c r="H59" s="86"/>
      <c r="I59" s="89"/>
      <c r="J59" s="86"/>
      <c r="K59" s="86"/>
      <c r="L59" s="89"/>
      <c r="M59" s="86"/>
      <c r="N59" s="86"/>
      <c r="O59" s="89"/>
      <c r="P59" s="86"/>
      <c r="Q59" s="86"/>
      <c r="R59" s="89"/>
      <c r="S59" s="86"/>
      <c r="T59" s="86"/>
      <c r="U59" s="89"/>
      <c r="V59" s="86"/>
      <c r="W59" s="86"/>
      <c r="X59" s="89"/>
      <c r="Y59" s="86"/>
      <c r="Z59" s="86"/>
      <c r="AA59" s="89"/>
      <c r="AB59" s="86"/>
      <c r="AC59" s="86"/>
      <c r="AD59" s="89"/>
      <c r="AE59" s="86"/>
      <c r="AF59" s="86"/>
      <c r="AG59" s="89"/>
    </row>
    <row r="60" spans="1:33" ht="15.75" thickBot="1" x14ac:dyDescent="0.3">
      <c r="A60" s="68"/>
      <c r="B60" s="68"/>
      <c r="D60" s="87"/>
      <c r="E60" s="87"/>
      <c r="F60" s="90"/>
      <c r="G60" s="87"/>
      <c r="H60" s="87"/>
      <c r="I60" s="90"/>
      <c r="J60" s="87"/>
      <c r="K60" s="87"/>
      <c r="L60" s="90"/>
      <c r="M60" s="87"/>
      <c r="N60" s="87"/>
      <c r="O60" s="90"/>
      <c r="P60" s="87"/>
      <c r="Q60" s="87"/>
      <c r="R60" s="90"/>
      <c r="S60" s="87"/>
      <c r="T60" s="87"/>
      <c r="U60" s="90"/>
      <c r="V60" s="87"/>
      <c r="W60" s="87"/>
      <c r="X60" s="90"/>
      <c r="Y60" s="87"/>
      <c r="Z60" s="87"/>
      <c r="AA60" s="90"/>
      <c r="AB60" s="87"/>
      <c r="AC60" s="87"/>
      <c r="AD60" s="90"/>
      <c r="AE60" s="87"/>
      <c r="AF60" s="87"/>
      <c r="AG60" s="90"/>
    </row>
    <row r="61" spans="1:33" ht="15.75" thickBot="1" x14ac:dyDescent="0.3">
      <c r="A61" s="68"/>
      <c r="B61" s="68"/>
      <c r="D61" s="88"/>
      <c r="E61" s="88"/>
      <c r="F61" s="91"/>
      <c r="G61" s="88"/>
      <c r="H61" s="88"/>
      <c r="I61" s="91"/>
      <c r="J61" s="88"/>
      <c r="K61" s="88"/>
      <c r="L61" s="91"/>
      <c r="M61" s="88"/>
      <c r="N61" s="88"/>
      <c r="O61" s="91"/>
      <c r="P61" s="88"/>
      <c r="Q61" s="88"/>
      <c r="R61" s="91"/>
      <c r="S61" s="88"/>
      <c r="T61" s="88"/>
      <c r="U61" s="91"/>
      <c r="V61" s="88"/>
      <c r="W61" s="88"/>
      <c r="X61" s="91"/>
      <c r="Y61" s="88"/>
      <c r="Z61" s="88"/>
      <c r="AA61" s="91"/>
      <c r="AB61" s="88"/>
      <c r="AC61" s="88"/>
      <c r="AD61" s="91"/>
      <c r="AE61" s="88"/>
      <c r="AF61" s="88"/>
      <c r="AG61" s="91"/>
    </row>
    <row r="62" spans="1:33" x14ac:dyDescent="0.25">
      <c r="C62" s="64"/>
      <c r="D62" s="92"/>
      <c r="E62" s="92"/>
      <c r="F62" s="93"/>
      <c r="G62" s="92"/>
      <c r="H62" s="92"/>
      <c r="I62" s="93"/>
      <c r="J62" s="92"/>
      <c r="K62" s="92"/>
      <c r="L62" s="93"/>
      <c r="M62" s="92"/>
      <c r="N62" s="92"/>
      <c r="O62" s="93"/>
      <c r="P62" s="92"/>
      <c r="Q62" s="92"/>
      <c r="R62" s="93"/>
      <c r="S62" s="92"/>
      <c r="T62" s="92"/>
      <c r="U62" s="93"/>
      <c r="V62" s="92"/>
      <c r="W62" s="92"/>
      <c r="X62" s="93"/>
      <c r="Y62" s="92"/>
      <c r="Z62" s="92"/>
      <c r="AA62" s="93"/>
      <c r="AB62" s="92"/>
      <c r="AC62" s="92"/>
      <c r="AD62" s="93"/>
      <c r="AE62" s="92"/>
      <c r="AF62" s="92"/>
      <c r="AG62" s="93"/>
    </row>
    <row r="63" spans="1:33" ht="15.75" thickBot="1" x14ac:dyDescent="0.3"/>
    <row r="64" spans="1:33" ht="15.75" thickBot="1" x14ac:dyDescent="0.3">
      <c r="A64" s="68" t="s">
        <v>80</v>
      </c>
      <c r="B64" s="68"/>
      <c r="C64" s="69" t="s">
        <v>72</v>
      </c>
      <c r="D64" s="52" t="s">
        <v>27</v>
      </c>
      <c r="E64" s="52"/>
      <c r="F64" s="52"/>
      <c r="G64" s="73" t="s">
        <v>28</v>
      </c>
      <c r="H64" s="73"/>
      <c r="I64" s="73"/>
      <c r="J64" s="52" t="s">
        <v>29</v>
      </c>
      <c r="K64" s="52"/>
      <c r="L64" s="52"/>
      <c r="M64" s="73" t="s">
        <v>30</v>
      </c>
      <c r="N64" s="73"/>
      <c r="O64" s="73"/>
      <c r="P64" s="52" t="s">
        <v>31</v>
      </c>
      <c r="Q64" s="52"/>
      <c r="R64" s="52"/>
      <c r="S64" s="73" t="s">
        <v>32</v>
      </c>
      <c r="T64" s="73"/>
      <c r="U64" s="73"/>
      <c r="V64" s="52" t="s">
        <v>33</v>
      </c>
      <c r="W64" s="52"/>
      <c r="X64" s="52"/>
      <c r="Y64" s="73" t="s">
        <v>34</v>
      </c>
      <c r="Z64" s="73"/>
      <c r="AA64" s="73"/>
      <c r="AB64" s="52" t="s">
        <v>35</v>
      </c>
      <c r="AC64" s="52"/>
      <c r="AD64" s="52"/>
      <c r="AE64" s="73" t="s">
        <v>36</v>
      </c>
      <c r="AF64" s="73"/>
      <c r="AG64" s="73"/>
    </row>
    <row r="65" spans="1:33" ht="15.75" thickBot="1" x14ac:dyDescent="0.3">
      <c r="A65" s="68"/>
      <c r="B65" s="68"/>
      <c r="C65" s="70" t="s">
        <v>14</v>
      </c>
      <c r="D65" s="74">
        <v>142</v>
      </c>
      <c r="E65" s="75"/>
      <c r="F65" s="76"/>
      <c r="G65" s="74">
        <v>204</v>
      </c>
      <c r="H65" s="75"/>
      <c r="I65" s="76"/>
      <c r="J65" s="74">
        <v>294</v>
      </c>
      <c r="K65" s="75"/>
      <c r="L65" s="76"/>
      <c r="M65" s="74">
        <v>424</v>
      </c>
      <c r="N65" s="75"/>
      <c r="O65" s="76"/>
      <c r="P65" s="74">
        <v>567</v>
      </c>
      <c r="Q65" s="75"/>
      <c r="R65" s="76"/>
      <c r="S65" s="74">
        <v>737</v>
      </c>
      <c r="T65" s="75"/>
      <c r="U65" s="76"/>
      <c r="V65" s="74">
        <v>958</v>
      </c>
      <c r="W65" s="75"/>
      <c r="X65" s="76"/>
      <c r="Y65" s="74">
        <v>1245</v>
      </c>
      <c r="Z65" s="75"/>
      <c r="AA65" s="76"/>
      <c r="AB65" s="74">
        <v>1618</v>
      </c>
      <c r="AC65" s="75"/>
      <c r="AD65" s="76"/>
      <c r="AE65" s="74">
        <v>2103</v>
      </c>
      <c r="AF65" s="75"/>
      <c r="AG65" s="76"/>
    </row>
    <row r="66" spans="1:33" ht="15.75" thickBot="1" x14ac:dyDescent="0.3">
      <c r="A66" s="68"/>
      <c r="B66" s="68"/>
      <c r="C66" s="77" t="s">
        <v>61</v>
      </c>
      <c r="D66" s="81">
        <v>0</v>
      </c>
      <c r="E66" s="82"/>
      <c r="F66" s="84"/>
      <c r="G66" s="85">
        <v>0</v>
      </c>
      <c r="H66" s="82"/>
      <c r="I66" s="84"/>
      <c r="J66" s="85">
        <v>0</v>
      </c>
      <c r="K66" s="82"/>
      <c r="L66" s="84"/>
      <c r="M66" s="85">
        <v>0</v>
      </c>
      <c r="N66" s="82"/>
      <c r="O66" s="82"/>
      <c r="P66" s="81">
        <v>0</v>
      </c>
      <c r="Q66" s="82"/>
      <c r="R66" s="83"/>
      <c r="S66" s="82">
        <v>0</v>
      </c>
      <c r="T66" s="82"/>
      <c r="U66" s="84"/>
      <c r="V66" s="85">
        <v>0</v>
      </c>
      <c r="W66" s="82"/>
      <c r="X66" s="84"/>
      <c r="Y66" s="85">
        <v>0</v>
      </c>
      <c r="Z66" s="82"/>
      <c r="AA66" s="84"/>
      <c r="AB66" s="85">
        <v>0</v>
      </c>
      <c r="AC66" s="82"/>
      <c r="AD66" s="84"/>
      <c r="AE66" s="85">
        <v>0</v>
      </c>
      <c r="AF66" s="82"/>
      <c r="AG66" s="84"/>
    </row>
    <row r="67" spans="1:33" ht="15.75" thickBot="1" x14ac:dyDescent="0.3">
      <c r="A67" s="68"/>
      <c r="B67" s="68"/>
      <c r="C67" s="71" t="s">
        <v>76</v>
      </c>
      <c r="D67" s="78">
        <v>0</v>
      </c>
      <c r="E67" s="79"/>
      <c r="F67" s="79"/>
      <c r="G67" s="78">
        <v>0</v>
      </c>
      <c r="H67" s="79"/>
      <c r="I67" s="80"/>
      <c r="J67" s="78">
        <v>0</v>
      </c>
      <c r="K67" s="79"/>
      <c r="L67" s="80"/>
      <c r="M67" s="78">
        <v>0</v>
      </c>
      <c r="N67" s="79"/>
      <c r="O67" s="80"/>
      <c r="P67" s="78">
        <v>0</v>
      </c>
      <c r="Q67" s="79"/>
      <c r="R67" s="80"/>
      <c r="S67" s="78">
        <v>0</v>
      </c>
      <c r="T67" s="79"/>
      <c r="U67" s="80"/>
      <c r="V67" s="78">
        <v>0</v>
      </c>
      <c r="W67" s="79"/>
      <c r="X67" s="80"/>
      <c r="Y67" s="78">
        <v>0</v>
      </c>
      <c r="Z67" s="79"/>
      <c r="AA67" s="80"/>
      <c r="AB67" s="78">
        <v>0</v>
      </c>
      <c r="AC67" s="79"/>
      <c r="AD67" s="80"/>
      <c r="AE67" s="78">
        <v>0</v>
      </c>
      <c r="AF67" s="79"/>
      <c r="AG67" s="80"/>
    </row>
    <row r="68" spans="1:33" ht="15.75" thickBot="1" x14ac:dyDescent="0.3">
      <c r="A68" s="68"/>
      <c r="B68" s="68"/>
      <c r="C68" s="72" t="s">
        <v>37</v>
      </c>
      <c r="D68" s="86"/>
      <c r="E68" s="86"/>
      <c r="F68" s="89"/>
      <c r="G68" s="86"/>
      <c r="H68" s="86"/>
      <c r="I68" s="89"/>
      <c r="J68" s="86"/>
      <c r="K68" s="86"/>
      <c r="L68" s="89"/>
      <c r="M68" s="86" t="s">
        <v>201</v>
      </c>
      <c r="N68" s="86"/>
      <c r="O68" s="89">
        <v>1</v>
      </c>
      <c r="P68" s="86" t="s">
        <v>201</v>
      </c>
      <c r="Q68" s="86"/>
      <c r="R68" s="89">
        <v>1</v>
      </c>
      <c r="S68" s="86" t="s">
        <v>201</v>
      </c>
      <c r="T68" s="86"/>
      <c r="U68" s="89">
        <v>1</v>
      </c>
      <c r="V68" s="86" t="s">
        <v>201</v>
      </c>
      <c r="W68" s="86"/>
      <c r="X68" s="89">
        <v>1</v>
      </c>
      <c r="Y68" s="86" t="s">
        <v>201</v>
      </c>
      <c r="Z68" s="86"/>
      <c r="AA68" s="89">
        <v>2</v>
      </c>
      <c r="AB68" s="86" t="s">
        <v>201</v>
      </c>
      <c r="AC68" s="86"/>
      <c r="AD68" s="89">
        <v>2</v>
      </c>
      <c r="AE68" s="86" t="s">
        <v>201</v>
      </c>
      <c r="AF68" s="86"/>
      <c r="AG68" s="89">
        <v>2</v>
      </c>
    </row>
    <row r="69" spans="1:33" ht="15.75" thickBot="1" x14ac:dyDescent="0.3">
      <c r="A69" s="68"/>
      <c r="B69" s="68"/>
      <c r="D69" s="87"/>
      <c r="E69" s="87"/>
      <c r="F69" s="90"/>
      <c r="G69" s="87"/>
      <c r="H69" s="87"/>
      <c r="I69" s="90"/>
      <c r="J69" s="87"/>
      <c r="K69" s="87"/>
      <c r="L69" s="90"/>
      <c r="M69" s="87"/>
      <c r="N69" s="87"/>
      <c r="O69" s="90"/>
      <c r="P69" s="87"/>
      <c r="Q69" s="87"/>
      <c r="R69" s="90"/>
      <c r="S69" s="87"/>
      <c r="T69" s="87"/>
      <c r="U69" s="90"/>
      <c r="V69" s="87"/>
      <c r="W69" s="87"/>
      <c r="X69" s="90"/>
      <c r="Y69" s="87"/>
      <c r="Z69" s="87"/>
      <c r="AA69" s="90"/>
      <c r="AB69" s="87"/>
      <c r="AC69" s="87"/>
      <c r="AD69" s="90"/>
      <c r="AE69" s="87"/>
      <c r="AF69" s="87"/>
      <c r="AG69" s="90"/>
    </row>
    <row r="70" spans="1:33" ht="15.75" thickBot="1" x14ac:dyDescent="0.3">
      <c r="A70" s="68"/>
      <c r="B70" s="68"/>
      <c r="D70" s="88"/>
      <c r="E70" s="88"/>
      <c r="F70" s="91"/>
      <c r="G70" s="88"/>
      <c r="H70" s="88"/>
      <c r="I70" s="91"/>
      <c r="J70" s="88"/>
      <c r="K70" s="88"/>
      <c r="L70" s="91"/>
      <c r="M70" s="88"/>
      <c r="N70" s="88"/>
      <c r="O70" s="91"/>
      <c r="P70" s="88"/>
      <c r="Q70" s="88"/>
      <c r="R70" s="91"/>
      <c r="S70" s="88"/>
      <c r="T70" s="88"/>
      <c r="U70" s="91"/>
      <c r="V70" s="88"/>
      <c r="W70" s="88"/>
      <c r="X70" s="91"/>
      <c r="Y70" s="88"/>
      <c r="Z70" s="88"/>
      <c r="AA70" s="91"/>
      <c r="AB70" s="88"/>
      <c r="AC70" s="88"/>
      <c r="AD70" s="91"/>
      <c r="AE70" s="88"/>
      <c r="AF70" s="88"/>
      <c r="AG70" s="91"/>
    </row>
    <row r="72" spans="1:33" ht="15.75" thickBot="1" x14ac:dyDescent="0.3"/>
    <row r="73" spans="1:33" ht="15.75" thickBot="1" x14ac:dyDescent="0.3">
      <c r="A73" s="68" t="s">
        <v>81</v>
      </c>
      <c r="B73" s="68"/>
      <c r="C73" s="69" t="s">
        <v>71</v>
      </c>
      <c r="D73" s="52" t="s">
        <v>27</v>
      </c>
      <c r="E73" s="52"/>
      <c r="F73" s="52"/>
      <c r="G73" s="73" t="s">
        <v>28</v>
      </c>
      <c r="H73" s="73"/>
      <c r="I73" s="73"/>
      <c r="J73" s="52" t="s">
        <v>29</v>
      </c>
      <c r="K73" s="52"/>
      <c r="L73" s="52"/>
      <c r="M73" s="73" t="s">
        <v>30</v>
      </c>
      <c r="N73" s="73"/>
      <c r="O73" s="73"/>
      <c r="P73" s="52" t="s">
        <v>31</v>
      </c>
      <c r="Q73" s="52"/>
      <c r="R73" s="52"/>
      <c r="S73" s="73" t="s">
        <v>32</v>
      </c>
      <c r="T73" s="73"/>
      <c r="U73" s="73"/>
      <c r="V73" s="52" t="s">
        <v>33</v>
      </c>
      <c r="W73" s="52"/>
      <c r="X73" s="52"/>
      <c r="Y73" s="73" t="s">
        <v>34</v>
      </c>
      <c r="Z73" s="73"/>
      <c r="AA73" s="73"/>
      <c r="AB73" s="52" t="s">
        <v>35</v>
      </c>
      <c r="AC73" s="52"/>
      <c r="AD73" s="52"/>
      <c r="AE73" s="73" t="s">
        <v>36</v>
      </c>
      <c r="AF73" s="73"/>
      <c r="AG73" s="73"/>
    </row>
    <row r="74" spans="1:33" ht="15.75" thickBot="1" x14ac:dyDescent="0.3">
      <c r="A74" s="68"/>
      <c r="B74" s="68"/>
      <c r="C74" s="70" t="s">
        <v>14</v>
      </c>
      <c r="D74" s="74">
        <v>142</v>
      </c>
      <c r="E74" s="75"/>
      <c r="F74" s="76"/>
      <c r="G74" s="74">
        <v>204</v>
      </c>
      <c r="H74" s="75"/>
      <c r="I74" s="76"/>
      <c r="J74" s="74">
        <v>294</v>
      </c>
      <c r="K74" s="75"/>
      <c r="L74" s="76"/>
      <c r="M74" s="74">
        <v>424</v>
      </c>
      <c r="N74" s="75"/>
      <c r="O74" s="76"/>
      <c r="P74" s="74">
        <v>567</v>
      </c>
      <c r="Q74" s="75"/>
      <c r="R74" s="76"/>
      <c r="S74" s="74">
        <v>737</v>
      </c>
      <c r="T74" s="75"/>
      <c r="U74" s="76"/>
      <c r="V74" s="74">
        <v>958</v>
      </c>
      <c r="W74" s="75"/>
      <c r="X74" s="76"/>
      <c r="Y74" s="74">
        <v>1245</v>
      </c>
      <c r="Z74" s="75"/>
      <c r="AA74" s="76"/>
      <c r="AB74" s="74">
        <v>1618</v>
      </c>
      <c r="AC74" s="75"/>
      <c r="AD74" s="76"/>
      <c r="AE74" s="74">
        <v>2103</v>
      </c>
      <c r="AF74" s="75"/>
      <c r="AG74" s="76"/>
    </row>
    <row r="75" spans="1:33" ht="15.75" thickBot="1" x14ac:dyDescent="0.3">
      <c r="A75" s="68"/>
      <c r="B75" s="68"/>
      <c r="C75" s="77" t="s">
        <v>62</v>
      </c>
      <c r="D75" s="81">
        <v>0</v>
      </c>
      <c r="E75" s="82"/>
      <c r="F75" s="84"/>
      <c r="G75" s="85">
        <v>0</v>
      </c>
      <c r="H75" s="82"/>
      <c r="I75" s="84"/>
      <c r="J75" s="85">
        <v>0</v>
      </c>
      <c r="K75" s="82"/>
      <c r="L75" s="84"/>
      <c r="M75" s="85">
        <v>0</v>
      </c>
      <c r="N75" s="82"/>
      <c r="O75" s="82"/>
      <c r="P75" s="81">
        <v>0</v>
      </c>
      <c r="Q75" s="82"/>
      <c r="R75" s="83"/>
      <c r="S75" s="82">
        <v>0</v>
      </c>
      <c r="T75" s="82"/>
      <c r="U75" s="84"/>
      <c r="V75" s="85">
        <v>0</v>
      </c>
      <c r="W75" s="82"/>
      <c r="X75" s="84"/>
      <c r="Y75" s="85">
        <v>0</v>
      </c>
      <c r="Z75" s="82"/>
      <c r="AA75" s="84"/>
      <c r="AB75" s="85">
        <v>0</v>
      </c>
      <c r="AC75" s="82"/>
      <c r="AD75" s="84"/>
      <c r="AE75" s="85">
        <v>0</v>
      </c>
      <c r="AF75" s="82"/>
      <c r="AG75" s="84"/>
    </row>
    <row r="76" spans="1:33" ht="15.75" thickBot="1" x14ac:dyDescent="0.3">
      <c r="A76" s="68"/>
      <c r="B76" s="68"/>
      <c r="C76" s="71" t="s">
        <v>76</v>
      </c>
      <c r="D76" s="78">
        <v>0</v>
      </c>
      <c r="E76" s="79"/>
      <c r="F76" s="79"/>
      <c r="G76" s="78">
        <v>0</v>
      </c>
      <c r="H76" s="79"/>
      <c r="I76" s="80"/>
      <c r="J76" s="78">
        <v>0</v>
      </c>
      <c r="K76" s="79"/>
      <c r="L76" s="80"/>
      <c r="M76" s="78">
        <v>0</v>
      </c>
      <c r="N76" s="79"/>
      <c r="O76" s="80"/>
      <c r="P76" s="78">
        <v>0</v>
      </c>
      <c r="Q76" s="79"/>
      <c r="R76" s="80"/>
      <c r="S76" s="78">
        <v>0</v>
      </c>
      <c r="T76" s="79"/>
      <c r="U76" s="80"/>
      <c r="V76" s="78">
        <v>0</v>
      </c>
      <c r="W76" s="79"/>
      <c r="X76" s="80"/>
      <c r="Y76" s="78">
        <v>0</v>
      </c>
      <c r="Z76" s="79"/>
      <c r="AA76" s="80"/>
      <c r="AB76" s="78">
        <v>0</v>
      </c>
      <c r="AC76" s="79"/>
      <c r="AD76" s="80"/>
      <c r="AE76" s="78">
        <v>0</v>
      </c>
      <c r="AF76" s="79"/>
      <c r="AG76" s="80"/>
    </row>
    <row r="77" spans="1:33" ht="15.75" thickBot="1" x14ac:dyDescent="0.3">
      <c r="A77" s="68"/>
      <c r="B77" s="68"/>
      <c r="C77" s="72" t="s">
        <v>37</v>
      </c>
      <c r="D77" s="86"/>
      <c r="E77" s="86"/>
      <c r="F77" s="89"/>
      <c r="G77" s="86"/>
      <c r="H77" s="86"/>
      <c r="I77" s="89"/>
      <c r="J77" s="86"/>
      <c r="K77" s="86"/>
      <c r="L77" s="89"/>
      <c r="M77" s="86"/>
      <c r="N77" s="86"/>
      <c r="O77" s="89"/>
      <c r="P77" s="86"/>
      <c r="Q77" s="86"/>
      <c r="R77" s="89"/>
      <c r="S77" s="86"/>
      <c r="T77" s="86"/>
      <c r="U77" s="89"/>
      <c r="V77" s="86"/>
      <c r="W77" s="86"/>
      <c r="X77" s="89"/>
      <c r="Y77" s="86"/>
      <c r="Z77" s="86"/>
      <c r="AA77" s="89"/>
      <c r="AB77" s="86"/>
      <c r="AC77" s="86"/>
      <c r="AD77" s="89"/>
      <c r="AE77" s="86"/>
      <c r="AF77" s="86"/>
      <c r="AG77" s="89"/>
    </row>
    <row r="78" spans="1:33" ht="15.75" thickBot="1" x14ac:dyDescent="0.3">
      <c r="A78" s="68"/>
      <c r="B78" s="68"/>
      <c r="D78" s="87"/>
      <c r="E78" s="87"/>
      <c r="F78" s="90"/>
      <c r="G78" s="87"/>
      <c r="H78" s="87"/>
      <c r="I78" s="90"/>
      <c r="J78" s="87"/>
      <c r="K78" s="87"/>
      <c r="L78" s="90"/>
      <c r="M78" s="87"/>
      <c r="N78" s="87"/>
      <c r="O78" s="90"/>
      <c r="P78" s="87"/>
      <c r="Q78" s="87"/>
      <c r="R78" s="90"/>
      <c r="S78" s="87"/>
      <c r="T78" s="87"/>
      <c r="U78" s="90"/>
      <c r="V78" s="87"/>
      <c r="W78" s="87"/>
      <c r="X78" s="90"/>
      <c r="Y78" s="87"/>
      <c r="Z78" s="87"/>
      <c r="AA78" s="90"/>
      <c r="AB78" s="87"/>
      <c r="AC78" s="87"/>
      <c r="AD78" s="90"/>
      <c r="AE78" s="87"/>
      <c r="AF78" s="87"/>
      <c r="AG78" s="90"/>
    </row>
    <row r="79" spans="1:33" ht="15.75" thickBot="1" x14ac:dyDescent="0.3">
      <c r="A79" s="68"/>
      <c r="B79" s="68"/>
      <c r="D79" s="88"/>
      <c r="E79" s="88"/>
      <c r="F79" s="91"/>
      <c r="G79" s="88"/>
      <c r="H79" s="88"/>
      <c r="I79" s="91"/>
      <c r="J79" s="88"/>
      <c r="K79" s="88"/>
      <c r="L79" s="91"/>
      <c r="M79" s="88"/>
      <c r="N79" s="88"/>
      <c r="O79" s="91"/>
      <c r="P79" s="88"/>
      <c r="Q79" s="88"/>
      <c r="R79" s="91"/>
      <c r="S79" s="88"/>
      <c r="T79" s="88"/>
      <c r="U79" s="91"/>
      <c r="V79" s="88"/>
      <c r="W79" s="88"/>
      <c r="X79" s="91"/>
      <c r="Y79" s="88"/>
      <c r="Z79" s="88"/>
      <c r="AA79" s="91"/>
      <c r="AB79" s="88"/>
      <c r="AC79" s="88"/>
      <c r="AD79" s="91"/>
      <c r="AE79" s="88"/>
      <c r="AF79" s="88"/>
      <c r="AG79" s="91"/>
    </row>
    <row r="80" spans="1:33" x14ac:dyDescent="0.25">
      <c r="C80" s="64"/>
      <c r="D80" s="92"/>
      <c r="E80" s="92"/>
      <c r="F80" s="93"/>
      <c r="G80" s="92"/>
      <c r="H80" s="92"/>
      <c r="I80" s="93"/>
      <c r="J80" s="92"/>
      <c r="K80" s="92"/>
      <c r="L80" s="93"/>
      <c r="M80" s="92"/>
      <c r="N80" s="92"/>
      <c r="O80" s="93"/>
      <c r="P80" s="92"/>
      <c r="Q80" s="92"/>
      <c r="R80" s="93"/>
      <c r="S80" s="92"/>
      <c r="T80" s="92"/>
      <c r="U80" s="93"/>
      <c r="V80" s="92"/>
      <c r="W80" s="92"/>
      <c r="X80" s="93"/>
      <c r="Y80" s="92"/>
      <c r="Z80" s="92"/>
      <c r="AA80" s="93"/>
      <c r="AB80" s="92"/>
      <c r="AC80" s="92"/>
      <c r="AD80" s="93"/>
      <c r="AE80" s="92"/>
      <c r="AF80" s="92"/>
      <c r="AG80" s="93"/>
    </row>
    <row r="81" spans="1:33" ht="15.75" thickBot="1" x14ac:dyDescent="0.3"/>
    <row r="82" spans="1:33" ht="15.75" thickBot="1" x14ac:dyDescent="0.3">
      <c r="A82" s="68" t="s">
        <v>82</v>
      </c>
      <c r="B82" s="68"/>
      <c r="C82" s="69" t="s">
        <v>72</v>
      </c>
      <c r="D82" s="52" t="s">
        <v>27</v>
      </c>
      <c r="E82" s="52"/>
      <c r="F82" s="52"/>
      <c r="G82" s="73" t="s">
        <v>28</v>
      </c>
      <c r="H82" s="73"/>
      <c r="I82" s="73"/>
      <c r="J82" s="52" t="s">
        <v>29</v>
      </c>
      <c r="K82" s="52"/>
      <c r="L82" s="52"/>
      <c r="M82" s="73" t="s">
        <v>30</v>
      </c>
      <c r="N82" s="73"/>
      <c r="O82" s="73"/>
      <c r="P82" s="52" t="s">
        <v>31</v>
      </c>
      <c r="Q82" s="52"/>
      <c r="R82" s="52"/>
      <c r="S82" s="73" t="s">
        <v>32</v>
      </c>
      <c r="T82" s="73"/>
      <c r="U82" s="73"/>
      <c r="V82" s="52" t="s">
        <v>33</v>
      </c>
      <c r="W82" s="52"/>
      <c r="X82" s="52"/>
      <c r="Y82" s="73" t="s">
        <v>34</v>
      </c>
      <c r="Z82" s="73"/>
      <c r="AA82" s="73"/>
      <c r="AB82" s="52" t="s">
        <v>35</v>
      </c>
      <c r="AC82" s="52"/>
      <c r="AD82" s="52"/>
      <c r="AE82" s="73" t="s">
        <v>36</v>
      </c>
      <c r="AF82" s="73"/>
      <c r="AG82" s="73"/>
    </row>
    <row r="83" spans="1:33" ht="15.75" thickBot="1" x14ac:dyDescent="0.3">
      <c r="A83" s="68"/>
      <c r="B83" s="68"/>
      <c r="C83" s="70" t="s">
        <v>14</v>
      </c>
      <c r="D83" s="74">
        <v>142</v>
      </c>
      <c r="E83" s="75"/>
      <c r="F83" s="76"/>
      <c r="G83" s="74">
        <v>204</v>
      </c>
      <c r="H83" s="75"/>
      <c r="I83" s="76"/>
      <c r="J83" s="74">
        <v>294</v>
      </c>
      <c r="K83" s="75"/>
      <c r="L83" s="76"/>
      <c r="M83" s="74">
        <v>424</v>
      </c>
      <c r="N83" s="75"/>
      <c r="O83" s="76"/>
      <c r="P83" s="74">
        <v>567</v>
      </c>
      <c r="Q83" s="75"/>
      <c r="R83" s="76"/>
      <c r="S83" s="74">
        <v>737</v>
      </c>
      <c r="T83" s="75"/>
      <c r="U83" s="76"/>
      <c r="V83" s="74">
        <v>958</v>
      </c>
      <c r="W83" s="75"/>
      <c r="X83" s="76"/>
      <c r="Y83" s="74">
        <v>1245</v>
      </c>
      <c r="Z83" s="75"/>
      <c r="AA83" s="76"/>
      <c r="AB83" s="74">
        <v>1618</v>
      </c>
      <c r="AC83" s="75"/>
      <c r="AD83" s="76"/>
      <c r="AE83" s="74">
        <v>2103</v>
      </c>
      <c r="AF83" s="75"/>
      <c r="AG83" s="76"/>
    </row>
    <row r="84" spans="1:33" ht="15.75" thickBot="1" x14ac:dyDescent="0.3">
      <c r="A84" s="68"/>
      <c r="B84" s="68"/>
      <c r="C84" s="77" t="s">
        <v>64</v>
      </c>
      <c r="D84" s="81">
        <v>0</v>
      </c>
      <c r="E84" s="82"/>
      <c r="F84" s="84"/>
      <c r="G84" s="85">
        <v>0</v>
      </c>
      <c r="H84" s="82"/>
      <c r="I84" s="84"/>
      <c r="J84" s="85">
        <v>0</v>
      </c>
      <c r="K84" s="82"/>
      <c r="L84" s="84"/>
      <c r="M84" s="85">
        <v>0</v>
      </c>
      <c r="N84" s="82"/>
      <c r="O84" s="82"/>
      <c r="P84" s="81">
        <v>0</v>
      </c>
      <c r="Q84" s="82"/>
      <c r="R84" s="83"/>
      <c r="S84" s="82">
        <v>0</v>
      </c>
      <c r="T84" s="82"/>
      <c r="U84" s="84"/>
      <c r="V84" s="85">
        <v>0</v>
      </c>
      <c r="W84" s="82"/>
      <c r="X84" s="84"/>
      <c r="Y84" s="85">
        <v>0</v>
      </c>
      <c r="Z84" s="82"/>
      <c r="AA84" s="84"/>
      <c r="AB84" s="85">
        <v>0</v>
      </c>
      <c r="AC84" s="82"/>
      <c r="AD84" s="84"/>
      <c r="AE84" s="85">
        <v>0</v>
      </c>
      <c r="AF84" s="82"/>
      <c r="AG84" s="84"/>
    </row>
    <row r="85" spans="1:33" ht="15.75" thickBot="1" x14ac:dyDescent="0.3">
      <c r="A85" s="68"/>
      <c r="B85" s="68"/>
      <c r="C85" s="71" t="s">
        <v>76</v>
      </c>
      <c r="D85" s="78">
        <v>0</v>
      </c>
      <c r="E85" s="79"/>
      <c r="F85" s="79"/>
      <c r="G85" s="78">
        <v>0</v>
      </c>
      <c r="H85" s="79"/>
      <c r="I85" s="80"/>
      <c r="J85" s="78">
        <v>0</v>
      </c>
      <c r="K85" s="79"/>
      <c r="L85" s="80"/>
      <c r="M85" s="78">
        <v>0</v>
      </c>
      <c r="N85" s="79"/>
      <c r="O85" s="80"/>
      <c r="P85" s="78">
        <v>0</v>
      </c>
      <c r="Q85" s="79"/>
      <c r="R85" s="80"/>
      <c r="S85" s="78">
        <v>0</v>
      </c>
      <c r="T85" s="79"/>
      <c r="U85" s="80"/>
      <c r="V85" s="78">
        <v>0</v>
      </c>
      <c r="W85" s="79"/>
      <c r="X85" s="80"/>
      <c r="Y85" s="78">
        <v>0</v>
      </c>
      <c r="Z85" s="79"/>
      <c r="AA85" s="80"/>
      <c r="AB85" s="78">
        <v>0</v>
      </c>
      <c r="AC85" s="79"/>
      <c r="AD85" s="80"/>
      <c r="AE85" s="78">
        <v>0</v>
      </c>
      <c r="AF85" s="79"/>
      <c r="AG85" s="80"/>
    </row>
    <row r="86" spans="1:33" ht="15.75" thickBot="1" x14ac:dyDescent="0.3">
      <c r="A86" s="68"/>
      <c r="B86" s="68"/>
      <c r="C86" s="72" t="s">
        <v>37</v>
      </c>
      <c r="D86" s="86"/>
      <c r="E86" s="86"/>
      <c r="F86" s="89"/>
      <c r="G86" s="86"/>
      <c r="H86" s="86"/>
      <c r="I86" s="89"/>
      <c r="J86" s="86"/>
      <c r="K86" s="86"/>
      <c r="L86" s="89"/>
      <c r="M86" s="86" t="s">
        <v>201</v>
      </c>
      <c r="N86" s="86"/>
      <c r="O86" s="89">
        <v>1</v>
      </c>
      <c r="P86" s="86" t="s">
        <v>201</v>
      </c>
      <c r="Q86" s="86"/>
      <c r="R86" s="89">
        <v>1</v>
      </c>
      <c r="S86" s="86" t="s">
        <v>201</v>
      </c>
      <c r="T86" s="86"/>
      <c r="U86" s="89">
        <v>1</v>
      </c>
      <c r="V86" s="86" t="s">
        <v>201</v>
      </c>
      <c r="W86" s="86"/>
      <c r="X86" s="89">
        <v>1</v>
      </c>
      <c r="Y86" s="86" t="s">
        <v>201</v>
      </c>
      <c r="Z86" s="86"/>
      <c r="AA86" s="89">
        <v>2</v>
      </c>
      <c r="AB86" s="86" t="s">
        <v>201</v>
      </c>
      <c r="AC86" s="86"/>
      <c r="AD86" s="89">
        <v>2</v>
      </c>
      <c r="AE86" s="86" t="s">
        <v>201</v>
      </c>
      <c r="AF86" s="86"/>
      <c r="AG86" s="89">
        <v>2</v>
      </c>
    </row>
    <row r="87" spans="1:33" ht="15.75" thickBot="1" x14ac:dyDescent="0.3">
      <c r="A87" s="68"/>
      <c r="B87" s="68"/>
      <c r="D87" s="87"/>
      <c r="E87" s="87"/>
      <c r="F87" s="90"/>
      <c r="G87" s="87"/>
      <c r="H87" s="87"/>
      <c r="I87" s="90"/>
      <c r="J87" s="87"/>
      <c r="K87" s="87"/>
      <c r="L87" s="90"/>
      <c r="M87" s="87"/>
      <c r="N87" s="87"/>
      <c r="O87" s="90"/>
      <c r="P87" s="87"/>
      <c r="Q87" s="87"/>
      <c r="R87" s="90"/>
      <c r="S87" s="87"/>
      <c r="T87" s="87"/>
      <c r="U87" s="90"/>
      <c r="V87" s="87"/>
      <c r="W87" s="87"/>
      <c r="X87" s="90"/>
      <c r="Y87" s="87"/>
      <c r="Z87" s="87"/>
      <c r="AA87" s="90"/>
      <c r="AB87" s="87"/>
      <c r="AC87" s="87"/>
      <c r="AD87" s="90"/>
      <c r="AE87" s="87"/>
      <c r="AF87" s="87"/>
      <c r="AG87" s="90"/>
    </row>
    <row r="88" spans="1:33" ht="15.75" thickBot="1" x14ac:dyDescent="0.3">
      <c r="A88" s="68"/>
      <c r="B88" s="68"/>
      <c r="D88" s="88"/>
      <c r="E88" s="88"/>
      <c r="F88" s="91"/>
      <c r="G88" s="88"/>
      <c r="H88" s="88"/>
      <c r="I88" s="91"/>
      <c r="J88" s="88"/>
      <c r="K88" s="88"/>
      <c r="L88" s="91"/>
      <c r="M88" s="88"/>
      <c r="N88" s="88"/>
      <c r="O88" s="91"/>
      <c r="P88" s="88"/>
      <c r="Q88" s="88"/>
      <c r="R88" s="91"/>
      <c r="S88" s="88"/>
      <c r="T88" s="88"/>
      <c r="U88" s="91"/>
      <c r="V88" s="88"/>
      <c r="W88" s="88"/>
      <c r="X88" s="91"/>
      <c r="Y88" s="88"/>
      <c r="Z88" s="88"/>
      <c r="AA88" s="91"/>
      <c r="AB88" s="88"/>
      <c r="AC88" s="88"/>
      <c r="AD88" s="91"/>
      <c r="AE88" s="88"/>
      <c r="AF88" s="88"/>
      <c r="AG88" s="91"/>
    </row>
    <row r="90" spans="1:33" ht="15.75" thickBot="1" x14ac:dyDescent="0.3"/>
    <row r="91" spans="1:33" ht="15.75" thickBot="1" x14ac:dyDescent="0.3">
      <c r="A91" s="68" t="s">
        <v>86</v>
      </c>
      <c r="B91" s="68"/>
      <c r="C91" s="69" t="s">
        <v>74</v>
      </c>
      <c r="D91" s="52" t="s">
        <v>27</v>
      </c>
      <c r="E91" s="52"/>
      <c r="F91" s="52"/>
      <c r="G91" s="73" t="s">
        <v>28</v>
      </c>
      <c r="H91" s="73"/>
      <c r="I91" s="73"/>
      <c r="J91" s="52" t="s">
        <v>29</v>
      </c>
      <c r="K91" s="52"/>
      <c r="L91" s="52"/>
      <c r="M91" s="73" t="s">
        <v>30</v>
      </c>
      <c r="N91" s="73"/>
      <c r="O91" s="73"/>
      <c r="P91" s="52" t="s">
        <v>31</v>
      </c>
      <c r="Q91" s="52"/>
      <c r="R91" s="52"/>
      <c r="S91" s="73" t="s">
        <v>32</v>
      </c>
      <c r="T91" s="73"/>
      <c r="U91" s="73"/>
      <c r="V91" s="52" t="s">
        <v>33</v>
      </c>
      <c r="W91" s="52"/>
      <c r="X91" s="52"/>
      <c r="Y91" s="73" t="s">
        <v>34</v>
      </c>
      <c r="Z91" s="73"/>
      <c r="AA91" s="73"/>
      <c r="AB91" s="52" t="s">
        <v>35</v>
      </c>
      <c r="AC91" s="52"/>
      <c r="AD91" s="52"/>
      <c r="AE91" s="73" t="s">
        <v>36</v>
      </c>
      <c r="AF91" s="73"/>
      <c r="AG91" s="73"/>
    </row>
    <row r="92" spans="1:33" ht="15.75" thickBot="1" x14ac:dyDescent="0.3">
      <c r="A92" s="68"/>
      <c r="B92" s="68"/>
      <c r="C92" s="70" t="s">
        <v>14</v>
      </c>
      <c r="D92" s="74">
        <v>142</v>
      </c>
      <c r="E92" s="75"/>
      <c r="F92" s="76"/>
      <c r="G92" s="74">
        <v>204</v>
      </c>
      <c r="H92" s="75"/>
      <c r="I92" s="76"/>
      <c r="J92" s="74">
        <v>294</v>
      </c>
      <c r="K92" s="75"/>
      <c r="L92" s="76"/>
      <c r="M92" s="74">
        <v>424</v>
      </c>
      <c r="N92" s="75"/>
      <c r="O92" s="76"/>
      <c r="P92" s="74">
        <v>567</v>
      </c>
      <c r="Q92" s="75"/>
      <c r="R92" s="76"/>
      <c r="S92" s="74">
        <v>737</v>
      </c>
      <c r="T92" s="75"/>
      <c r="U92" s="76"/>
      <c r="V92" s="74">
        <v>958</v>
      </c>
      <c r="W92" s="75"/>
      <c r="X92" s="76"/>
      <c r="Y92" s="74">
        <v>1245</v>
      </c>
      <c r="Z92" s="75"/>
      <c r="AA92" s="76"/>
      <c r="AB92" s="74">
        <v>1618</v>
      </c>
      <c r="AC92" s="75"/>
      <c r="AD92" s="76"/>
      <c r="AE92" s="74">
        <v>2103</v>
      </c>
      <c r="AF92" s="75"/>
      <c r="AG92" s="76"/>
    </row>
    <row r="93" spans="1:33" ht="15.75" thickBot="1" x14ac:dyDescent="0.3">
      <c r="A93" s="68"/>
      <c r="B93" s="68"/>
      <c r="C93" s="77" t="s">
        <v>64</v>
      </c>
      <c r="D93" s="81">
        <v>0</v>
      </c>
      <c r="E93" s="82"/>
      <c r="F93" s="84"/>
      <c r="G93" s="85">
        <v>0</v>
      </c>
      <c r="H93" s="82"/>
      <c r="I93" s="84"/>
      <c r="J93" s="85">
        <v>0</v>
      </c>
      <c r="K93" s="82"/>
      <c r="L93" s="84"/>
      <c r="M93" s="85">
        <v>0</v>
      </c>
      <c r="N93" s="82"/>
      <c r="O93" s="82"/>
      <c r="P93" s="81">
        <v>0</v>
      </c>
      <c r="Q93" s="82"/>
      <c r="R93" s="83"/>
      <c r="S93" s="82">
        <v>0</v>
      </c>
      <c r="T93" s="82"/>
      <c r="U93" s="84"/>
      <c r="V93" s="85">
        <v>0</v>
      </c>
      <c r="W93" s="82"/>
      <c r="X93" s="84"/>
      <c r="Y93" s="85">
        <v>0</v>
      </c>
      <c r="Z93" s="82"/>
      <c r="AA93" s="84"/>
      <c r="AB93" s="85">
        <v>0</v>
      </c>
      <c r="AC93" s="82"/>
      <c r="AD93" s="84"/>
      <c r="AE93" s="85">
        <v>0</v>
      </c>
      <c r="AF93" s="82"/>
      <c r="AG93" s="84"/>
    </row>
    <row r="94" spans="1:33" ht="15.75" thickBot="1" x14ac:dyDescent="0.3">
      <c r="A94" s="68"/>
      <c r="B94" s="68"/>
      <c r="C94" s="71" t="s">
        <v>76</v>
      </c>
      <c r="D94" s="78">
        <v>0</v>
      </c>
      <c r="E94" s="79"/>
      <c r="F94" s="79"/>
      <c r="G94" s="78">
        <v>0</v>
      </c>
      <c r="H94" s="79"/>
      <c r="I94" s="80"/>
      <c r="J94" s="78">
        <v>0</v>
      </c>
      <c r="K94" s="79"/>
      <c r="L94" s="80"/>
      <c r="M94" s="78">
        <v>0</v>
      </c>
      <c r="N94" s="79"/>
      <c r="O94" s="80"/>
      <c r="P94" s="78">
        <v>0</v>
      </c>
      <c r="Q94" s="79"/>
      <c r="R94" s="80"/>
      <c r="S94" s="78">
        <v>0</v>
      </c>
      <c r="T94" s="79"/>
      <c r="U94" s="80"/>
      <c r="V94" s="78">
        <v>0</v>
      </c>
      <c r="W94" s="79"/>
      <c r="X94" s="80"/>
      <c r="Y94" s="78">
        <v>0</v>
      </c>
      <c r="Z94" s="79"/>
      <c r="AA94" s="80"/>
      <c r="AB94" s="78">
        <v>0</v>
      </c>
      <c r="AC94" s="79"/>
      <c r="AD94" s="80"/>
      <c r="AE94" s="78">
        <v>0</v>
      </c>
      <c r="AF94" s="79"/>
      <c r="AG94" s="80"/>
    </row>
    <row r="95" spans="1:33" ht="15.75" thickBot="1" x14ac:dyDescent="0.3">
      <c r="A95" s="68"/>
      <c r="B95" s="68"/>
      <c r="C95" s="72" t="s">
        <v>37</v>
      </c>
      <c r="D95" s="86"/>
      <c r="E95" s="86"/>
      <c r="F95" s="89"/>
      <c r="G95" s="86"/>
      <c r="H95" s="86"/>
      <c r="I95" s="89"/>
      <c r="J95" s="86"/>
      <c r="K95" s="86"/>
      <c r="L95" s="89"/>
      <c r="M95" s="86"/>
      <c r="N95" s="86"/>
      <c r="O95" s="89"/>
      <c r="P95" s="86"/>
      <c r="Q95" s="86"/>
      <c r="R95" s="89"/>
      <c r="S95" s="86"/>
      <c r="T95" s="86"/>
      <c r="U95" s="89"/>
      <c r="V95" s="86"/>
      <c r="W95" s="86"/>
      <c r="X95" s="89"/>
      <c r="Y95" s="86"/>
      <c r="Z95" s="86"/>
      <c r="AA95" s="89"/>
      <c r="AB95" s="86"/>
      <c r="AC95" s="86"/>
      <c r="AD95" s="89"/>
      <c r="AE95" s="86"/>
      <c r="AF95" s="86"/>
      <c r="AG95" s="89"/>
    </row>
    <row r="96" spans="1:33" ht="15.75" thickBot="1" x14ac:dyDescent="0.3">
      <c r="A96" s="68"/>
      <c r="B96" s="68"/>
      <c r="D96" s="87"/>
      <c r="E96" s="87"/>
      <c r="F96" s="90"/>
      <c r="G96" s="87"/>
      <c r="H96" s="87"/>
      <c r="I96" s="90"/>
      <c r="J96" s="87"/>
      <c r="K96" s="87"/>
      <c r="L96" s="90"/>
      <c r="M96" s="87"/>
      <c r="N96" s="87"/>
      <c r="O96" s="90"/>
      <c r="P96" s="87"/>
      <c r="Q96" s="87"/>
      <c r="R96" s="90"/>
      <c r="S96" s="87"/>
      <c r="T96" s="87"/>
      <c r="U96" s="90"/>
      <c r="V96" s="87"/>
      <c r="W96" s="87"/>
      <c r="X96" s="90"/>
      <c r="Y96" s="87"/>
      <c r="Z96" s="87"/>
      <c r="AA96" s="90"/>
      <c r="AB96" s="87"/>
      <c r="AC96" s="87"/>
      <c r="AD96" s="90"/>
      <c r="AE96" s="87"/>
      <c r="AF96" s="87"/>
      <c r="AG96" s="90"/>
    </row>
    <row r="97" spans="1:33" ht="15.75" thickBot="1" x14ac:dyDescent="0.3">
      <c r="A97" s="68"/>
      <c r="B97" s="68"/>
      <c r="D97" s="88"/>
      <c r="E97" s="88"/>
      <c r="F97" s="91"/>
      <c r="G97" s="88"/>
      <c r="H97" s="88"/>
      <c r="I97" s="91"/>
      <c r="J97" s="88"/>
      <c r="K97" s="88"/>
      <c r="L97" s="91"/>
      <c r="M97" s="88"/>
      <c r="N97" s="88"/>
      <c r="O97" s="91"/>
      <c r="P97" s="88"/>
      <c r="Q97" s="88"/>
      <c r="R97" s="91"/>
      <c r="S97" s="88"/>
      <c r="T97" s="88"/>
      <c r="U97" s="91"/>
      <c r="V97" s="88"/>
      <c r="W97" s="88"/>
      <c r="X97" s="91"/>
      <c r="Y97" s="88"/>
      <c r="Z97" s="88"/>
      <c r="AA97" s="91"/>
      <c r="AB97" s="88"/>
      <c r="AC97" s="88"/>
      <c r="AD97" s="91"/>
      <c r="AE97" s="88"/>
      <c r="AF97" s="88"/>
      <c r="AG97" s="91"/>
    </row>
    <row r="98" spans="1:33" x14ac:dyDescent="0.25">
      <c r="C98" s="64"/>
      <c r="D98" s="92"/>
      <c r="E98" s="92"/>
      <c r="F98" s="93"/>
      <c r="G98" s="92"/>
      <c r="H98" s="92"/>
      <c r="I98" s="93"/>
      <c r="J98" s="92"/>
      <c r="K98" s="92"/>
      <c r="L98" s="93"/>
      <c r="M98" s="92"/>
      <c r="N98" s="92"/>
      <c r="O98" s="93"/>
      <c r="P98" s="92"/>
      <c r="Q98" s="92"/>
      <c r="R98" s="93"/>
      <c r="S98" s="92"/>
      <c r="T98" s="92"/>
      <c r="U98" s="93"/>
      <c r="V98" s="92"/>
      <c r="W98" s="92"/>
      <c r="X98" s="93"/>
      <c r="Y98" s="92"/>
      <c r="Z98" s="92"/>
      <c r="AA98" s="93"/>
      <c r="AB98" s="92"/>
      <c r="AC98" s="92"/>
      <c r="AD98" s="93"/>
      <c r="AE98" s="92"/>
      <c r="AF98" s="92"/>
      <c r="AG98" s="93"/>
    </row>
    <row r="99" spans="1:33" ht="15.75" thickBot="1" x14ac:dyDescent="0.3"/>
    <row r="100" spans="1:33" ht="15.75" thickBot="1" x14ac:dyDescent="0.3">
      <c r="A100" s="68" t="s">
        <v>84</v>
      </c>
      <c r="B100" s="68"/>
      <c r="C100" s="69" t="s">
        <v>72</v>
      </c>
      <c r="D100" s="52" t="s">
        <v>27</v>
      </c>
      <c r="E100" s="52"/>
      <c r="F100" s="52"/>
      <c r="G100" s="73" t="s">
        <v>28</v>
      </c>
      <c r="H100" s="73"/>
      <c r="I100" s="73"/>
      <c r="J100" s="52" t="s">
        <v>29</v>
      </c>
      <c r="K100" s="52"/>
      <c r="L100" s="52"/>
      <c r="M100" s="73" t="s">
        <v>30</v>
      </c>
      <c r="N100" s="73"/>
      <c r="O100" s="73"/>
      <c r="P100" s="52" t="s">
        <v>31</v>
      </c>
      <c r="Q100" s="52"/>
      <c r="R100" s="52"/>
      <c r="S100" s="73" t="s">
        <v>32</v>
      </c>
      <c r="T100" s="73"/>
      <c r="U100" s="73"/>
      <c r="V100" s="52" t="s">
        <v>33</v>
      </c>
      <c r="W100" s="52"/>
      <c r="X100" s="52"/>
      <c r="Y100" s="73" t="s">
        <v>34</v>
      </c>
      <c r="Z100" s="73"/>
      <c r="AA100" s="73"/>
      <c r="AB100" s="52" t="s">
        <v>35</v>
      </c>
      <c r="AC100" s="52"/>
      <c r="AD100" s="52"/>
      <c r="AE100" s="73" t="s">
        <v>36</v>
      </c>
      <c r="AF100" s="73"/>
      <c r="AG100" s="73"/>
    </row>
    <row r="101" spans="1:33" ht="15.75" thickBot="1" x14ac:dyDescent="0.3">
      <c r="A101" s="68"/>
      <c r="B101" s="68"/>
      <c r="C101" s="70" t="s">
        <v>14</v>
      </c>
      <c r="D101" s="74">
        <v>142</v>
      </c>
      <c r="E101" s="75"/>
      <c r="F101" s="76"/>
      <c r="G101" s="74">
        <v>204</v>
      </c>
      <c r="H101" s="75"/>
      <c r="I101" s="76"/>
      <c r="J101" s="74">
        <v>294</v>
      </c>
      <c r="K101" s="75"/>
      <c r="L101" s="76"/>
      <c r="M101" s="74">
        <v>424</v>
      </c>
      <c r="N101" s="75"/>
      <c r="O101" s="76"/>
      <c r="P101" s="74">
        <v>567</v>
      </c>
      <c r="Q101" s="75"/>
      <c r="R101" s="76"/>
      <c r="S101" s="74">
        <v>737</v>
      </c>
      <c r="T101" s="75"/>
      <c r="U101" s="76"/>
      <c r="V101" s="74">
        <v>958</v>
      </c>
      <c r="W101" s="75"/>
      <c r="X101" s="76"/>
      <c r="Y101" s="74">
        <v>1245</v>
      </c>
      <c r="Z101" s="75"/>
      <c r="AA101" s="76"/>
      <c r="AB101" s="74">
        <v>1618</v>
      </c>
      <c r="AC101" s="75"/>
      <c r="AD101" s="76"/>
      <c r="AE101" s="74">
        <v>2103</v>
      </c>
      <c r="AF101" s="75"/>
      <c r="AG101" s="76"/>
    </row>
    <row r="102" spans="1:33" ht="15.75" thickBot="1" x14ac:dyDescent="0.3">
      <c r="A102" s="68"/>
      <c r="B102" s="68"/>
      <c r="C102" s="77" t="s">
        <v>64</v>
      </c>
      <c r="D102" s="81">
        <v>0</v>
      </c>
      <c r="E102" s="82"/>
      <c r="F102" s="84"/>
      <c r="G102" s="85">
        <v>0</v>
      </c>
      <c r="H102" s="82"/>
      <c r="I102" s="84"/>
      <c r="J102" s="85">
        <v>0</v>
      </c>
      <c r="K102" s="82"/>
      <c r="L102" s="84"/>
      <c r="M102" s="85">
        <v>0</v>
      </c>
      <c r="N102" s="82"/>
      <c r="O102" s="82"/>
      <c r="P102" s="81">
        <v>0</v>
      </c>
      <c r="Q102" s="82"/>
      <c r="R102" s="83"/>
      <c r="S102" s="82">
        <v>0</v>
      </c>
      <c r="T102" s="82"/>
      <c r="U102" s="84"/>
      <c r="V102" s="85">
        <v>0</v>
      </c>
      <c r="W102" s="82"/>
      <c r="X102" s="84"/>
      <c r="Y102" s="85">
        <v>0</v>
      </c>
      <c r="Z102" s="82"/>
      <c r="AA102" s="84"/>
      <c r="AB102" s="85">
        <v>0</v>
      </c>
      <c r="AC102" s="82"/>
      <c r="AD102" s="84"/>
      <c r="AE102" s="85">
        <v>0</v>
      </c>
      <c r="AF102" s="82"/>
      <c r="AG102" s="84"/>
    </row>
    <row r="103" spans="1:33" ht="15.75" thickBot="1" x14ac:dyDescent="0.3">
      <c r="A103" s="68"/>
      <c r="B103" s="68"/>
      <c r="C103" s="71" t="s">
        <v>76</v>
      </c>
      <c r="D103" s="78">
        <v>0</v>
      </c>
      <c r="E103" s="79"/>
      <c r="F103" s="79"/>
      <c r="G103" s="78">
        <v>0</v>
      </c>
      <c r="H103" s="79"/>
      <c r="I103" s="80"/>
      <c r="J103" s="78">
        <v>0</v>
      </c>
      <c r="K103" s="79"/>
      <c r="L103" s="80"/>
      <c r="M103" s="78">
        <v>0</v>
      </c>
      <c r="N103" s="79"/>
      <c r="O103" s="80"/>
      <c r="P103" s="78">
        <v>0</v>
      </c>
      <c r="Q103" s="79"/>
      <c r="R103" s="80"/>
      <c r="S103" s="78">
        <v>0</v>
      </c>
      <c r="T103" s="79"/>
      <c r="U103" s="80"/>
      <c r="V103" s="78">
        <v>0</v>
      </c>
      <c r="W103" s="79"/>
      <c r="X103" s="80"/>
      <c r="Y103" s="78">
        <v>0</v>
      </c>
      <c r="Z103" s="79"/>
      <c r="AA103" s="80"/>
      <c r="AB103" s="78">
        <v>0</v>
      </c>
      <c r="AC103" s="79"/>
      <c r="AD103" s="80"/>
      <c r="AE103" s="78">
        <v>0</v>
      </c>
      <c r="AF103" s="79"/>
      <c r="AG103" s="80"/>
    </row>
    <row r="104" spans="1:33" ht="15.75" thickBot="1" x14ac:dyDescent="0.3">
      <c r="A104" s="68"/>
      <c r="B104" s="68"/>
      <c r="C104" s="72" t="s">
        <v>37</v>
      </c>
      <c r="D104" s="86"/>
      <c r="E104" s="86"/>
      <c r="F104" s="89"/>
      <c r="G104" s="86"/>
      <c r="H104" s="86"/>
      <c r="I104" s="89"/>
      <c r="J104" s="86"/>
      <c r="K104" s="86"/>
      <c r="L104" s="89"/>
      <c r="M104" s="86" t="s">
        <v>201</v>
      </c>
      <c r="N104" s="86"/>
      <c r="O104" s="89">
        <v>1</v>
      </c>
      <c r="P104" s="86" t="s">
        <v>201</v>
      </c>
      <c r="Q104" s="86"/>
      <c r="R104" s="89">
        <v>1</v>
      </c>
      <c r="S104" s="86" t="s">
        <v>201</v>
      </c>
      <c r="T104" s="86"/>
      <c r="U104" s="89">
        <v>1</v>
      </c>
      <c r="V104" s="86" t="s">
        <v>201</v>
      </c>
      <c r="W104" s="86"/>
      <c r="X104" s="89">
        <v>1</v>
      </c>
      <c r="Y104" s="86" t="s">
        <v>201</v>
      </c>
      <c r="Z104" s="86"/>
      <c r="AA104" s="89">
        <v>2</v>
      </c>
      <c r="AB104" s="86" t="s">
        <v>201</v>
      </c>
      <c r="AC104" s="86"/>
      <c r="AD104" s="89">
        <v>2</v>
      </c>
      <c r="AE104" s="86" t="s">
        <v>201</v>
      </c>
      <c r="AF104" s="86"/>
      <c r="AG104" s="89">
        <v>2</v>
      </c>
    </row>
    <row r="105" spans="1:33" ht="15.75" thickBot="1" x14ac:dyDescent="0.3">
      <c r="A105" s="68"/>
      <c r="B105" s="68"/>
      <c r="D105" s="87"/>
      <c r="E105" s="87"/>
      <c r="F105" s="90"/>
      <c r="G105" s="87"/>
      <c r="H105" s="87"/>
      <c r="I105" s="90"/>
      <c r="J105" s="87"/>
      <c r="K105" s="87"/>
      <c r="L105" s="90"/>
      <c r="M105" s="87"/>
      <c r="N105" s="87"/>
      <c r="O105" s="90"/>
      <c r="P105" s="87"/>
      <c r="Q105" s="87"/>
      <c r="R105" s="90"/>
      <c r="S105" s="87"/>
      <c r="T105" s="87"/>
      <c r="U105" s="90"/>
      <c r="V105" s="87"/>
      <c r="W105" s="87"/>
      <c r="X105" s="90"/>
      <c r="Y105" s="87"/>
      <c r="Z105" s="87"/>
      <c r="AA105" s="90"/>
      <c r="AB105" s="87"/>
      <c r="AC105" s="87"/>
      <c r="AD105" s="90"/>
      <c r="AE105" s="87"/>
      <c r="AF105" s="87"/>
      <c r="AG105" s="90"/>
    </row>
    <row r="106" spans="1:33" ht="15.75" thickBot="1" x14ac:dyDescent="0.3">
      <c r="A106" s="68"/>
      <c r="B106" s="68"/>
      <c r="D106" s="88"/>
      <c r="E106" s="88"/>
      <c r="F106" s="91"/>
      <c r="G106" s="88"/>
      <c r="H106" s="88"/>
      <c r="I106" s="91"/>
      <c r="J106" s="88"/>
      <c r="K106" s="88"/>
      <c r="L106" s="91"/>
      <c r="M106" s="88"/>
      <c r="N106" s="88"/>
      <c r="O106" s="91"/>
      <c r="P106" s="88"/>
      <c r="Q106" s="88"/>
      <c r="R106" s="91"/>
      <c r="S106" s="88"/>
      <c r="T106" s="88"/>
      <c r="U106" s="91"/>
      <c r="V106" s="88"/>
      <c r="W106" s="88"/>
      <c r="X106" s="91"/>
      <c r="Y106" s="88"/>
      <c r="Z106" s="88"/>
      <c r="AA106" s="91"/>
      <c r="AB106" s="88"/>
      <c r="AC106" s="88"/>
      <c r="AD106" s="91"/>
      <c r="AE106" s="88"/>
      <c r="AF106" s="88"/>
      <c r="AG106" s="91"/>
    </row>
    <row r="108" spans="1:33" ht="15.75" thickBot="1" x14ac:dyDescent="0.3"/>
    <row r="109" spans="1:33" ht="15.75" thickBot="1" x14ac:dyDescent="0.3">
      <c r="A109" s="68" t="s">
        <v>85</v>
      </c>
      <c r="B109" s="68"/>
      <c r="C109" s="69" t="s">
        <v>72</v>
      </c>
      <c r="D109" s="52" t="s">
        <v>27</v>
      </c>
      <c r="E109" s="52"/>
      <c r="F109" s="52"/>
      <c r="G109" s="73" t="s">
        <v>28</v>
      </c>
      <c r="H109" s="73"/>
      <c r="I109" s="73"/>
      <c r="J109" s="52" t="s">
        <v>29</v>
      </c>
      <c r="K109" s="52"/>
      <c r="L109" s="52"/>
      <c r="M109" s="73" t="s">
        <v>30</v>
      </c>
      <c r="N109" s="73"/>
      <c r="O109" s="73"/>
      <c r="P109" s="52" t="s">
        <v>31</v>
      </c>
      <c r="Q109" s="52"/>
      <c r="R109" s="52"/>
      <c r="S109" s="73" t="s">
        <v>32</v>
      </c>
      <c r="T109" s="73"/>
      <c r="U109" s="73"/>
      <c r="V109" s="52" t="s">
        <v>33</v>
      </c>
      <c r="W109" s="52"/>
      <c r="X109" s="52"/>
      <c r="Y109" s="73" t="s">
        <v>34</v>
      </c>
      <c r="Z109" s="73"/>
      <c r="AA109" s="73"/>
      <c r="AB109" s="52" t="s">
        <v>35</v>
      </c>
      <c r="AC109" s="52"/>
      <c r="AD109" s="52"/>
      <c r="AE109" s="73" t="s">
        <v>36</v>
      </c>
      <c r="AF109" s="73"/>
      <c r="AG109" s="73"/>
    </row>
    <row r="110" spans="1:33" ht="15.75" thickBot="1" x14ac:dyDescent="0.3">
      <c r="A110" s="68"/>
      <c r="B110" s="68"/>
      <c r="C110" s="70" t="s">
        <v>14</v>
      </c>
      <c r="D110" s="74">
        <v>142</v>
      </c>
      <c r="E110" s="75"/>
      <c r="F110" s="76"/>
      <c r="G110" s="74">
        <v>204</v>
      </c>
      <c r="H110" s="75"/>
      <c r="I110" s="76"/>
      <c r="J110" s="74">
        <v>294</v>
      </c>
      <c r="K110" s="75"/>
      <c r="L110" s="76"/>
      <c r="M110" s="74">
        <v>424</v>
      </c>
      <c r="N110" s="75"/>
      <c r="O110" s="76"/>
      <c r="P110" s="74">
        <v>567</v>
      </c>
      <c r="Q110" s="75"/>
      <c r="R110" s="76"/>
      <c r="S110" s="74">
        <v>737</v>
      </c>
      <c r="T110" s="75"/>
      <c r="U110" s="76"/>
      <c r="V110" s="74">
        <v>958</v>
      </c>
      <c r="W110" s="75"/>
      <c r="X110" s="76"/>
      <c r="Y110" s="74">
        <v>1245</v>
      </c>
      <c r="Z110" s="75"/>
      <c r="AA110" s="76"/>
      <c r="AB110" s="74">
        <v>1618</v>
      </c>
      <c r="AC110" s="75"/>
      <c r="AD110" s="76"/>
      <c r="AE110" s="74">
        <v>2103</v>
      </c>
      <c r="AF110" s="75"/>
      <c r="AG110" s="76"/>
    </row>
    <row r="111" spans="1:33" ht="15.75" thickBot="1" x14ac:dyDescent="0.3">
      <c r="A111" s="68"/>
      <c r="B111" s="68"/>
      <c r="C111" s="77" t="s">
        <v>224</v>
      </c>
      <c r="D111" s="81">
        <v>0</v>
      </c>
      <c r="E111" s="82"/>
      <c r="F111" s="84"/>
      <c r="G111" s="85">
        <v>0</v>
      </c>
      <c r="H111" s="82"/>
      <c r="I111" s="84"/>
      <c r="J111" s="85">
        <v>0</v>
      </c>
      <c r="K111" s="82"/>
      <c r="L111" s="84"/>
      <c r="M111" s="85">
        <v>0</v>
      </c>
      <c r="N111" s="82"/>
      <c r="O111" s="82"/>
      <c r="P111" s="81">
        <v>0</v>
      </c>
      <c r="Q111" s="82"/>
      <c r="R111" s="83"/>
      <c r="S111" s="82">
        <v>0</v>
      </c>
      <c r="T111" s="82"/>
      <c r="U111" s="84"/>
      <c r="V111" s="85">
        <v>0</v>
      </c>
      <c r="W111" s="82"/>
      <c r="X111" s="84"/>
      <c r="Y111" s="85">
        <v>0</v>
      </c>
      <c r="Z111" s="82"/>
      <c r="AA111" s="84"/>
      <c r="AB111" s="85">
        <v>0</v>
      </c>
      <c r="AC111" s="82"/>
      <c r="AD111" s="84"/>
      <c r="AE111" s="85">
        <v>0</v>
      </c>
      <c r="AF111" s="82"/>
      <c r="AG111" s="84"/>
    </row>
    <row r="112" spans="1:33" ht="15.75" thickBot="1" x14ac:dyDescent="0.3">
      <c r="A112" s="68"/>
      <c r="B112" s="68"/>
      <c r="C112" s="71" t="s">
        <v>76</v>
      </c>
      <c r="D112" s="78">
        <v>0</v>
      </c>
      <c r="E112" s="79"/>
      <c r="F112" s="79"/>
      <c r="G112" s="78">
        <v>0</v>
      </c>
      <c r="H112" s="79"/>
      <c r="I112" s="80"/>
      <c r="J112" s="78">
        <v>0</v>
      </c>
      <c r="K112" s="79"/>
      <c r="L112" s="80"/>
      <c r="M112" s="78">
        <v>0</v>
      </c>
      <c r="N112" s="79"/>
      <c r="O112" s="80"/>
      <c r="P112" s="78">
        <v>0</v>
      </c>
      <c r="Q112" s="79"/>
      <c r="R112" s="80"/>
      <c r="S112" s="78">
        <v>0</v>
      </c>
      <c r="T112" s="79"/>
      <c r="U112" s="80"/>
      <c r="V112" s="78">
        <v>0</v>
      </c>
      <c r="W112" s="79"/>
      <c r="X112" s="80"/>
      <c r="Y112" s="78">
        <v>0</v>
      </c>
      <c r="Z112" s="79"/>
      <c r="AA112" s="80"/>
      <c r="AB112" s="78">
        <v>0</v>
      </c>
      <c r="AC112" s="79"/>
      <c r="AD112" s="80"/>
      <c r="AE112" s="78">
        <v>0</v>
      </c>
      <c r="AF112" s="79"/>
      <c r="AG112" s="80"/>
    </row>
    <row r="113" spans="1:33" ht="15.75" thickBot="1" x14ac:dyDescent="0.3">
      <c r="A113" s="68"/>
      <c r="B113" s="68"/>
      <c r="C113" s="72" t="s">
        <v>37</v>
      </c>
      <c r="D113" s="86"/>
      <c r="E113" s="86"/>
      <c r="F113" s="89"/>
      <c r="G113" s="86"/>
      <c r="H113" s="86"/>
      <c r="I113" s="89"/>
      <c r="J113" s="86"/>
      <c r="K113" s="86"/>
      <c r="L113" s="89"/>
      <c r="M113" s="86"/>
      <c r="N113" s="86"/>
      <c r="O113" s="89"/>
      <c r="P113" s="86"/>
      <c r="Q113" s="86"/>
      <c r="R113" s="89"/>
      <c r="S113" s="86"/>
      <c r="T113" s="86"/>
      <c r="U113" s="89"/>
      <c r="V113" s="86"/>
      <c r="W113" s="86"/>
      <c r="X113" s="89"/>
      <c r="Y113" s="86"/>
      <c r="Z113" s="86"/>
      <c r="AA113" s="89"/>
      <c r="AB113" s="86"/>
      <c r="AC113" s="86"/>
      <c r="AD113" s="89"/>
      <c r="AE113" s="86"/>
      <c r="AF113" s="86"/>
      <c r="AG113" s="89"/>
    </row>
    <row r="114" spans="1:33" ht="15.75" thickBot="1" x14ac:dyDescent="0.3">
      <c r="A114" s="68"/>
      <c r="B114" s="68"/>
      <c r="D114" s="87"/>
      <c r="E114" s="87"/>
      <c r="F114" s="90"/>
      <c r="G114" s="87"/>
      <c r="H114" s="87"/>
      <c r="I114" s="90"/>
      <c r="J114" s="87"/>
      <c r="K114" s="87"/>
      <c r="L114" s="90"/>
      <c r="M114" s="87"/>
      <c r="N114" s="87"/>
      <c r="O114" s="90"/>
      <c r="P114" s="87"/>
      <c r="Q114" s="87"/>
      <c r="R114" s="90"/>
      <c r="S114" s="87"/>
      <c r="T114" s="87"/>
      <c r="U114" s="90"/>
      <c r="V114" s="87"/>
      <c r="W114" s="87"/>
      <c r="X114" s="90"/>
      <c r="Y114" s="87"/>
      <c r="Z114" s="87"/>
      <c r="AA114" s="90"/>
      <c r="AB114" s="87"/>
      <c r="AC114" s="87"/>
      <c r="AD114" s="90"/>
      <c r="AE114" s="87"/>
      <c r="AF114" s="87"/>
      <c r="AG114" s="90"/>
    </row>
    <row r="115" spans="1:33" ht="15.75" thickBot="1" x14ac:dyDescent="0.3">
      <c r="A115" s="68"/>
      <c r="B115" s="68"/>
      <c r="D115" s="88"/>
      <c r="E115" s="88"/>
      <c r="F115" s="91"/>
      <c r="G115" s="88"/>
      <c r="H115" s="88"/>
      <c r="I115" s="91"/>
      <c r="J115" s="88"/>
      <c r="K115" s="88"/>
      <c r="L115" s="91"/>
      <c r="M115" s="88"/>
      <c r="N115" s="88"/>
      <c r="O115" s="91"/>
      <c r="P115" s="88"/>
      <c r="Q115" s="88"/>
      <c r="R115" s="91"/>
      <c r="S115" s="88"/>
      <c r="T115" s="88"/>
      <c r="U115" s="91"/>
      <c r="V115" s="88"/>
      <c r="W115" s="88"/>
      <c r="X115" s="91"/>
      <c r="Y115" s="88"/>
      <c r="Z115" s="88"/>
      <c r="AA115" s="91"/>
      <c r="AB115" s="88"/>
      <c r="AC115" s="88"/>
      <c r="AD115" s="91"/>
      <c r="AE115" s="88"/>
      <c r="AF115" s="88"/>
      <c r="AG115" s="91"/>
    </row>
    <row r="116" spans="1:33" x14ac:dyDescent="0.25">
      <c r="C116" s="64"/>
      <c r="D116" s="92"/>
      <c r="E116" s="92"/>
      <c r="F116" s="93"/>
      <c r="G116" s="92"/>
      <c r="H116" s="92"/>
      <c r="I116" s="93"/>
      <c r="J116" s="92"/>
      <c r="K116" s="92"/>
      <c r="L116" s="93"/>
      <c r="M116" s="92"/>
      <c r="N116" s="92"/>
      <c r="O116" s="93"/>
      <c r="P116" s="92"/>
      <c r="Q116" s="92"/>
      <c r="R116" s="93"/>
      <c r="S116" s="92"/>
      <c r="T116" s="92"/>
      <c r="U116" s="93"/>
      <c r="V116" s="92"/>
      <c r="W116" s="92"/>
      <c r="X116" s="93"/>
      <c r="Y116" s="92"/>
      <c r="Z116" s="92"/>
      <c r="AA116" s="93"/>
      <c r="AB116" s="92"/>
      <c r="AC116" s="92"/>
      <c r="AD116" s="93"/>
      <c r="AE116" s="92"/>
      <c r="AF116" s="92"/>
      <c r="AG116" s="93"/>
    </row>
    <row r="117" spans="1:33" ht="15.75" thickBot="1" x14ac:dyDescent="0.3"/>
    <row r="118" spans="1:33" ht="15.75" thickBot="1" x14ac:dyDescent="0.3">
      <c r="A118" s="68" t="s">
        <v>83</v>
      </c>
      <c r="B118" s="68"/>
      <c r="C118" s="69" t="s">
        <v>74</v>
      </c>
      <c r="D118" s="52" t="s">
        <v>27</v>
      </c>
      <c r="E118" s="52"/>
      <c r="F118" s="52"/>
      <c r="G118" s="73" t="s">
        <v>28</v>
      </c>
      <c r="H118" s="73"/>
      <c r="I118" s="73"/>
      <c r="J118" s="52" t="s">
        <v>29</v>
      </c>
      <c r="K118" s="52"/>
      <c r="L118" s="52"/>
      <c r="M118" s="73" t="s">
        <v>30</v>
      </c>
      <c r="N118" s="73"/>
      <c r="O118" s="73"/>
      <c r="P118" s="52" t="s">
        <v>31</v>
      </c>
      <c r="Q118" s="52"/>
      <c r="R118" s="52"/>
      <c r="S118" s="73" t="s">
        <v>32</v>
      </c>
      <c r="T118" s="73"/>
      <c r="U118" s="73"/>
      <c r="V118" s="52" t="s">
        <v>33</v>
      </c>
      <c r="W118" s="52"/>
      <c r="X118" s="52"/>
      <c r="Y118" s="73" t="s">
        <v>34</v>
      </c>
      <c r="Z118" s="73"/>
      <c r="AA118" s="73"/>
      <c r="AB118" s="52" t="s">
        <v>35</v>
      </c>
      <c r="AC118" s="52"/>
      <c r="AD118" s="52"/>
      <c r="AE118" s="73" t="s">
        <v>36</v>
      </c>
      <c r="AF118" s="73"/>
      <c r="AG118" s="73"/>
    </row>
    <row r="119" spans="1:33" ht="15.75" thickBot="1" x14ac:dyDescent="0.3">
      <c r="A119" s="68"/>
      <c r="B119" s="68"/>
      <c r="C119" s="70" t="s">
        <v>14</v>
      </c>
      <c r="D119" s="74">
        <v>142</v>
      </c>
      <c r="E119" s="75"/>
      <c r="F119" s="76"/>
      <c r="G119" s="74">
        <v>204</v>
      </c>
      <c r="H119" s="75"/>
      <c r="I119" s="76"/>
      <c r="J119" s="74">
        <v>294</v>
      </c>
      <c r="K119" s="75"/>
      <c r="L119" s="76"/>
      <c r="M119" s="74">
        <v>424</v>
      </c>
      <c r="N119" s="75"/>
      <c r="O119" s="76"/>
      <c r="P119" s="74">
        <v>567</v>
      </c>
      <c r="Q119" s="75"/>
      <c r="R119" s="76"/>
      <c r="S119" s="74">
        <v>737</v>
      </c>
      <c r="T119" s="75"/>
      <c r="U119" s="76"/>
      <c r="V119" s="74">
        <v>958</v>
      </c>
      <c r="W119" s="75"/>
      <c r="X119" s="76"/>
      <c r="Y119" s="74">
        <v>1245</v>
      </c>
      <c r="Z119" s="75"/>
      <c r="AA119" s="76"/>
      <c r="AB119" s="74">
        <v>1618</v>
      </c>
      <c r="AC119" s="75"/>
      <c r="AD119" s="76"/>
      <c r="AE119" s="74">
        <v>2103</v>
      </c>
      <c r="AF119" s="75"/>
      <c r="AG119" s="76"/>
    </row>
    <row r="120" spans="1:33" ht="15.75" thickBot="1" x14ac:dyDescent="0.3">
      <c r="A120" s="68"/>
      <c r="B120" s="68"/>
      <c r="C120" s="77" t="s">
        <v>61</v>
      </c>
      <c r="D120" s="81">
        <v>0</v>
      </c>
      <c r="E120" s="82"/>
      <c r="F120" s="84"/>
      <c r="G120" s="85">
        <v>0</v>
      </c>
      <c r="H120" s="82"/>
      <c r="I120" s="84"/>
      <c r="J120" s="85">
        <v>0</v>
      </c>
      <c r="K120" s="82"/>
      <c r="L120" s="84"/>
      <c r="M120" s="85">
        <v>0</v>
      </c>
      <c r="N120" s="82"/>
      <c r="O120" s="82"/>
      <c r="P120" s="81">
        <v>0</v>
      </c>
      <c r="Q120" s="82"/>
      <c r="R120" s="83"/>
      <c r="S120" s="82">
        <v>0</v>
      </c>
      <c r="T120" s="82"/>
      <c r="U120" s="84"/>
      <c r="V120" s="85">
        <v>0</v>
      </c>
      <c r="W120" s="82"/>
      <c r="X120" s="84"/>
      <c r="Y120" s="85">
        <v>0</v>
      </c>
      <c r="Z120" s="82"/>
      <c r="AA120" s="84"/>
      <c r="AB120" s="85">
        <v>0</v>
      </c>
      <c r="AC120" s="82"/>
      <c r="AD120" s="84"/>
      <c r="AE120" s="85">
        <v>0</v>
      </c>
      <c r="AF120" s="82"/>
      <c r="AG120" s="84"/>
    </row>
    <row r="121" spans="1:33" ht="15.75" thickBot="1" x14ac:dyDescent="0.3">
      <c r="A121" s="68"/>
      <c r="B121" s="68"/>
      <c r="C121" s="71" t="s">
        <v>76</v>
      </c>
      <c r="D121" s="78">
        <v>0</v>
      </c>
      <c r="E121" s="79"/>
      <c r="F121" s="79"/>
      <c r="G121" s="78">
        <v>0</v>
      </c>
      <c r="H121" s="79"/>
      <c r="I121" s="80"/>
      <c r="J121" s="78">
        <v>0</v>
      </c>
      <c r="K121" s="79"/>
      <c r="L121" s="80"/>
      <c r="M121" s="78">
        <v>0</v>
      </c>
      <c r="N121" s="79"/>
      <c r="O121" s="80"/>
      <c r="P121" s="78">
        <v>0</v>
      </c>
      <c r="Q121" s="79"/>
      <c r="R121" s="80"/>
      <c r="S121" s="78">
        <v>0</v>
      </c>
      <c r="T121" s="79"/>
      <c r="U121" s="80"/>
      <c r="V121" s="78">
        <v>0</v>
      </c>
      <c r="W121" s="79"/>
      <c r="X121" s="80"/>
      <c r="Y121" s="78">
        <v>0</v>
      </c>
      <c r="Z121" s="79"/>
      <c r="AA121" s="80"/>
      <c r="AB121" s="78">
        <v>0</v>
      </c>
      <c r="AC121" s="79"/>
      <c r="AD121" s="80"/>
      <c r="AE121" s="78">
        <v>0</v>
      </c>
      <c r="AF121" s="79"/>
      <c r="AG121" s="80"/>
    </row>
    <row r="122" spans="1:33" ht="15.75" thickBot="1" x14ac:dyDescent="0.3">
      <c r="A122" s="68"/>
      <c r="B122" s="68"/>
      <c r="C122" s="72" t="s">
        <v>37</v>
      </c>
      <c r="D122" s="86"/>
      <c r="E122" s="86"/>
      <c r="F122" s="89"/>
      <c r="G122" s="86"/>
      <c r="H122" s="86"/>
      <c r="I122" s="89"/>
      <c r="J122" s="86"/>
      <c r="K122" s="86"/>
      <c r="L122" s="89"/>
      <c r="M122" s="86" t="s">
        <v>201</v>
      </c>
      <c r="N122" s="86"/>
      <c r="O122" s="89">
        <v>1</v>
      </c>
      <c r="P122" s="86" t="s">
        <v>201</v>
      </c>
      <c r="Q122" s="86"/>
      <c r="R122" s="89">
        <v>1</v>
      </c>
      <c r="S122" s="86" t="s">
        <v>201</v>
      </c>
      <c r="T122" s="86"/>
      <c r="U122" s="89">
        <v>1</v>
      </c>
      <c r="V122" s="86" t="s">
        <v>201</v>
      </c>
      <c r="W122" s="86"/>
      <c r="X122" s="89">
        <v>1</v>
      </c>
      <c r="Y122" s="86" t="s">
        <v>201</v>
      </c>
      <c r="Z122" s="86"/>
      <c r="AA122" s="89">
        <v>2</v>
      </c>
      <c r="AB122" s="86" t="s">
        <v>201</v>
      </c>
      <c r="AC122" s="86"/>
      <c r="AD122" s="89">
        <v>2</v>
      </c>
      <c r="AE122" s="86" t="s">
        <v>201</v>
      </c>
      <c r="AF122" s="86"/>
      <c r="AG122" s="89">
        <v>2</v>
      </c>
    </row>
    <row r="123" spans="1:33" ht="15.75" thickBot="1" x14ac:dyDescent="0.3">
      <c r="A123" s="68"/>
      <c r="B123" s="68"/>
      <c r="D123" s="87"/>
      <c r="E123" s="87"/>
      <c r="F123" s="90"/>
      <c r="G123" s="87"/>
      <c r="H123" s="87"/>
      <c r="I123" s="90"/>
      <c r="J123" s="87"/>
      <c r="K123" s="87"/>
      <c r="L123" s="90"/>
      <c r="M123" s="87"/>
      <c r="N123" s="87"/>
      <c r="O123" s="90"/>
      <c r="P123" s="87"/>
      <c r="Q123" s="87"/>
      <c r="R123" s="90"/>
      <c r="S123" s="87"/>
      <c r="T123" s="87"/>
      <c r="U123" s="90"/>
      <c r="V123" s="87"/>
      <c r="W123" s="87"/>
      <c r="X123" s="90"/>
      <c r="Y123" s="87"/>
      <c r="Z123" s="87"/>
      <c r="AA123" s="90"/>
      <c r="AB123" s="87"/>
      <c r="AC123" s="87"/>
      <c r="AD123" s="90"/>
      <c r="AE123" s="87"/>
      <c r="AF123" s="87"/>
      <c r="AG123" s="90"/>
    </row>
    <row r="124" spans="1:33" ht="15.75" thickBot="1" x14ac:dyDescent="0.3">
      <c r="A124" s="68"/>
      <c r="B124" s="68"/>
      <c r="D124" s="88"/>
      <c r="E124" s="88"/>
      <c r="F124" s="91"/>
      <c r="G124" s="88"/>
      <c r="H124" s="88"/>
      <c r="I124" s="91"/>
      <c r="J124" s="88"/>
      <c r="K124" s="88"/>
      <c r="L124" s="91"/>
      <c r="M124" s="88"/>
      <c r="N124" s="88"/>
      <c r="O124" s="91"/>
      <c r="P124" s="88"/>
      <c r="Q124" s="88"/>
      <c r="R124" s="91"/>
      <c r="S124" s="88"/>
      <c r="T124" s="88"/>
      <c r="U124" s="91"/>
      <c r="V124" s="88"/>
      <c r="W124" s="88"/>
      <c r="X124" s="91"/>
      <c r="Y124" s="88"/>
      <c r="Z124" s="88"/>
      <c r="AA124" s="91"/>
      <c r="AB124" s="88"/>
      <c r="AC124" s="88"/>
      <c r="AD124" s="91"/>
      <c r="AE124" s="88"/>
      <c r="AF124" s="88"/>
      <c r="AG124" s="91"/>
    </row>
    <row r="126" spans="1:33" ht="15.75" thickBot="1" x14ac:dyDescent="0.3"/>
    <row r="127" spans="1:33" ht="15.75" thickBot="1" x14ac:dyDescent="0.3">
      <c r="A127" s="68" t="s">
        <v>87</v>
      </c>
      <c r="B127" s="68"/>
      <c r="C127" s="69" t="s">
        <v>74</v>
      </c>
      <c r="D127" s="52" t="s">
        <v>27</v>
      </c>
      <c r="E127" s="52"/>
      <c r="F127" s="52"/>
      <c r="G127" s="73" t="s">
        <v>28</v>
      </c>
      <c r="H127" s="73"/>
      <c r="I127" s="73"/>
      <c r="J127" s="52" t="s">
        <v>29</v>
      </c>
      <c r="K127" s="52"/>
      <c r="L127" s="52"/>
      <c r="M127" s="73" t="s">
        <v>30</v>
      </c>
      <c r="N127" s="73"/>
      <c r="O127" s="73"/>
      <c r="P127" s="52" t="s">
        <v>31</v>
      </c>
      <c r="Q127" s="52"/>
      <c r="R127" s="52"/>
      <c r="S127" s="73" t="s">
        <v>32</v>
      </c>
      <c r="T127" s="73"/>
      <c r="U127" s="73"/>
      <c r="V127" s="52" t="s">
        <v>33</v>
      </c>
      <c r="W127" s="52"/>
      <c r="X127" s="52"/>
      <c r="Y127" s="73" t="s">
        <v>34</v>
      </c>
      <c r="Z127" s="73"/>
      <c r="AA127" s="73"/>
      <c r="AB127" s="52" t="s">
        <v>35</v>
      </c>
      <c r="AC127" s="52"/>
      <c r="AD127" s="52"/>
      <c r="AE127" s="73" t="s">
        <v>36</v>
      </c>
      <c r="AF127" s="73"/>
      <c r="AG127" s="73"/>
    </row>
    <row r="128" spans="1:33" ht="15.75" thickBot="1" x14ac:dyDescent="0.3">
      <c r="A128" s="68"/>
      <c r="B128" s="68"/>
      <c r="C128" s="70" t="s">
        <v>14</v>
      </c>
      <c r="D128" s="74">
        <v>142</v>
      </c>
      <c r="E128" s="75"/>
      <c r="F128" s="76"/>
      <c r="G128" s="74">
        <v>204</v>
      </c>
      <c r="H128" s="75"/>
      <c r="I128" s="76"/>
      <c r="J128" s="74">
        <v>294</v>
      </c>
      <c r="K128" s="75"/>
      <c r="L128" s="76"/>
      <c r="M128" s="74">
        <v>424</v>
      </c>
      <c r="N128" s="75"/>
      <c r="O128" s="76"/>
      <c r="P128" s="74">
        <v>567</v>
      </c>
      <c r="Q128" s="75"/>
      <c r="R128" s="76"/>
      <c r="S128" s="74">
        <v>737</v>
      </c>
      <c r="T128" s="75"/>
      <c r="U128" s="76"/>
      <c r="V128" s="74">
        <v>958</v>
      </c>
      <c r="W128" s="75"/>
      <c r="X128" s="76"/>
      <c r="Y128" s="74">
        <v>1245</v>
      </c>
      <c r="Z128" s="75"/>
      <c r="AA128" s="76"/>
      <c r="AB128" s="74">
        <v>1618</v>
      </c>
      <c r="AC128" s="75"/>
      <c r="AD128" s="76"/>
      <c r="AE128" s="74">
        <v>2103</v>
      </c>
      <c r="AF128" s="75"/>
      <c r="AG128" s="76"/>
    </row>
    <row r="129" spans="1:33" ht="15.75" thickBot="1" x14ac:dyDescent="0.3">
      <c r="A129" s="68"/>
      <c r="B129" s="68"/>
      <c r="C129" s="77" t="s">
        <v>61</v>
      </c>
      <c r="D129" s="81">
        <v>0</v>
      </c>
      <c r="E129" s="82"/>
      <c r="F129" s="84"/>
      <c r="G129" s="85">
        <v>0</v>
      </c>
      <c r="H129" s="82"/>
      <c r="I129" s="84"/>
      <c r="J129" s="85">
        <v>0</v>
      </c>
      <c r="K129" s="82"/>
      <c r="L129" s="84"/>
      <c r="M129" s="85">
        <v>0</v>
      </c>
      <c r="N129" s="82"/>
      <c r="O129" s="82"/>
      <c r="P129" s="81">
        <v>0</v>
      </c>
      <c r="Q129" s="82"/>
      <c r="R129" s="83"/>
      <c r="S129" s="82">
        <v>0</v>
      </c>
      <c r="T129" s="82"/>
      <c r="U129" s="84"/>
      <c r="V129" s="85">
        <v>0</v>
      </c>
      <c r="W129" s="82"/>
      <c r="X129" s="84"/>
      <c r="Y129" s="85">
        <v>0</v>
      </c>
      <c r="Z129" s="82"/>
      <c r="AA129" s="84"/>
      <c r="AB129" s="85">
        <v>0</v>
      </c>
      <c r="AC129" s="82"/>
      <c r="AD129" s="84"/>
      <c r="AE129" s="85">
        <v>0</v>
      </c>
      <c r="AF129" s="82"/>
      <c r="AG129" s="84"/>
    </row>
    <row r="130" spans="1:33" ht="15.75" thickBot="1" x14ac:dyDescent="0.3">
      <c r="A130" s="68"/>
      <c r="B130" s="68"/>
      <c r="C130" s="71" t="s">
        <v>76</v>
      </c>
      <c r="D130" s="78">
        <v>0</v>
      </c>
      <c r="E130" s="79"/>
      <c r="F130" s="79"/>
      <c r="G130" s="78">
        <v>0</v>
      </c>
      <c r="H130" s="79"/>
      <c r="I130" s="80"/>
      <c r="J130" s="78">
        <v>0</v>
      </c>
      <c r="K130" s="79"/>
      <c r="L130" s="80"/>
      <c r="M130" s="78">
        <v>0</v>
      </c>
      <c r="N130" s="79"/>
      <c r="O130" s="80"/>
      <c r="P130" s="78">
        <v>0</v>
      </c>
      <c r="Q130" s="79"/>
      <c r="R130" s="80"/>
      <c r="S130" s="78">
        <v>0</v>
      </c>
      <c r="T130" s="79"/>
      <c r="U130" s="80"/>
      <c r="V130" s="78">
        <v>0</v>
      </c>
      <c r="W130" s="79"/>
      <c r="X130" s="80"/>
      <c r="Y130" s="78">
        <v>0</v>
      </c>
      <c r="Z130" s="79"/>
      <c r="AA130" s="80"/>
      <c r="AB130" s="78">
        <v>0</v>
      </c>
      <c r="AC130" s="79"/>
      <c r="AD130" s="80"/>
      <c r="AE130" s="78">
        <v>0</v>
      </c>
      <c r="AF130" s="79"/>
      <c r="AG130" s="80"/>
    </row>
    <row r="131" spans="1:33" ht="15.75" thickBot="1" x14ac:dyDescent="0.3">
      <c r="A131" s="68"/>
      <c r="B131" s="68"/>
      <c r="C131" s="72" t="s">
        <v>37</v>
      </c>
      <c r="D131" s="86"/>
      <c r="E131" s="86"/>
      <c r="F131" s="89"/>
      <c r="G131" s="86"/>
      <c r="H131" s="86"/>
      <c r="I131" s="89"/>
      <c r="J131" s="86"/>
      <c r="K131" s="86"/>
      <c r="L131" s="89"/>
      <c r="M131" s="86"/>
      <c r="N131" s="86"/>
      <c r="O131" s="89"/>
      <c r="P131" s="86"/>
      <c r="Q131" s="86"/>
      <c r="R131" s="89"/>
      <c r="S131" s="86"/>
      <c r="T131" s="86"/>
      <c r="U131" s="89"/>
      <c r="V131" s="86"/>
      <c r="W131" s="86"/>
      <c r="X131" s="89"/>
      <c r="Y131" s="86"/>
      <c r="Z131" s="86"/>
      <c r="AA131" s="89"/>
      <c r="AB131" s="86"/>
      <c r="AC131" s="86"/>
      <c r="AD131" s="89"/>
      <c r="AE131" s="86"/>
      <c r="AF131" s="86"/>
      <c r="AG131" s="89"/>
    </row>
    <row r="132" spans="1:33" ht="15.75" thickBot="1" x14ac:dyDescent="0.3">
      <c r="A132" s="68"/>
      <c r="B132" s="68"/>
      <c r="D132" s="87"/>
      <c r="E132" s="87"/>
      <c r="F132" s="90"/>
      <c r="G132" s="87"/>
      <c r="H132" s="87"/>
      <c r="I132" s="90"/>
      <c r="J132" s="87"/>
      <c r="K132" s="87"/>
      <c r="L132" s="90"/>
      <c r="M132" s="87"/>
      <c r="N132" s="87"/>
      <c r="O132" s="90"/>
      <c r="P132" s="87"/>
      <c r="Q132" s="87"/>
      <c r="R132" s="90"/>
      <c r="S132" s="87"/>
      <c r="T132" s="87"/>
      <c r="U132" s="90"/>
      <c r="V132" s="87"/>
      <c r="W132" s="87"/>
      <c r="X132" s="90"/>
      <c r="Y132" s="87"/>
      <c r="Z132" s="87"/>
      <c r="AA132" s="90"/>
      <c r="AB132" s="87"/>
      <c r="AC132" s="87"/>
      <c r="AD132" s="90"/>
      <c r="AE132" s="87"/>
      <c r="AF132" s="87"/>
      <c r="AG132" s="90"/>
    </row>
    <row r="133" spans="1:33" ht="15.75" thickBot="1" x14ac:dyDescent="0.3">
      <c r="A133" s="68"/>
      <c r="B133" s="68"/>
      <c r="D133" s="88"/>
      <c r="E133" s="88"/>
      <c r="F133" s="91"/>
      <c r="G133" s="88"/>
      <c r="H133" s="88"/>
      <c r="I133" s="91"/>
      <c r="J133" s="88"/>
      <c r="K133" s="88"/>
      <c r="L133" s="91"/>
      <c r="M133" s="88"/>
      <c r="N133" s="88"/>
      <c r="O133" s="91"/>
      <c r="P133" s="88"/>
      <c r="Q133" s="88"/>
      <c r="R133" s="91"/>
      <c r="S133" s="88"/>
      <c r="T133" s="88"/>
      <c r="U133" s="91"/>
      <c r="V133" s="88"/>
      <c r="W133" s="88"/>
      <c r="X133" s="91"/>
      <c r="Y133" s="88"/>
      <c r="Z133" s="88"/>
      <c r="AA133" s="91"/>
      <c r="AB133" s="88"/>
      <c r="AC133" s="88"/>
      <c r="AD133" s="91"/>
      <c r="AE133" s="88"/>
      <c r="AF133" s="88"/>
      <c r="AG133" s="91"/>
    </row>
    <row r="134" spans="1:33" x14ac:dyDescent="0.25">
      <c r="C134" s="64"/>
      <c r="D134" s="92"/>
      <c r="E134" s="92"/>
      <c r="F134" s="93"/>
      <c r="G134" s="92"/>
      <c r="H134" s="92"/>
      <c r="I134" s="93"/>
      <c r="J134" s="92"/>
      <c r="K134" s="92"/>
      <c r="L134" s="93"/>
      <c r="M134" s="92"/>
      <c r="N134" s="92"/>
      <c r="O134" s="93"/>
      <c r="P134" s="92"/>
      <c r="Q134" s="92"/>
      <c r="R134" s="93"/>
      <c r="S134" s="92"/>
      <c r="T134" s="92"/>
      <c r="U134" s="93"/>
      <c r="V134" s="92"/>
      <c r="W134" s="92"/>
      <c r="X134" s="93"/>
      <c r="Y134" s="92"/>
      <c r="Z134" s="92"/>
      <c r="AA134" s="93"/>
      <c r="AB134" s="92"/>
      <c r="AC134" s="92"/>
      <c r="AD134" s="93"/>
      <c r="AE134" s="92"/>
      <c r="AF134" s="92"/>
      <c r="AG134" s="93"/>
    </row>
    <row r="135" spans="1:33" ht="15.75" thickBot="1" x14ac:dyDescent="0.3"/>
    <row r="136" spans="1:33" ht="15.75" thickBot="1" x14ac:dyDescent="0.3">
      <c r="A136" s="68" t="s">
        <v>88</v>
      </c>
      <c r="B136" s="68"/>
      <c r="C136" s="69" t="s">
        <v>74</v>
      </c>
      <c r="D136" s="52" t="s">
        <v>27</v>
      </c>
      <c r="E136" s="52"/>
      <c r="F136" s="52"/>
      <c r="G136" s="73" t="s">
        <v>28</v>
      </c>
      <c r="H136" s="73"/>
      <c r="I136" s="73"/>
      <c r="J136" s="52" t="s">
        <v>29</v>
      </c>
      <c r="K136" s="52"/>
      <c r="L136" s="52"/>
      <c r="M136" s="73" t="s">
        <v>30</v>
      </c>
      <c r="N136" s="73"/>
      <c r="O136" s="73"/>
      <c r="P136" s="52" t="s">
        <v>31</v>
      </c>
      <c r="Q136" s="52"/>
      <c r="R136" s="52"/>
      <c r="S136" s="73" t="s">
        <v>32</v>
      </c>
      <c r="T136" s="73"/>
      <c r="U136" s="73"/>
      <c r="V136" s="52" t="s">
        <v>33</v>
      </c>
      <c r="W136" s="52"/>
      <c r="X136" s="52"/>
      <c r="Y136" s="73" t="s">
        <v>34</v>
      </c>
      <c r="Z136" s="73"/>
      <c r="AA136" s="73"/>
      <c r="AB136" s="52" t="s">
        <v>35</v>
      </c>
      <c r="AC136" s="52"/>
      <c r="AD136" s="52"/>
      <c r="AE136" s="73" t="s">
        <v>36</v>
      </c>
      <c r="AF136" s="73"/>
      <c r="AG136" s="73"/>
    </row>
    <row r="137" spans="1:33" ht="15.75" thickBot="1" x14ac:dyDescent="0.3">
      <c r="A137" s="68"/>
      <c r="B137" s="68"/>
      <c r="C137" s="70" t="s">
        <v>14</v>
      </c>
      <c r="D137" s="74">
        <v>142</v>
      </c>
      <c r="E137" s="75"/>
      <c r="F137" s="76"/>
      <c r="G137" s="74">
        <v>204</v>
      </c>
      <c r="H137" s="75"/>
      <c r="I137" s="76"/>
      <c r="J137" s="74">
        <v>294</v>
      </c>
      <c r="K137" s="75"/>
      <c r="L137" s="76"/>
      <c r="M137" s="74">
        <v>424</v>
      </c>
      <c r="N137" s="75"/>
      <c r="O137" s="76"/>
      <c r="P137" s="74">
        <v>567</v>
      </c>
      <c r="Q137" s="75"/>
      <c r="R137" s="76"/>
      <c r="S137" s="74">
        <v>737</v>
      </c>
      <c r="T137" s="75"/>
      <c r="U137" s="76"/>
      <c r="V137" s="74">
        <v>958</v>
      </c>
      <c r="W137" s="75"/>
      <c r="X137" s="76"/>
      <c r="Y137" s="74">
        <v>1245</v>
      </c>
      <c r="Z137" s="75"/>
      <c r="AA137" s="76"/>
      <c r="AB137" s="74">
        <v>1618</v>
      </c>
      <c r="AC137" s="75"/>
      <c r="AD137" s="76"/>
      <c r="AE137" s="74">
        <v>2103</v>
      </c>
      <c r="AF137" s="75"/>
      <c r="AG137" s="76"/>
    </row>
    <row r="138" spans="1:33" ht="15.75" thickBot="1" x14ac:dyDescent="0.3">
      <c r="A138" s="68"/>
      <c r="B138" s="68"/>
      <c r="C138" s="77" t="s">
        <v>61</v>
      </c>
      <c r="D138" s="81">
        <v>0</v>
      </c>
      <c r="E138" s="82"/>
      <c r="F138" s="84"/>
      <c r="G138" s="85">
        <v>0</v>
      </c>
      <c r="H138" s="82"/>
      <c r="I138" s="84"/>
      <c r="J138" s="85">
        <v>0</v>
      </c>
      <c r="K138" s="82"/>
      <c r="L138" s="84"/>
      <c r="M138" s="85">
        <v>0</v>
      </c>
      <c r="N138" s="82"/>
      <c r="O138" s="82"/>
      <c r="P138" s="81">
        <v>0</v>
      </c>
      <c r="Q138" s="82"/>
      <c r="R138" s="83"/>
      <c r="S138" s="82">
        <v>0</v>
      </c>
      <c r="T138" s="82"/>
      <c r="U138" s="84"/>
      <c r="V138" s="85">
        <v>0</v>
      </c>
      <c r="W138" s="82"/>
      <c r="X138" s="84"/>
      <c r="Y138" s="85">
        <v>0</v>
      </c>
      <c r="Z138" s="82"/>
      <c r="AA138" s="84"/>
      <c r="AB138" s="85">
        <v>0</v>
      </c>
      <c r="AC138" s="82"/>
      <c r="AD138" s="84"/>
      <c r="AE138" s="85">
        <v>0</v>
      </c>
      <c r="AF138" s="82"/>
      <c r="AG138" s="84"/>
    </row>
    <row r="139" spans="1:33" ht="15.75" thickBot="1" x14ac:dyDescent="0.3">
      <c r="A139" s="68"/>
      <c r="B139" s="68"/>
      <c r="C139" s="71" t="s">
        <v>76</v>
      </c>
      <c r="D139" s="78">
        <v>0</v>
      </c>
      <c r="E139" s="79"/>
      <c r="F139" s="79"/>
      <c r="G139" s="78">
        <v>0</v>
      </c>
      <c r="H139" s="79"/>
      <c r="I139" s="80"/>
      <c r="J139" s="78">
        <v>0</v>
      </c>
      <c r="K139" s="79"/>
      <c r="L139" s="80"/>
      <c r="M139" s="78">
        <v>0</v>
      </c>
      <c r="N139" s="79"/>
      <c r="O139" s="80"/>
      <c r="P139" s="78">
        <v>0</v>
      </c>
      <c r="Q139" s="79"/>
      <c r="R139" s="80"/>
      <c r="S139" s="78">
        <v>0</v>
      </c>
      <c r="T139" s="79"/>
      <c r="U139" s="80"/>
      <c r="V139" s="78">
        <v>0</v>
      </c>
      <c r="W139" s="79"/>
      <c r="X139" s="80"/>
      <c r="Y139" s="78">
        <v>0</v>
      </c>
      <c r="Z139" s="79"/>
      <c r="AA139" s="80"/>
      <c r="AB139" s="78">
        <v>0</v>
      </c>
      <c r="AC139" s="79"/>
      <c r="AD139" s="80"/>
      <c r="AE139" s="78">
        <v>0</v>
      </c>
      <c r="AF139" s="79"/>
      <c r="AG139" s="80"/>
    </row>
    <row r="140" spans="1:33" ht="15.75" thickBot="1" x14ac:dyDescent="0.3">
      <c r="A140" s="68"/>
      <c r="B140" s="68"/>
      <c r="C140" s="72" t="s">
        <v>37</v>
      </c>
      <c r="D140" s="86"/>
      <c r="E140" s="86"/>
      <c r="F140" s="89"/>
      <c r="G140" s="86"/>
      <c r="H140" s="86"/>
      <c r="I140" s="89"/>
      <c r="J140" s="86"/>
      <c r="K140" s="86"/>
      <c r="L140" s="89"/>
      <c r="M140" s="86" t="s">
        <v>201</v>
      </c>
      <c r="N140" s="86"/>
      <c r="O140" s="89">
        <v>1</v>
      </c>
      <c r="P140" s="86" t="s">
        <v>201</v>
      </c>
      <c r="Q140" s="86"/>
      <c r="R140" s="89">
        <v>1</v>
      </c>
      <c r="S140" s="86" t="s">
        <v>201</v>
      </c>
      <c r="T140" s="86"/>
      <c r="U140" s="89">
        <v>1</v>
      </c>
      <c r="V140" s="86" t="s">
        <v>201</v>
      </c>
      <c r="W140" s="86"/>
      <c r="X140" s="89">
        <v>1</v>
      </c>
      <c r="Y140" s="86" t="s">
        <v>201</v>
      </c>
      <c r="Z140" s="86"/>
      <c r="AA140" s="89">
        <v>2</v>
      </c>
      <c r="AB140" s="86" t="s">
        <v>201</v>
      </c>
      <c r="AC140" s="86"/>
      <c r="AD140" s="89">
        <v>2</v>
      </c>
      <c r="AE140" s="86" t="s">
        <v>201</v>
      </c>
      <c r="AF140" s="86"/>
      <c r="AG140" s="89">
        <v>2</v>
      </c>
    </row>
    <row r="141" spans="1:33" ht="15.75" thickBot="1" x14ac:dyDescent="0.3">
      <c r="A141" s="68"/>
      <c r="B141" s="68"/>
      <c r="D141" s="87"/>
      <c r="E141" s="87"/>
      <c r="F141" s="90"/>
      <c r="G141" s="87"/>
      <c r="H141" s="87"/>
      <c r="I141" s="90"/>
      <c r="J141" s="87"/>
      <c r="K141" s="87"/>
      <c r="L141" s="90"/>
      <c r="M141" s="87"/>
      <c r="N141" s="87"/>
      <c r="O141" s="90"/>
      <c r="P141" s="87"/>
      <c r="Q141" s="87"/>
      <c r="R141" s="90"/>
      <c r="S141" s="87"/>
      <c r="T141" s="87"/>
      <c r="U141" s="90"/>
      <c r="V141" s="87"/>
      <c r="W141" s="87"/>
      <c r="X141" s="90"/>
      <c r="Y141" s="87"/>
      <c r="Z141" s="87"/>
      <c r="AA141" s="90"/>
      <c r="AB141" s="87"/>
      <c r="AC141" s="87"/>
      <c r="AD141" s="90"/>
      <c r="AE141" s="87"/>
      <c r="AF141" s="87"/>
      <c r="AG141" s="90"/>
    </row>
    <row r="142" spans="1:33" ht="15.75" thickBot="1" x14ac:dyDescent="0.3">
      <c r="A142" s="68"/>
      <c r="B142" s="68"/>
      <c r="D142" s="88"/>
      <c r="E142" s="88"/>
      <c r="F142" s="91"/>
      <c r="G142" s="88"/>
      <c r="H142" s="88"/>
      <c r="I142" s="91"/>
      <c r="J142" s="88"/>
      <c r="K142" s="88"/>
      <c r="L142" s="91"/>
      <c r="M142" s="88"/>
      <c r="N142" s="88"/>
      <c r="O142" s="91"/>
      <c r="P142" s="88"/>
      <c r="Q142" s="88"/>
      <c r="R142" s="91"/>
      <c r="S142" s="88"/>
      <c r="T142" s="88"/>
      <c r="U142" s="91"/>
      <c r="V142" s="88"/>
      <c r="W142" s="88"/>
      <c r="X142" s="91"/>
      <c r="Y142" s="88"/>
      <c r="Z142" s="88"/>
      <c r="AA142" s="91"/>
      <c r="AB142" s="88"/>
      <c r="AC142" s="88"/>
      <c r="AD142" s="91"/>
      <c r="AE142" s="88"/>
      <c r="AF142" s="88"/>
      <c r="AG142" s="91"/>
    </row>
    <row r="144" spans="1:33" ht="15.75" thickBot="1" x14ac:dyDescent="0.3"/>
    <row r="145" spans="1:33" ht="15.75" thickBot="1" x14ac:dyDescent="0.3">
      <c r="A145" s="68" t="s">
        <v>89</v>
      </c>
      <c r="B145" s="68"/>
      <c r="C145" s="69" t="s">
        <v>71</v>
      </c>
      <c r="D145" s="52" t="s">
        <v>27</v>
      </c>
      <c r="E145" s="52"/>
      <c r="F145" s="52"/>
      <c r="G145" s="73" t="s">
        <v>28</v>
      </c>
      <c r="H145" s="73"/>
      <c r="I145" s="73"/>
      <c r="J145" s="52" t="s">
        <v>29</v>
      </c>
      <c r="K145" s="52"/>
      <c r="L145" s="52"/>
      <c r="M145" s="73" t="s">
        <v>30</v>
      </c>
      <c r="N145" s="73"/>
      <c r="O145" s="73"/>
      <c r="P145" s="52" t="s">
        <v>31</v>
      </c>
      <c r="Q145" s="52"/>
      <c r="R145" s="52"/>
      <c r="S145" s="73" t="s">
        <v>32</v>
      </c>
      <c r="T145" s="73"/>
      <c r="U145" s="73"/>
      <c r="V145" s="52" t="s">
        <v>33</v>
      </c>
      <c r="W145" s="52"/>
      <c r="X145" s="52"/>
      <c r="Y145" s="73" t="s">
        <v>34</v>
      </c>
      <c r="Z145" s="73"/>
      <c r="AA145" s="73"/>
      <c r="AB145" s="52" t="s">
        <v>35</v>
      </c>
      <c r="AC145" s="52"/>
      <c r="AD145" s="52"/>
      <c r="AE145" s="73" t="s">
        <v>36</v>
      </c>
      <c r="AF145" s="73"/>
      <c r="AG145" s="73"/>
    </row>
    <row r="146" spans="1:33" ht="15.75" thickBot="1" x14ac:dyDescent="0.3">
      <c r="A146" s="68"/>
      <c r="B146" s="68"/>
      <c r="C146" s="70" t="s">
        <v>14</v>
      </c>
      <c r="D146" s="74">
        <v>142</v>
      </c>
      <c r="E146" s="75"/>
      <c r="F146" s="76"/>
      <c r="G146" s="74">
        <v>204</v>
      </c>
      <c r="H146" s="75"/>
      <c r="I146" s="76"/>
      <c r="J146" s="74">
        <v>294</v>
      </c>
      <c r="K146" s="75"/>
      <c r="L146" s="76"/>
      <c r="M146" s="74">
        <v>424</v>
      </c>
      <c r="N146" s="75"/>
      <c r="O146" s="76"/>
      <c r="P146" s="74">
        <v>567</v>
      </c>
      <c r="Q146" s="75"/>
      <c r="R146" s="76"/>
      <c r="S146" s="74">
        <v>737</v>
      </c>
      <c r="T146" s="75"/>
      <c r="U146" s="76"/>
      <c r="V146" s="74">
        <v>958</v>
      </c>
      <c r="W146" s="75"/>
      <c r="X146" s="76"/>
      <c r="Y146" s="74">
        <v>1245</v>
      </c>
      <c r="Z146" s="75"/>
      <c r="AA146" s="76"/>
      <c r="AB146" s="74">
        <v>1618</v>
      </c>
      <c r="AC146" s="75"/>
      <c r="AD146" s="76"/>
      <c r="AE146" s="74">
        <v>2103</v>
      </c>
      <c r="AF146" s="75"/>
      <c r="AG146" s="76"/>
    </row>
    <row r="147" spans="1:33" ht="15.75" thickBot="1" x14ac:dyDescent="0.3">
      <c r="A147" s="68"/>
      <c r="B147" s="68"/>
      <c r="C147" s="77" t="s">
        <v>55</v>
      </c>
      <c r="D147" s="81">
        <v>0</v>
      </c>
      <c r="E147" s="82"/>
      <c r="F147" s="84"/>
      <c r="G147" s="85">
        <v>0</v>
      </c>
      <c r="H147" s="82"/>
      <c r="I147" s="84"/>
      <c r="J147" s="85">
        <v>0</v>
      </c>
      <c r="K147" s="82"/>
      <c r="L147" s="84"/>
      <c r="M147" s="85">
        <v>0</v>
      </c>
      <c r="N147" s="82"/>
      <c r="O147" s="82"/>
      <c r="P147" s="81">
        <v>0</v>
      </c>
      <c r="Q147" s="82"/>
      <c r="R147" s="83"/>
      <c r="S147" s="82">
        <v>0</v>
      </c>
      <c r="T147" s="82"/>
      <c r="U147" s="84"/>
      <c r="V147" s="85">
        <v>0</v>
      </c>
      <c r="W147" s="82"/>
      <c r="X147" s="84"/>
      <c r="Y147" s="85">
        <v>0</v>
      </c>
      <c r="Z147" s="82"/>
      <c r="AA147" s="84"/>
      <c r="AB147" s="85">
        <v>0</v>
      </c>
      <c r="AC147" s="82"/>
      <c r="AD147" s="84"/>
      <c r="AE147" s="85">
        <v>0</v>
      </c>
      <c r="AF147" s="82"/>
      <c r="AG147" s="84"/>
    </row>
    <row r="148" spans="1:33" ht="15.75" thickBot="1" x14ac:dyDescent="0.3">
      <c r="A148" s="68"/>
      <c r="B148" s="68"/>
      <c r="C148" s="71" t="s">
        <v>76</v>
      </c>
      <c r="D148" s="78">
        <v>0</v>
      </c>
      <c r="E148" s="79"/>
      <c r="F148" s="79"/>
      <c r="G148" s="78">
        <v>0</v>
      </c>
      <c r="H148" s="79"/>
      <c r="I148" s="80"/>
      <c r="J148" s="78">
        <v>0</v>
      </c>
      <c r="K148" s="79"/>
      <c r="L148" s="80"/>
      <c r="M148" s="78">
        <v>0</v>
      </c>
      <c r="N148" s="79"/>
      <c r="O148" s="80"/>
      <c r="P148" s="78">
        <v>0</v>
      </c>
      <c r="Q148" s="79"/>
      <c r="R148" s="80"/>
      <c r="S148" s="78">
        <v>0</v>
      </c>
      <c r="T148" s="79"/>
      <c r="U148" s="80"/>
      <c r="V148" s="78">
        <v>0</v>
      </c>
      <c r="W148" s="79"/>
      <c r="X148" s="80"/>
      <c r="Y148" s="78">
        <v>0</v>
      </c>
      <c r="Z148" s="79"/>
      <c r="AA148" s="80"/>
      <c r="AB148" s="78">
        <v>0</v>
      </c>
      <c r="AC148" s="79"/>
      <c r="AD148" s="80"/>
      <c r="AE148" s="78">
        <v>0</v>
      </c>
      <c r="AF148" s="79"/>
      <c r="AG148" s="80"/>
    </row>
    <row r="149" spans="1:33" ht="15.75" thickBot="1" x14ac:dyDescent="0.3">
      <c r="A149" s="68"/>
      <c r="B149" s="68"/>
      <c r="C149" s="72" t="s">
        <v>37</v>
      </c>
      <c r="D149" s="86"/>
      <c r="E149" s="86"/>
      <c r="F149" s="89"/>
      <c r="G149" s="86"/>
      <c r="H149" s="86"/>
      <c r="I149" s="89"/>
      <c r="J149" s="86"/>
      <c r="K149" s="86"/>
      <c r="L149" s="89"/>
      <c r="M149" s="86"/>
      <c r="N149" s="86"/>
      <c r="O149" s="89"/>
      <c r="P149" s="86"/>
      <c r="Q149" s="86"/>
      <c r="R149" s="89"/>
      <c r="S149" s="86"/>
      <c r="T149" s="86"/>
      <c r="U149" s="89"/>
      <c r="V149" s="86"/>
      <c r="W149" s="86"/>
      <c r="X149" s="89"/>
      <c r="Y149" s="86"/>
      <c r="Z149" s="86"/>
      <c r="AA149" s="89"/>
      <c r="AB149" s="86"/>
      <c r="AC149" s="86"/>
      <c r="AD149" s="89"/>
      <c r="AE149" s="86"/>
      <c r="AF149" s="86"/>
      <c r="AG149" s="89"/>
    </row>
    <row r="150" spans="1:33" ht="15.75" thickBot="1" x14ac:dyDescent="0.3">
      <c r="A150" s="68"/>
      <c r="B150" s="68"/>
      <c r="D150" s="87"/>
      <c r="E150" s="87"/>
      <c r="F150" s="90"/>
      <c r="G150" s="87"/>
      <c r="H150" s="87"/>
      <c r="I150" s="90"/>
      <c r="J150" s="87"/>
      <c r="K150" s="87"/>
      <c r="L150" s="90"/>
      <c r="M150" s="87"/>
      <c r="N150" s="87"/>
      <c r="O150" s="90"/>
      <c r="P150" s="87"/>
      <c r="Q150" s="87"/>
      <c r="R150" s="90"/>
      <c r="S150" s="87"/>
      <c r="T150" s="87"/>
      <c r="U150" s="90"/>
      <c r="V150" s="87"/>
      <c r="W150" s="87"/>
      <c r="X150" s="90"/>
      <c r="Y150" s="87"/>
      <c r="Z150" s="87"/>
      <c r="AA150" s="90"/>
      <c r="AB150" s="87"/>
      <c r="AC150" s="87"/>
      <c r="AD150" s="90"/>
      <c r="AE150" s="87"/>
      <c r="AF150" s="87"/>
      <c r="AG150" s="90"/>
    </row>
    <row r="151" spans="1:33" ht="15.75" thickBot="1" x14ac:dyDescent="0.3">
      <c r="A151" s="68"/>
      <c r="B151" s="68"/>
      <c r="D151" s="88"/>
      <c r="E151" s="88"/>
      <c r="F151" s="91"/>
      <c r="G151" s="88"/>
      <c r="H151" s="88"/>
      <c r="I151" s="91"/>
      <c r="J151" s="88"/>
      <c r="K151" s="88"/>
      <c r="L151" s="91"/>
      <c r="M151" s="88"/>
      <c r="N151" s="88"/>
      <c r="O151" s="91"/>
      <c r="P151" s="88"/>
      <c r="Q151" s="88"/>
      <c r="R151" s="91"/>
      <c r="S151" s="88"/>
      <c r="T151" s="88"/>
      <c r="U151" s="91"/>
      <c r="V151" s="88"/>
      <c r="W151" s="88"/>
      <c r="X151" s="91"/>
      <c r="Y151" s="88"/>
      <c r="Z151" s="88"/>
      <c r="AA151" s="91"/>
      <c r="AB151" s="88"/>
      <c r="AC151" s="88"/>
      <c r="AD151" s="91"/>
      <c r="AE151" s="88"/>
      <c r="AF151" s="88"/>
      <c r="AG151" s="91"/>
    </row>
    <row r="152" spans="1:33" x14ac:dyDescent="0.25">
      <c r="C152" s="64"/>
      <c r="D152" s="92"/>
      <c r="E152" s="92"/>
      <c r="F152" s="93"/>
      <c r="G152" s="92"/>
      <c r="H152" s="92"/>
      <c r="I152" s="93"/>
      <c r="J152" s="92"/>
      <c r="K152" s="92"/>
      <c r="L152" s="93"/>
      <c r="M152" s="92"/>
      <c r="N152" s="92"/>
      <c r="O152" s="93"/>
      <c r="P152" s="92"/>
      <c r="Q152" s="92"/>
      <c r="R152" s="93"/>
      <c r="S152" s="92"/>
      <c r="T152" s="92"/>
      <c r="U152" s="93"/>
      <c r="V152" s="92"/>
      <c r="W152" s="92"/>
      <c r="X152" s="93"/>
      <c r="Y152" s="92"/>
      <c r="Z152" s="92"/>
      <c r="AA152" s="93"/>
      <c r="AB152" s="92"/>
      <c r="AC152" s="92"/>
      <c r="AD152" s="93"/>
      <c r="AE152" s="92"/>
      <c r="AF152" s="92"/>
      <c r="AG152" s="93"/>
    </row>
    <row r="153" spans="1:33" ht="15.75" thickBot="1" x14ac:dyDescent="0.3"/>
    <row r="154" spans="1:33" ht="15.75" thickBot="1" x14ac:dyDescent="0.3">
      <c r="A154" s="68" t="s">
        <v>90</v>
      </c>
      <c r="B154" s="68"/>
      <c r="C154" s="69" t="s">
        <v>71</v>
      </c>
      <c r="D154" s="52" t="s">
        <v>27</v>
      </c>
      <c r="E154" s="52"/>
      <c r="F154" s="52"/>
      <c r="G154" s="73" t="s">
        <v>28</v>
      </c>
      <c r="H154" s="73"/>
      <c r="I154" s="73"/>
      <c r="J154" s="52" t="s">
        <v>29</v>
      </c>
      <c r="K154" s="52"/>
      <c r="L154" s="52"/>
      <c r="M154" s="73" t="s">
        <v>30</v>
      </c>
      <c r="N154" s="73"/>
      <c r="O154" s="73"/>
      <c r="P154" s="52" t="s">
        <v>31</v>
      </c>
      <c r="Q154" s="52"/>
      <c r="R154" s="52"/>
      <c r="S154" s="73" t="s">
        <v>32</v>
      </c>
      <c r="T154" s="73"/>
      <c r="U154" s="73"/>
      <c r="V154" s="52" t="s">
        <v>33</v>
      </c>
      <c r="W154" s="52"/>
      <c r="X154" s="52"/>
      <c r="Y154" s="73" t="s">
        <v>34</v>
      </c>
      <c r="Z154" s="73"/>
      <c r="AA154" s="73"/>
      <c r="AB154" s="52" t="s">
        <v>35</v>
      </c>
      <c r="AC154" s="52"/>
      <c r="AD154" s="52"/>
      <c r="AE154" s="73" t="s">
        <v>36</v>
      </c>
      <c r="AF154" s="73"/>
      <c r="AG154" s="73"/>
    </row>
    <row r="155" spans="1:33" ht="15.75" thickBot="1" x14ac:dyDescent="0.3">
      <c r="A155" s="68"/>
      <c r="B155" s="68"/>
      <c r="C155" s="70" t="s">
        <v>14</v>
      </c>
      <c r="D155" s="74">
        <v>142</v>
      </c>
      <c r="E155" s="75"/>
      <c r="F155" s="76"/>
      <c r="G155" s="74">
        <v>204</v>
      </c>
      <c r="H155" s="75"/>
      <c r="I155" s="76"/>
      <c r="J155" s="74">
        <v>294</v>
      </c>
      <c r="K155" s="75"/>
      <c r="L155" s="76"/>
      <c r="M155" s="74">
        <v>424</v>
      </c>
      <c r="N155" s="75"/>
      <c r="O155" s="76"/>
      <c r="P155" s="74">
        <v>567</v>
      </c>
      <c r="Q155" s="75"/>
      <c r="R155" s="76"/>
      <c r="S155" s="74">
        <v>737</v>
      </c>
      <c r="T155" s="75"/>
      <c r="U155" s="76"/>
      <c r="V155" s="74">
        <v>958</v>
      </c>
      <c r="W155" s="75"/>
      <c r="X155" s="76"/>
      <c r="Y155" s="74">
        <v>1245</v>
      </c>
      <c r="Z155" s="75"/>
      <c r="AA155" s="76"/>
      <c r="AB155" s="74">
        <v>1618</v>
      </c>
      <c r="AC155" s="75"/>
      <c r="AD155" s="76"/>
      <c r="AE155" s="74">
        <v>2103</v>
      </c>
      <c r="AF155" s="75"/>
      <c r="AG155" s="76"/>
    </row>
    <row r="156" spans="1:33" ht="15.75" thickBot="1" x14ac:dyDescent="0.3">
      <c r="A156" s="68"/>
      <c r="B156" s="68"/>
      <c r="C156" s="77" t="s">
        <v>224</v>
      </c>
      <c r="D156" s="81">
        <v>0</v>
      </c>
      <c r="E156" s="82"/>
      <c r="F156" s="84"/>
      <c r="G156" s="85">
        <v>0</v>
      </c>
      <c r="H156" s="82"/>
      <c r="I156" s="84"/>
      <c r="J156" s="85">
        <v>0</v>
      </c>
      <c r="K156" s="82"/>
      <c r="L156" s="84"/>
      <c r="M156" s="85">
        <v>0</v>
      </c>
      <c r="N156" s="82"/>
      <c r="O156" s="82"/>
      <c r="P156" s="81">
        <v>0</v>
      </c>
      <c r="Q156" s="82"/>
      <c r="R156" s="83"/>
      <c r="S156" s="82">
        <v>0</v>
      </c>
      <c r="T156" s="82"/>
      <c r="U156" s="84"/>
      <c r="V156" s="85">
        <v>0</v>
      </c>
      <c r="W156" s="82"/>
      <c r="X156" s="84"/>
      <c r="Y156" s="85">
        <v>0</v>
      </c>
      <c r="Z156" s="82"/>
      <c r="AA156" s="84"/>
      <c r="AB156" s="85">
        <v>0</v>
      </c>
      <c r="AC156" s="82"/>
      <c r="AD156" s="84"/>
      <c r="AE156" s="85">
        <v>0</v>
      </c>
      <c r="AF156" s="82"/>
      <c r="AG156" s="84"/>
    </row>
    <row r="157" spans="1:33" ht="15.75" thickBot="1" x14ac:dyDescent="0.3">
      <c r="A157" s="68"/>
      <c r="B157" s="68"/>
      <c r="C157" s="71" t="s">
        <v>76</v>
      </c>
      <c r="D157" s="78">
        <v>0</v>
      </c>
      <c r="E157" s="79"/>
      <c r="F157" s="79"/>
      <c r="G157" s="78">
        <v>0</v>
      </c>
      <c r="H157" s="79"/>
      <c r="I157" s="80"/>
      <c r="J157" s="78">
        <v>0</v>
      </c>
      <c r="K157" s="79"/>
      <c r="L157" s="80"/>
      <c r="M157" s="78">
        <v>0</v>
      </c>
      <c r="N157" s="79"/>
      <c r="O157" s="80"/>
      <c r="P157" s="78">
        <v>0</v>
      </c>
      <c r="Q157" s="79"/>
      <c r="R157" s="80"/>
      <c r="S157" s="78">
        <v>0</v>
      </c>
      <c r="T157" s="79"/>
      <c r="U157" s="80"/>
      <c r="V157" s="78">
        <v>0</v>
      </c>
      <c r="W157" s="79"/>
      <c r="X157" s="80"/>
      <c r="Y157" s="78">
        <v>0</v>
      </c>
      <c r="Z157" s="79"/>
      <c r="AA157" s="80"/>
      <c r="AB157" s="78">
        <v>0</v>
      </c>
      <c r="AC157" s="79"/>
      <c r="AD157" s="80"/>
      <c r="AE157" s="78">
        <v>0</v>
      </c>
      <c r="AF157" s="79"/>
      <c r="AG157" s="80"/>
    </row>
    <row r="158" spans="1:33" ht="15.75" thickBot="1" x14ac:dyDescent="0.3">
      <c r="A158" s="68"/>
      <c r="B158" s="68"/>
      <c r="C158" s="72" t="s">
        <v>37</v>
      </c>
      <c r="D158" s="86"/>
      <c r="E158" s="86"/>
      <c r="F158" s="89"/>
      <c r="G158" s="86"/>
      <c r="H158" s="86"/>
      <c r="I158" s="89"/>
      <c r="J158" s="86"/>
      <c r="K158" s="86"/>
      <c r="L158" s="89"/>
      <c r="M158" s="86" t="s">
        <v>201</v>
      </c>
      <c r="N158" s="86"/>
      <c r="O158" s="89">
        <v>1</v>
      </c>
      <c r="P158" s="86" t="s">
        <v>201</v>
      </c>
      <c r="Q158" s="86"/>
      <c r="R158" s="89">
        <v>1</v>
      </c>
      <c r="S158" s="86" t="s">
        <v>201</v>
      </c>
      <c r="T158" s="86"/>
      <c r="U158" s="89">
        <v>1</v>
      </c>
      <c r="V158" s="86" t="s">
        <v>201</v>
      </c>
      <c r="W158" s="86"/>
      <c r="X158" s="89">
        <v>1</v>
      </c>
      <c r="Y158" s="86" t="s">
        <v>201</v>
      </c>
      <c r="Z158" s="86"/>
      <c r="AA158" s="89">
        <v>2</v>
      </c>
      <c r="AB158" s="86" t="s">
        <v>201</v>
      </c>
      <c r="AC158" s="86"/>
      <c r="AD158" s="89">
        <v>2</v>
      </c>
      <c r="AE158" s="86" t="s">
        <v>201</v>
      </c>
      <c r="AF158" s="86"/>
      <c r="AG158" s="89">
        <v>2</v>
      </c>
    </row>
    <row r="159" spans="1:33" ht="15.75" thickBot="1" x14ac:dyDescent="0.3">
      <c r="A159" s="68"/>
      <c r="B159" s="68"/>
      <c r="D159" s="87"/>
      <c r="E159" s="87"/>
      <c r="F159" s="90"/>
      <c r="G159" s="87"/>
      <c r="H159" s="87"/>
      <c r="I159" s="90"/>
      <c r="J159" s="87"/>
      <c r="K159" s="87"/>
      <c r="L159" s="90"/>
      <c r="M159" s="87"/>
      <c r="N159" s="87"/>
      <c r="O159" s="90"/>
      <c r="P159" s="87"/>
      <c r="Q159" s="87"/>
      <c r="R159" s="90"/>
      <c r="S159" s="87"/>
      <c r="T159" s="87"/>
      <c r="U159" s="90"/>
      <c r="V159" s="87"/>
      <c r="W159" s="87"/>
      <c r="X159" s="90"/>
      <c r="Y159" s="87"/>
      <c r="Z159" s="87"/>
      <c r="AA159" s="90"/>
      <c r="AB159" s="87"/>
      <c r="AC159" s="87"/>
      <c r="AD159" s="90"/>
      <c r="AE159" s="87"/>
      <c r="AF159" s="87"/>
      <c r="AG159" s="90"/>
    </row>
    <row r="160" spans="1:33" ht="15.75" thickBot="1" x14ac:dyDescent="0.3">
      <c r="A160" s="68"/>
      <c r="B160" s="68"/>
      <c r="D160" s="88"/>
      <c r="E160" s="88"/>
      <c r="F160" s="91"/>
      <c r="G160" s="88"/>
      <c r="H160" s="88"/>
      <c r="I160" s="91"/>
      <c r="J160" s="88"/>
      <c r="K160" s="88"/>
      <c r="L160" s="91"/>
      <c r="M160" s="88"/>
      <c r="N160" s="88"/>
      <c r="O160" s="91"/>
      <c r="P160" s="88"/>
      <c r="Q160" s="88"/>
      <c r="R160" s="91"/>
      <c r="S160" s="88"/>
      <c r="T160" s="88"/>
      <c r="U160" s="91"/>
      <c r="V160" s="88"/>
      <c r="W160" s="88"/>
      <c r="X160" s="91"/>
      <c r="Y160" s="88"/>
      <c r="Z160" s="88"/>
      <c r="AA160" s="91"/>
      <c r="AB160" s="88"/>
      <c r="AC160" s="88"/>
      <c r="AD160" s="91"/>
      <c r="AE160" s="88"/>
      <c r="AF160" s="88"/>
      <c r="AG160" s="91"/>
    </row>
    <row r="162" spans="1:33" ht="15.75" thickBot="1" x14ac:dyDescent="0.3"/>
    <row r="163" spans="1:33" ht="15.75" thickBot="1" x14ac:dyDescent="0.3">
      <c r="A163" s="68" t="s">
        <v>91</v>
      </c>
      <c r="B163" s="68"/>
      <c r="C163" s="69" t="s">
        <v>72</v>
      </c>
      <c r="D163" s="52" t="s">
        <v>27</v>
      </c>
      <c r="E163" s="52"/>
      <c r="F163" s="52"/>
      <c r="G163" s="73" t="s">
        <v>28</v>
      </c>
      <c r="H163" s="73"/>
      <c r="I163" s="73"/>
      <c r="J163" s="52" t="s">
        <v>29</v>
      </c>
      <c r="K163" s="52"/>
      <c r="L163" s="52"/>
      <c r="M163" s="73" t="s">
        <v>30</v>
      </c>
      <c r="N163" s="73"/>
      <c r="O163" s="73"/>
      <c r="P163" s="52" t="s">
        <v>31</v>
      </c>
      <c r="Q163" s="52"/>
      <c r="R163" s="52"/>
      <c r="S163" s="73" t="s">
        <v>32</v>
      </c>
      <c r="T163" s="73"/>
      <c r="U163" s="73"/>
      <c r="V163" s="52" t="s">
        <v>33</v>
      </c>
      <c r="W163" s="52"/>
      <c r="X163" s="52"/>
      <c r="Y163" s="73" t="s">
        <v>34</v>
      </c>
      <c r="Z163" s="73"/>
      <c r="AA163" s="73"/>
      <c r="AB163" s="52" t="s">
        <v>35</v>
      </c>
      <c r="AC163" s="52"/>
      <c r="AD163" s="52"/>
      <c r="AE163" s="73" t="s">
        <v>36</v>
      </c>
      <c r="AF163" s="73"/>
      <c r="AG163" s="73"/>
    </row>
    <row r="164" spans="1:33" ht="15.75" thickBot="1" x14ac:dyDescent="0.3">
      <c r="A164" s="68"/>
      <c r="B164" s="68"/>
      <c r="C164" s="70" t="s">
        <v>14</v>
      </c>
      <c r="D164" s="74">
        <v>142</v>
      </c>
      <c r="E164" s="75"/>
      <c r="F164" s="76"/>
      <c r="G164" s="74">
        <v>204</v>
      </c>
      <c r="H164" s="75"/>
      <c r="I164" s="76"/>
      <c r="J164" s="74">
        <v>294</v>
      </c>
      <c r="K164" s="75"/>
      <c r="L164" s="76"/>
      <c r="M164" s="74">
        <v>424</v>
      </c>
      <c r="N164" s="75"/>
      <c r="O164" s="76"/>
      <c r="P164" s="74">
        <v>567</v>
      </c>
      <c r="Q164" s="75"/>
      <c r="R164" s="76"/>
      <c r="S164" s="74">
        <v>737</v>
      </c>
      <c r="T164" s="75"/>
      <c r="U164" s="76"/>
      <c r="V164" s="74">
        <v>958</v>
      </c>
      <c r="W164" s="75"/>
      <c r="X164" s="76"/>
      <c r="Y164" s="74">
        <v>1245</v>
      </c>
      <c r="Z164" s="75"/>
      <c r="AA164" s="76"/>
      <c r="AB164" s="74">
        <v>1618</v>
      </c>
      <c r="AC164" s="75"/>
      <c r="AD164" s="76"/>
      <c r="AE164" s="74">
        <v>2103</v>
      </c>
      <c r="AF164" s="75"/>
      <c r="AG164" s="76"/>
    </row>
    <row r="165" spans="1:33" ht="15.75" thickBot="1" x14ac:dyDescent="0.3">
      <c r="A165" s="68"/>
      <c r="B165" s="68"/>
      <c r="C165" s="77" t="s">
        <v>62</v>
      </c>
      <c r="D165" s="81">
        <v>0</v>
      </c>
      <c r="E165" s="82"/>
      <c r="F165" s="84"/>
      <c r="G165" s="85">
        <v>0</v>
      </c>
      <c r="H165" s="82"/>
      <c r="I165" s="84"/>
      <c r="J165" s="85">
        <v>0</v>
      </c>
      <c r="K165" s="82"/>
      <c r="L165" s="84"/>
      <c r="M165" s="85">
        <v>0</v>
      </c>
      <c r="N165" s="82"/>
      <c r="O165" s="82"/>
      <c r="P165" s="81">
        <v>0</v>
      </c>
      <c r="Q165" s="82"/>
      <c r="R165" s="83"/>
      <c r="S165" s="82">
        <v>0</v>
      </c>
      <c r="T165" s="82"/>
      <c r="U165" s="84"/>
      <c r="V165" s="85">
        <v>0</v>
      </c>
      <c r="W165" s="82"/>
      <c r="X165" s="84"/>
      <c r="Y165" s="85">
        <v>0</v>
      </c>
      <c r="Z165" s="82"/>
      <c r="AA165" s="84"/>
      <c r="AB165" s="85">
        <v>0</v>
      </c>
      <c r="AC165" s="82"/>
      <c r="AD165" s="84"/>
      <c r="AE165" s="85">
        <v>0</v>
      </c>
      <c r="AF165" s="82"/>
      <c r="AG165" s="84"/>
    </row>
    <row r="166" spans="1:33" ht="15.75" thickBot="1" x14ac:dyDescent="0.3">
      <c r="A166" s="68"/>
      <c r="B166" s="68"/>
      <c r="C166" s="71" t="s">
        <v>76</v>
      </c>
      <c r="D166" s="78">
        <v>0</v>
      </c>
      <c r="E166" s="79"/>
      <c r="F166" s="79"/>
      <c r="G166" s="78">
        <v>0</v>
      </c>
      <c r="H166" s="79"/>
      <c r="I166" s="80"/>
      <c r="J166" s="78">
        <v>0</v>
      </c>
      <c r="K166" s="79"/>
      <c r="L166" s="80"/>
      <c r="M166" s="78">
        <v>0</v>
      </c>
      <c r="N166" s="79"/>
      <c r="O166" s="80"/>
      <c r="P166" s="78">
        <v>0</v>
      </c>
      <c r="Q166" s="79"/>
      <c r="R166" s="80"/>
      <c r="S166" s="78">
        <v>0</v>
      </c>
      <c r="T166" s="79"/>
      <c r="U166" s="80"/>
      <c r="V166" s="78">
        <v>0</v>
      </c>
      <c r="W166" s="79"/>
      <c r="X166" s="80"/>
      <c r="Y166" s="78">
        <v>0</v>
      </c>
      <c r="Z166" s="79"/>
      <c r="AA166" s="80"/>
      <c r="AB166" s="78">
        <v>0</v>
      </c>
      <c r="AC166" s="79"/>
      <c r="AD166" s="80"/>
      <c r="AE166" s="78">
        <v>0</v>
      </c>
      <c r="AF166" s="79"/>
      <c r="AG166" s="80"/>
    </row>
    <row r="167" spans="1:33" ht="15.75" thickBot="1" x14ac:dyDescent="0.3">
      <c r="A167" s="68"/>
      <c r="B167" s="68"/>
      <c r="C167" s="72" t="s">
        <v>37</v>
      </c>
      <c r="D167" s="86"/>
      <c r="E167" s="86"/>
      <c r="F167" s="89"/>
      <c r="G167" s="86"/>
      <c r="H167" s="86"/>
      <c r="I167" s="89"/>
      <c r="J167" s="86"/>
      <c r="K167" s="86"/>
      <c r="L167" s="89"/>
      <c r="M167" s="86"/>
      <c r="N167" s="86"/>
      <c r="O167" s="89"/>
      <c r="P167" s="86"/>
      <c r="Q167" s="86"/>
      <c r="R167" s="89"/>
      <c r="S167" s="86"/>
      <c r="T167" s="86"/>
      <c r="U167" s="89"/>
      <c r="V167" s="86"/>
      <c r="W167" s="86"/>
      <c r="X167" s="89"/>
      <c r="Y167" s="86"/>
      <c r="Z167" s="86"/>
      <c r="AA167" s="89"/>
      <c r="AB167" s="86"/>
      <c r="AC167" s="86"/>
      <c r="AD167" s="89"/>
      <c r="AE167" s="86"/>
      <c r="AF167" s="86"/>
      <c r="AG167" s="89"/>
    </row>
    <row r="168" spans="1:33" ht="15.75" thickBot="1" x14ac:dyDescent="0.3">
      <c r="A168" s="68"/>
      <c r="B168" s="68"/>
      <c r="D168" s="87"/>
      <c r="E168" s="87"/>
      <c r="F168" s="90"/>
      <c r="G168" s="87"/>
      <c r="H168" s="87"/>
      <c r="I168" s="90"/>
      <c r="J168" s="87"/>
      <c r="K168" s="87"/>
      <c r="L168" s="90"/>
      <c r="M168" s="87"/>
      <c r="N168" s="87"/>
      <c r="O168" s="90"/>
      <c r="P168" s="87"/>
      <c r="Q168" s="87"/>
      <c r="R168" s="90"/>
      <c r="S168" s="87"/>
      <c r="T168" s="87"/>
      <c r="U168" s="90"/>
      <c r="V168" s="87"/>
      <c r="W168" s="87"/>
      <c r="X168" s="90"/>
      <c r="Y168" s="87"/>
      <c r="Z168" s="87"/>
      <c r="AA168" s="90"/>
      <c r="AB168" s="87"/>
      <c r="AC168" s="87"/>
      <c r="AD168" s="90"/>
      <c r="AE168" s="87"/>
      <c r="AF168" s="87"/>
      <c r="AG168" s="90"/>
    </row>
    <row r="169" spans="1:33" ht="15.75" thickBot="1" x14ac:dyDescent="0.3">
      <c r="A169" s="68"/>
      <c r="B169" s="68"/>
      <c r="D169" s="88"/>
      <c r="E169" s="88"/>
      <c r="F169" s="91"/>
      <c r="G169" s="88"/>
      <c r="H169" s="88"/>
      <c r="I169" s="91"/>
      <c r="J169" s="88"/>
      <c r="K169" s="88"/>
      <c r="L169" s="91"/>
      <c r="M169" s="88"/>
      <c r="N169" s="88"/>
      <c r="O169" s="91"/>
      <c r="P169" s="88"/>
      <c r="Q169" s="88"/>
      <c r="R169" s="91"/>
      <c r="S169" s="88"/>
      <c r="T169" s="88"/>
      <c r="U169" s="91"/>
      <c r="V169" s="88"/>
      <c r="W169" s="88"/>
      <c r="X169" s="91"/>
      <c r="Y169" s="88"/>
      <c r="Z169" s="88"/>
      <c r="AA169" s="91"/>
      <c r="AB169" s="88"/>
      <c r="AC169" s="88"/>
      <c r="AD169" s="91"/>
      <c r="AE169" s="88"/>
      <c r="AF169" s="88"/>
      <c r="AG169" s="91"/>
    </row>
    <row r="170" spans="1:33" x14ac:dyDescent="0.25">
      <c r="C170" s="64"/>
      <c r="D170" s="92"/>
      <c r="E170" s="92"/>
      <c r="F170" s="93"/>
      <c r="G170" s="92"/>
      <c r="H170" s="92"/>
      <c r="I170" s="93"/>
      <c r="J170" s="92"/>
      <c r="K170" s="92"/>
      <c r="L170" s="93"/>
      <c r="M170" s="92"/>
      <c r="N170" s="92"/>
      <c r="O170" s="93"/>
      <c r="P170" s="92"/>
      <c r="Q170" s="92"/>
      <c r="R170" s="93"/>
      <c r="S170" s="92"/>
      <c r="T170" s="92"/>
      <c r="U170" s="93"/>
      <c r="V170" s="92"/>
      <c r="W170" s="92"/>
      <c r="X170" s="93"/>
      <c r="Y170" s="92"/>
      <c r="Z170" s="92"/>
      <c r="AA170" s="93"/>
      <c r="AB170" s="92"/>
      <c r="AC170" s="92"/>
      <c r="AD170" s="93"/>
      <c r="AE170" s="92"/>
      <c r="AF170" s="92"/>
      <c r="AG170" s="93"/>
    </row>
    <row r="171" spans="1:33" ht="15.75" thickBot="1" x14ac:dyDescent="0.3"/>
    <row r="172" spans="1:33" ht="15.75" thickBot="1" x14ac:dyDescent="0.3">
      <c r="A172" s="68" t="s">
        <v>92</v>
      </c>
      <c r="B172" s="68"/>
      <c r="C172" s="69" t="s">
        <v>74</v>
      </c>
      <c r="D172" s="52" t="s">
        <v>27</v>
      </c>
      <c r="E172" s="52"/>
      <c r="F172" s="52"/>
      <c r="G172" s="73" t="s">
        <v>28</v>
      </c>
      <c r="H172" s="73"/>
      <c r="I172" s="73"/>
      <c r="J172" s="52" t="s">
        <v>29</v>
      </c>
      <c r="K172" s="52"/>
      <c r="L172" s="52"/>
      <c r="M172" s="73" t="s">
        <v>30</v>
      </c>
      <c r="N172" s="73"/>
      <c r="O172" s="73"/>
      <c r="P172" s="52" t="s">
        <v>31</v>
      </c>
      <c r="Q172" s="52"/>
      <c r="R172" s="52"/>
      <c r="S172" s="73" t="s">
        <v>32</v>
      </c>
      <c r="T172" s="73"/>
      <c r="U172" s="73"/>
      <c r="V172" s="52" t="s">
        <v>33</v>
      </c>
      <c r="W172" s="52"/>
      <c r="X172" s="52"/>
      <c r="Y172" s="73" t="s">
        <v>34</v>
      </c>
      <c r="Z172" s="73"/>
      <c r="AA172" s="73"/>
      <c r="AB172" s="52" t="s">
        <v>35</v>
      </c>
      <c r="AC172" s="52"/>
      <c r="AD172" s="52"/>
      <c r="AE172" s="73" t="s">
        <v>36</v>
      </c>
      <c r="AF172" s="73"/>
      <c r="AG172" s="73"/>
    </row>
    <row r="173" spans="1:33" ht="15.75" thickBot="1" x14ac:dyDescent="0.3">
      <c r="A173" s="68"/>
      <c r="B173" s="68"/>
      <c r="C173" s="70" t="s">
        <v>14</v>
      </c>
      <c r="D173" s="74">
        <v>0</v>
      </c>
      <c r="E173" s="75"/>
      <c r="F173" s="76"/>
      <c r="G173" s="74">
        <v>0</v>
      </c>
      <c r="H173" s="75"/>
      <c r="I173" s="76"/>
      <c r="J173" s="74">
        <v>0</v>
      </c>
      <c r="K173" s="75"/>
      <c r="L173" s="76"/>
      <c r="M173" s="74">
        <v>0</v>
      </c>
      <c r="N173" s="75"/>
      <c r="O173" s="76"/>
      <c r="P173" s="74">
        <v>441</v>
      </c>
      <c r="Q173" s="75"/>
      <c r="R173" s="76"/>
      <c r="S173" s="74">
        <v>569</v>
      </c>
      <c r="T173" s="75"/>
      <c r="U173" s="76"/>
      <c r="V173" s="74">
        <v>735</v>
      </c>
      <c r="W173" s="75"/>
      <c r="X173" s="76"/>
      <c r="Y173" s="74">
        <v>948</v>
      </c>
      <c r="Z173" s="75"/>
      <c r="AA173" s="76"/>
      <c r="AB173" s="74">
        <v>1224</v>
      </c>
      <c r="AC173" s="75"/>
      <c r="AD173" s="76"/>
      <c r="AE173" s="74">
        <v>1579</v>
      </c>
      <c r="AF173" s="75"/>
      <c r="AG173" s="76"/>
    </row>
    <row r="174" spans="1:33" ht="15.75" thickBot="1" x14ac:dyDescent="0.3">
      <c r="A174" s="68"/>
      <c r="B174" s="68"/>
      <c r="C174" s="77" t="s">
        <v>63</v>
      </c>
      <c r="D174" s="81">
        <v>0</v>
      </c>
      <c r="E174" s="82"/>
      <c r="F174" s="84"/>
      <c r="G174" s="85">
        <v>0</v>
      </c>
      <c r="H174" s="82"/>
      <c r="I174" s="84"/>
      <c r="J174" s="85">
        <v>0</v>
      </c>
      <c r="K174" s="82"/>
      <c r="L174" s="84"/>
      <c r="M174" s="85">
        <v>0</v>
      </c>
      <c r="N174" s="82"/>
      <c r="O174" s="82"/>
      <c r="P174" s="81">
        <v>367</v>
      </c>
      <c r="Q174" s="82"/>
      <c r="R174" s="83"/>
      <c r="S174" s="82">
        <v>496</v>
      </c>
      <c r="T174" s="82"/>
      <c r="U174" s="84"/>
      <c r="V174" s="85">
        <v>665</v>
      </c>
      <c r="W174" s="82"/>
      <c r="X174" s="84"/>
      <c r="Y174" s="85">
        <v>888</v>
      </c>
      <c r="Z174" s="82"/>
      <c r="AA174" s="84"/>
      <c r="AB174" s="85">
        <v>1183</v>
      </c>
      <c r="AC174" s="82"/>
      <c r="AD174" s="84"/>
      <c r="AE174" s="85">
        <v>1568</v>
      </c>
      <c r="AF174" s="82"/>
      <c r="AG174" s="84"/>
    </row>
    <row r="175" spans="1:33" ht="15.75" thickBot="1" x14ac:dyDescent="0.3">
      <c r="A175" s="68"/>
      <c r="B175" s="68"/>
      <c r="C175" s="71" t="s">
        <v>76</v>
      </c>
      <c r="D175" s="78">
        <v>0</v>
      </c>
      <c r="E175" s="79"/>
      <c r="F175" s="79"/>
      <c r="G175" s="78">
        <v>0</v>
      </c>
      <c r="H175" s="79"/>
      <c r="I175" s="80"/>
      <c r="J175" s="78">
        <v>0</v>
      </c>
      <c r="K175" s="79"/>
      <c r="L175" s="80"/>
      <c r="M175" s="78">
        <v>0</v>
      </c>
      <c r="N175" s="79"/>
      <c r="O175" s="80"/>
      <c r="P175" s="78">
        <v>-30</v>
      </c>
      <c r="Q175" s="79"/>
      <c r="R175" s="80"/>
      <c r="S175" s="78">
        <v>-30</v>
      </c>
      <c r="T175" s="79"/>
      <c r="U175" s="80"/>
      <c r="V175" s="78">
        <v>-30</v>
      </c>
      <c r="W175" s="79"/>
      <c r="X175" s="80"/>
      <c r="Y175" s="78">
        <v>-30</v>
      </c>
      <c r="Z175" s="79"/>
      <c r="AA175" s="80"/>
      <c r="AB175" s="78">
        <v>-30</v>
      </c>
      <c r="AC175" s="79"/>
      <c r="AD175" s="80"/>
      <c r="AE175" s="78">
        <v>-30</v>
      </c>
      <c r="AF175" s="79"/>
      <c r="AG175" s="80"/>
    </row>
    <row r="176" spans="1:33" ht="15.75" thickBot="1" x14ac:dyDescent="0.3">
      <c r="A176" s="68"/>
      <c r="B176" s="68"/>
      <c r="C176" s="72" t="s">
        <v>37</v>
      </c>
      <c r="D176" s="86"/>
      <c r="E176" s="86"/>
      <c r="F176" s="89"/>
      <c r="G176" s="86"/>
      <c r="H176" s="86"/>
      <c r="I176" s="89"/>
      <c r="J176" s="86"/>
      <c r="K176" s="86"/>
      <c r="L176" s="89"/>
      <c r="M176" s="86"/>
      <c r="N176" s="86"/>
      <c r="O176" s="89"/>
      <c r="P176" s="86" t="s">
        <v>8</v>
      </c>
      <c r="Q176" s="86"/>
      <c r="R176" s="89">
        <v>1</v>
      </c>
      <c r="S176" s="86" t="s">
        <v>8</v>
      </c>
      <c r="T176" s="86"/>
      <c r="U176" s="89">
        <v>1</v>
      </c>
      <c r="V176" s="86" t="s">
        <v>8</v>
      </c>
      <c r="W176" s="86"/>
      <c r="X176" s="89">
        <v>1</v>
      </c>
      <c r="Y176" s="86" t="s">
        <v>8</v>
      </c>
      <c r="Z176" s="86"/>
      <c r="AA176" s="89">
        <v>1</v>
      </c>
      <c r="AB176" s="86" t="s">
        <v>8</v>
      </c>
      <c r="AC176" s="86"/>
      <c r="AD176" s="89">
        <v>1</v>
      </c>
      <c r="AE176" s="86" t="s">
        <v>8</v>
      </c>
      <c r="AF176" s="86"/>
      <c r="AG176" s="89">
        <v>1</v>
      </c>
    </row>
    <row r="177" spans="1:33" ht="15.75" thickBot="1" x14ac:dyDescent="0.3">
      <c r="A177" s="68"/>
      <c r="B177" s="68"/>
      <c r="D177" s="87"/>
      <c r="E177" s="87"/>
      <c r="F177" s="90"/>
      <c r="G177" s="87"/>
      <c r="H177" s="87"/>
      <c r="I177" s="90"/>
      <c r="J177" s="87"/>
      <c r="K177" s="87"/>
      <c r="L177" s="90"/>
      <c r="M177" s="87"/>
      <c r="N177" s="87"/>
      <c r="O177" s="90"/>
      <c r="P177" s="87"/>
      <c r="Q177" s="87"/>
      <c r="R177" s="90"/>
      <c r="S177" s="87"/>
      <c r="T177" s="87"/>
      <c r="U177" s="90"/>
      <c r="V177" s="87"/>
      <c r="W177" s="87"/>
      <c r="X177" s="90"/>
      <c r="Y177" s="87"/>
      <c r="Z177" s="87"/>
      <c r="AA177" s="90"/>
      <c r="AB177" s="87"/>
      <c r="AC177" s="87"/>
      <c r="AD177" s="90"/>
      <c r="AE177" s="87"/>
      <c r="AF177" s="87"/>
      <c r="AG177" s="90"/>
    </row>
    <row r="178" spans="1:33" ht="15.75" thickBot="1" x14ac:dyDescent="0.3">
      <c r="A178" s="68"/>
      <c r="B178" s="68"/>
      <c r="D178" s="88"/>
      <c r="E178" s="88"/>
      <c r="F178" s="91"/>
      <c r="G178" s="88"/>
      <c r="H178" s="88"/>
      <c r="I178" s="91"/>
      <c r="J178" s="88"/>
      <c r="K178" s="88"/>
      <c r="L178" s="91"/>
      <c r="M178" s="88"/>
      <c r="N178" s="88"/>
      <c r="O178" s="91"/>
      <c r="P178" s="88"/>
      <c r="Q178" s="88"/>
      <c r="R178" s="91"/>
      <c r="S178" s="88"/>
      <c r="T178" s="88"/>
      <c r="U178" s="91"/>
      <c r="V178" s="88"/>
      <c r="W178" s="88"/>
      <c r="X178" s="91"/>
      <c r="Y178" s="88"/>
      <c r="Z178" s="88"/>
      <c r="AA178" s="91"/>
      <c r="AB178" s="88"/>
      <c r="AC178" s="88"/>
      <c r="AD178" s="91"/>
      <c r="AE178" s="88"/>
      <c r="AF178" s="88"/>
      <c r="AG178" s="91"/>
    </row>
    <row r="180" spans="1:33" ht="15.75" thickBot="1" x14ac:dyDescent="0.3"/>
    <row r="181" spans="1:33" ht="15.75" thickBot="1" x14ac:dyDescent="0.3">
      <c r="A181" s="68" t="s">
        <v>93</v>
      </c>
      <c r="B181" s="68"/>
      <c r="C181" s="69" t="s">
        <v>71</v>
      </c>
      <c r="D181" s="52" t="s">
        <v>27</v>
      </c>
      <c r="E181" s="52"/>
      <c r="F181" s="52"/>
      <c r="G181" s="73" t="s">
        <v>28</v>
      </c>
      <c r="H181" s="73"/>
      <c r="I181" s="73"/>
      <c r="J181" s="52" t="s">
        <v>29</v>
      </c>
      <c r="K181" s="52"/>
      <c r="L181" s="52"/>
      <c r="M181" s="73" t="s">
        <v>30</v>
      </c>
      <c r="N181" s="73"/>
      <c r="O181" s="73"/>
      <c r="P181" s="52" t="s">
        <v>31</v>
      </c>
      <c r="Q181" s="52"/>
      <c r="R181" s="52"/>
      <c r="S181" s="73" t="s">
        <v>32</v>
      </c>
      <c r="T181" s="73"/>
      <c r="U181" s="73"/>
      <c r="V181" s="52" t="s">
        <v>33</v>
      </c>
      <c r="W181" s="52"/>
      <c r="X181" s="52"/>
      <c r="Y181" s="73" t="s">
        <v>34</v>
      </c>
      <c r="Z181" s="73"/>
      <c r="AA181" s="73"/>
      <c r="AB181" s="52" t="s">
        <v>35</v>
      </c>
      <c r="AC181" s="52"/>
      <c r="AD181" s="52"/>
      <c r="AE181" s="73" t="s">
        <v>36</v>
      </c>
      <c r="AF181" s="73"/>
      <c r="AG181" s="73"/>
    </row>
    <row r="182" spans="1:33" ht="15.75" thickBot="1" x14ac:dyDescent="0.3">
      <c r="A182" s="68"/>
      <c r="B182" s="68"/>
      <c r="C182" s="70" t="s">
        <v>14</v>
      </c>
      <c r="D182" s="74">
        <v>142</v>
      </c>
      <c r="E182" s="75"/>
      <c r="F182" s="76"/>
      <c r="G182" s="74">
        <v>204</v>
      </c>
      <c r="H182" s="75"/>
      <c r="I182" s="76"/>
      <c r="J182" s="74">
        <v>294</v>
      </c>
      <c r="K182" s="75"/>
      <c r="L182" s="76"/>
      <c r="M182" s="74">
        <v>424</v>
      </c>
      <c r="N182" s="75"/>
      <c r="O182" s="76"/>
      <c r="P182" s="74">
        <v>567</v>
      </c>
      <c r="Q182" s="75"/>
      <c r="R182" s="76"/>
      <c r="S182" s="74">
        <v>737</v>
      </c>
      <c r="T182" s="75"/>
      <c r="U182" s="76"/>
      <c r="V182" s="74">
        <v>958</v>
      </c>
      <c r="W182" s="75"/>
      <c r="X182" s="76"/>
      <c r="Y182" s="74">
        <v>1245</v>
      </c>
      <c r="Z182" s="75"/>
      <c r="AA182" s="76"/>
      <c r="AB182" s="74">
        <v>1618</v>
      </c>
      <c r="AC182" s="75"/>
      <c r="AD182" s="76"/>
      <c r="AE182" s="74">
        <v>2103</v>
      </c>
      <c r="AF182" s="75"/>
      <c r="AG182" s="76"/>
    </row>
    <row r="183" spans="1:33" ht="15.75" thickBot="1" x14ac:dyDescent="0.3">
      <c r="A183" s="68"/>
      <c r="B183" s="68"/>
      <c r="C183" s="77" t="s">
        <v>62</v>
      </c>
      <c r="D183" s="81">
        <v>0</v>
      </c>
      <c r="E183" s="82"/>
      <c r="F183" s="84"/>
      <c r="G183" s="85">
        <v>0</v>
      </c>
      <c r="H183" s="82"/>
      <c r="I183" s="84"/>
      <c r="J183" s="85">
        <v>0</v>
      </c>
      <c r="K183" s="82"/>
      <c r="L183" s="84"/>
      <c r="M183" s="85">
        <v>0</v>
      </c>
      <c r="N183" s="82"/>
      <c r="O183" s="82"/>
      <c r="P183" s="81">
        <v>0</v>
      </c>
      <c r="Q183" s="82"/>
      <c r="R183" s="83"/>
      <c r="S183" s="82">
        <v>0</v>
      </c>
      <c r="T183" s="82"/>
      <c r="U183" s="84"/>
      <c r="V183" s="85">
        <v>0</v>
      </c>
      <c r="W183" s="82"/>
      <c r="X183" s="84"/>
      <c r="Y183" s="85">
        <v>0</v>
      </c>
      <c r="Z183" s="82"/>
      <c r="AA183" s="84"/>
      <c r="AB183" s="85">
        <v>0</v>
      </c>
      <c r="AC183" s="82"/>
      <c r="AD183" s="84"/>
      <c r="AE183" s="85">
        <v>0</v>
      </c>
      <c r="AF183" s="82"/>
      <c r="AG183" s="84"/>
    </row>
    <row r="184" spans="1:33" ht="15.75" thickBot="1" x14ac:dyDescent="0.3">
      <c r="A184" s="68"/>
      <c r="B184" s="68"/>
      <c r="C184" s="71" t="s">
        <v>76</v>
      </c>
      <c r="D184" s="78">
        <v>0</v>
      </c>
      <c r="E184" s="79"/>
      <c r="F184" s="79"/>
      <c r="G184" s="78">
        <v>0</v>
      </c>
      <c r="H184" s="79"/>
      <c r="I184" s="80"/>
      <c r="J184" s="78">
        <v>0</v>
      </c>
      <c r="K184" s="79"/>
      <c r="L184" s="80"/>
      <c r="M184" s="78">
        <v>0</v>
      </c>
      <c r="N184" s="79"/>
      <c r="O184" s="80"/>
      <c r="P184" s="78">
        <v>0</v>
      </c>
      <c r="Q184" s="79"/>
      <c r="R184" s="80"/>
      <c r="S184" s="78">
        <v>0</v>
      </c>
      <c r="T184" s="79"/>
      <c r="U184" s="80"/>
      <c r="V184" s="78">
        <v>0</v>
      </c>
      <c r="W184" s="79"/>
      <c r="X184" s="80"/>
      <c r="Y184" s="78">
        <v>0</v>
      </c>
      <c r="Z184" s="79"/>
      <c r="AA184" s="80"/>
      <c r="AB184" s="78">
        <v>0</v>
      </c>
      <c r="AC184" s="79"/>
      <c r="AD184" s="80"/>
      <c r="AE184" s="78">
        <v>0</v>
      </c>
      <c r="AF184" s="79"/>
      <c r="AG184" s="80"/>
    </row>
    <row r="185" spans="1:33" ht="15.75" thickBot="1" x14ac:dyDescent="0.3">
      <c r="A185" s="68"/>
      <c r="B185" s="68"/>
      <c r="C185" s="72" t="s">
        <v>37</v>
      </c>
      <c r="D185" s="86"/>
      <c r="E185" s="86"/>
      <c r="F185" s="89"/>
      <c r="G185" s="86"/>
      <c r="H185" s="86"/>
      <c r="I185" s="89"/>
      <c r="J185" s="86"/>
      <c r="K185" s="86"/>
      <c r="L185" s="89"/>
      <c r="M185" s="86"/>
      <c r="N185" s="86"/>
      <c r="O185" s="89"/>
      <c r="P185" s="86"/>
      <c r="Q185" s="86"/>
      <c r="R185" s="89"/>
      <c r="S185" s="86"/>
      <c r="T185" s="86"/>
      <c r="U185" s="89"/>
      <c r="V185" s="86"/>
      <c r="W185" s="86"/>
      <c r="X185" s="89"/>
      <c r="Y185" s="86"/>
      <c r="Z185" s="86"/>
      <c r="AA185" s="89"/>
      <c r="AB185" s="86"/>
      <c r="AC185" s="86"/>
      <c r="AD185" s="89"/>
      <c r="AE185" s="86"/>
      <c r="AF185" s="86"/>
      <c r="AG185" s="89"/>
    </row>
    <row r="186" spans="1:33" ht="15.75" thickBot="1" x14ac:dyDescent="0.3">
      <c r="A186" s="68"/>
      <c r="B186" s="68"/>
      <c r="D186" s="87"/>
      <c r="E186" s="87"/>
      <c r="F186" s="90"/>
      <c r="G186" s="87"/>
      <c r="H186" s="87"/>
      <c r="I186" s="90"/>
      <c r="J186" s="87"/>
      <c r="K186" s="87"/>
      <c r="L186" s="90"/>
      <c r="M186" s="87"/>
      <c r="N186" s="87"/>
      <c r="O186" s="90"/>
      <c r="P186" s="87"/>
      <c r="Q186" s="87"/>
      <c r="R186" s="90"/>
      <c r="S186" s="87"/>
      <c r="T186" s="87"/>
      <c r="U186" s="90"/>
      <c r="V186" s="87"/>
      <c r="W186" s="87"/>
      <c r="X186" s="90"/>
      <c r="Y186" s="87"/>
      <c r="Z186" s="87"/>
      <c r="AA186" s="90"/>
      <c r="AB186" s="87"/>
      <c r="AC186" s="87"/>
      <c r="AD186" s="90"/>
      <c r="AE186" s="87"/>
      <c r="AF186" s="87"/>
      <c r="AG186" s="90"/>
    </row>
    <row r="187" spans="1:33" ht="15.75" thickBot="1" x14ac:dyDescent="0.3">
      <c r="A187" s="68"/>
      <c r="B187" s="68"/>
      <c r="D187" s="88"/>
      <c r="E187" s="88"/>
      <c r="F187" s="91"/>
      <c r="G187" s="88"/>
      <c r="H187" s="88"/>
      <c r="I187" s="91"/>
      <c r="J187" s="88"/>
      <c r="K187" s="88"/>
      <c r="L187" s="91"/>
      <c r="M187" s="88"/>
      <c r="N187" s="88"/>
      <c r="O187" s="91"/>
      <c r="P187" s="88"/>
      <c r="Q187" s="88"/>
      <c r="R187" s="91"/>
      <c r="S187" s="88"/>
      <c r="T187" s="88"/>
      <c r="U187" s="91"/>
      <c r="V187" s="88"/>
      <c r="W187" s="88"/>
      <c r="X187" s="91"/>
      <c r="Y187" s="88"/>
      <c r="Z187" s="88"/>
      <c r="AA187" s="91"/>
      <c r="AB187" s="88"/>
      <c r="AC187" s="88"/>
      <c r="AD187" s="91"/>
      <c r="AE187" s="88"/>
      <c r="AF187" s="88"/>
      <c r="AG187" s="91"/>
    </row>
    <row r="188" spans="1:33" x14ac:dyDescent="0.25">
      <c r="C188" s="64"/>
      <c r="D188" s="92"/>
      <c r="E188" s="92"/>
      <c r="F188" s="93"/>
      <c r="G188" s="92"/>
      <c r="H188" s="92"/>
      <c r="I188" s="93"/>
      <c r="J188" s="92"/>
      <c r="K188" s="92"/>
      <c r="L188" s="93"/>
      <c r="M188" s="92"/>
      <c r="N188" s="92"/>
      <c r="O188" s="93"/>
      <c r="P188" s="92"/>
      <c r="Q188" s="92"/>
      <c r="R188" s="93"/>
      <c r="S188" s="92"/>
      <c r="T188" s="92"/>
      <c r="U188" s="93"/>
      <c r="V188" s="92"/>
      <c r="W188" s="92"/>
      <c r="X188" s="93"/>
      <c r="Y188" s="92"/>
      <c r="Z188" s="92"/>
      <c r="AA188" s="93"/>
      <c r="AB188" s="92"/>
      <c r="AC188" s="92"/>
      <c r="AD188" s="93"/>
      <c r="AE188" s="92"/>
      <c r="AF188" s="92"/>
      <c r="AG188" s="93"/>
    </row>
    <row r="189" spans="1:33" ht="15.75" thickBot="1" x14ac:dyDescent="0.3"/>
    <row r="190" spans="1:33" ht="15.75" thickBot="1" x14ac:dyDescent="0.3">
      <c r="A190" s="68" t="s">
        <v>94</v>
      </c>
      <c r="B190" s="68"/>
      <c r="C190" s="69" t="s">
        <v>74</v>
      </c>
      <c r="D190" s="52" t="s">
        <v>27</v>
      </c>
      <c r="E190" s="52"/>
      <c r="F190" s="52"/>
      <c r="G190" s="73" t="s">
        <v>28</v>
      </c>
      <c r="H190" s="73"/>
      <c r="I190" s="73"/>
      <c r="J190" s="52" t="s">
        <v>29</v>
      </c>
      <c r="K190" s="52"/>
      <c r="L190" s="52"/>
      <c r="M190" s="73" t="s">
        <v>30</v>
      </c>
      <c r="N190" s="73"/>
      <c r="O190" s="73"/>
      <c r="P190" s="52" t="s">
        <v>31</v>
      </c>
      <c r="Q190" s="52"/>
      <c r="R190" s="52"/>
      <c r="S190" s="73" t="s">
        <v>32</v>
      </c>
      <c r="T190" s="73"/>
      <c r="U190" s="73"/>
      <c r="V190" s="52" t="s">
        <v>33</v>
      </c>
      <c r="W190" s="52"/>
      <c r="X190" s="52"/>
      <c r="Y190" s="73" t="s">
        <v>34</v>
      </c>
      <c r="Z190" s="73"/>
      <c r="AA190" s="73"/>
      <c r="AB190" s="52" t="s">
        <v>35</v>
      </c>
      <c r="AC190" s="52"/>
      <c r="AD190" s="52"/>
      <c r="AE190" s="73" t="s">
        <v>36</v>
      </c>
      <c r="AF190" s="73"/>
      <c r="AG190" s="73"/>
    </row>
    <row r="191" spans="1:33" ht="15.75" thickBot="1" x14ac:dyDescent="0.3">
      <c r="A191" s="68"/>
      <c r="B191" s="68"/>
      <c r="C191" s="70" t="s">
        <v>14</v>
      </c>
      <c r="D191" s="74">
        <v>142</v>
      </c>
      <c r="E191" s="75"/>
      <c r="F191" s="76"/>
      <c r="G191" s="74">
        <v>204</v>
      </c>
      <c r="H191" s="75"/>
      <c r="I191" s="76"/>
      <c r="J191" s="74">
        <v>294</v>
      </c>
      <c r="K191" s="75"/>
      <c r="L191" s="76"/>
      <c r="M191" s="74">
        <v>424</v>
      </c>
      <c r="N191" s="75"/>
      <c r="O191" s="76"/>
      <c r="P191" s="74">
        <v>567</v>
      </c>
      <c r="Q191" s="75"/>
      <c r="R191" s="76"/>
      <c r="S191" s="74">
        <v>737</v>
      </c>
      <c r="T191" s="75"/>
      <c r="U191" s="76"/>
      <c r="V191" s="74">
        <v>958</v>
      </c>
      <c r="W191" s="75"/>
      <c r="X191" s="76"/>
      <c r="Y191" s="74">
        <v>1245</v>
      </c>
      <c r="Z191" s="75"/>
      <c r="AA191" s="76"/>
      <c r="AB191" s="74">
        <v>1618</v>
      </c>
      <c r="AC191" s="75"/>
      <c r="AD191" s="76"/>
      <c r="AE191" s="74">
        <v>2103</v>
      </c>
      <c r="AF191" s="75"/>
      <c r="AG191" s="76"/>
    </row>
    <row r="192" spans="1:33" ht="15.75" thickBot="1" x14ac:dyDescent="0.3">
      <c r="A192" s="68"/>
      <c r="B192" s="68"/>
      <c r="C192" s="77" t="s">
        <v>224</v>
      </c>
      <c r="D192" s="81">
        <v>0</v>
      </c>
      <c r="E192" s="82"/>
      <c r="F192" s="84"/>
      <c r="G192" s="85">
        <v>0</v>
      </c>
      <c r="H192" s="82"/>
      <c r="I192" s="84"/>
      <c r="J192" s="85">
        <v>0</v>
      </c>
      <c r="K192" s="82"/>
      <c r="L192" s="84"/>
      <c r="M192" s="85">
        <v>0</v>
      </c>
      <c r="N192" s="82"/>
      <c r="O192" s="82"/>
      <c r="P192" s="81">
        <v>0</v>
      </c>
      <c r="Q192" s="82"/>
      <c r="R192" s="83"/>
      <c r="S192" s="82">
        <v>0</v>
      </c>
      <c r="T192" s="82"/>
      <c r="U192" s="84"/>
      <c r="V192" s="85">
        <v>0</v>
      </c>
      <c r="W192" s="82"/>
      <c r="X192" s="84"/>
      <c r="Y192" s="85">
        <v>0</v>
      </c>
      <c r="Z192" s="82"/>
      <c r="AA192" s="84"/>
      <c r="AB192" s="85">
        <v>0</v>
      </c>
      <c r="AC192" s="82"/>
      <c r="AD192" s="84"/>
      <c r="AE192" s="85">
        <v>0</v>
      </c>
      <c r="AF192" s="82"/>
      <c r="AG192" s="84"/>
    </row>
    <row r="193" spans="1:33" ht="15.75" thickBot="1" x14ac:dyDescent="0.3">
      <c r="A193" s="68"/>
      <c r="B193" s="68"/>
      <c r="C193" s="71" t="s">
        <v>76</v>
      </c>
      <c r="D193" s="78">
        <v>0</v>
      </c>
      <c r="E193" s="79"/>
      <c r="F193" s="79"/>
      <c r="G193" s="78">
        <v>0</v>
      </c>
      <c r="H193" s="79"/>
      <c r="I193" s="80"/>
      <c r="J193" s="78">
        <v>0</v>
      </c>
      <c r="K193" s="79"/>
      <c r="L193" s="80"/>
      <c r="M193" s="78">
        <v>0</v>
      </c>
      <c r="N193" s="79"/>
      <c r="O193" s="80"/>
      <c r="P193" s="78">
        <v>0</v>
      </c>
      <c r="Q193" s="79"/>
      <c r="R193" s="80"/>
      <c r="S193" s="78">
        <v>0</v>
      </c>
      <c r="T193" s="79"/>
      <c r="U193" s="80"/>
      <c r="V193" s="78">
        <v>0</v>
      </c>
      <c r="W193" s="79"/>
      <c r="X193" s="80"/>
      <c r="Y193" s="78">
        <v>0</v>
      </c>
      <c r="Z193" s="79"/>
      <c r="AA193" s="80"/>
      <c r="AB193" s="78">
        <v>0</v>
      </c>
      <c r="AC193" s="79"/>
      <c r="AD193" s="80"/>
      <c r="AE193" s="78">
        <v>0</v>
      </c>
      <c r="AF193" s="79"/>
      <c r="AG193" s="80"/>
    </row>
    <row r="194" spans="1:33" ht="15.75" thickBot="1" x14ac:dyDescent="0.3">
      <c r="A194" s="68"/>
      <c r="B194" s="68"/>
      <c r="C194" s="72" t="s">
        <v>37</v>
      </c>
      <c r="D194" s="86"/>
      <c r="E194" s="86"/>
      <c r="F194" s="89"/>
      <c r="G194" s="86"/>
      <c r="H194" s="86"/>
      <c r="I194" s="89"/>
      <c r="J194" s="86"/>
      <c r="K194" s="86"/>
      <c r="L194" s="89"/>
      <c r="M194" s="86" t="s">
        <v>201</v>
      </c>
      <c r="N194" s="86"/>
      <c r="O194" s="89">
        <v>1</v>
      </c>
      <c r="P194" s="86" t="s">
        <v>201</v>
      </c>
      <c r="Q194" s="86"/>
      <c r="R194" s="89">
        <v>1</v>
      </c>
      <c r="S194" s="86" t="s">
        <v>201</v>
      </c>
      <c r="T194" s="86"/>
      <c r="U194" s="89">
        <v>1</v>
      </c>
      <c r="V194" s="86" t="s">
        <v>201</v>
      </c>
      <c r="W194" s="86"/>
      <c r="X194" s="89">
        <v>1</v>
      </c>
      <c r="Y194" s="86" t="s">
        <v>201</v>
      </c>
      <c r="Z194" s="86"/>
      <c r="AA194" s="89">
        <v>2</v>
      </c>
      <c r="AB194" s="86" t="s">
        <v>201</v>
      </c>
      <c r="AC194" s="86"/>
      <c r="AD194" s="89">
        <v>2</v>
      </c>
      <c r="AE194" s="86" t="s">
        <v>201</v>
      </c>
      <c r="AF194" s="86"/>
      <c r="AG194" s="89">
        <v>2</v>
      </c>
    </row>
    <row r="195" spans="1:33" ht="15.75" thickBot="1" x14ac:dyDescent="0.3">
      <c r="A195" s="68"/>
      <c r="B195" s="68"/>
      <c r="D195" s="87"/>
      <c r="E195" s="87"/>
      <c r="F195" s="90"/>
      <c r="G195" s="87"/>
      <c r="H195" s="87"/>
      <c r="I195" s="90"/>
      <c r="J195" s="87"/>
      <c r="K195" s="87"/>
      <c r="L195" s="90"/>
      <c r="M195" s="87"/>
      <c r="N195" s="87"/>
      <c r="O195" s="90"/>
      <c r="P195" s="87"/>
      <c r="Q195" s="87"/>
      <c r="R195" s="90"/>
      <c r="S195" s="87"/>
      <c r="T195" s="87"/>
      <c r="U195" s="90"/>
      <c r="V195" s="87"/>
      <c r="W195" s="87"/>
      <c r="X195" s="90"/>
      <c r="Y195" s="87"/>
      <c r="Z195" s="87"/>
      <c r="AA195" s="90"/>
      <c r="AB195" s="87"/>
      <c r="AC195" s="87"/>
      <c r="AD195" s="90"/>
      <c r="AE195" s="87"/>
      <c r="AF195" s="87"/>
      <c r="AG195" s="90"/>
    </row>
    <row r="196" spans="1:33" ht="15.75" thickBot="1" x14ac:dyDescent="0.3">
      <c r="A196" s="68"/>
      <c r="B196" s="68"/>
      <c r="D196" s="88"/>
      <c r="E196" s="88"/>
      <c r="F196" s="91"/>
      <c r="G196" s="88"/>
      <c r="H196" s="88"/>
      <c r="I196" s="91"/>
      <c r="J196" s="88"/>
      <c r="K196" s="88"/>
      <c r="L196" s="91"/>
      <c r="M196" s="88"/>
      <c r="N196" s="88"/>
      <c r="O196" s="91"/>
      <c r="P196" s="88"/>
      <c r="Q196" s="88"/>
      <c r="R196" s="91"/>
      <c r="S196" s="88"/>
      <c r="T196" s="88"/>
      <c r="U196" s="91"/>
      <c r="V196" s="88"/>
      <c r="W196" s="88"/>
      <c r="X196" s="91"/>
      <c r="Y196" s="88"/>
      <c r="Z196" s="88"/>
      <c r="AA196" s="91"/>
      <c r="AB196" s="88"/>
      <c r="AC196" s="88"/>
      <c r="AD196" s="91"/>
      <c r="AE196" s="88"/>
      <c r="AF196" s="88"/>
      <c r="AG196" s="91"/>
    </row>
    <row r="198" spans="1:33" ht="15.75" thickBot="1" x14ac:dyDescent="0.3"/>
    <row r="199" spans="1:33" ht="15.75" thickBot="1" x14ac:dyDescent="0.3">
      <c r="A199" s="68" t="s">
        <v>95</v>
      </c>
      <c r="B199" s="68"/>
      <c r="C199" s="69" t="s">
        <v>74</v>
      </c>
      <c r="D199" s="52" t="s">
        <v>27</v>
      </c>
      <c r="E199" s="52"/>
      <c r="F199" s="52"/>
      <c r="G199" s="73" t="s">
        <v>28</v>
      </c>
      <c r="H199" s="73"/>
      <c r="I199" s="73"/>
      <c r="J199" s="52" t="s">
        <v>29</v>
      </c>
      <c r="K199" s="52"/>
      <c r="L199" s="52"/>
      <c r="M199" s="73" t="s">
        <v>30</v>
      </c>
      <c r="N199" s="73"/>
      <c r="O199" s="73"/>
      <c r="P199" s="52" t="s">
        <v>31</v>
      </c>
      <c r="Q199" s="52"/>
      <c r="R199" s="52"/>
      <c r="S199" s="73" t="s">
        <v>32</v>
      </c>
      <c r="T199" s="73"/>
      <c r="U199" s="73"/>
      <c r="V199" s="52" t="s">
        <v>33</v>
      </c>
      <c r="W199" s="52"/>
      <c r="X199" s="52"/>
      <c r="Y199" s="73" t="s">
        <v>34</v>
      </c>
      <c r="Z199" s="73"/>
      <c r="AA199" s="73"/>
      <c r="AB199" s="52" t="s">
        <v>35</v>
      </c>
      <c r="AC199" s="52"/>
      <c r="AD199" s="52"/>
      <c r="AE199" s="73" t="s">
        <v>36</v>
      </c>
      <c r="AF199" s="73"/>
      <c r="AG199" s="73"/>
    </row>
    <row r="200" spans="1:33" ht="15.75" thickBot="1" x14ac:dyDescent="0.3">
      <c r="A200" s="68"/>
      <c r="B200" s="68"/>
      <c r="C200" s="70" t="s">
        <v>14</v>
      </c>
      <c r="D200" s="74">
        <v>142</v>
      </c>
      <c r="E200" s="75"/>
      <c r="F200" s="76"/>
      <c r="G200" s="74">
        <v>204</v>
      </c>
      <c r="H200" s="75"/>
      <c r="I200" s="76"/>
      <c r="J200" s="74">
        <v>294</v>
      </c>
      <c r="K200" s="75"/>
      <c r="L200" s="76"/>
      <c r="M200" s="74">
        <v>424</v>
      </c>
      <c r="N200" s="75"/>
      <c r="O200" s="76"/>
      <c r="P200" s="74">
        <v>567</v>
      </c>
      <c r="Q200" s="75"/>
      <c r="R200" s="76"/>
      <c r="S200" s="74">
        <v>737</v>
      </c>
      <c r="T200" s="75"/>
      <c r="U200" s="76"/>
      <c r="V200" s="74">
        <v>958</v>
      </c>
      <c r="W200" s="75"/>
      <c r="X200" s="76"/>
      <c r="Y200" s="74">
        <v>1245</v>
      </c>
      <c r="Z200" s="75"/>
      <c r="AA200" s="76"/>
      <c r="AB200" s="74">
        <v>1618</v>
      </c>
      <c r="AC200" s="75"/>
      <c r="AD200" s="76"/>
      <c r="AE200" s="74">
        <v>2103</v>
      </c>
      <c r="AF200" s="75"/>
      <c r="AG200" s="76"/>
    </row>
    <row r="201" spans="1:33" ht="15.75" thickBot="1" x14ac:dyDescent="0.3">
      <c r="A201" s="68"/>
      <c r="B201" s="68"/>
      <c r="C201" s="77" t="s">
        <v>57</v>
      </c>
      <c r="D201" s="81">
        <v>0</v>
      </c>
      <c r="E201" s="82"/>
      <c r="F201" s="84"/>
      <c r="G201" s="85">
        <v>0</v>
      </c>
      <c r="H201" s="82"/>
      <c r="I201" s="84"/>
      <c r="J201" s="85">
        <v>0</v>
      </c>
      <c r="K201" s="82"/>
      <c r="L201" s="84"/>
      <c r="M201" s="85">
        <v>0</v>
      </c>
      <c r="N201" s="82"/>
      <c r="O201" s="82"/>
      <c r="P201" s="81">
        <v>0</v>
      </c>
      <c r="Q201" s="82"/>
      <c r="R201" s="83"/>
      <c r="S201" s="82">
        <v>0</v>
      </c>
      <c r="T201" s="82"/>
      <c r="U201" s="84"/>
      <c r="V201" s="85">
        <v>0</v>
      </c>
      <c r="W201" s="82"/>
      <c r="X201" s="84"/>
      <c r="Y201" s="85">
        <v>0</v>
      </c>
      <c r="Z201" s="82"/>
      <c r="AA201" s="84"/>
      <c r="AB201" s="85">
        <v>0</v>
      </c>
      <c r="AC201" s="82"/>
      <c r="AD201" s="84"/>
      <c r="AE201" s="85">
        <v>0</v>
      </c>
      <c r="AF201" s="82"/>
      <c r="AG201" s="84"/>
    </row>
    <row r="202" spans="1:33" ht="15.75" thickBot="1" x14ac:dyDescent="0.3">
      <c r="A202" s="68"/>
      <c r="B202" s="68"/>
      <c r="C202" s="71" t="s">
        <v>76</v>
      </c>
      <c r="D202" s="78">
        <v>0</v>
      </c>
      <c r="E202" s="79"/>
      <c r="F202" s="79"/>
      <c r="G202" s="78">
        <v>0</v>
      </c>
      <c r="H202" s="79"/>
      <c r="I202" s="80"/>
      <c r="J202" s="78">
        <v>0</v>
      </c>
      <c r="K202" s="79"/>
      <c r="L202" s="80"/>
      <c r="M202" s="78">
        <v>0</v>
      </c>
      <c r="N202" s="79"/>
      <c r="O202" s="80"/>
      <c r="P202" s="78">
        <v>0</v>
      </c>
      <c r="Q202" s="79"/>
      <c r="R202" s="80"/>
      <c r="S202" s="78">
        <v>0</v>
      </c>
      <c r="T202" s="79"/>
      <c r="U202" s="80"/>
      <c r="V202" s="78">
        <v>0</v>
      </c>
      <c r="W202" s="79"/>
      <c r="X202" s="80"/>
      <c r="Y202" s="78">
        <v>0</v>
      </c>
      <c r="Z202" s="79"/>
      <c r="AA202" s="80"/>
      <c r="AB202" s="78">
        <v>0</v>
      </c>
      <c r="AC202" s="79"/>
      <c r="AD202" s="80"/>
      <c r="AE202" s="78">
        <v>0</v>
      </c>
      <c r="AF202" s="79"/>
      <c r="AG202" s="80"/>
    </row>
    <row r="203" spans="1:33" ht="15.75" thickBot="1" x14ac:dyDescent="0.3">
      <c r="A203" s="68"/>
      <c r="B203" s="68"/>
      <c r="C203" s="72" t="s">
        <v>37</v>
      </c>
      <c r="D203" s="86"/>
      <c r="E203" s="86"/>
      <c r="F203" s="89"/>
      <c r="G203" s="86"/>
      <c r="H203" s="86"/>
      <c r="I203" s="89"/>
      <c r="J203" s="86"/>
      <c r="K203" s="86"/>
      <c r="L203" s="89"/>
      <c r="M203" s="86"/>
      <c r="N203" s="86"/>
      <c r="O203" s="89"/>
      <c r="P203" s="86"/>
      <c r="Q203" s="86"/>
      <c r="R203" s="89"/>
      <c r="S203" s="86"/>
      <c r="T203" s="86"/>
      <c r="U203" s="89"/>
      <c r="V203" s="86"/>
      <c r="W203" s="86"/>
      <c r="X203" s="89"/>
      <c r="Y203" s="86"/>
      <c r="Z203" s="86"/>
      <c r="AA203" s="89"/>
      <c r="AB203" s="86"/>
      <c r="AC203" s="86"/>
      <c r="AD203" s="89"/>
      <c r="AE203" s="86"/>
      <c r="AF203" s="86"/>
      <c r="AG203" s="89"/>
    </row>
    <row r="204" spans="1:33" ht="15.75" thickBot="1" x14ac:dyDescent="0.3">
      <c r="A204" s="68"/>
      <c r="B204" s="68"/>
      <c r="D204" s="87"/>
      <c r="E204" s="87"/>
      <c r="F204" s="90"/>
      <c r="G204" s="87"/>
      <c r="H204" s="87"/>
      <c r="I204" s="90"/>
      <c r="J204" s="87"/>
      <c r="K204" s="87"/>
      <c r="L204" s="90"/>
      <c r="M204" s="87"/>
      <c r="N204" s="87"/>
      <c r="O204" s="90"/>
      <c r="P204" s="87"/>
      <c r="Q204" s="87"/>
      <c r="R204" s="90"/>
      <c r="S204" s="87"/>
      <c r="T204" s="87"/>
      <c r="U204" s="90"/>
      <c r="V204" s="87"/>
      <c r="W204" s="87"/>
      <c r="X204" s="90"/>
      <c r="Y204" s="87"/>
      <c r="Z204" s="87"/>
      <c r="AA204" s="90"/>
      <c r="AB204" s="87"/>
      <c r="AC204" s="87"/>
      <c r="AD204" s="90"/>
      <c r="AE204" s="87"/>
      <c r="AF204" s="87"/>
      <c r="AG204" s="90"/>
    </row>
    <row r="205" spans="1:33" ht="15.75" thickBot="1" x14ac:dyDescent="0.3">
      <c r="A205" s="68"/>
      <c r="B205" s="68"/>
      <c r="D205" s="88"/>
      <c r="E205" s="88"/>
      <c r="F205" s="91"/>
      <c r="G205" s="88"/>
      <c r="H205" s="88"/>
      <c r="I205" s="91"/>
      <c r="J205" s="88"/>
      <c r="K205" s="88"/>
      <c r="L205" s="91"/>
      <c r="M205" s="88"/>
      <c r="N205" s="88"/>
      <c r="O205" s="91"/>
      <c r="P205" s="88"/>
      <c r="Q205" s="88"/>
      <c r="R205" s="91"/>
      <c r="S205" s="88"/>
      <c r="T205" s="88"/>
      <c r="U205" s="91"/>
      <c r="V205" s="88"/>
      <c r="W205" s="88"/>
      <c r="X205" s="91"/>
      <c r="Y205" s="88"/>
      <c r="Z205" s="88"/>
      <c r="AA205" s="91"/>
      <c r="AB205" s="88"/>
      <c r="AC205" s="88"/>
      <c r="AD205" s="91"/>
      <c r="AE205" s="88"/>
      <c r="AF205" s="88"/>
      <c r="AG205" s="91"/>
    </row>
    <row r="206" spans="1:33" x14ac:dyDescent="0.25">
      <c r="C206" s="64"/>
      <c r="D206" s="92"/>
      <c r="E206" s="92"/>
      <c r="F206" s="93"/>
      <c r="G206" s="92"/>
      <c r="H206" s="92"/>
      <c r="I206" s="93"/>
      <c r="J206" s="92"/>
      <c r="K206" s="92"/>
      <c r="L206" s="93"/>
      <c r="M206" s="92"/>
      <c r="N206" s="92"/>
      <c r="O206" s="93"/>
      <c r="P206" s="92"/>
      <c r="Q206" s="92"/>
      <c r="R206" s="93"/>
      <c r="S206" s="92"/>
      <c r="T206" s="92"/>
      <c r="U206" s="93"/>
      <c r="V206" s="92"/>
      <c r="W206" s="92"/>
      <c r="X206" s="93"/>
      <c r="Y206" s="92"/>
      <c r="Z206" s="92"/>
      <c r="AA206" s="93"/>
      <c r="AB206" s="92"/>
      <c r="AC206" s="92"/>
      <c r="AD206" s="93"/>
      <c r="AE206" s="92"/>
      <c r="AF206" s="92"/>
      <c r="AG206" s="93"/>
    </row>
    <row r="207" spans="1:33" ht="15.75" thickBot="1" x14ac:dyDescent="0.3"/>
    <row r="208" spans="1:33" ht="15.75" thickBot="1" x14ac:dyDescent="0.3">
      <c r="A208" s="68" t="s">
        <v>96</v>
      </c>
      <c r="B208" s="68"/>
      <c r="C208" s="69" t="s">
        <v>72</v>
      </c>
      <c r="D208" s="52" t="s">
        <v>27</v>
      </c>
      <c r="E208" s="52"/>
      <c r="F208" s="52"/>
      <c r="G208" s="73" t="s">
        <v>28</v>
      </c>
      <c r="H208" s="73"/>
      <c r="I208" s="73"/>
      <c r="J208" s="52" t="s">
        <v>29</v>
      </c>
      <c r="K208" s="52"/>
      <c r="L208" s="52"/>
      <c r="M208" s="73" t="s">
        <v>30</v>
      </c>
      <c r="N208" s="73"/>
      <c r="O208" s="73"/>
      <c r="P208" s="52" t="s">
        <v>31</v>
      </c>
      <c r="Q208" s="52"/>
      <c r="R208" s="52"/>
      <c r="S208" s="73" t="s">
        <v>32</v>
      </c>
      <c r="T208" s="73"/>
      <c r="U208" s="73"/>
      <c r="V208" s="52" t="s">
        <v>33</v>
      </c>
      <c r="W208" s="52"/>
      <c r="X208" s="52"/>
      <c r="Y208" s="73" t="s">
        <v>34</v>
      </c>
      <c r="Z208" s="73"/>
      <c r="AA208" s="73"/>
      <c r="AB208" s="52" t="s">
        <v>35</v>
      </c>
      <c r="AC208" s="52"/>
      <c r="AD208" s="52"/>
      <c r="AE208" s="73" t="s">
        <v>36</v>
      </c>
      <c r="AF208" s="73"/>
      <c r="AG208" s="73"/>
    </row>
    <row r="209" spans="1:33" ht="15.75" thickBot="1" x14ac:dyDescent="0.3">
      <c r="A209" s="68"/>
      <c r="B209" s="68"/>
      <c r="C209" s="70" t="s">
        <v>14</v>
      </c>
      <c r="D209" s="74">
        <v>142</v>
      </c>
      <c r="E209" s="75"/>
      <c r="F209" s="76"/>
      <c r="G209" s="74">
        <v>204</v>
      </c>
      <c r="H209" s="75"/>
      <c r="I209" s="76"/>
      <c r="J209" s="74">
        <v>294</v>
      </c>
      <c r="K209" s="75"/>
      <c r="L209" s="76"/>
      <c r="M209" s="74">
        <v>424</v>
      </c>
      <c r="N209" s="75"/>
      <c r="O209" s="76"/>
      <c r="P209" s="74">
        <v>567</v>
      </c>
      <c r="Q209" s="75"/>
      <c r="R209" s="76"/>
      <c r="S209" s="74">
        <v>737</v>
      </c>
      <c r="T209" s="75"/>
      <c r="U209" s="76"/>
      <c r="V209" s="74">
        <v>958</v>
      </c>
      <c r="W209" s="75"/>
      <c r="X209" s="76"/>
      <c r="Y209" s="74">
        <v>1245</v>
      </c>
      <c r="Z209" s="75"/>
      <c r="AA209" s="76"/>
      <c r="AB209" s="74">
        <v>1618</v>
      </c>
      <c r="AC209" s="75"/>
      <c r="AD209" s="76"/>
      <c r="AE209" s="74">
        <v>2103</v>
      </c>
      <c r="AF209" s="75"/>
      <c r="AG209" s="76"/>
    </row>
    <row r="210" spans="1:33" ht="15.75" thickBot="1" x14ac:dyDescent="0.3">
      <c r="A210" s="68"/>
      <c r="B210" s="68"/>
      <c r="C210" s="77" t="s">
        <v>61</v>
      </c>
      <c r="D210" s="81">
        <v>0</v>
      </c>
      <c r="E210" s="82"/>
      <c r="F210" s="84"/>
      <c r="G210" s="85">
        <v>0</v>
      </c>
      <c r="H210" s="82"/>
      <c r="I210" s="84"/>
      <c r="J210" s="85">
        <v>0</v>
      </c>
      <c r="K210" s="82"/>
      <c r="L210" s="84"/>
      <c r="M210" s="85">
        <v>0</v>
      </c>
      <c r="N210" s="82"/>
      <c r="O210" s="82"/>
      <c r="P210" s="81">
        <v>0</v>
      </c>
      <c r="Q210" s="82"/>
      <c r="R210" s="83"/>
      <c r="S210" s="82">
        <v>0</v>
      </c>
      <c r="T210" s="82"/>
      <c r="U210" s="84"/>
      <c r="V210" s="85">
        <v>0</v>
      </c>
      <c r="W210" s="82"/>
      <c r="X210" s="84"/>
      <c r="Y210" s="85">
        <v>0</v>
      </c>
      <c r="Z210" s="82"/>
      <c r="AA210" s="84"/>
      <c r="AB210" s="85">
        <v>0</v>
      </c>
      <c r="AC210" s="82"/>
      <c r="AD210" s="84"/>
      <c r="AE210" s="85">
        <v>0</v>
      </c>
      <c r="AF210" s="82"/>
      <c r="AG210" s="84"/>
    </row>
    <row r="211" spans="1:33" ht="15.75" thickBot="1" x14ac:dyDescent="0.3">
      <c r="A211" s="68"/>
      <c r="B211" s="68"/>
      <c r="C211" s="71" t="s">
        <v>76</v>
      </c>
      <c r="D211" s="78">
        <v>0</v>
      </c>
      <c r="E211" s="79"/>
      <c r="F211" s="79"/>
      <c r="G211" s="78">
        <v>0</v>
      </c>
      <c r="H211" s="79"/>
      <c r="I211" s="80"/>
      <c r="J211" s="78">
        <v>0</v>
      </c>
      <c r="K211" s="79"/>
      <c r="L211" s="80"/>
      <c r="M211" s="78">
        <v>0</v>
      </c>
      <c r="N211" s="79"/>
      <c r="O211" s="80"/>
      <c r="P211" s="78">
        <v>0</v>
      </c>
      <c r="Q211" s="79"/>
      <c r="R211" s="80"/>
      <c r="S211" s="78">
        <v>0</v>
      </c>
      <c r="T211" s="79"/>
      <c r="U211" s="80"/>
      <c r="V211" s="78">
        <v>0</v>
      </c>
      <c r="W211" s="79"/>
      <c r="X211" s="80"/>
      <c r="Y211" s="78">
        <v>0</v>
      </c>
      <c r="Z211" s="79"/>
      <c r="AA211" s="80"/>
      <c r="AB211" s="78">
        <v>0</v>
      </c>
      <c r="AC211" s="79"/>
      <c r="AD211" s="80"/>
      <c r="AE211" s="78">
        <v>0</v>
      </c>
      <c r="AF211" s="79"/>
      <c r="AG211" s="80"/>
    </row>
    <row r="212" spans="1:33" ht="15.75" thickBot="1" x14ac:dyDescent="0.3">
      <c r="A212" s="68"/>
      <c r="B212" s="68"/>
      <c r="C212" s="72" t="s">
        <v>37</v>
      </c>
      <c r="D212" s="86"/>
      <c r="E212" s="86"/>
      <c r="F212" s="89"/>
      <c r="G212" s="86"/>
      <c r="H212" s="86"/>
      <c r="I212" s="89"/>
      <c r="J212" s="86"/>
      <c r="K212" s="86"/>
      <c r="L212" s="89"/>
      <c r="M212" s="86" t="s">
        <v>201</v>
      </c>
      <c r="N212" s="86"/>
      <c r="O212" s="89">
        <v>1</v>
      </c>
      <c r="P212" s="86" t="s">
        <v>201</v>
      </c>
      <c r="Q212" s="86"/>
      <c r="R212" s="89">
        <v>1</v>
      </c>
      <c r="S212" s="86" t="s">
        <v>201</v>
      </c>
      <c r="T212" s="86"/>
      <c r="U212" s="89">
        <v>1</v>
      </c>
      <c r="V212" s="86" t="s">
        <v>201</v>
      </c>
      <c r="W212" s="86"/>
      <c r="X212" s="89">
        <v>1</v>
      </c>
      <c r="Y212" s="86" t="s">
        <v>201</v>
      </c>
      <c r="Z212" s="86"/>
      <c r="AA212" s="89">
        <v>2</v>
      </c>
      <c r="AB212" s="86" t="s">
        <v>201</v>
      </c>
      <c r="AC212" s="86"/>
      <c r="AD212" s="89">
        <v>2</v>
      </c>
      <c r="AE212" s="86" t="s">
        <v>201</v>
      </c>
      <c r="AF212" s="86"/>
      <c r="AG212" s="89">
        <v>2</v>
      </c>
    </row>
    <row r="213" spans="1:33" ht="15.75" thickBot="1" x14ac:dyDescent="0.3">
      <c r="A213" s="68"/>
      <c r="B213" s="68"/>
      <c r="D213" s="87"/>
      <c r="E213" s="87"/>
      <c r="F213" s="90"/>
      <c r="G213" s="87"/>
      <c r="H213" s="87"/>
      <c r="I213" s="90"/>
      <c r="J213" s="87"/>
      <c r="K213" s="87"/>
      <c r="L213" s="90"/>
      <c r="M213" s="87"/>
      <c r="N213" s="87"/>
      <c r="O213" s="90"/>
      <c r="P213" s="87"/>
      <c r="Q213" s="87"/>
      <c r="R213" s="90"/>
      <c r="S213" s="87"/>
      <c r="T213" s="87"/>
      <c r="U213" s="90"/>
      <c r="V213" s="87"/>
      <c r="W213" s="87"/>
      <c r="X213" s="90"/>
      <c r="Y213" s="87"/>
      <c r="Z213" s="87"/>
      <c r="AA213" s="90"/>
      <c r="AB213" s="87"/>
      <c r="AC213" s="87"/>
      <c r="AD213" s="90"/>
      <c r="AE213" s="87"/>
      <c r="AF213" s="87"/>
      <c r="AG213" s="90"/>
    </row>
    <row r="214" spans="1:33" ht="15.75" thickBot="1" x14ac:dyDescent="0.3">
      <c r="A214" s="68"/>
      <c r="B214" s="68"/>
      <c r="D214" s="88"/>
      <c r="E214" s="88"/>
      <c r="F214" s="91"/>
      <c r="G214" s="88"/>
      <c r="H214" s="88"/>
      <c r="I214" s="91"/>
      <c r="J214" s="88"/>
      <c r="K214" s="88"/>
      <c r="L214" s="91"/>
      <c r="M214" s="88"/>
      <c r="N214" s="88"/>
      <c r="O214" s="91"/>
      <c r="P214" s="88"/>
      <c r="Q214" s="88"/>
      <c r="R214" s="91"/>
      <c r="S214" s="88"/>
      <c r="T214" s="88"/>
      <c r="U214" s="91"/>
      <c r="V214" s="88"/>
      <c r="W214" s="88"/>
      <c r="X214" s="91"/>
      <c r="Y214" s="88"/>
      <c r="Z214" s="88"/>
      <c r="AA214" s="91"/>
      <c r="AB214" s="88"/>
      <c r="AC214" s="88"/>
      <c r="AD214" s="91"/>
      <c r="AE214" s="88"/>
      <c r="AF214" s="88"/>
      <c r="AG214" s="91"/>
    </row>
    <row r="216" spans="1:33" ht="15.75" thickBot="1" x14ac:dyDescent="0.3"/>
    <row r="217" spans="1:33" ht="15.75" thickBot="1" x14ac:dyDescent="0.3">
      <c r="A217" s="68" t="s">
        <v>97</v>
      </c>
      <c r="B217" s="68"/>
      <c r="C217" s="69" t="s">
        <v>74</v>
      </c>
      <c r="D217" s="52" t="s">
        <v>27</v>
      </c>
      <c r="E217" s="52"/>
      <c r="F217" s="52"/>
      <c r="G217" s="73" t="s">
        <v>28</v>
      </c>
      <c r="H217" s="73"/>
      <c r="I217" s="73"/>
      <c r="J217" s="52" t="s">
        <v>29</v>
      </c>
      <c r="K217" s="52"/>
      <c r="L217" s="52"/>
      <c r="M217" s="73" t="s">
        <v>30</v>
      </c>
      <c r="N217" s="73"/>
      <c r="O217" s="73"/>
      <c r="P217" s="52" t="s">
        <v>31</v>
      </c>
      <c r="Q217" s="52"/>
      <c r="R217" s="52"/>
      <c r="S217" s="73" t="s">
        <v>32</v>
      </c>
      <c r="T217" s="73"/>
      <c r="U217" s="73"/>
      <c r="V217" s="52" t="s">
        <v>33</v>
      </c>
      <c r="W217" s="52"/>
      <c r="X217" s="52"/>
      <c r="Y217" s="73" t="s">
        <v>34</v>
      </c>
      <c r="Z217" s="73"/>
      <c r="AA217" s="73"/>
      <c r="AB217" s="52" t="s">
        <v>35</v>
      </c>
      <c r="AC217" s="52"/>
      <c r="AD217" s="52"/>
      <c r="AE217" s="73" t="s">
        <v>36</v>
      </c>
      <c r="AF217" s="73"/>
      <c r="AG217" s="73"/>
    </row>
    <row r="218" spans="1:33" ht="15.75" thickBot="1" x14ac:dyDescent="0.3">
      <c r="A218" s="68"/>
      <c r="B218" s="68"/>
      <c r="C218" s="70" t="s">
        <v>14</v>
      </c>
      <c r="D218" s="74">
        <v>142</v>
      </c>
      <c r="E218" s="75"/>
      <c r="F218" s="76"/>
      <c r="G218" s="74">
        <v>204</v>
      </c>
      <c r="H218" s="75"/>
      <c r="I218" s="76"/>
      <c r="J218" s="74">
        <v>294</v>
      </c>
      <c r="K218" s="75"/>
      <c r="L218" s="76"/>
      <c r="M218" s="74">
        <v>424</v>
      </c>
      <c r="N218" s="75"/>
      <c r="O218" s="76"/>
      <c r="P218" s="74">
        <v>567</v>
      </c>
      <c r="Q218" s="75"/>
      <c r="R218" s="76"/>
      <c r="S218" s="74">
        <v>737</v>
      </c>
      <c r="T218" s="75"/>
      <c r="U218" s="76"/>
      <c r="V218" s="74">
        <v>958</v>
      </c>
      <c r="W218" s="75"/>
      <c r="X218" s="76"/>
      <c r="Y218" s="74">
        <v>1245</v>
      </c>
      <c r="Z218" s="75"/>
      <c r="AA218" s="76"/>
      <c r="AB218" s="74">
        <v>1618</v>
      </c>
      <c r="AC218" s="75"/>
      <c r="AD218" s="76"/>
      <c r="AE218" s="74">
        <v>2103</v>
      </c>
      <c r="AF218" s="75"/>
      <c r="AG218" s="76"/>
    </row>
    <row r="219" spans="1:33" ht="15.75" thickBot="1" x14ac:dyDescent="0.3">
      <c r="A219" s="68"/>
      <c r="B219" s="68"/>
      <c r="C219" s="77" t="s">
        <v>119</v>
      </c>
      <c r="D219" s="81">
        <v>0</v>
      </c>
      <c r="E219" s="82"/>
      <c r="F219" s="84"/>
      <c r="G219" s="85">
        <v>0</v>
      </c>
      <c r="H219" s="82"/>
      <c r="I219" s="84"/>
      <c r="J219" s="85">
        <v>0</v>
      </c>
      <c r="K219" s="82"/>
      <c r="L219" s="84"/>
      <c r="M219" s="85">
        <v>0</v>
      </c>
      <c r="N219" s="82"/>
      <c r="O219" s="82"/>
      <c r="P219" s="81">
        <v>0</v>
      </c>
      <c r="Q219" s="82"/>
      <c r="R219" s="83"/>
      <c r="S219" s="82">
        <v>0</v>
      </c>
      <c r="T219" s="82"/>
      <c r="U219" s="84"/>
      <c r="V219" s="85">
        <v>0</v>
      </c>
      <c r="W219" s="82"/>
      <c r="X219" s="84"/>
      <c r="Y219" s="85">
        <v>0</v>
      </c>
      <c r="Z219" s="82"/>
      <c r="AA219" s="84"/>
      <c r="AB219" s="85">
        <v>0</v>
      </c>
      <c r="AC219" s="82"/>
      <c r="AD219" s="84"/>
      <c r="AE219" s="85">
        <v>0</v>
      </c>
      <c r="AF219" s="82"/>
      <c r="AG219" s="84"/>
    </row>
    <row r="220" spans="1:33" ht="15.75" thickBot="1" x14ac:dyDescent="0.3">
      <c r="A220" s="68"/>
      <c r="B220" s="68"/>
      <c r="C220" s="71" t="s">
        <v>76</v>
      </c>
      <c r="D220" s="78">
        <v>0</v>
      </c>
      <c r="E220" s="79"/>
      <c r="F220" s="79"/>
      <c r="G220" s="78">
        <v>0</v>
      </c>
      <c r="H220" s="79"/>
      <c r="I220" s="80"/>
      <c r="J220" s="78">
        <v>0</v>
      </c>
      <c r="K220" s="79"/>
      <c r="L220" s="80"/>
      <c r="M220" s="78">
        <v>0</v>
      </c>
      <c r="N220" s="79"/>
      <c r="O220" s="80"/>
      <c r="P220" s="78">
        <v>0</v>
      </c>
      <c r="Q220" s="79"/>
      <c r="R220" s="80"/>
      <c r="S220" s="78">
        <v>0</v>
      </c>
      <c r="T220" s="79"/>
      <c r="U220" s="80"/>
      <c r="V220" s="78">
        <v>0</v>
      </c>
      <c r="W220" s="79"/>
      <c r="X220" s="80"/>
      <c r="Y220" s="78">
        <v>0</v>
      </c>
      <c r="Z220" s="79"/>
      <c r="AA220" s="80"/>
      <c r="AB220" s="78">
        <v>0</v>
      </c>
      <c r="AC220" s="79"/>
      <c r="AD220" s="80"/>
      <c r="AE220" s="78">
        <v>0</v>
      </c>
      <c r="AF220" s="79"/>
      <c r="AG220" s="80"/>
    </row>
    <row r="221" spans="1:33" ht="15.75" thickBot="1" x14ac:dyDescent="0.3">
      <c r="A221" s="68"/>
      <c r="B221" s="68"/>
      <c r="C221" s="72" t="s">
        <v>37</v>
      </c>
      <c r="D221" s="86"/>
      <c r="E221" s="86"/>
      <c r="F221" s="89"/>
      <c r="G221" s="86"/>
      <c r="H221" s="86"/>
      <c r="I221" s="89"/>
      <c r="J221" s="86"/>
      <c r="K221" s="86"/>
      <c r="L221" s="89"/>
      <c r="M221" s="86"/>
      <c r="N221" s="86"/>
      <c r="O221" s="89"/>
      <c r="P221" s="86"/>
      <c r="Q221" s="86"/>
      <c r="R221" s="89"/>
      <c r="S221" s="86"/>
      <c r="T221" s="86"/>
      <c r="U221" s="89"/>
      <c r="V221" s="86"/>
      <c r="W221" s="86"/>
      <c r="X221" s="89"/>
      <c r="Y221" s="86"/>
      <c r="Z221" s="86"/>
      <c r="AA221" s="89"/>
      <c r="AB221" s="86"/>
      <c r="AC221" s="86"/>
      <c r="AD221" s="89"/>
      <c r="AE221" s="86"/>
      <c r="AF221" s="86"/>
      <c r="AG221" s="89"/>
    </row>
    <row r="222" spans="1:33" ht="15.75" thickBot="1" x14ac:dyDescent="0.3">
      <c r="A222" s="68"/>
      <c r="B222" s="68"/>
      <c r="D222" s="87"/>
      <c r="E222" s="87"/>
      <c r="F222" s="90"/>
      <c r="G222" s="87"/>
      <c r="H222" s="87"/>
      <c r="I222" s="90"/>
      <c r="J222" s="87"/>
      <c r="K222" s="87"/>
      <c r="L222" s="90"/>
      <c r="M222" s="87"/>
      <c r="N222" s="87"/>
      <c r="O222" s="90"/>
      <c r="P222" s="87"/>
      <c r="Q222" s="87"/>
      <c r="R222" s="90"/>
      <c r="S222" s="87"/>
      <c r="T222" s="87"/>
      <c r="U222" s="90"/>
      <c r="V222" s="87"/>
      <c r="W222" s="87"/>
      <c r="X222" s="90"/>
      <c r="Y222" s="87"/>
      <c r="Z222" s="87"/>
      <c r="AA222" s="90"/>
      <c r="AB222" s="87"/>
      <c r="AC222" s="87"/>
      <c r="AD222" s="90"/>
      <c r="AE222" s="87"/>
      <c r="AF222" s="87"/>
      <c r="AG222" s="90"/>
    </row>
    <row r="223" spans="1:33" ht="15.75" thickBot="1" x14ac:dyDescent="0.3">
      <c r="A223" s="68"/>
      <c r="B223" s="68"/>
      <c r="D223" s="88"/>
      <c r="E223" s="88"/>
      <c r="F223" s="91"/>
      <c r="G223" s="88"/>
      <c r="H223" s="88"/>
      <c r="I223" s="91"/>
      <c r="J223" s="88"/>
      <c r="K223" s="88"/>
      <c r="L223" s="91"/>
      <c r="M223" s="88"/>
      <c r="N223" s="88"/>
      <c r="O223" s="91"/>
      <c r="P223" s="88"/>
      <c r="Q223" s="88"/>
      <c r="R223" s="91"/>
      <c r="S223" s="88"/>
      <c r="T223" s="88"/>
      <c r="U223" s="91"/>
      <c r="V223" s="88"/>
      <c r="W223" s="88"/>
      <c r="X223" s="91"/>
      <c r="Y223" s="88"/>
      <c r="Z223" s="88"/>
      <c r="AA223" s="91"/>
      <c r="AB223" s="88"/>
      <c r="AC223" s="88"/>
      <c r="AD223" s="91"/>
      <c r="AE223" s="88"/>
      <c r="AF223" s="88"/>
      <c r="AG223" s="91"/>
    </row>
    <row r="224" spans="1:33" x14ac:dyDescent="0.25">
      <c r="C224" s="64"/>
      <c r="D224" s="92"/>
      <c r="E224" s="92"/>
      <c r="F224" s="93"/>
      <c r="G224" s="92"/>
      <c r="H224" s="92"/>
      <c r="I224" s="93"/>
      <c r="J224" s="92"/>
      <c r="K224" s="92"/>
      <c r="L224" s="93"/>
      <c r="M224" s="92"/>
      <c r="N224" s="92"/>
      <c r="O224" s="93"/>
      <c r="P224" s="92"/>
      <c r="Q224" s="92"/>
      <c r="R224" s="93"/>
      <c r="S224" s="92"/>
      <c r="T224" s="92"/>
      <c r="U224" s="93"/>
      <c r="V224" s="92"/>
      <c r="W224" s="92"/>
      <c r="X224" s="93"/>
      <c r="Y224" s="92"/>
      <c r="Z224" s="92"/>
      <c r="AA224" s="93"/>
      <c r="AB224" s="92"/>
      <c r="AC224" s="92"/>
      <c r="AD224" s="93"/>
      <c r="AE224" s="92"/>
      <c r="AF224" s="92"/>
      <c r="AG224" s="93"/>
    </row>
    <row r="225" spans="1:33" ht="15.75" thickBot="1" x14ac:dyDescent="0.3"/>
    <row r="226" spans="1:33" ht="15.75" thickBot="1" x14ac:dyDescent="0.3">
      <c r="A226" s="68" t="s">
        <v>98</v>
      </c>
      <c r="B226" s="68"/>
      <c r="C226" s="69" t="s">
        <v>71</v>
      </c>
      <c r="D226" s="52" t="s">
        <v>27</v>
      </c>
      <c r="E226" s="52"/>
      <c r="F226" s="52"/>
      <c r="G226" s="73" t="s">
        <v>28</v>
      </c>
      <c r="H226" s="73"/>
      <c r="I226" s="73"/>
      <c r="J226" s="52" t="s">
        <v>29</v>
      </c>
      <c r="K226" s="52"/>
      <c r="L226" s="52"/>
      <c r="M226" s="73" t="s">
        <v>30</v>
      </c>
      <c r="N226" s="73"/>
      <c r="O226" s="73"/>
      <c r="P226" s="52" t="s">
        <v>31</v>
      </c>
      <c r="Q226" s="52"/>
      <c r="R226" s="52"/>
      <c r="S226" s="73" t="s">
        <v>32</v>
      </c>
      <c r="T226" s="73"/>
      <c r="U226" s="73"/>
      <c r="V226" s="52" t="s">
        <v>33</v>
      </c>
      <c r="W226" s="52"/>
      <c r="X226" s="52"/>
      <c r="Y226" s="73" t="s">
        <v>34</v>
      </c>
      <c r="Z226" s="73"/>
      <c r="AA226" s="73"/>
      <c r="AB226" s="52" t="s">
        <v>35</v>
      </c>
      <c r="AC226" s="52"/>
      <c r="AD226" s="52"/>
      <c r="AE226" s="73" t="s">
        <v>36</v>
      </c>
      <c r="AF226" s="73"/>
      <c r="AG226" s="73"/>
    </row>
    <row r="227" spans="1:33" ht="15.75" thickBot="1" x14ac:dyDescent="0.3">
      <c r="A227" s="68"/>
      <c r="B227" s="68"/>
      <c r="C227" s="70" t="s">
        <v>14</v>
      </c>
      <c r="D227" s="74">
        <v>142</v>
      </c>
      <c r="E227" s="75"/>
      <c r="F227" s="76"/>
      <c r="G227" s="74">
        <v>204</v>
      </c>
      <c r="H227" s="75"/>
      <c r="I227" s="76"/>
      <c r="J227" s="74">
        <v>294</v>
      </c>
      <c r="K227" s="75"/>
      <c r="L227" s="76"/>
      <c r="M227" s="74">
        <v>424</v>
      </c>
      <c r="N227" s="75"/>
      <c r="O227" s="76"/>
      <c r="P227" s="74">
        <v>567</v>
      </c>
      <c r="Q227" s="75"/>
      <c r="R227" s="76"/>
      <c r="S227" s="74">
        <v>737</v>
      </c>
      <c r="T227" s="75"/>
      <c r="U227" s="76"/>
      <c r="V227" s="74">
        <v>958</v>
      </c>
      <c r="W227" s="75"/>
      <c r="X227" s="76"/>
      <c r="Y227" s="74">
        <v>1245</v>
      </c>
      <c r="Z227" s="75"/>
      <c r="AA227" s="76"/>
      <c r="AB227" s="74">
        <v>1618</v>
      </c>
      <c r="AC227" s="75"/>
      <c r="AD227" s="76"/>
      <c r="AE227" s="74">
        <v>2103</v>
      </c>
      <c r="AF227" s="75"/>
      <c r="AG227" s="76"/>
    </row>
    <row r="228" spans="1:33" ht="15.75" thickBot="1" x14ac:dyDescent="0.3">
      <c r="A228" s="68"/>
      <c r="B228" s="68"/>
      <c r="C228" s="77" t="s">
        <v>62</v>
      </c>
      <c r="D228" s="81">
        <v>0</v>
      </c>
      <c r="E228" s="82"/>
      <c r="F228" s="84"/>
      <c r="G228" s="85">
        <v>0</v>
      </c>
      <c r="H228" s="82"/>
      <c r="I228" s="84"/>
      <c r="J228" s="85">
        <v>0</v>
      </c>
      <c r="K228" s="82"/>
      <c r="L228" s="84"/>
      <c r="M228" s="85">
        <v>0</v>
      </c>
      <c r="N228" s="82"/>
      <c r="O228" s="82"/>
      <c r="P228" s="81">
        <v>0</v>
      </c>
      <c r="Q228" s="82"/>
      <c r="R228" s="83"/>
      <c r="S228" s="82">
        <v>0</v>
      </c>
      <c r="T228" s="82"/>
      <c r="U228" s="84"/>
      <c r="V228" s="85">
        <v>0</v>
      </c>
      <c r="W228" s="82"/>
      <c r="X228" s="84"/>
      <c r="Y228" s="85">
        <v>0</v>
      </c>
      <c r="Z228" s="82"/>
      <c r="AA228" s="84"/>
      <c r="AB228" s="85">
        <v>0</v>
      </c>
      <c r="AC228" s="82"/>
      <c r="AD228" s="84"/>
      <c r="AE228" s="85">
        <v>0</v>
      </c>
      <c r="AF228" s="82"/>
      <c r="AG228" s="84"/>
    </row>
    <row r="229" spans="1:33" ht="15.75" thickBot="1" x14ac:dyDescent="0.3">
      <c r="A229" s="68"/>
      <c r="B229" s="68"/>
      <c r="C229" s="71" t="s">
        <v>76</v>
      </c>
      <c r="D229" s="78">
        <v>0</v>
      </c>
      <c r="E229" s="79"/>
      <c r="F229" s="79"/>
      <c r="G229" s="78">
        <v>0</v>
      </c>
      <c r="H229" s="79"/>
      <c r="I229" s="80"/>
      <c r="J229" s="78">
        <v>0</v>
      </c>
      <c r="K229" s="79"/>
      <c r="L229" s="80"/>
      <c r="M229" s="78">
        <v>0</v>
      </c>
      <c r="N229" s="79"/>
      <c r="O229" s="80"/>
      <c r="P229" s="78">
        <v>0</v>
      </c>
      <c r="Q229" s="79"/>
      <c r="R229" s="80"/>
      <c r="S229" s="78">
        <v>0</v>
      </c>
      <c r="T229" s="79"/>
      <c r="U229" s="80"/>
      <c r="V229" s="78">
        <v>0</v>
      </c>
      <c r="W229" s="79"/>
      <c r="X229" s="80"/>
      <c r="Y229" s="78">
        <v>0</v>
      </c>
      <c r="Z229" s="79"/>
      <c r="AA229" s="80"/>
      <c r="AB229" s="78">
        <v>0</v>
      </c>
      <c r="AC229" s="79"/>
      <c r="AD229" s="80"/>
      <c r="AE229" s="78">
        <v>0</v>
      </c>
      <c r="AF229" s="79"/>
      <c r="AG229" s="80"/>
    </row>
    <row r="230" spans="1:33" ht="15.75" thickBot="1" x14ac:dyDescent="0.3">
      <c r="A230" s="68"/>
      <c r="B230" s="68"/>
      <c r="C230" s="72" t="s">
        <v>37</v>
      </c>
      <c r="D230" s="86"/>
      <c r="E230" s="86"/>
      <c r="F230" s="89"/>
      <c r="G230" s="86"/>
      <c r="H230" s="86"/>
      <c r="I230" s="89"/>
      <c r="J230" s="86"/>
      <c r="K230" s="86"/>
      <c r="L230" s="89"/>
      <c r="M230" s="86" t="s">
        <v>201</v>
      </c>
      <c r="N230" s="86"/>
      <c r="O230" s="89">
        <v>1</v>
      </c>
      <c r="P230" s="86" t="s">
        <v>201</v>
      </c>
      <c r="Q230" s="86"/>
      <c r="R230" s="89">
        <v>1</v>
      </c>
      <c r="S230" s="86" t="s">
        <v>201</v>
      </c>
      <c r="T230" s="86"/>
      <c r="U230" s="89">
        <v>1</v>
      </c>
      <c r="V230" s="86" t="s">
        <v>201</v>
      </c>
      <c r="W230" s="86"/>
      <c r="X230" s="89">
        <v>1</v>
      </c>
      <c r="Y230" s="86" t="s">
        <v>201</v>
      </c>
      <c r="Z230" s="86"/>
      <c r="AA230" s="89">
        <v>2</v>
      </c>
      <c r="AB230" s="86" t="s">
        <v>201</v>
      </c>
      <c r="AC230" s="86"/>
      <c r="AD230" s="89">
        <v>2</v>
      </c>
      <c r="AE230" s="86" t="s">
        <v>201</v>
      </c>
      <c r="AF230" s="86"/>
      <c r="AG230" s="89">
        <v>2</v>
      </c>
    </row>
    <row r="231" spans="1:33" ht="15.75" thickBot="1" x14ac:dyDescent="0.3">
      <c r="A231" s="68"/>
      <c r="B231" s="68"/>
      <c r="D231" s="87"/>
      <c r="E231" s="87"/>
      <c r="F231" s="90"/>
      <c r="G231" s="87"/>
      <c r="H231" s="87"/>
      <c r="I231" s="90"/>
      <c r="J231" s="87"/>
      <c r="K231" s="87"/>
      <c r="L231" s="90"/>
      <c r="M231" s="87"/>
      <c r="N231" s="87"/>
      <c r="O231" s="90"/>
      <c r="P231" s="87"/>
      <c r="Q231" s="87"/>
      <c r="R231" s="90"/>
      <c r="S231" s="87"/>
      <c r="T231" s="87"/>
      <c r="U231" s="90"/>
      <c r="V231" s="87"/>
      <c r="W231" s="87"/>
      <c r="X231" s="90"/>
      <c r="Y231" s="87"/>
      <c r="Z231" s="87"/>
      <c r="AA231" s="90"/>
      <c r="AB231" s="87"/>
      <c r="AC231" s="87"/>
      <c r="AD231" s="90"/>
      <c r="AE231" s="87"/>
      <c r="AF231" s="87"/>
      <c r="AG231" s="90"/>
    </row>
    <row r="232" spans="1:33" ht="15.75" thickBot="1" x14ac:dyDescent="0.3">
      <c r="A232" s="68"/>
      <c r="B232" s="68"/>
      <c r="D232" s="88"/>
      <c r="E232" s="88"/>
      <c r="F232" s="91"/>
      <c r="G232" s="88"/>
      <c r="H232" s="88"/>
      <c r="I232" s="91"/>
      <c r="J232" s="88"/>
      <c r="K232" s="88"/>
      <c r="L232" s="91"/>
      <c r="M232" s="88"/>
      <c r="N232" s="88"/>
      <c r="O232" s="91"/>
      <c r="P232" s="88"/>
      <c r="Q232" s="88"/>
      <c r="R232" s="91"/>
      <c r="S232" s="88"/>
      <c r="T232" s="88"/>
      <c r="U232" s="91"/>
      <c r="V232" s="88"/>
      <c r="W232" s="88"/>
      <c r="X232" s="91"/>
      <c r="Y232" s="88"/>
      <c r="Z232" s="88"/>
      <c r="AA232" s="91"/>
      <c r="AB232" s="88"/>
      <c r="AC232" s="88"/>
      <c r="AD232" s="91"/>
      <c r="AE232" s="88"/>
      <c r="AF232" s="88"/>
      <c r="AG232" s="91"/>
    </row>
    <row r="234" spans="1:33" ht="15.75" thickBot="1" x14ac:dyDescent="0.3"/>
    <row r="235" spans="1:33" ht="15.75" thickBot="1" x14ac:dyDescent="0.3">
      <c r="A235" s="68" t="s">
        <v>99</v>
      </c>
      <c r="B235" s="68"/>
      <c r="C235" s="69" t="s">
        <v>72</v>
      </c>
      <c r="D235" s="52" t="s">
        <v>27</v>
      </c>
      <c r="E235" s="52"/>
      <c r="F235" s="52"/>
      <c r="G235" s="73" t="s">
        <v>28</v>
      </c>
      <c r="H235" s="73"/>
      <c r="I235" s="73"/>
      <c r="J235" s="52" t="s">
        <v>29</v>
      </c>
      <c r="K235" s="52"/>
      <c r="L235" s="52"/>
      <c r="M235" s="73" t="s">
        <v>30</v>
      </c>
      <c r="N235" s="73"/>
      <c r="O235" s="73"/>
      <c r="P235" s="52" t="s">
        <v>31</v>
      </c>
      <c r="Q235" s="52"/>
      <c r="R235" s="52"/>
      <c r="S235" s="73" t="s">
        <v>32</v>
      </c>
      <c r="T235" s="73"/>
      <c r="U235" s="73"/>
      <c r="V235" s="52" t="s">
        <v>33</v>
      </c>
      <c r="W235" s="52"/>
      <c r="X235" s="52"/>
      <c r="Y235" s="73" t="s">
        <v>34</v>
      </c>
      <c r="Z235" s="73"/>
      <c r="AA235" s="73"/>
      <c r="AB235" s="52" t="s">
        <v>35</v>
      </c>
      <c r="AC235" s="52"/>
      <c r="AD235" s="52"/>
      <c r="AE235" s="73" t="s">
        <v>36</v>
      </c>
      <c r="AF235" s="73"/>
      <c r="AG235" s="73"/>
    </row>
    <row r="236" spans="1:33" ht="15.75" thickBot="1" x14ac:dyDescent="0.3">
      <c r="A236" s="68"/>
      <c r="B236" s="68"/>
      <c r="C236" s="70" t="s">
        <v>14</v>
      </c>
      <c r="D236" s="74">
        <v>142</v>
      </c>
      <c r="E236" s="75"/>
      <c r="F236" s="76"/>
      <c r="G236" s="74">
        <v>204</v>
      </c>
      <c r="H236" s="75"/>
      <c r="I236" s="76"/>
      <c r="J236" s="74">
        <v>294</v>
      </c>
      <c r="K236" s="75"/>
      <c r="L236" s="76"/>
      <c r="M236" s="74">
        <v>424</v>
      </c>
      <c r="N236" s="75"/>
      <c r="O236" s="76"/>
      <c r="P236" s="74">
        <v>567</v>
      </c>
      <c r="Q236" s="75"/>
      <c r="R236" s="76"/>
      <c r="S236" s="74">
        <v>737</v>
      </c>
      <c r="T236" s="75"/>
      <c r="U236" s="76"/>
      <c r="V236" s="74">
        <v>958</v>
      </c>
      <c r="W236" s="75"/>
      <c r="X236" s="76"/>
      <c r="Y236" s="74">
        <v>1245</v>
      </c>
      <c r="Z236" s="75"/>
      <c r="AA236" s="76"/>
      <c r="AB236" s="74">
        <v>1618</v>
      </c>
      <c r="AC236" s="75"/>
      <c r="AD236" s="76"/>
      <c r="AE236" s="74">
        <v>2103</v>
      </c>
      <c r="AF236" s="75"/>
      <c r="AG236" s="76"/>
    </row>
    <row r="237" spans="1:33" ht="15.75" thickBot="1" x14ac:dyDescent="0.3">
      <c r="A237" s="68"/>
      <c r="B237" s="68"/>
      <c r="C237" s="77" t="s">
        <v>63</v>
      </c>
      <c r="D237" s="81">
        <v>0</v>
      </c>
      <c r="E237" s="82"/>
      <c r="F237" s="84"/>
      <c r="G237" s="85">
        <v>0</v>
      </c>
      <c r="H237" s="82"/>
      <c r="I237" s="84"/>
      <c r="J237" s="85">
        <v>0</v>
      </c>
      <c r="K237" s="82"/>
      <c r="L237" s="84"/>
      <c r="M237" s="85">
        <v>0</v>
      </c>
      <c r="N237" s="82"/>
      <c r="O237" s="82"/>
      <c r="P237" s="81">
        <v>0</v>
      </c>
      <c r="Q237" s="82"/>
      <c r="R237" s="83"/>
      <c r="S237" s="82">
        <v>0</v>
      </c>
      <c r="T237" s="82"/>
      <c r="U237" s="84"/>
      <c r="V237" s="85">
        <v>0</v>
      </c>
      <c r="W237" s="82"/>
      <c r="X237" s="84"/>
      <c r="Y237" s="85">
        <v>0</v>
      </c>
      <c r="Z237" s="82"/>
      <c r="AA237" s="84"/>
      <c r="AB237" s="85">
        <v>0</v>
      </c>
      <c r="AC237" s="82"/>
      <c r="AD237" s="84"/>
      <c r="AE237" s="85">
        <v>0</v>
      </c>
      <c r="AF237" s="82"/>
      <c r="AG237" s="84"/>
    </row>
    <row r="238" spans="1:33" ht="15.75" thickBot="1" x14ac:dyDescent="0.3">
      <c r="A238" s="68"/>
      <c r="B238" s="68"/>
      <c r="C238" s="71" t="s">
        <v>76</v>
      </c>
      <c r="D238" s="78">
        <v>0</v>
      </c>
      <c r="E238" s="79"/>
      <c r="F238" s="79"/>
      <c r="G238" s="78">
        <v>0</v>
      </c>
      <c r="H238" s="79"/>
      <c r="I238" s="80"/>
      <c r="J238" s="78">
        <v>0</v>
      </c>
      <c r="K238" s="79"/>
      <c r="L238" s="80"/>
      <c r="M238" s="78">
        <v>0</v>
      </c>
      <c r="N238" s="79"/>
      <c r="O238" s="80"/>
      <c r="P238" s="78">
        <v>0</v>
      </c>
      <c r="Q238" s="79"/>
      <c r="R238" s="80"/>
      <c r="S238" s="78">
        <v>0</v>
      </c>
      <c r="T238" s="79"/>
      <c r="U238" s="80"/>
      <c r="V238" s="78">
        <v>0</v>
      </c>
      <c r="W238" s="79"/>
      <c r="X238" s="80"/>
      <c r="Y238" s="78">
        <v>0</v>
      </c>
      <c r="Z238" s="79"/>
      <c r="AA238" s="80"/>
      <c r="AB238" s="78">
        <v>0</v>
      </c>
      <c r="AC238" s="79"/>
      <c r="AD238" s="80"/>
      <c r="AE238" s="78">
        <v>0</v>
      </c>
      <c r="AF238" s="79"/>
      <c r="AG238" s="80"/>
    </row>
    <row r="239" spans="1:33" ht="15.75" thickBot="1" x14ac:dyDescent="0.3">
      <c r="A239" s="68"/>
      <c r="B239" s="68"/>
      <c r="C239" s="72" t="s">
        <v>37</v>
      </c>
      <c r="D239" s="86"/>
      <c r="E239" s="86"/>
      <c r="F239" s="89"/>
      <c r="G239" s="86"/>
      <c r="H239" s="86"/>
      <c r="I239" s="89"/>
      <c r="J239" s="86"/>
      <c r="K239" s="86"/>
      <c r="L239" s="89"/>
      <c r="M239" s="86" t="s">
        <v>201</v>
      </c>
      <c r="N239" s="86"/>
      <c r="O239" s="89">
        <v>1</v>
      </c>
      <c r="P239" s="86" t="s">
        <v>201</v>
      </c>
      <c r="Q239" s="86"/>
      <c r="R239" s="89">
        <v>1</v>
      </c>
      <c r="S239" s="86" t="s">
        <v>201</v>
      </c>
      <c r="T239" s="86"/>
      <c r="U239" s="89">
        <v>1</v>
      </c>
      <c r="V239" s="86" t="s">
        <v>201</v>
      </c>
      <c r="W239" s="86"/>
      <c r="X239" s="89">
        <v>1</v>
      </c>
      <c r="Y239" s="86" t="s">
        <v>201</v>
      </c>
      <c r="Z239" s="86"/>
      <c r="AA239" s="89">
        <v>2</v>
      </c>
      <c r="AB239" s="86" t="s">
        <v>201</v>
      </c>
      <c r="AC239" s="86"/>
      <c r="AD239" s="89">
        <v>2</v>
      </c>
      <c r="AE239" s="86" t="s">
        <v>201</v>
      </c>
      <c r="AF239" s="86"/>
      <c r="AG239" s="89">
        <v>2</v>
      </c>
    </row>
    <row r="240" spans="1:33" ht="15.75" thickBot="1" x14ac:dyDescent="0.3">
      <c r="A240" s="68"/>
      <c r="B240" s="68"/>
      <c r="D240" s="87"/>
      <c r="E240" s="87"/>
      <c r="F240" s="90"/>
      <c r="G240" s="87"/>
      <c r="H240" s="87"/>
      <c r="I240" s="90"/>
      <c r="J240" s="87"/>
      <c r="K240" s="87"/>
      <c r="L240" s="90"/>
      <c r="M240" s="87"/>
      <c r="N240" s="87"/>
      <c r="O240" s="90"/>
      <c r="P240" s="87"/>
      <c r="Q240" s="87"/>
      <c r="R240" s="90"/>
      <c r="S240" s="87"/>
      <c r="T240" s="87"/>
      <c r="U240" s="90"/>
      <c r="V240" s="87"/>
      <c r="W240" s="87"/>
      <c r="X240" s="90"/>
      <c r="Y240" s="87"/>
      <c r="Z240" s="87"/>
      <c r="AA240" s="90"/>
      <c r="AB240" s="87"/>
      <c r="AC240" s="87"/>
      <c r="AD240" s="90"/>
      <c r="AE240" s="87"/>
      <c r="AF240" s="87"/>
      <c r="AG240" s="90"/>
    </row>
    <row r="241" spans="1:33" ht="15.75" thickBot="1" x14ac:dyDescent="0.3">
      <c r="A241" s="68"/>
      <c r="B241" s="68"/>
      <c r="D241" s="88"/>
      <c r="E241" s="88"/>
      <c r="F241" s="91"/>
      <c r="G241" s="88"/>
      <c r="H241" s="88"/>
      <c r="I241" s="91"/>
      <c r="J241" s="88"/>
      <c r="K241" s="88"/>
      <c r="L241" s="91"/>
      <c r="M241" s="88"/>
      <c r="N241" s="88"/>
      <c r="O241" s="91"/>
      <c r="P241" s="88"/>
      <c r="Q241" s="88"/>
      <c r="R241" s="91"/>
      <c r="S241" s="88"/>
      <c r="T241" s="88"/>
      <c r="U241" s="91"/>
      <c r="V241" s="88"/>
      <c r="W241" s="88"/>
      <c r="X241" s="91"/>
      <c r="Y241" s="88"/>
      <c r="Z241" s="88"/>
      <c r="AA241" s="91"/>
      <c r="AB241" s="88"/>
      <c r="AC241" s="88"/>
      <c r="AD241" s="91"/>
      <c r="AE241" s="88"/>
      <c r="AF241" s="88"/>
      <c r="AG241" s="91"/>
    </row>
    <row r="243" spans="1:33" ht="15.75" thickBot="1" x14ac:dyDescent="0.3"/>
    <row r="244" spans="1:33" ht="15.75" thickBot="1" x14ac:dyDescent="0.3">
      <c r="A244" s="68" t="s">
        <v>100</v>
      </c>
      <c r="B244" s="68"/>
      <c r="C244" s="69" t="s">
        <v>71</v>
      </c>
      <c r="D244" s="52" t="s">
        <v>27</v>
      </c>
      <c r="E244" s="52"/>
      <c r="F244" s="52"/>
      <c r="G244" s="73" t="s">
        <v>28</v>
      </c>
      <c r="H244" s="73"/>
      <c r="I244" s="73"/>
      <c r="J244" s="52" t="s">
        <v>29</v>
      </c>
      <c r="K244" s="52"/>
      <c r="L244" s="52"/>
      <c r="M244" s="73" t="s">
        <v>30</v>
      </c>
      <c r="N244" s="73"/>
      <c r="O244" s="73"/>
      <c r="P244" s="52" t="s">
        <v>31</v>
      </c>
      <c r="Q244" s="52"/>
      <c r="R244" s="52"/>
      <c r="S244" s="73" t="s">
        <v>32</v>
      </c>
      <c r="T244" s="73"/>
      <c r="U244" s="73"/>
      <c r="V244" s="52" t="s">
        <v>33</v>
      </c>
      <c r="W244" s="52"/>
      <c r="X244" s="52"/>
      <c r="Y244" s="73" t="s">
        <v>34</v>
      </c>
      <c r="Z244" s="73"/>
      <c r="AA244" s="73"/>
      <c r="AB244" s="52" t="s">
        <v>35</v>
      </c>
      <c r="AC244" s="52"/>
      <c r="AD244" s="52"/>
      <c r="AE244" s="73" t="s">
        <v>36</v>
      </c>
      <c r="AF244" s="73"/>
      <c r="AG244" s="73"/>
    </row>
    <row r="245" spans="1:33" ht="15.75" thickBot="1" x14ac:dyDescent="0.3">
      <c r="A245" s="68"/>
      <c r="B245" s="68"/>
      <c r="C245" s="70" t="s">
        <v>14</v>
      </c>
      <c r="D245" s="74">
        <v>142</v>
      </c>
      <c r="E245" s="75"/>
      <c r="F245" s="76"/>
      <c r="G245" s="74">
        <v>204</v>
      </c>
      <c r="H245" s="75"/>
      <c r="I245" s="76"/>
      <c r="J245" s="74">
        <v>294</v>
      </c>
      <c r="K245" s="75"/>
      <c r="L245" s="76"/>
      <c r="M245" s="74">
        <v>424</v>
      </c>
      <c r="N245" s="75"/>
      <c r="O245" s="76"/>
      <c r="P245" s="74">
        <v>567</v>
      </c>
      <c r="Q245" s="75"/>
      <c r="R245" s="76"/>
      <c r="S245" s="74">
        <v>737</v>
      </c>
      <c r="T245" s="75"/>
      <c r="U245" s="76"/>
      <c r="V245" s="74">
        <v>958</v>
      </c>
      <c r="W245" s="75"/>
      <c r="X245" s="76"/>
      <c r="Y245" s="74">
        <v>1245</v>
      </c>
      <c r="Z245" s="75"/>
      <c r="AA245" s="76"/>
      <c r="AB245" s="74">
        <v>1618</v>
      </c>
      <c r="AC245" s="75"/>
      <c r="AD245" s="76"/>
      <c r="AE245" s="74">
        <v>2103</v>
      </c>
      <c r="AF245" s="75"/>
      <c r="AG245" s="76"/>
    </row>
    <row r="246" spans="1:33" ht="15.75" thickBot="1" x14ac:dyDescent="0.3">
      <c r="A246" s="68"/>
      <c r="B246" s="68"/>
      <c r="C246" s="77" t="s">
        <v>224</v>
      </c>
      <c r="D246" s="81">
        <v>0</v>
      </c>
      <c r="E246" s="82"/>
      <c r="F246" s="84"/>
      <c r="G246" s="85">
        <v>0</v>
      </c>
      <c r="H246" s="82"/>
      <c r="I246" s="84"/>
      <c r="J246" s="85">
        <v>0</v>
      </c>
      <c r="K246" s="82"/>
      <c r="L246" s="84"/>
      <c r="M246" s="85">
        <v>0</v>
      </c>
      <c r="N246" s="82"/>
      <c r="O246" s="82"/>
      <c r="P246" s="81">
        <v>0</v>
      </c>
      <c r="Q246" s="82"/>
      <c r="R246" s="83"/>
      <c r="S246" s="82">
        <v>0</v>
      </c>
      <c r="T246" s="82"/>
      <c r="U246" s="84"/>
      <c r="V246" s="85">
        <v>0</v>
      </c>
      <c r="W246" s="82"/>
      <c r="X246" s="84"/>
      <c r="Y246" s="85">
        <v>0</v>
      </c>
      <c r="Z246" s="82"/>
      <c r="AA246" s="84"/>
      <c r="AB246" s="85">
        <v>0</v>
      </c>
      <c r="AC246" s="82"/>
      <c r="AD246" s="84"/>
      <c r="AE246" s="85">
        <v>0</v>
      </c>
      <c r="AF246" s="82"/>
      <c r="AG246" s="84"/>
    </row>
    <row r="247" spans="1:33" ht="15.75" thickBot="1" x14ac:dyDescent="0.3">
      <c r="A247" s="68"/>
      <c r="B247" s="68"/>
      <c r="C247" s="71" t="s">
        <v>76</v>
      </c>
      <c r="D247" s="78">
        <v>0</v>
      </c>
      <c r="E247" s="79"/>
      <c r="F247" s="79"/>
      <c r="G247" s="78">
        <v>0</v>
      </c>
      <c r="H247" s="79"/>
      <c r="I247" s="80"/>
      <c r="J247" s="78">
        <v>0</v>
      </c>
      <c r="K247" s="79"/>
      <c r="L247" s="80"/>
      <c r="M247" s="78">
        <v>0</v>
      </c>
      <c r="N247" s="79"/>
      <c r="O247" s="80"/>
      <c r="P247" s="78">
        <v>0</v>
      </c>
      <c r="Q247" s="79"/>
      <c r="R247" s="80"/>
      <c r="S247" s="78">
        <v>0</v>
      </c>
      <c r="T247" s="79"/>
      <c r="U247" s="80"/>
      <c r="V247" s="78">
        <v>0</v>
      </c>
      <c r="W247" s="79"/>
      <c r="X247" s="80"/>
      <c r="Y247" s="78">
        <v>0</v>
      </c>
      <c r="Z247" s="79"/>
      <c r="AA247" s="80"/>
      <c r="AB247" s="78">
        <v>0</v>
      </c>
      <c r="AC247" s="79"/>
      <c r="AD247" s="80"/>
      <c r="AE247" s="78">
        <v>0</v>
      </c>
      <c r="AF247" s="79"/>
      <c r="AG247" s="80"/>
    </row>
    <row r="248" spans="1:33" ht="15.75" thickBot="1" x14ac:dyDescent="0.3">
      <c r="A248" s="68"/>
      <c r="B248" s="68"/>
      <c r="C248" s="72" t="s">
        <v>37</v>
      </c>
      <c r="D248" s="86"/>
      <c r="E248" s="86"/>
      <c r="F248" s="89"/>
      <c r="G248" s="86"/>
      <c r="H248" s="86"/>
      <c r="I248" s="89"/>
      <c r="J248" s="86"/>
      <c r="K248" s="86"/>
      <c r="L248" s="89"/>
      <c r="M248" s="86"/>
      <c r="N248" s="86"/>
      <c r="O248" s="89"/>
      <c r="P248" s="86"/>
      <c r="Q248" s="86"/>
      <c r="R248" s="89"/>
      <c r="S248" s="86"/>
      <c r="T248" s="86"/>
      <c r="U248" s="89"/>
      <c r="V248" s="86"/>
      <c r="W248" s="86"/>
      <c r="X248" s="89"/>
      <c r="Y248" s="86"/>
      <c r="Z248" s="86"/>
      <c r="AA248" s="89"/>
      <c r="AB248" s="86"/>
      <c r="AC248" s="86"/>
      <c r="AD248" s="89"/>
      <c r="AE248" s="86"/>
      <c r="AF248" s="86"/>
      <c r="AG248" s="89"/>
    </row>
    <row r="249" spans="1:33" ht="15.75" thickBot="1" x14ac:dyDescent="0.3">
      <c r="A249" s="68"/>
      <c r="B249" s="68"/>
      <c r="D249" s="87"/>
      <c r="E249" s="87"/>
      <c r="F249" s="90"/>
      <c r="G249" s="87"/>
      <c r="H249" s="87"/>
      <c r="I249" s="90"/>
      <c r="J249" s="87"/>
      <c r="K249" s="87"/>
      <c r="L249" s="90"/>
      <c r="M249" s="87"/>
      <c r="N249" s="87"/>
      <c r="O249" s="90"/>
      <c r="P249" s="87"/>
      <c r="Q249" s="87"/>
      <c r="R249" s="90"/>
      <c r="S249" s="87"/>
      <c r="T249" s="87"/>
      <c r="U249" s="90"/>
      <c r="V249" s="87"/>
      <c r="W249" s="87"/>
      <c r="X249" s="90"/>
      <c r="Y249" s="87"/>
      <c r="Z249" s="87"/>
      <c r="AA249" s="90"/>
      <c r="AB249" s="87"/>
      <c r="AC249" s="87"/>
      <c r="AD249" s="90"/>
      <c r="AE249" s="87"/>
      <c r="AF249" s="87"/>
      <c r="AG249" s="90"/>
    </row>
    <row r="250" spans="1:33" ht="15.75" thickBot="1" x14ac:dyDescent="0.3">
      <c r="A250" s="68"/>
      <c r="B250" s="68"/>
      <c r="D250" s="88"/>
      <c r="E250" s="88"/>
      <c r="F250" s="91"/>
      <c r="G250" s="88"/>
      <c r="H250" s="88"/>
      <c r="I250" s="91"/>
      <c r="J250" s="88"/>
      <c r="K250" s="88"/>
      <c r="L250" s="91"/>
      <c r="M250" s="88"/>
      <c r="N250" s="88"/>
      <c r="O250" s="91"/>
      <c r="P250" s="88"/>
      <c r="Q250" s="88"/>
      <c r="R250" s="91"/>
      <c r="S250" s="88"/>
      <c r="T250" s="88"/>
      <c r="U250" s="91"/>
      <c r="V250" s="88"/>
      <c r="W250" s="88"/>
      <c r="X250" s="91"/>
      <c r="Y250" s="88"/>
      <c r="Z250" s="88"/>
      <c r="AA250" s="91"/>
      <c r="AB250" s="88"/>
      <c r="AC250" s="88"/>
      <c r="AD250" s="91"/>
      <c r="AE250" s="88"/>
      <c r="AF250" s="88"/>
      <c r="AG250" s="91"/>
    </row>
    <row r="251" spans="1:33" x14ac:dyDescent="0.25">
      <c r="C251" s="64"/>
      <c r="D251" s="92"/>
      <c r="E251" s="92"/>
      <c r="F251" s="93"/>
      <c r="G251" s="92"/>
      <c r="H251" s="92"/>
      <c r="I251" s="93"/>
      <c r="J251" s="92"/>
      <c r="K251" s="92"/>
      <c r="L251" s="93"/>
      <c r="M251" s="92"/>
      <c r="N251" s="92"/>
      <c r="O251" s="93"/>
      <c r="P251" s="92"/>
      <c r="Q251" s="92"/>
      <c r="R251" s="93"/>
      <c r="S251" s="92"/>
      <c r="T251" s="92"/>
      <c r="U251" s="93"/>
      <c r="V251" s="92"/>
      <c r="W251" s="92"/>
      <c r="X251" s="93"/>
      <c r="Y251" s="92"/>
      <c r="Z251" s="92"/>
      <c r="AA251" s="93"/>
      <c r="AB251" s="92"/>
      <c r="AC251" s="92"/>
      <c r="AD251" s="93"/>
      <c r="AE251" s="92"/>
      <c r="AF251" s="92"/>
      <c r="AG251" s="93"/>
    </row>
    <row r="252" spans="1:33" ht="15.75" thickBot="1" x14ac:dyDescent="0.3"/>
    <row r="253" spans="1:33" ht="15.75" thickBot="1" x14ac:dyDescent="0.3">
      <c r="A253" s="68" t="s">
        <v>101</v>
      </c>
      <c r="B253" s="68"/>
      <c r="C253" s="69" t="s">
        <v>74</v>
      </c>
      <c r="D253" s="52" t="s">
        <v>27</v>
      </c>
      <c r="E253" s="52"/>
      <c r="F253" s="52"/>
      <c r="G253" s="73" t="s">
        <v>28</v>
      </c>
      <c r="H253" s="73"/>
      <c r="I253" s="73"/>
      <c r="J253" s="52" t="s">
        <v>29</v>
      </c>
      <c r="K253" s="52"/>
      <c r="L253" s="52"/>
      <c r="M253" s="73" t="s">
        <v>30</v>
      </c>
      <c r="N253" s="73"/>
      <c r="O253" s="73"/>
      <c r="P253" s="52" t="s">
        <v>31</v>
      </c>
      <c r="Q253" s="52"/>
      <c r="R253" s="52"/>
      <c r="S253" s="73" t="s">
        <v>32</v>
      </c>
      <c r="T253" s="73"/>
      <c r="U253" s="73"/>
      <c r="V253" s="52" t="s">
        <v>33</v>
      </c>
      <c r="W253" s="52"/>
      <c r="X253" s="52"/>
      <c r="Y253" s="73" t="s">
        <v>34</v>
      </c>
      <c r="Z253" s="73"/>
      <c r="AA253" s="73"/>
      <c r="AB253" s="52" t="s">
        <v>35</v>
      </c>
      <c r="AC253" s="52"/>
      <c r="AD253" s="52"/>
      <c r="AE253" s="73" t="s">
        <v>36</v>
      </c>
      <c r="AF253" s="73"/>
      <c r="AG253" s="73"/>
    </row>
    <row r="254" spans="1:33" ht="15.75" thickBot="1" x14ac:dyDescent="0.3">
      <c r="A254" s="68"/>
      <c r="B254" s="68"/>
      <c r="C254" s="70" t="s">
        <v>14</v>
      </c>
      <c r="D254" s="74">
        <v>142</v>
      </c>
      <c r="E254" s="75"/>
      <c r="F254" s="76"/>
      <c r="G254" s="74">
        <v>204</v>
      </c>
      <c r="H254" s="75"/>
      <c r="I254" s="76"/>
      <c r="J254" s="74">
        <v>294</v>
      </c>
      <c r="K254" s="75"/>
      <c r="L254" s="76"/>
      <c r="M254" s="74">
        <v>424</v>
      </c>
      <c r="N254" s="75"/>
      <c r="O254" s="76"/>
      <c r="P254" s="74">
        <v>567</v>
      </c>
      <c r="Q254" s="75"/>
      <c r="R254" s="76"/>
      <c r="S254" s="74">
        <v>737</v>
      </c>
      <c r="T254" s="75"/>
      <c r="U254" s="76"/>
      <c r="V254" s="74">
        <v>958</v>
      </c>
      <c r="W254" s="75"/>
      <c r="X254" s="76"/>
      <c r="Y254" s="74">
        <v>1245</v>
      </c>
      <c r="Z254" s="75"/>
      <c r="AA254" s="76"/>
      <c r="AB254" s="74">
        <v>1618</v>
      </c>
      <c r="AC254" s="75"/>
      <c r="AD254" s="76"/>
      <c r="AE254" s="74">
        <v>2103</v>
      </c>
      <c r="AF254" s="75"/>
      <c r="AG254" s="76"/>
    </row>
    <row r="255" spans="1:33" ht="15.75" thickBot="1" x14ac:dyDescent="0.3">
      <c r="A255" s="68"/>
      <c r="B255" s="68"/>
      <c r="C255" s="77" t="s">
        <v>65</v>
      </c>
      <c r="D255" s="81">
        <v>0</v>
      </c>
      <c r="E255" s="82"/>
      <c r="F255" s="84"/>
      <c r="G255" s="85">
        <v>0</v>
      </c>
      <c r="H255" s="82"/>
      <c r="I255" s="84"/>
      <c r="J255" s="85">
        <v>0</v>
      </c>
      <c r="K255" s="82"/>
      <c r="L255" s="84"/>
      <c r="M255" s="85">
        <v>0</v>
      </c>
      <c r="N255" s="82"/>
      <c r="O255" s="82"/>
      <c r="P255" s="81">
        <v>0</v>
      </c>
      <c r="Q255" s="82"/>
      <c r="R255" s="83"/>
      <c r="S255" s="82">
        <v>0</v>
      </c>
      <c r="T255" s="82"/>
      <c r="U255" s="84"/>
      <c r="V255" s="85">
        <v>0</v>
      </c>
      <c r="W255" s="82"/>
      <c r="X255" s="84"/>
      <c r="Y255" s="85">
        <v>0</v>
      </c>
      <c r="Z255" s="82"/>
      <c r="AA255" s="84"/>
      <c r="AB255" s="85">
        <v>0</v>
      </c>
      <c r="AC255" s="82"/>
      <c r="AD255" s="84"/>
      <c r="AE255" s="85">
        <v>0</v>
      </c>
      <c r="AF255" s="82"/>
      <c r="AG255" s="84"/>
    </row>
    <row r="256" spans="1:33" ht="15.75" thickBot="1" x14ac:dyDescent="0.3">
      <c r="A256" s="68"/>
      <c r="B256" s="68"/>
      <c r="C256" s="71" t="s">
        <v>76</v>
      </c>
      <c r="D256" s="78">
        <v>0</v>
      </c>
      <c r="E256" s="79"/>
      <c r="F256" s="79"/>
      <c r="G256" s="78">
        <v>0</v>
      </c>
      <c r="H256" s="79"/>
      <c r="I256" s="80"/>
      <c r="J256" s="78">
        <v>0</v>
      </c>
      <c r="K256" s="79"/>
      <c r="L256" s="80"/>
      <c r="M256" s="78">
        <v>0</v>
      </c>
      <c r="N256" s="79"/>
      <c r="O256" s="80"/>
      <c r="P256" s="78">
        <v>0</v>
      </c>
      <c r="Q256" s="79"/>
      <c r="R256" s="80"/>
      <c r="S256" s="78">
        <v>0</v>
      </c>
      <c r="T256" s="79"/>
      <c r="U256" s="80"/>
      <c r="V256" s="78">
        <v>0</v>
      </c>
      <c r="W256" s="79"/>
      <c r="X256" s="80"/>
      <c r="Y256" s="78">
        <v>0</v>
      </c>
      <c r="Z256" s="79"/>
      <c r="AA256" s="80"/>
      <c r="AB256" s="78">
        <v>0</v>
      </c>
      <c r="AC256" s="79"/>
      <c r="AD256" s="80"/>
      <c r="AE256" s="78">
        <v>0</v>
      </c>
      <c r="AF256" s="79"/>
      <c r="AG256" s="80"/>
    </row>
    <row r="257" spans="1:33" ht="15.75" thickBot="1" x14ac:dyDescent="0.3">
      <c r="A257" s="68"/>
      <c r="B257" s="68"/>
      <c r="C257" s="72" t="s">
        <v>37</v>
      </c>
      <c r="D257" s="86"/>
      <c r="E257" s="86"/>
      <c r="F257" s="89"/>
      <c r="G257" s="86"/>
      <c r="H257" s="86"/>
      <c r="I257" s="89"/>
      <c r="J257" s="86"/>
      <c r="K257" s="86"/>
      <c r="L257" s="89"/>
      <c r="M257" s="86" t="s">
        <v>201</v>
      </c>
      <c r="N257" s="86"/>
      <c r="O257" s="89">
        <v>1</v>
      </c>
      <c r="P257" s="86" t="s">
        <v>201</v>
      </c>
      <c r="Q257" s="86"/>
      <c r="R257" s="89">
        <v>1</v>
      </c>
      <c r="S257" s="86" t="s">
        <v>201</v>
      </c>
      <c r="T257" s="86"/>
      <c r="U257" s="89">
        <v>1</v>
      </c>
      <c r="V257" s="86" t="s">
        <v>201</v>
      </c>
      <c r="W257" s="86"/>
      <c r="X257" s="89">
        <v>1</v>
      </c>
      <c r="Y257" s="86" t="s">
        <v>201</v>
      </c>
      <c r="Z257" s="86"/>
      <c r="AA257" s="89">
        <v>2</v>
      </c>
      <c r="AB257" s="86" t="s">
        <v>201</v>
      </c>
      <c r="AC257" s="86"/>
      <c r="AD257" s="89">
        <v>2</v>
      </c>
      <c r="AE257" s="86" t="s">
        <v>201</v>
      </c>
      <c r="AF257" s="86"/>
      <c r="AG257" s="89">
        <v>2</v>
      </c>
    </row>
    <row r="258" spans="1:33" ht="15.75" thickBot="1" x14ac:dyDescent="0.3">
      <c r="A258" s="68"/>
      <c r="B258" s="68"/>
      <c r="D258" s="87"/>
      <c r="E258" s="87"/>
      <c r="F258" s="90"/>
      <c r="G258" s="87"/>
      <c r="H258" s="87"/>
      <c r="I258" s="90"/>
      <c r="J258" s="87"/>
      <c r="K258" s="87"/>
      <c r="L258" s="90"/>
      <c r="M258" s="87"/>
      <c r="N258" s="87"/>
      <c r="O258" s="90"/>
      <c r="P258" s="87"/>
      <c r="Q258" s="87"/>
      <c r="R258" s="90"/>
      <c r="S258" s="87"/>
      <c r="T258" s="87"/>
      <c r="U258" s="90"/>
      <c r="V258" s="87"/>
      <c r="W258" s="87"/>
      <c r="X258" s="90"/>
      <c r="Y258" s="87"/>
      <c r="Z258" s="87"/>
      <c r="AA258" s="90"/>
      <c r="AB258" s="87"/>
      <c r="AC258" s="87"/>
      <c r="AD258" s="90"/>
      <c r="AE258" s="87"/>
      <c r="AF258" s="87"/>
      <c r="AG258" s="90"/>
    </row>
    <row r="259" spans="1:33" ht="15.75" thickBot="1" x14ac:dyDescent="0.3">
      <c r="A259" s="68"/>
      <c r="B259" s="68"/>
      <c r="D259" s="88"/>
      <c r="E259" s="88"/>
      <c r="F259" s="91"/>
      <c r="G259" s="88"/>
      <c r="H259" s="88"/>
      <c r="I259" s="91"/>
      <c r="J259" s="88"/>
      <c r="K259" s="88"/>
      <c r="L259" s="91"/>
      <c r="M259" s="88"/>
      <c r="N259" s="88"/>
      <c r="O259" s="91"/>
      <c r="P259" s="88"/>
      <c r="Q259" s="88"/>
      <c r="R259" s="91"/>
      <c r="S259" s="88"/>
      <c r="T259" s="88"/>
      <c r="U259" s="91"/>
      <c r="V259" s="88"/>
      <c r="W259" s="88"/>
      <c r="X259" s="91"/>
      <c r="Y259" s="88"/>
      <c r="Z259" s="88"/>
      <c r="AA259" s="91"/>
      <c r="AB259" s="88"/>
      <c r="AC259" s="88"/>
      <c r="AD259" s="91"/>
      <c r="AE259" s="88"/>
      <c r="AF259" s="88"/>
      <c r="AG259" s="91"/>
    </row>
    <row r="261" spans="1:33" ht="15.75" thickBot="1" x14ac:dyDescent="0.3"/>
    <row r="262" spans="1:33" ht="15.75" thickBot="1" x14ac:dyDescent="0.3">
      <c r="A262" s="68" t="s">
        <v>102</v>
      </c>
      <c r="B262" s="68"/>
      <c r="C262" s="69" t="s">
        <v>71</v>
      </c>
      <c r="D262" s="52" t="s">
        <v>27</v>
      </c>
      <c r="E262" s="52"/>
      <c r="F262" s="52"/>
      <c r="G262" s="73" t="s">
        <v>28</v>
      </c>
      <c r="H262" s="73"/>
      <c r="I262" s="73"/>
      <c r="J262" s="52" t="s">
        <v>29</v>
      </c>
      <c r="K262" s="52"/>
      <c r="L262" s="52"/>
      <c r="M262" s="73" t="s">
        <v>30</v>
      </c>
      <c r="N262" s="73"/>
      <c r="O262" s="73"/>
      <c r="P262" s="52" t="s">
        <v>31</v>
      </c>
      <c r="Q262" s="52"/>
      <c r="R262" s="52"/>
      <c r="S262" s="73" t="s">
        <v>32</v>
      </c>
      <c r="T262" s="73"/>
      <c r="U262" s="73"/>
      <c r="V262" s="52" t="s">
        <v>33</v>
      </c>
      <c r="W262" s="52"/>
      <c r="X262" s="52"/>
      <c r="Y262" s="73" t="s">
        <v>34</v>
      </c>
      <c r="Z262" s="73"/>
      <c r="AA262" s="73"/>
      <c r="AB262" s="52" t="s">
        <v>35</v>
      </c>
      <c r="AC262" s="52"/>
      <c r="AD262" s="52"/>
      <c r="AE262" s="73" t="s">
        <v>36</v>
      </c>
      <c r="AF262" s="73"/>
      <c r="AG262" s="73"/>
    </row>
    <row r="263" spans="1:33" ht="15.75" thickBot="1" x14ac:dyDescent="0.3">
      <c r="A263" s="68"/>
      <c r="B263" s="68"/>
      <c r="C263" s="70" t="s">
        <v>14</v>
      </c>
      <c r="D263" s="74">
        <v>142</v>
      </c>
      <c r="E263" s="75"/>
      <c r="F263" s="76"/>
      <c r="G263" s="74">
        <v>204</v>
      </c>
      <c r="H263" s="75"/>
      <c r="I263" s="76"/>
      <c r="J263" s="74">
        <v>294</v>
      </c>
      <c r="K263" s="75"/>
      <c r="L263" s="76"/>
      <c r="M263" s="74">
        <v>424</v>
      </c>
      <c r="N263" s="75"/>
      <c r="O263" s="76"/>
      <c r="P263" s="74">
        <v>567</v>
      </c>
      <c r="Q263" s="75"/>
      <c r="R263" s="76"/>
      <c r="S263" s="74">
        <v>737</v>
      </c>
      <c r="T263" s="75"/>
      <c r="U263" s="76"/>
      <c r="V263" s="74">
        <v>958</v>
      </c>
      <c r="W263" s="75"/>
      <c r="X263" s="76"/>
      <c r="Y263" s="74">
        <v>1245</v>
      </c>
      <c r="Z263" s="75"/>
      <c r="AA263" s="76"/>
      <c r="AB263" s="74">
        <v>1618</v>
      </c>
      <c r="AC263" s="75"/>
      <c r="AD263" s="76"/>
      <c r="AE263" s="74">
        <v>2103</v>
      </c>
      <c r="AF263" s="75"/>
      <c r="AG263" s="76"/>
    </row>
    <row r="264" spans="1:33" ht="15.75" thickBot="1" x14ac:dyDescent="0.3">
      <c r="A264" s="68"/>
      <c r="B264" s="68"/>
      <c r="C264" s="77" t="s">
        <v>55</v>
      </c>
      <c r="D264" s="81">
        <v>0</v>
      </c>
      <c r="E264" s="82"/>
      <c r="F264" s="84"/>
      <c r="G264" s="85">
        <v>0</v>
      </c>
      <c r="H264" s="82"/>
      <c r="I264" s="84"/>
      <c r="J264" s="85">
        <v>0</v>
      </c>
      <c r="K264" s="82"/>
      <c r="L264" s="84"/>
      <c r="M264" s="85">
        <v>0</v>
      </c>
      <c r="N264" s="82"/>
      <c r="O264" s="82"/>
      <c r="P264" s="81">
        <v>0</v>
      </c>
      <c r="Q264" s="82"/>
      <c r="R264" s="83"/>
      <c r="S264" s="82">
        <v>0</v>
      </c>
      <c r="T264" s="82"/>
      <c r="U264" s="84"/>
      <c r="V264" s="85">
        <v>0</v>
      </c>
      <c r="W264" s="82"/>
      <c r="X264" s="84"/>
      <c r="Y264" s="85">
        <v>0</v>
      </c>
      <c r="Z264" s="82"/>
      <c r="AA264" s="84"/>
      <c r="AB264" s="85">
        <v>0</v>
      </c>
      <c r="AC264" s="82"/>
      <c r="AD264" s="84"/>
      <c r="AE264" s="85">
        <v>0</v>
      </c>
      <c r="AF264" s="82"/>
      <c r="AG264" s="84"/>
    </row>
    <row r="265" spans="1:33" ht="15.75" thickBot="1" x14ac:dyDescent="0.3">
      <c r="A265" s="68"/>
      <c r="B265" s="68"/>
      <c r="C265" s="71" t="s">
        <v>76</v>
      </c>
      <c r="D265" s="78">
        <v>0</v>
      </c>
      <c r="E265" s="79"/>
      <c r="F265" s="79"/>
      <c r="G265" s="78">
        <v>0</v>
      </c>
      <c r="H265" s="79"/>
      <c r="I265" s="80"/>
      <c r="J265" s="78">
        <v>0</v>
      </c>
      <c r="K265" s="79"/>
      <c r="L265" s="80"/>
      <c r="M265" s="78">
        <v>0</v>
      </c>
      <c r="N265" s="79"/>
      <c r="O265" s="80"/>
      <c r="P265" s="78">
        <v>0</v>
      </c>
      <c r="Q265" s="79"/>
      <c r="R265" s="80"/>
      <c r="S265" s="78">
        <v>0</v>
      </c>
      <c r="T265" s="79"/>
      <c r="U265" s="80"/>
      <c r="V265" s="78">
        <v>0</v>
      </c>
      <c r="W265" s="79"/>
      <c r="X265" s="80"/>
      <c r="Y265" s="78">
        <v>0</v>
      </c>
      <c r="Z265" s="79"/>
      <c r="AA265" s="80"/>
      <c r="AB265" s="78">
        <v>0</v>
      </c>
      <c r="AC265" s="79"/>
      <c r="AD265" s="80"/>
      <c r="AE265" s="78">
        <v>0</v>
      </c>
      <c r="AF265" s="79"/>
      <c r="AG265" s="80"/>
    </row>
    <row r="266" spans="1:33" ht="15.75" thickBot="1" x14ac:dyDescent="0.3">
      <c r="A266" s="68"/>
      <c r="B266" s="68"/>
      <c r="C266" s="72" t="s">
        <v>37</v>
      </c>
      <c r="D266" s="86"/>
      <c r="E266" s="86"/>
      <c r="F266" s="89"/>
      <c r="G266" s="86"/>
      <c r="H266" s="86"/>
      <c r="I266" s="89"/>
      <c r="J266" s="86"/>
      <c r="K266" s="86"/>
      <c r="L266" s="89"/>
      <c r="M266" s="86"/>
      <c r="N266" s="86"/>
      <c r="O266" s="89"/>
      <c r="P266" s="86"/>
      <c r="Q266" s="86"/>
      <c r="R266" s="89"/>
      <c r="S266" s="86"/>
      <c r="T266" s="86"/>
      <c r="U266" s="89"/>
      <c r="V266" s="86"/>
      <c r="W266" s="86"/>
      <c r="X266" s="89"/>
      <c r="Y266" s="86"/>
      <c r="Z266" s="86"/>
      <c r="AA266" s="89"/>
      <c r="AB266" s="86"/>
      <c r="AC266" s="86"/>
      <c r="AD266" s="89"/>
      <c r="AE266" s="86"/>
      <c r="AF266" s="86"/>
      <c r="AG266" s="89"/>
    </row>
    <row r="267" spans="1:33" ht="15.75" thickBot="1" x14ac:dyDescent="0.3">
      <c r="A267" s="68"/>
      <c r="B267" s="68"/>
      <c r="D267" s="87"/>
      <c r="E267" s="87"/>
      <c r="F267" s="90"/>
      <c r="G267" s="87"/>
      <c r="H267" s="87"/>
      <c r="I267" s="90"/>
      <c r="J267" s="87"/>
      <c r="K267" s="87"/>
      <c r="L267" s="90"/>
      <c r="M267" s="87"/>
      <c r="N267" s="87"/>
      <c r="O267" s="90"/>
      <c r="P267" s="87"/>
      <c r="Q267" s="87"/>
      <c r="R267" s="90"/>
      <c r="S267" s="87"/>
      <c r="T267" s="87"/>
      <c r="U267" s="90"/>
      <c r="V267" s="87"/>
      <c r="W267" s="87"/>
      <c r="X267" s="90"/>
      <c r="Y267" s="87"/>
      <c r="Z267" s="87"/>
      <c r="AA267" s="90"/>
      <c r="AB267" s="87"/>
      <c r="AC267" s="87"/>
      <c r="AD267" s="90"/>
      <c r="AE267" s="87"/>
      <c r="AF267" s="87"/>
      <c r="AG267" s="90"/>
    </row>
    <row r="268" spans="1:33" ht="15.75" thickBot="1" x14ac:dyDescent="0.3">
      <c r="A268" s="68"/>
      <c r="B268" s="68"/>
      <c r="D268" s="88"/>
      <c r="E268" s="88"/>
      <c r="F268" s="91"/>
      <c r="G268" s="88"/>
      <c r="H268" s="88"/>
      <c r="I268" s="91"/>
      <c r="J268" s="88"/>
      <c r="K268" s="88"/>
      <c r="L268" s="91"/>
      <c r="M268" s="88"/>
      <c r="N268" s="88"/>
      <c r="O268" s="91"/>
      <c r="P268" s="88"/>
      <c r="Q268" s="88"/>
      <c r="R268" s="91"/>
      <c r="S268" s="88"/>
      <c r="T268" s="88"/>
      <c r="U268" s="91"/>
      <c r="V268" s="88"/>
      <c r="W268" s="88"/>
      <c r="X268" s="91"/>
      <c r="Y268" s="88"/>
      <c r="Z268" s="88"/>
      <c r="AA268" s="91"/>
      <c r="AB268" s="88"/>
      <c r="AC268" s="88"/>
      <c r="AD268" s="91"/>
      <c r="AE268" s="88"/>
      <c r="AF268" s="88"/>
      <c r="AG268" s="91"/>
    </row>
    <row r="269" spans="1:33" x14ac:dyDescent="0.25">
      <c r="C269" s="64"/>
      <c r="D269" s="92"/>
      <c r="E269" s="92"/>
      <c r="F269" s="93"/>
      <c r="G269" s="92"/>
      <c r="H269" s="92"/>
      <c r="I269" s="93"/>
      <c r="J269" s="92"/>
      <c r="K269" s="92"/>
      <c r="L269" s="93"/>
      <c r="M269" s="92"/>
      <c r="N269" s="92"/>
      <c r="O269" s="93"/>
      <c r="P269" s="92"/>
      <c r="Q269" s="92"/>
      <c r="R269" s="93"/>
      <c r="S269" s="92"/>
      <c r="T269" s="92"/>
      <c r="U269" s="93"/>
      <c r="V269" s="92"/>
      <c r="W269" s="92"/>
      <c r="X269" s="93"/>
      <c r="Y269" s="92"/>
      <c r="Z269" s="92"/>
      <c r="AA269" s="93"/>
      <c r="AB269" s="92"/>
      <c r="AC269" s="92"/>
      <c r="AD269" s="93"/>
      <c r="AE269" s="92"/>
      <c r="AF269" s="92"/>
      <c r="AG269" s="93"/>
    </row>
    <row r="270" spans="1:33" ht="15.75" thickBot="1" x14ac:dyDescent="0.3"/>
    <row r="271" spans="1:33" ht="15.75" thickBot="1" x14ac:dyDescent="0.3">
      <c r="A271" s="68" t="s">
        <v>103</v>
      </c>
      <c r="B271" s="68"/>
      <c r="C271" s="69" t="s">
        <v>71</v>
      </c>
      <c r="D271" s="52" t="s">
        <v>27</v>
      </c>
      <c r="E271" s="52"/>
      <c r="F271" s="52"/>
      <c r="G271" s="73" t="s">
        <v>28</v>
      </c>
      <c r="H271" s="73"/>
      <c r="I271" s="73"/>
      <c r="J271" s="52" t="s">
        <v>29</v>
      </c>
      <c r="K271" s="52"/>
      <c r="L271" s="52"/>
      <c r="M271" s="73" t="s">
        <v>30</v>
      </c>
      <c r="N271" s="73"/>
      <c r="O271" s="73"/>
      <c r="P271" s="52" t="s">
        <v>31</v>
      </c>
      <c r="Q271" s="52"/>
      <c r="R271" s="52"/>
      <c r="S271" s="73" t="s">
        <v>32</v>
      </c>
      <c r="T271" s="73"/>
      <c r="U271" s="73"/>
      <c r="V271" s="52" t="s">
        <v>33</v>
      </c>
      <c r="W271" s="52"/>
      <c r="X271" s="52"/>
      <c r="Y271" s="73" t="s">
        <v>34</v>
      </c>
      <c r="Z271" s="73"/>
      <c r="AA271" s="73"/>
      <c r="AB271" s="52" t="s">
        <v>35</v>
      </c>
      <c r="AC271" s="52"/>
      <c r="AD271" s="52"/>
      <c r="AE271" s="73" t="s">
        <v>36</v>
      </c>
      <c r="AF271" s="73"/>
      <c r="AG271" s="73"/>
    </row>
    <row r="272" spans="1:33" ht="15.75" thickBot="1" x14ac:dyDescent="0.3">
      <c r="A272" s="68"/>
      <c r="B272" s="68"/>
      <c r="C272" s="70" t="s">
        <v>14</v>
      </c>
      <c r="D272" s="74">
        <v>142</v>
      </c>
      <c r="E272" s="75"/>
      <c r="F272" s="76"/>
      <c r="G272" s="74">
        <v>204</v>
      </c>
      <c r="H272" s="75"/>
      <c r="I272" s="76"/>
      <c r="J272" s="74">
        <v>294</v>
      </c>
      <c r="K272" s="75"/>
      <c r="L272" s="76"/>
      <c r="M272" s="74">
        <v>424</v>
      </c>
      <c r="N272" s="75"/>
      <c r="O272" s="76"/>
      <c r="P272" s="74">
        <v>567</v>
      </c>
      <c r="Q272" s="75"/>
      <c r="R272" s="76"/>
      <c r="S272" s="74">
        <v>737</v>
      </c>
      <c r="T272" s="75"/>
      <c r="U272" s="76"/>
      <c r="V272" s="74">
        <v>958</v>
      </c>
      <c r="W272" s="75"/>
      <c r="X272" s="76"/>
      <c r="Y272" s="74">
        <v>1245</v>
      </c>
      <c r="Z272" s="75"/>
      <c r="AA272" s="76"/>
      <c r="AB272" s="74">
        <v>1618</v>
      </c>
      <c r="AC272" s="75"/>
      <c r="AD272" s="76"/>
      <c r="AE272" s="74">
        <v>2103</v>
      </c>
      <c r="AF272" s="75"/>
      <c r="AG272" s="76"/>
    </row>
    <row r="273" spans="1:33" ht="15.75" thickBot="1" x14ac:dyDescent="0.3">
      <c r="A273" s="68"/>
      <c r="B273" s="68"/>
      <c r="C273" s="77" t="s">
        <v>55</v>
      </c>
      <c r="D273" s="81">
        <v>0</v>
      </c>
      <c r="E273" s="82"/>
      <c r="F273" s="84"/>
      <c r="G273" s="85">
        <v>0</v>
      </c>
      <c r="H273" s="82"/>
      <c r="I273" s="84"/>
      <c r="J273" s="85">
        <v>0</v>
      </c>
      <c r="K273" s="82"/>
      <c r="L273" s="84"/>
      <c r="M273" s="85">
        <v>0</v>
      </c>
      <c r="N273" s="82"/>
      <c r="O273" s="82"/>
      <c r="P273" s="81">
        <v>0</v>
      </c>
      <c r="Q273" s="82"/>
      <c r="R273" s="83"/>
      <c r="S273" s="82">
        <v>0</v>
      </c>
      <c r="T273" s="82"/>
      <c r="U273" s="84"/>
      <c r="V273" s="85">
        <v>0</v>
      </c>
      <c r="W273" s="82"/>
      <c r="X273" s="84"/>
      <c r="Y273" s="85">
        <v>0</v>
      </c>
      <c r="Z273" s="82"/>
      <c r="AA273" s="84"/>
      <c r="AB273" s="85">
        <v>0</v>
      </c>
      <c r="AC273" s="82"/>
      <c r="AD273" s="84"/>
      <c r="AE273" s="85">
        <v>0</v>
      </c>
      <c r="AF273" s="82"/>
      <c r="AG273" s="84"/>
    </row>
    <row r="274" spans="1:33" ht="15.75" thickBot="1" x14ac:dyDescent="0.3">
      <c r="A274" s="68"/>
      <c r="B274" s="68"/>
      <c r="C274" s="71" t="s">
        <v>76</v>
      </c>
      <c r="D274" s="78">
        <v>0</v>
      </c>
      <c r="E274" s="79"/>
      <c r="F274" s="79"/>
      <c r="G274" s="78">
        <v>0</v>
      </c>
      <c r="H274" s="79"/>
      <c r="I274" s="80"/>
      <c r="J274" s="78">
        <v>0</v>
      </c>
      <c r="K274" s="79"/>
      <c r="L274" s="80"/>
      <c r="M274" s="78">
        <v>0</v>
      </c>
      <c r="N274" s="79"/>
      <c r="O274" s="80"/>
      <c r="P274" s="78">
        <v>0</v>
      </c>
      <c r="Q274" s="79"/>
      <c r="R274" s="80"/>
      <c r="S274" s="78">
        <v>0</v>
      </c>
      <c r="T274" s="79"/>
      <c r="U274" s="80"/>
      <c r="V274" s="78">
        <v>0</v>
      </c>
      <c r="W274" s="79"/>
      <c r="X274" s="80"/>
      <c r="Y274" s="78">
        <v>0</v>
      </c>
      <c r="Z274" s="79"/>
      <c r="AA274" s="80"/>
      <c r="AB274" s="78">
        <v>0</v>
      </c>
      <c r="AC274" s="79"/>
      <c r="AD274" s="80"/>
      <c r="AE274" s="78">
        <v>0</v>
      </c>
      <c r="AF274" s="79"/>
      <c r="AG274" s="80"/>
    </row>
    <row r="275" spans="1:33" ht="15.75" thickBot="1" x14ac:dyDescent="0.3">
      <c r="A275" s="68"/>
      <c r="B275" s="68"/>
      <c r="C275" s="72" t="s">
        <v>37</v>
      </c>
      <c r="D275" s="86"/>
      <c r="E275" s="86"/>
      <c r="F275" s="89"/>
      <c r="G275" s="86"/>
      <c r="H275" s="86"/>
      <c r="I275" s="89"/>
      <c r="J275" s="86"/>
      <c r="K275" s="86"/>
      <c r="L275" s="89"/>
      <c r="M275" s="86" t="s">
        <v>201</v>
      </c>
      <c r="N275" s="86"/>
      <c r="O275" s="89">
        <v>1</v>
      </c>
      <c r="P275" s="86" t="s">
        <v>201</v>
      </c>
      <c r="Q275" s="86"/>
      <c r="R275" s="89">
        <v>1</v>
      </c>
      <c r="S275" s="86" t="s">
        <v>201</v>
      </c>
      <c r="T275" s="86"/>
      <c r="U275" s="89">
        <v>1</v>
      </c>
      <c r="V275" s="86" t="s">
        <v>201</v>
      </c>
      <c r="W275" s="86"/>
      <c r="X275" s="89">
        <v>1</v>
      </c>
      <c r="Y275" s="86" t="s">
        <v>201</v>
      </c>
      <c r="Z275" s="86"/>
      <c r="AA275" s="89">
        <v>2</v>
      </c>
      <c r="AB275" s="86" t="s">
        <v>201</v>
      </c>
      <c r="AC275" s="86"/>
      <c r="AD275" s="89">
        <v>2</v>
      </c>
      <c r="AE275" s="86" t="s">
        <v>201</v>
      </c>
      <c r="AF275" s="86"/>
      <c r="AG275" s="89">
        <v>2</v>
      </c>
    </row>
    <row r="276" spans="1:33" ht="15.75" thickBot="1" x14ac:dyDescent="0.3">
      <c r="A276" s="68"/>
      <c r="B276" s="68"/>
      <c r="D276" s="87"/>
      <c r="E276" s="87"/>
      <c r="F276" s="90"/>
      <c r="G276" s="87"/>
      <c r="H276" s="87"/>
      <c r="I276" s="90"/>
      <c r="J276" s="87"/>
      <c r="K276" s="87"/>
      <c r="L276" s="90"/>
      <c r="M276" s="87"/>
      <c r="N276" s="87"/>
      <c r="O276" s="90"/>
      <c r="P276" s="87"/>
      <c r="Q276" s="87"/>
      <c r="R276" s="90"/>
      <c r="S276" s="87"/>
      <c r="T276" s="87"/>
      <c r="U276" s="90"/>
      <c r="V276" s="87"/>
      <c r="W276" s="87"/>
      <c r="X276" s="90"/>
      <c r="Y276" s="87"/>
      <c r="Z276" s="87"/>
      <c r="AA276" s="90"/>
      <c r="AB276" s="87"/>
      <c r="AC276" s="87"/>
      <c r="AD276" s="90"/>
      <c r="AE276" s="87"/>
      <c r="AF276" s="87"/>
      <c r="AG276" s="90"/>
    </row>
    <row r="277" spans="1:33" ht="15.75" thickBot="1" x14ac:dyDescent="0.3">
      <c r="A277" s="68"/>
      <c r="B277" s="68"/>
      <c r="D277" s="88"/>
      <c r="E277" s="88"/>
      <c r="F277" s="91"/>
      <c r="G277" s="88"/>
      <c r="H277" s="88"/>
      <c r="I277" s="91"/>
      <c r="J277" s="88"/>
      <c r="K277" s="88"/>
      <c r="L277" s="91"/>
      <c r="M277" s="88"/>
      <c r="N277" s="88"/>
      <c r="O277" s="91"/>
      <c r="P277" s="88"/>
      <c r="Q277" s="88"/>
      <c r="R277" s="91"/>
      <c r="S277" s="88"/>
      <c r="T277" s="88"/>
      <c r="U277" s="91"/>
      <c r="V277" s="88"/>
      <c r="W277" s="88"/>
      <c r="X277" s="91"/>
      <c r="Y277" s="88"/>
      <c r="Z277" s="88"/>
      <c r="AA277" s="91"/>
      <c r="AB277" s="88"/>
      <c r="AC277" s="88"/>
      <c r="AD277" s="91"/>
      <c r="AE277" s="88"/>
      <c r="AF277" s="88"/>
      <c r="AG277" s="91"/>
    </row>
    <row r="279" spans="1:33" ht="15.75" thickBot="1" x14ac:dyDescent="0.3"/>
    <row r="280" spans="1:33" ht="15.75" thickBot="1" x14ac:dyDescent="0.3">
      <c r="A280" s="68" t="s">
        <v>104</v>
      </c>
      <c r="B280" s="68"/>
      <c r="C280" s="69" t="s">
        <v>71</v>
      </c>
      <c r="D280" s="52" t="s">
        <v>27</v>
      </c>
      <c r="E280" s="52"/>
      <c r="F280" s="52"/>
      <c r="G280" s="73" t="s">
        <v>28</v>
      </c>
      <c r="H280" s="73"/>
      <c r="I280" s="73"/>
      <c r="J280" s="52" t="s">
        <v>29</v>
      </c>
      <c r="K280" s="52"/>
      <c r="L280" s="52"/>
      <c r="M280" s="73" t="s">
        <v>30</v>
      </c>
      <c r="N280" s="73"/>
      <c r="O280" s="73"/>
      <c r="P280" s="52" t="s">
        <v>31</v>
      </c>
      <c r="Q280" s="52"/>
      <c r="R280" s="52"/>
      <c r="S280" s="73" t="s">
        <v>32</v>
      </c>
      <c r="T280" s="73"/>
      <c r="U280" s="73"/>
      <c r="V280" s="52" t="s">
        <v>33</v>
      </c>
      <c r="W280" s="52"/>
      <c r="X280" s="52"/>
      <c r="Y280" s="73" t="s">
        <v>34</v>
      </c>
      <c r="Z280" s="73"/>
      <c r="AA280" s="73"/>
      <c r="AB280" s="52" t="s">
        <v>35</v>
      </c>
      <c r="AC280" s="52"/>
      <c r="AD280" s="52"/>
      <c r="AE280" s="73" t="s">
        <v>36</v>
      </c>
      <c r="AF280" s="73"/>
      <c r="AG280" s="73"/>
    </row>
    <row r="281" spans="1:33" ht="15.75" thickBot="1" x14ac:dyDescent="0.3">
      <c r="A281" s="68"/>
      <c r="B281" s="68"/>
      <c r="C281" s="70" t="s">
        <v>14</v>
      </c>
      <c r="D281" s="74">
        <v>142</v>
      </c>
      <c r="E281" s="75"/>
      <c r="F281" s="76"/>
      <c r="G281" s="74">
        <v>204</v>
      </c>
      <c r="H281" s="75"/>
      <c r="I281" s="76"/>
      <c r="J281" s="74">
        <v>294</v>
      </c>
      <c r="K281" s="75"/>
      <c r="L281" s="76"/>
      <c r="M281" s="74">
        <v>424</v>
      </c>
      <c r="N281" s="75"/>
      <c r="O281" s="76"/>
      <c r="P281" s="74">
        <v>567</v>
      </c>
      <c r="Q281" s="75"/>
      <c r="R281" s="76"/>
      <c r="S281" s="74">
        <v>737</v>
      </c>
      <c r="T281" s="75"/>
      <c r="U281" s="76"/>
      <c r="V281" s="74">
        <v>958</v>
      </c>
      <c r="W281" s="75"/>
      <c r="X281" s="76"/>
      <c r="Y281" s="74">
        <v>1245</v>
      </c>
      <c r="Z281" s="75"/>
      <c r="AA281" s="76"/>
      <c r="AB281" s="74">
        <v>1618</v>
      </c>
      <c r="AC281" s="75"/>
      <c r="AD281" s="76"/>
      <c r="AE281" s="74">
        <v>2103</v>
      </c>
      <c r="AF281" s="75"/>
      <c r="AG281" s="76"/>
    </row>
    <row r="282" spans="1:33" ht="15.75" thickBot="1" x14ac:dyDescent="0.3">
      <c r="A282" s="68"/>
      <c r="B282" s="68"/>
      <c r="C282" s="77" t="s">
        <v>119</v>
      </c>
      <c r="D282" s="81">
        <v>0</v>
      </c>
      <c r="E282" s="82"/>
      <c r="F282" s="84"/>
      <c r="G282" s="85">
        <v>0</v>
      </c>
      <c r="H282" s="82"/>
      <c r="I282" s="84"/>
      <c r="J282" s="85">
        <v>0</v>
      </c>
      <c r="K282" s="82"/>
      <c r="L282" s="84"/>
      <c r="M282" s="85">
        <v>0</v>
      </c>
      <c r="N282" s="82"/>
      <c r="O282" s="82"/>
      <c r="P282" s="81">
        <v>0</v>
      </c>
      <c r="Q282" s="82"/>
      <c r="R282" s="83"/>
      <c r="S282" s="82">
        <v>0</v>
      </c>
      <c r="T282" s="82"/>
      <c r="U282" s="84"/>
      <c r="V282" s="85">
        <v>0</v>
      </c>
      <c r="W282" s="82"/>
      <c r="X282" s="84"/>
      <c r="Y282" s="85">
        <v>0</v>
      </c>
      <c r="Z282" s="82"/>
      <c r="AA282" s="84"/>
      <c r="AB282" s="85">
        <v>0</v>
      </c>
      <c r="AC282" s="82"/>
      <c r="AD282" s="84"/>
      <c r="AE282" s="85">
        <v>0</v>
      </c>
      <c r="AF282" s="82"/>
      <c r="AG282" s="84"/>
    </row>
    <row r="283" spans="1:33" ht="15.75" thickBot="1" x14ac:dyDescent="0.3">
      <c r="A283" s="68"/>
      <c r="B283" s="68"/>
      <c r="C283" s="71" t="s">
        <v>76</v>
      </c>
      <c r="D283" s="78">
        <v>0</v>
      </c>
      <c r="E283" s="79"/>
      <c r="F283" s="79"/>
      <c r="G283" s="78">
        <v>0</v>
      </c>
      <c r="H283" s="79"/>
      <c r="I283" s="80"/>
      <c r="J283" s="78">
        <v>0</v>
      </c>
      <c r="K283" s="79"/>
      <c r="L283" s="80"/>
      <c r="M283" s="78">
        <v>0</v>
      </c>
      <c r="N283" s="79"/>
      <c r="O283" s="80"/>
      <c r="P283" s="78">
        <v>0</v>
      </c>
      <c r="Q283" s="79"/>
      <c r="R283" s="80"/>
      <c r="S283" s="78">
        <v>0</v>
      </c>
      <c r="T283" s="79"/>
      <c r="U283" s="80"/>
      <c r="V283" s="78">
        <v>0</v>
      </c>
      <c r="W283" s="79"/>
      <c r="X283" s="80"/>
      <c r="Y283" s="78">
        <v>0</v>
      </c>
      <c r="Z283" s="79"/>
      <c r="AA283" s="80"/>
      <c r="AB283" s="78">
        <v>0</v>
      </c>
      <c r="AC283" s="79"/>
      <c r="AD283" s="80"/>
      <c r="AE283" s="78">
        <v>0</v>
      </c>
      <c r="AF283" s="79"/>
      <c r="AG283" s="80"/>
    </row>
    <row r="284" spans="1:33" ht="15.75" thickBot="1" x14ac:dyDescent="0.3">
      <c r="A284" s="68"/>
      <c r="B284" s="68"/>
      <c r="C284" s="72" t="s">
        <v>37</v>
      </c>
      <c r="D284" s="86"/>
      <c r="E284" s="86"/>
      <c r="F284" s="89"/>
      <c r="G284" s="86"/>
      <c r="H284" s="86"/>
      <c r="I284" s="89"/>
      <c r="J284" s="86"/>
      <c r="K284" s="86"/>
      <c r="L284" s="89"/>
      <c r="M284" s="86"/>
      <c r="N284" s="86"/>
      <c r="O284" s="89"/>
      <c r="P284" s="86"/>
      <c r="Q284" s="86"/>
      <c r="R284" s="89"/>
      <c r="S284" s="86"/>
      <c r="T284" s="86"/>
      <c r="U284" s="89"/>
      <c r="V284" s="86"/>
      <c r="W284" s="86"/>
      <c r="X284" s="89"/>
      <c r="Y284" s="86"/>
      <c r="Z284" s="86"/>
      <c r="AA284" s="89"/>
      <c r="AB284" s="86"/>
      <c r="AC284" s="86"/>
      <c r="AD284" s="89"/>
      <c r="AE284" s="86"/>
      <c r="AF284" s="86"/>
      <c r="AG284" s="89"/>
    </row>
    <row r="285" spans="1:33" ht="15.75" thickBot="1" x14ac:dyDescent="0.3">
      <c r="A285" s="68"/>
      <c r="B285" s="68"/>
      <c r="D285" s="87"/>
      <c r="E285" s="87"/>
      <c r="F285" s="90"/>
      <c r="G285" s="87"/>
      <c r="H285" s="87"/>
      <c r="I285" s="90"/>
      <c r="J285" s="87"/>
      <c r="K285" s="87"/>
      <c r="L285" s="90"/>
      <c r="M285" s="87"/>
      <c r="N285" s="87"/>
      <c r="O285" s="90"/>
      <c r="P285" s="87"/>
      <c r="Q285" s="87"/>
      <c r="R285" s="90"/>
      <c r="S285" s="87"/>
      <c r="T285" s="87"/>
      <c r="U285" s="90"/>
      <c r="V285" s="87"/>
      <c r="W285" s="87"/>
      <c r="X285" s="90"/>
      <c r="Y285" s="87"/>
      <c r="Z285" s="87"/>
      <c r="AA285" s="90"/>
      <c r="AB285" s="87"/>
      <c r="AC285" s="87"/>
      <c r="AD285" s="90"/>
      <c r="AE285" s="87"/>
      <c r="AF285" s="87"/>
      <c r="AG285" s="90"/>
    </row>
    <row r="286" spans="1:33" ht="15.75" thickBot="1" x14ac:dyDescent="0.3">
      <c r="A286" s="68"/>
      <c r="B286" s="68"/>
      <c r="D286" s="88"/>
      <c r="E286" s="88"/>
      <c r="F286" s="91"/>
      <c r="G286" s="88"/>
      <c r="H286" s="88"/>
      <c r="I286" s="91"/>
      <c r="J286" s="88"/>
      <c r="K286" s="88"/>
      <c r="L286" s="91"/>
      <c r="M286" s="88"/>
      <c r="N286" s="88"/>
      <c r="O286" s="91"/>
      <c r="P286" s="88"/>
      <c r="Q286" s="88"/>
      <c r="R286" s="91"/>
      <c r="S286" s="88"/>
      <c r="T286" s="88"/>
      <c r="U286" s="91"/>
      <c r="V286" s="88"/>
      <c r="W286" s="88"/>
      <c r="X286" s="91"/>
      <c r="Y286" s="88"/>
      <c r="Z286" s="88"/>
      <c r="AA286" s="91"/>
      <c r="AB286" s="88"/>
      <c r="AC286" s="88"/>
      <c r="AD286" s="91"/>
      <c r="AE286" s="88"/>
      <c r="AF286" s="88"/>
      <c r="AG286" s="91"/>
    </row>
    <row r="287" spans="1:33" x14ac:dyDescent="0.25">
      <c r="C287" s="64"/>
      <c r="D287" s="92"/>
      <c r="E287" s="92"/>
      <c r="F287" s="93"/>
      <c r="G287" s="92"/>
      <c r="H287" s="92"/>
      <c r="I287" s="93"/>
      <c r="J287" s="92"/>
      <c r="K287" s="92"/>
      <c r="L287" s="93"/>
      <c r="M287" s="92"/>
      <c r="N287" s="92"/>
      <c r="O287" s="93"/>
      <c r="P287" s="92"/>
      <c r="Q287" s="92"/>
      <c r="R287" s="93"/>
      <c r="S287" s="92"/>
      <c r="T287" s="92"/>
      <c r="U287" s="93"/>
      <c r="V287" s="92"/>
      <c r="W287" s="92"/>
      <c r="X287" s="93"/>
      <c r="Y287" s="92"/>
      <c r="Z287" s="92"/>
      <c r="AA287" s="93"/>
      <c r="AB287" s="92"/>
      <c r="AC287" s="92"/>
      <c r="AD287" s="93"/>
      <c r="AE287" s="92"/>
      <c r="AF287" s="92"/>
      <c r="AG287" s="93"/>
    </row>
    <row r="288" spans="1:33" ht="15.75" thickBot="1" x14ac:dyDescent="0.3"/>
    <row r="289" spans="1:33" ht="15.75" thickBot="1" x14ac:dyDescent="0.3">
      <c r="A289" s="68" t="s">
        <v>105</v>
      </c>
      <c r="B289" s="68"/>
      <c r="C289" s="69" t="s">
        <v>71</v>
      </c>
      <c r="D289" s="52" t="s">
        <v>27</v>
      </c>
      <c r="E289" s="52"/>
      <c r="F289" s="52"/>
      <c r="G289" s="73" t="s">
        <v>28</v>
      </c>
      <c r="H289" s="73"/>
      <c r="I289" s="73"/>
      <c r="J289" s="52" t="s">
        <v>29</v>
      </c>
      <c r="K289" s="52"/>
      <c r="L289" s="52"/>
      <c r="M289" s="73" t="s">
        <v>30</v>
      </c>
      <c r="N289" s="73"/>
      <c r="O289" s="73"/>
      <c r="P289" s="52" t="s">
        <v>31</v>
      </c>
      <c r="Q289" s="52"/>
      <c r="R289" s="52"/>
      <c r="S289" s="73" t="s">
        <v>32</v>
      </c>
      <c r="T289" s="73"/>
      <c r="U289" s="73"/>
      <c r="V289" s="52" t="s">
        <v>33</v>
      </c>
      <c r="W289" s="52"/>
      <c r="X289" s="52"/>
      <c r="Y289" s="73" t="s">
        <v>34</v>
      </c>
      <c r="Z289" s="73"/>
      <c r="AA289" s="73"/>
      <c r="AB289" s="52" t="s">
        <v>35</v>
      </c>
      <c r="AC289" s="52"/>
      <c r="AD289" s="52"/>
      <c r="AE289" s="73" t="s">
        <v>36</v>
      </c>
      <c r="AF289" s="73"/>
      <c r="AG289" s="73"/>
    </row>
    <row r="290" spans="1:33" ht="15.75" thickBot="1" x14ac:dyDescent="0.3">
      <c r="A290" s="68"/>
      <c r="B290" s="68"/>
      <c r="C290" s="70" t="s">
        <v>14</v>
      </c>
      <c r="D290" s="74">
        <v>142</v>
      </c>
      <c r="E290" s="75"/>
      <c r="F290" s="76"/>
      <c r="G290" s="74">
        <v>204</v>
      </c>
      <c r="H290" s="75"/>
      <c r="I290" s="76"/>
      <c r="J290" s="74">
        <v>294</v>
      </c>
      <c r="K290" s="75"/>
      <c r="L290" s="76"/>
      <c r="M290" s="74">
        <v>424</v>
      </c>
      <c r="N290" s="75"/>
      <c r="O290" s="76"/>
      <c r="P290" s="74">
        <v>567</v>
      </c>
      <c r="Q290" s="75"/>
      <c r="R290" s="76"/>
      <c r="S290" s="74">
        <v>737</v>
      </c>
      <c r="T290" s="75"/>
      <c r="U290" s="76"/>
      <c r="V290" s="74">
        <v>958</v>
      </c>
      <c r="W290" s="75"/>
      <c r="X290" s="76"/>
      <c r="Y290" s="74">
        <v>1245</v>
      </c>
      <c r="Z290" s="75"/>
      <c r="AA290" s="76"/>
      <c r="AB290" s="74">
        <v>1618</v>
      </c>
      <c r="AC290" s="75"/>
      <c r="AD290" s="76"/>
      <c r="AE290" s="74">
        <v>2103</v>
      </c>
      <c r="AF290" s="75"/>
      <c r="AG290" s="76"/>
    </row>
    <row r="291" spans="1:33" ht="15.75" thickBot="1" x14ac:dyDescent="0.3">
      <c r="A291" s="68"/>
      <c r="B291" s="68"/>
      <c r="C291" s="77" t="s">
        <v>61</v>
      </c>
      <c r="D291" s="81">
        <v>0</v>
      </c>
      <c r="E291" s="82"/>
      <c r="F291" s="84"/>
      <c r="G291" s="85">
        <v>0</v>
      </c>
      <c r="H291" s="82"/>
      <c r="I291" s="84"/>
      <c r="J291" s="85">
        <v>0</v>
      </c>
      <c r="K291" s="82"/>
      <c r="L291" s="84"/>
      <c r="M291" s="85">
        <v>0</v>
      </c>
      <c r="N291" s="82"/>
      <c r="O291" s="82"/>
      <c r="P291" s="81">
        <v>0</v>
      </c>
      <c r="Q291" s="82"/>
      <c r="R291" s="83"/>
      <c r="S291" s="82">
        <v>0</v>
      </c>
      <c r="T291" s="82"/>
      <c r="U291" s="84"/>
      <c r="V291" s="85">
        <v>0</v>
      </c>
      <c r="W291" s="82"/>
      <c r="X291" s="84"/>
      <c r="Y291" s="85">
        <v>0</v>
      </c>
      <c r="Z291" s="82"/>
      <c r="AA291" s="84"/>
      <c r="AB291" s="85">
        <v>0</v>
      </c>
      <c r="AC291" s="82"/>
      <c r="AD291" s="84"/>
      <c r="AE291" s="85">
        <v>0</v>
      </c>
      <c r="AF291" s="82"/>
      <c r="AG291" s="84"/>
    </row>
    <row r="292" spans="1:33" ht="15.75" thickBot="1" x14ac:dyDescent="0.3">
      <c r="A292" s="68"/>
      <c r="B292" s="68"/>
      <c r="C292" s="71" t="s">
        <v>76</v>
      </c>
      <c r="D292" s="78">
        <v>0</v>
      </c>
      <c r="E292" s="79"/>
      <c r="F292" s="79"/>
      <c r="G292" s="78">
        <v>0</v>
      </c>
      <c r="H292" s="79"/>
      <c r="I292" s="80"/>
      <c r="J292" s="78">
        <v>0</v>
      </c>
      <c r="K292" s="79"/>
      <c r="L292" s="80"/>
      <c r="M292" s="78">
        <v>0</v>
      </c>
      <c r="N292" s="79"/>
      <c r="O292" s="80"/>
      <c r="P292" s="78">
        <v>0</v>
      </c>
      <c r="Q292" s="79"/>
      <c r="R292" s="80"/>
      <c r="S292" s="78">
        <v>0</v>
      </c>
      <c r="T292" s="79"/>
      <c r="U292" s="80"/>
      <c r="V292" s="78">
        <v>0</v>
      </c>
      <c r="W292" s="79"/>
      <c r="X292" s="80"/>
      <c r="Y292" s="78">
        <v>0</v>
      </c>
      <c r="Z292" s="79"/>
      <c r="AA292" s="80"/>
      <c r="AB292" s="78">
        <v>0</v>
      </c>
      <c r="AC292" s="79"/>
      <c r="AD292" s="80"/>
      <c r="AE292" s="78">
        <v>0</v>
      </c>
      <c r="AF292" s="79"/>
      <c r="AG292" s="80"/>
    </row>
    <row r="293" spans="1:33" ht="15.75" thickBot="1" x14ac:dyDescent="0.3">
      <c r="A293" s="68"/>
      <c r="B293" s="68"/>
      <c r="C293" s="72" t="s">
        <v>37</v>
      </c>
      <c r="D293" s="86"/>
      <c r="E293" s="86"/>
      <c r="F293" s="89"/>
      <c r="G293" s="86"/>
      <c r="H293" s="86"/>
      <c r="I293" s="89"/>
      <c r="J293" s="86"/>
      <c r="K293" s="86"/>
      <c r="L293" s="89"/>
      <c r="M293" s="86" t="s">
        <v>201</v>
      </c>
      <c r="N293" s="86"/>
      <c r="O293" s="89">
        <v>1</v>
      </c>
      <c r="P293" s="86" t="s">
        <v>201</v>
      </c>
      <c r="Q293" s="86"/>
      <c r="R293" s="89">
        <v>1</v>
      </c>
      <c r="S293" s="86" t="s">
        <v>201</v>
      </c>
      <c r="T293" s="86"/>
      <c r="U293" s="89">
        <v>1</v>
      </c>
      <c r="V293" s="86" t="s">
        <v>201</v>
      </c>
      <c r="W293" s="86"/>
      <c r="X293" s="89">
        <v>1</v>
      </c>
      <c r="Y293" s="86" t="s">
        <v>201</v>
      </c>
      <c r="Z293" s="86"/>
      <c r="AA293" s="89">
        <v>2</v>
      </c>
      <c r="AB293" s="86" t="s">
        <v>201</v>
      </c>
      <c r="AC293" s="86"/>
      <c r="AD293" s="89">
        <v>2</v>
      </c>
      <c r="AE293" s="86" t="s">
        <v>201</v>
      </c>
      <c r="AF293" s="86"/>
      <c r="AG293" s="89">
        <v>2</v>
      </c>
    </row>
    <row r="294" spans="1:33" ht="15.75" thickBot="1" x14ac:dyDescent="0.3">
      <c r="A294" s="68"/>
      <c r="B294" s="68"/>
      <c r="D294" s="87"/>
      <c r="E294" s="87"/>
      <c r="F294" s="90"/>
      <c r="G294" s="87"/>
      <c r="H294" s="87"/>
      <c r="I294" s="90"/>
      <c r="J294" s="87"/>
      <c r="K294" s="87"/>
      <c r="L294" s="90"/>
      <c r="M294" s="87"/>
      <c r="N294" s="87"/>
      <c r="O294" s="90"/>
      <c r="P294" s="87"/>
      <c r="Q294" s="87"/>
      <c r="R294" s="90"/>
      <c r="S294" s="87"/>
      <c r="T294" s="87"/>
      <c r="U294" s="90"/>
      <c r="V294" s="87"/>
      <c r="W294" s="87"/>
      <c r="X294" s="90"/>
      <c r="Y294" s="87"/>
      <c r="Z294" s="87"/>
      <c r="AA294" s="90"/>
      <c r="AB294" s="87"/>
      <c r="AC294" s="87"/>
      <c r="AD294" s="90"/>
      <c r="AE294" s="87"/>
      <c r="AF294" s="87"/>
      <c r="AG294" s="90"/>
    </row>
    <row r="295" spans="1:33" ht="15.75" thickBot="1" x14ac:dyDescent="0.3">
      <c r="A295" s="68"/>
      <c r="B295" s="68"/>
      <c r="D295" s="88"/>
      <c r="E295" s="88"/>
      <c r="F295" s="91"/>
      <c r="G295" s="88"/>
      <c r="H295" s="88"/>
      <c r="I295" s="91"/>
      <c r="J295" s="88"/>
      <c r="K295" s="88"/>
      <c r="L295" s="91"/>
      <c r="M295" s="88"/>
      <c r="N295" s="88"/>
      <c r="O295" s="91"/>
      <c r="P295" s="88"/>
      <c r="Q295" s="88"/>
      <c r="R295" s="91"/>
      <c r="S295" s="88"/>
      <c r="T295" s="88"/>
      <c r="U295" s="91"/>
      <c r="V295" s="88"/>
      <c r="W295" s="88"/>
      <c r="X295" s="91"/>
      <c r="Y295" s="88"/>
      <c r="Z295" s="88"/>
      <c r="AA295" s="91"/>
      <c r="AB295" s="88"/>
      <c r="AC295" s="88"/>
      <c r="AD295" s="91"/>
      <c r="AE295" s="88"/>
      <c r="AF295" s="88"/>
      <c r="AG295" s="91"/>
    </row>
    <row r="297" spans="1:33" ht="15.75" thickBot="1" x14ac:dyDescent="0.3"/>
    <row r="298" spans="1:33" ht="15.75" thickBot="1" x14ac:dyDescent="0.3">
      <c r="A298" s="68" t="s">
        <v>106</v>
      </c>
      <c r="B298" s="68"/>
      <c r="C298" s="69" t="s">
        <v>74</v>
      </c>
      <c r="D298" s="52" t="s">
        <v>27</v>
      </c>
      <c r="E298" s="52"/>
      <c r="F298" s="52"/>
      <c r="G298" s="73" t="s">
        <v>28</v>
      </c>
      <c r="H298" s="73"/>
      <c r="I298" s="73"/>
      <c r="J298" s="52" t="s">
        <v>29</v>
      </c>
      <c r="K298" s="52"/>
      <c r="L298" s="52"/>
      <c r="M298" s="73" t="s">
        <v>30</v>
      </c>
      <c r="N298" s="73"/>
      <c r="O298" s="73"/>
      <c r="P298" s="52" t="s">
        <v>31</v>
      </c>
      <c r="Q298" s="52"/>
      <c r="R298" s="52"/>
      <c r="S298" s="73" t="s">
        <v>32</v>
      </c>
      <c r="T298" s="73"/>
      <c r="U298" s="73"/>
      <c r="V298" s="52" t="s">
        <v>33</v>
      </c>
      <c r="W298" s="52"/>
      <c r="X298" s="52"/>
      <c r="Y298" s="73" t="s">
        <v>34</v>
      </c>
      <c r="Z298" s="73"/>
      <c r="AA298" s="73"/>
      <c r="AB298" s="52" t="s">
        <v>35</v>
      </c>
      <c r="AC298" s="52"/>
      <c r="AD298" s="52"/>
      <c r="AE298" s="73" t="s">
        <v>36</v>
      </c>
      <c r="AF298" s="73"/>
      <c r="AG298" s="73"/>
    </row>
    <row r="299" spans="1:33" ht="15.75" thickBot="1" x14ac:dyDescent="0.3">
      <c r="A299" s="68"/>
      <c r="B299" s="68"/>
      <c r="C299" s="70" t="s">
        <v>14</v>
      </c>
      <c r="D299" s="74">
        <v>142</v>
      </c>
      <c r="E299" s="75"/>
      <c r="F299" s="76"/>
      <c r="G299" s="74">
        <v>204</v>
      </c>
      <c r="H299" s="75"/>
      <c r="I299" s="76"/>
      <c r="J299" s="74">
        <v>294</v>
      </c>
      <c r="K299" s="75"/>
      <c r="L299" s="76"/>
      <c r="M299" s="74">
        <v>424</v>
      </c>
      <c r="N299" s="75"/>
      <c r="O299" s="76"/>
      <c r="P299" s="74">
        <v>567</v>
      </c>
      <c r="Q299" s="75"/>
      <c r="R299" s="76"/>
      <c r="S299" s="74">
        <v>737</v>
      </c>
      <c r="T299" s="75"/>
      <c r="U299" s="76"/>
      <c r="V299" s="74">
        <v>958</v>
      </c>
      <c r="W299" s="75"/>
      <c r="X299" s="76"/>
      <c r="Y299" s="74">
        <v>1245</v>
      </c>
      <c r="Z299" s="75"/>
      <c r="AA299" s="76"/>
      <c r="AB299" s="74">
        <v>1618</v>
      </c>
      <c r="AC299" s="75"/>
      <c r="AD299" s="76"/>
      <c r="AE299" s="74">
        <v>2103</v>
      </c>
      <c r="AF299" s="75"/>
      <c r="AG299" s="76"/>
    </row>
    <row r="300" spans="1:33" ht="15.75" thickBot="1" x14ac:dyDescent="0.3">
      <c r="A300" s="68"/>
      <c r="B300" s="68"/>
      <c r="C300" s="77" t="s">
        <v>64</v>
      </c>
      <c r="D300" s="81">
        <v>0</v>
      </c>
      <c r="E300" s="82"/>
      <c r="F300" s="84"/>
      <c r="G300" s="85">
        <v>0</v>
      </c>
      <c r="H300" s="82"/>
      <c r="I300" s="84"/>
      <c r="J300" s="85">
        <v>0</v>
      </c>
      <c r="K300" s="82"/>
      <c r="L300" s="84"/>
      <c r="M300" s="85">
        <v>0</v>
      </c>
      <c r="N300" s="82"/>
      <c r="O300" s="82"/>
      <c r="P300" s="81">
        <v>0</v>
      </c>
      <c r="Q300" s="82"/>
      <c r="R300" s="83"/>
      <c r="S300" s="82">
        <v>0</v>
      </c>
      <c r="T300" s="82"/>
      <c r="U300" s="84"/>
      <c r="V300" s="85">
        <v>0</v>
      </c>
      <c r="W300" s="82"/>
      <c r="X300" s="84"/>
      <c r="Y300" s="85">
        <v>0</v>
      </c>
      <c r="Z300" s="82"/>
      <c r="AA300" s="84"/>
      <c r="AB300" s="85">
        <v>0</v>
      </c>
      <c r="AC300" s="82"/>
      <c r="AD300" s="84"/>
      <c r="AE300" s="85">
        <v>0</v>
      </c>
      <c r="AF300" s="82"/>
      <c r="AG300" s="84"/>
    </row>
    <row r="301" spans="1:33" ht="15.75" thickBot="1" x14ac:dyDescent="0.3">
      <c r="A301" s="68"/>
      <c r="B301" s="68"/>
      <c r="C301" s="71" t="s">
        <v>76</v>
      </c>
      <c r="D301" s="78">
        <v>0</v>
      </c>
      <c r="E301" s="79"/>
      <c r="F301" s="79"/>
      <c r="G301" s="78">
        <v>0</v>
      </c>
      <c r="H301" s="79"/>
      <c r="I301" s="80"/>
      <c r="J301" s="78">
        <v>0</v>
      </c>
      <c r="K301" s="79"/>
      <c r="L301" s="80"/>
      <c r="M301" s="78">
        <v>0</v>
      </c>
      <c r="N301" s="79"/>
      <c r="O301" s="80"/>
      <c r="P301" s="78">
        <v>0</v>
      </c>
      <c r="Q301" s="79"/>
      <c r="R301" s="80"/>
      <c r="S301" s="78">
        <v>0</v>
      </c>
      <c r="T301" s="79"/>
      <c r="U301" s="80"/>
      <c r="V301" s="78">
        <v>0</v>
      </c>
      <c r="W301" s="79"/>
      <c r="X301" s="80"/>
      <c r="Y301" s="78">
        <v>0</v>
      </c>
      <c r="Z301" s="79"/>
      <c r="AA301" s="80"/>
      <c r="AB301" s="78">
        <v>0</v>
      </c>
      <c r="AC301" s="79"/>
      <c r="AD301" s="80"/>
      <c r="AE301" s="78">
        <v>0</v>
      </c>
      <c r="AF301" s="79"/>
      <c r="AG301" s="80"/>
    </row>
    <row r="302" spans="1:33" ht="15.75" thickBot="1" x14ac:dyDescent="0.3">
      <c r="A302" s="68"/>
      <c r="B302" s="68"/>
      <c r="C302" s="72" t="s">
        <v>37</v>
      </c>
      <c r="D302" s="86"/>
      <c r="E302" s="86"/>
      <c r="F302" s="89"/>
      <c r="G302" s="86"/>
      <c r="H302" s="86"/>
      <c r="I302" s="89"/>
      <c r="J302" s="86"/>
      <c r="K302" s="86"/>
      <c r="L302" s="89"/>
      <c r="M302" s="86"/>
      <c r="N302" s="86"/>
      <c r="O302" s="89"/>
      <c r="P302" s="86"/>
      <c r="Q302" s="86"/>
      <c r="R302" s="89"/>
      <c r="S302" s="86"/>
      <c r="T302" s="86"/>
      <c r="U302" s="89"/>
      <c r="V302" s="86"/>
      <c r="W302" s="86"/>
      <c r="X302" s="89"/>
      <c r="Y302" s="86"/>
      <c r="Z302" s="86"/>
      <c r="AA302" s="89"/>
      <c r="AB302" s="86"/>
      <c r="AC302" s="86"/>
      <c r="AD302" s="89"/>
      <c r="AE302" s="86"/>
      <c r="AF302" s="86"/>
      <c r="AG302" s="89"/>
    </row>
    <row r="303" spans="1:33" ht="15.75" thickBot="1" x14ac:dyDescent="0.3">
      <c r="A303" s="68"/>
      <c r="B303" s="68"/>
      <c r="D303" s="87"/>
      <c r="E303" s="87"/>
      <c r="F303" s="90"/>
      <c r="G303" s="87"/>
      <c r="H303" s="87"/>
      <c r="I303" s="90"/>
      <c r="J303" s="87"/>
      <c r="K303" s="87"/>
      <c r="L303" s="90"/>
      <c r="M303" s="87"/>
      <c r="N303" s="87"/>
      <c r="O303" s="90"/>
      <c r="P303" s="87"/>
      <c r="Q303" s="87"/>
      <c r="R303" s="90"/>
      <c r="S303" s="87"/>
      <c r="T303" s="87"/>
      <c r="U303" s="90"/>
      <c r="V303" s="87"/>
      <c r="W303" s="87"/>
      <c r="X303" s="90"/>
      <c r="Y303" s="87"/>
      <c r="Z303" s="87"/>
      <c r="AA303" s="90"/>
      <c r="AB303" s="87"/>
      <c r="AC303" s="87"/>
      <c r="AD303" s="90"/>
      <c r="AE303" s="87"/>
      <c r="AF303" s="87"/>
      <c r="AG303" s="90"/>
    </row>
    <row r="304" spans="1:33" ht="15.75" thickBot="1" x14ac:dyDescent="0.3">
      <c r="A304" s="68"/>
      <c r="B304" s="68"/>
      <c r="D304" s="88"/>
      <c r="E304" s="88"/>
      <c r="F304" s="91"/>
      <c r="G304" s="88"/>
      <c r="H304" s="88"/>
      <c r="I304" s="91"/>
      <c r="J304" s="88"/>
      <c r="K304" s="88"/>
      <c r="L304" s="91"/>
      <c r="M304" s="88"/>
      <c r="N304" s="88"/>
      <c r="O304" s="91"/>
      <c r="P304" s="88"/>
      <c r="Q304" s="88"/>
      <c r="R304" s="91"/>
      <c r="S304" s="88"/>
      <c r="T304" s="88"/>
      <c r="U304" s="91"/>
      <c r="V304" s="88"/>
      <c r="W304" s="88"/>
      <c r="X304" s="91"/>
      <c r="Y304" s="88"/>
      <c r="Z304" s="88"/>
      <c r="AA304" s="91"/>
      <c r="AB304" s="88"/>
      <c r="AC304" s="88"/>
      <c r="AD304" s="91"/>
      <c r="AE304" s="88"/>
      <c r="AF304" s="88"/>
      <c r="AG304" s="91"/>
    </row>
    <row r="305" spans="1:33" x14ac:dyDescent="0.25">
      <c r="C305" s="64"/>
      <c r="D305" s="92"/>
      <c r="E305" s="92"/>
      <c r="F305" s="93"/>
      <c r="G305" s="92"/>
      <c r="H305" s="92"/>
      <c r="I305" s="93"/>
      <c r="J305" s="92"/>
      <c r="K305" s="92"/>
      <c r="L305" s="93"/>
      <c r="M305" s="92"/>
      <c r="N305" s="92"/>
      <c r="O305" s="93"/>
      <c r="P305" s="92"/>
      <c r="Q305" s="92"/>
      <c r="R305" s="93"/>
      <c r="S305" s="92"/>
      <c r="T305" s="92"/>
      <c r="U305" s="93"/>
      <c r="V305" s="92"/>
      <c r="W305" s="92"/>
      <c r="X305" s="93"/>
      <c r="Y305" s="92"/>
      <c r="Z305" s="92"/>
      <c r="AA305" s="93"/>
      <c r="AB305" s="92"/>
      <c r="AC305" s="92"/>
      <c r="AD305" s="93"/>
      <c r="AE305" s="92"/>
      <c r="AF305" s="92"/>
      <c r="AG305" s="93"/>
    </row>
    <row r="306" spans="1:33" ht="15.75" thickBot="1" x14ac:dyDescent="0.3"/>
    <row r="307" spans="1:33" ht="15.75" thickBot="1" x14ac:dyDescent="0.3">
      <c r="A307" s="68" t="s">
        <v>107</v>
      </c>
      <c r="B307" s="68"/>
      <c r="C307" s="69" t="s">
        <v>71</v>
      </c>
      <c r="D307" s="52" t="s">
        <v>27</v>
      </c>
      <c r="E307" s="52"/>
      <c r="F307" s="52"/>
      <c r="G307" s="73" t="s">
        <v>28</v>
      </c>
      <c r="H307" s="73"/>
      <c r="I307" s="73"/>
      <c r="J307" s="52" t="s">
        <v>29</v>
      </c>
      <c r="K307" s="52"/>
      <c r="L307" s="52"/>
      <c r="M307" s="73" t="s">
        <v>30</v>
      </c>
      <c r="N307" s="73"/>
      <c r="O307" s="73"/>
      <c r="P307" s="52" t="s">
        <v>31</v>
      </c>
      <c r="Q307" s="52"/>
      <c r="R307" s="52"/>
      <c r="S307" s="73" t="s">
        <v>32</v>
      </c>
      <c r="T307" s="73"/>
      <c r="U307" s="73"/>
      <c r="V307" s="52" t="s">
        <v>33</v>
      </c>
      <c r="W307" s="52"/>
      <c r="X307" s="52"/>
      <c r="Y307" s="73" t="s">
        <v>34</v>
      </c>
      <c r="Z307" s="73"/>
      <c r="AA307" s="73"/>
      <c r="AB307" s="52" t="s">
        <v>35</v>
      </c>
      <c r="AC307" s="52"/>
      <c r="AD307" s="52"/>
      <c r="AE307" s="73" t="s">
        <v>36</v>
      </c>
      <c r="AF307" s="73"/>
      <c r="AG307" s="73"/>
    </row>
    <row r="308" spans="1:33" ht="15.75" thickBot="1" x14ac:dyDescent="0.3">
      <c r="A308" s="68"/>
      <c r="B308" s="68"/>
      <c r="C308" s="70" t="s">
        <v>14</v>
      </c>
      <c r="D308" s="74">
        <v>142</v>
      </c>
      <c r="E308" s="75"/>
      <c r="F308" s="76"/>
      <c r="G308" s="74">
        <v>204</v>
      </c>
      <c r="H308" s="75"/>
      <c r="I308" s="76"/>
      <c r="J308" s="74">
        <v>294</v>
      </c>
      <c r="K308" s="75"/>
      <c r="L308" s="76"/>
      <c r="M308" s="74">
        <v>424</v>
      </c>
      <c r="N308" s="75"/>
      <c r="O308" s="76"/>
      <c r="P308" s="74">
        <v>567</v>
      </c>
      <c r="Q308" s="75"/>
      <c r="R308" s="76"/>
      <c r="S308" s="74">
        <v>737</v>
      </c>
      <c r="T308" s="75"/>
      <c r="U308" s="76"/>
      <c r="V308" s="74">
        <v>958</v>
      </c>
      <c r="W308" s="75"/>
      <c r="X308" s="76"/>
      <c r="Y308" s="74">
        <v>1245</v>
      </c>
      <c r="Z308" s="75"/>
      <c r="AA308" s="76"/>
      <c r="AB308" s="74">
        <v>1618</v>
      </c>
      <c r="AC308" s="75"/>
      <c r="AD308" s="76"/>
      <c r="AE308" s="74">
        <v>2103</v>
      </c>
      <c r="AF308" s="75"/>
      <c r="AG308" s="76"/>
    </row>
    <row r="309" spans="1:33" ht="15.75" thickBot="1" x14ac:dyDescent="0.3">
      <c r="A309" s="68"/>
      <c r="B309" s="68"/>
      <c r="C309" s="77" t="s">
        <v>55</v>
      </c>
      <c r="D309" s="81">
        <v>0</v>
      </c>
      <c r="E309" s="82"/>
      <c r="F309" s="84"/>
      <c r="G309" s="85">
        <v>0</v>
      </c>
      <c r="H309" s="82"/>
      <c r="I309" s="84"/>
      <c r="J309" s="85">
        <v>0</v>
      </c>
      <c r="K309" s="82"/>
      <c r="L309" s="84"/>
      <c r="M309" s="85">
        <v>0</v>
      </c>
      <c r="N309" s="82"/>
      <c r="O309" s="82"/>
      <c r="P309" s="81">
        <v>0</v>
      </c>
      <c r="Q309" s="82"/>
      <c r="R309" s="83"/>
      <c r="S309" s="82">
        <v>0</v>
      </c>
      <c r="T309" s="82"/>
      <c r="U309" s="84"/>
      <c r="V309" s="85">
        <v>0</v>
      </c>
      <c r="W309" s="82"/>
      <c r="X309" s="84"/>
      <c r="Y309" s="85">
        <v>0</v>
      </c>
      <c r="Z309" s="82"/>
      <c r="AA309" s="84"/>
      <c r="AB309" s="85">
        <v>0</v>
      </c>
      <c r="AC309" s="82"/>
      <c r="AD309" s="84"/>
      <c r="AE309" s="85">
        <v>0</v>
      </c>
      <c r="AF309" s="82"/>
      <c r="AG309" s="84"/>
    </row>
    <row r="310" spans="1:33" ht="15.75" thickBot="1" x14ac:dyDescent="0.3">
      <c r="A310" s="68"/>
      <c r="B310" s="68"/>
      <c r="C310" s="71" t="s">
        <v>76</v>
      </c>
      <c r="D310" s="78">
        <v>0</v>
      </c>
      <c r="E310" s="79"/>
      <c r="F310" s="79"/>
      <c r="G310" s="78">
        <v>0</v>
      </c>
      <c r="H310" s="79"/>
      <c r="I310" s="80"/>
      <c r="J310" s="78">
        <v>0</v>
      </c>
      <c r="K310" s="79"/>
      <c r="L310" s="80"/>
      <c r="M310" s="78">
        <v>0</v>
      </c>
      <c r="N310" s="79"/>
      <c r="O310" s="80"/>
      <c r="P310" s="78">
        <v>0</v>
      </c>
      <c r="Q310" s="79"/>
      <c r="R310" s="80"/>
      <c r="S310" s="78">
        <v>0</v>
      </c>
      <c r="T310" s="79"/>
      <c r="U310" s="80"/>
      <c r="V310" s="78">
        <v>0</v>
      </c>
      <c r="W310" s="79"/>
      <c r="X310" s="80"/>
      <c r="Y310" s="78">
        <v>0</v>
      </c>
      <c r="Z310" s="79"/>
      <c r="AA310" s="80"/>
      <c r="AB310" s="78">
        <v>0</v>
      </c>
      <c r="AC310" s="79"/>
      <c r="AD310" s="80"/>
      <c r="AE310" s="78">
        <v>0</v>
      </c>
      <c r="AF310" s="79"/>
      <c r="AG310" s="80"/>
    </row>
    <row r="311" spans="1:33" ht="15.75" thickBot="1" x14ac:dyDescent="0.3">
      <c r="A311" s="68"/>
      <c r="B311" s="68"/>
      <c r="C311" s="72" t="s">
        <v>37</v>
      </c>
      <c r="D311" s="86"/>
      <c r="E311" s="86"/>
      <c r="F311" s="89"/>
      <c r="G311" s="86"/>
      <c r="H311" s="86"/>
      <c r="I311" s="89"/>
      <c r="J311" s="86"/>
      <c r="K311" s="86"/>
      <c r="L311" s="89"/>
      <c r="M311" s="86" t="s">
        <v>201</v>
      </c>
      <c r="N311" s="86"/>
      <c r="O311" s="89">
        <v>1</v>
      </c>
      <c r="P311" s="86" t="s">
        <v>201</v>
      </c>
      <c r="Q311" s="86"/>
      <c r="R311" s="89">
        <v>1</v>
      </c>
      <c r="S311" s="86" t="s">
        <v>201</v>
      </c>
      <c r="T311" s="86"/>
      <c r="U311" s="89">
        <v>1</v>
      </c>
      <c r="V311" s="86" t="s">
        <v>201</v>
      </c>
      <c r="W311" s="86"/>
      <c r="X311" s="89">
        <v>1</v>
      </c>
      <c r="Y311" s="86" t="s">
        <v>201</v>
      </c>
      <c r="Z311" s="86"/>
      <c r="AA311" s="89">
        <v>2</v>
      </c>
      <c r="AB311" s="86" t="s">
        <v>201</v>
      </c>
      <c r="AC311" s="86"/>
      <c r="AD311" s="89">
        <v>2</v>
      </c>
      <c r="AE311" s="86" t="s">
        <v>201</v>
      </c>
      <c r="AF311" s="86"/>
      <c r="AG311" s="89">
        <v>2</v>
      </c>
    </row>
    <row r="312" spans="1:33" ht="15.75" thickBot="1" x14ac:dyDescent="0.3">
      <c r="A312" s="68"/>
      <c r="B312" s="68"/>
      <c r="D312" s="87"/>
      <c r="E312" s="87"/>
      <c r="F312" s="90"/>
      <c r="G312" s="87"/>
      <c r="H312" s="87"/>
      <c r="I312" s="90"/>
      <c r="J312" s="87"/>
      <c r="K312" s="87"/>
      <c r="L312" s="90"/>
      <c r="M312" s="87"/>
      <c r="N312" s="87"/>
      <c r="O312" s="90"/>
      <c r="P312" s="87"/>
      <c r="Q312" s="87"/>
      <c r="R312" s="90"/>
      <c r="S312" s="87"/>
      <c r="T312" s="87"/>
      <c r="U312" s="90"/>
      <c r="V312" s="87"/>
      <c r="W312" s="87"/>
      <c r="X312" s="90"/>
      <c r="Y312" s="87"/>
      <c r="Z312" s="87"/>
      <c r="AA312" s="90"/>
      <c r="AB312" s="87"/>
      <c r="AC312" s="87"/>
      <c r="AD312" s="90"/>
      <c r="AE312" s="87"/>
      <c r="AF312" s="87"/>
      <c r="AG312" s="90"/>
    </row>
    <row r="313" spans="1:33" ht="15.75" thickBot="1" x14ac:dyDescent="0.3">
      <c r="A313" s="68"/>
      <c r="B313" s="68"/>
      <c r="D313" s="88"/>
      <c r="E313" s="88"/>
      <c r="F313" s="91"/>
      <c r="G313" s="88"/>
      <c r="H313" s="88"/>
      <c r="I313" s="91"/>
      <c r="J313" s="88"/>
      <c r="K313" s="88"/>
      <c r="L313" s="91"/>
      <c r="M313" s="88"/>
      <c r="N313" s="88"/>
      <c r="O313" s="91"/>
      <c r="P313" s="88"/>
      <c r="Q313" s="88"/>
      <c r="R313" s="91"/>
      <c r="S313" s="88"/>
      <c r="T313" s="88"/>
      <c r="U313" s="91"/>
      <c r="V313" s="88"/>
      <c r="W313" s="88"/>
      <c r="X313" s="91"/>
      <c r="Y313" s="88"/>
      <c r="Z313" s="88"/>
      <c r="AA313" s="91"/>
      <c r="AB313" s="88"/>
      <c r="AC313" s="88"/>
      <c r="AD313" s="91"/>
      <c r="AE313" s="88"/>
      <c r="AF313" s="88"/>
      <c r="AG313" s="91"/>
    </row>
    <row r="315" spans="1:33" ht="15.75" thickBot="1" x14ac:dyDescent="0.3"/>
    <row r="316" spans="1:33" ht="15.75" thickBot="1" x14ac:dyDescent="0.3">
      <c r="A316" s="68" t="s">
        <v>108</v>
      </c>
      <c r="B316" s="68"/>
      <c r="C316" s="69" t="s">
        <v>72</v>
      </c>
      <c r="D316" s="52" t="s">
        <v>27</v>
      </c>
      <c r="E316" s="52"/>
      <c r="F316" s="52"/>
      <c r="G316" s="73" t="s">
        <v>28</v>
      </c>
      <c r="H316" s="73"/>
      <c r="I316" s="73"/>
      <c r="J316" s="52" t="s">
        <v>29</v>
      </c>
      <c r="K316" s="52"/>
      <c r="L316" s="52"/>
      <c r="M316" s="73" t="s">
        <v>30</v>
      </c>
      <c r="N316" s="73"/>
      <c r="O316" s="73"/>
      <c r="P316" s="52" t="s">
        <v>31</v>
      </c>
      <c r="Q316" s="52"/>
      <c r="R316" s="52"/>
      <c r="S316" s="73" t="s">
        <v>32</v>
      </c>
      <c r="T316" s="73"/>
      <c r="U316" s="73"/>
      <c r="V316" s="52" t="s">
        <v>33</v>
      </c>
      <c r="W316" s="52"/>
      <c r="X316" s="52"/>
      <c r="Y316" s="73" t="s">
        <v>34</v>
      </c>
      <c r="Z316" s="73"/>
      <c r="AA316" s="73"/>
      <c r="AB316" s="52" t="s">
        <v>35</v>
      </c>
      <c r="AC316" s="52"/>
      <c r="AD316" s="52"/>
      <c r="AE316" s="73" t="s">
        <v>36</v>
      </c>
      <c r="AF316" s="73"/>
      <c r="AG316" s="73"/>
    </row>
    <row r="317" spans="1:33" ht="15.75" thickBot="1" x14ac:dyDescent="0.3">
      <c r="A317" s="68"/>
      <c r="B317" s="68"/>
      <c r="C317" s="70" t="s">
        <v>14</v>
      </c>
      <c r="D317" s="74">
        <v>142</v>
      </c>
      <c r="E317" s="75"/>
      <c r="F317" s="76"/>
      <c r="G317" s="74">
        <v>204</v>
      </c>
      <c r="H317" s="75"/>
      <c r="I317" s="76"/>
      <c r="J317" s="74">
        <v>294</v>
      </c>
      <c r="K317" s="75"/>
      <c r="L317" s="76"/>
      <c r="M317" s="74">
        <v>424</v>
      </c>
      <c r="N317" s="75"/>
      <c r="O317" s="76"/>
      <c r="P317" s="74">
        <v>567</v>
      </c>
      <c r="Q317" s="75"/>
      <c r="R317" s="76"/>
      <c r="S317" s="74">
        <v>737</v>
      </c>
      <c r="T317" s="75"/>
      <c r="U317" s="76"/>
      <c r="V317" s="74">
        <v>958</v>
      </c>
      <c r="W317" s="75"/>
      <c r="X317" s="76"/>
      <c r="Y317" s="74">
        <v>1245</v>
      </c>
      <c r="Z317" s="75"/>
      <c r="AA317" s="76"/>
      <c r="AB317" s="74">
        <v>1618</v>
      </c>
      <c r="AC317" s="75"/>
      <c r="AD317" s="76"/>
      <c r="AE317" s="74">
        <v>2103</v>
      </c>
      <c r="AF317" s="75"/>
      <c r="AG317" s="76"/>
    </row>
    <row r="318" spans="1:33" ht="15.75" thickBot="1" x14ac:dyDescent="0.3">
      <c r="A318" s="68"/>
      <c r="B318" s="68"/>
      <c r="C318" s="77" t="s">
        <v>57</v>
      </c>
      <c r="D318" s="81">
        <v>0</v>
      </c>
      <c r="E318" s="82"/>
      <c r="F318" s="84"/>
      <c r="G318" s="85">
        <v>0</v>
      </c>
      <c r="H318" s="82"/>
      <c r="I318" s="84"/>
      <c r="J318" s="85">
        <v>0</v>
      </c>
      <c r="K318" s="82"/>
      <c r="L318" s="84"/>
      <c r="M318" s="85">
        <v>0</v>
      </c>
      <c r="N318" s="82"/>
      <c r="O318" s="82"/>
      <c r="P318" s="81">
        <v>0</v>
      </c>
      <c r="Q318" s="82"/>
      <c r="R318" s="83"/>
      <c r="S318" s="82">
        <v>0</v>
      </c>
      <c r="T318" s="82"/>
      <c r="U318" s="84"/>
      <c r="V318" s="85">
        <v>0</v>
      </c>
      <c r="W318" s="82"/>
      <c r="X318" s="84"/>
      <c r="Y318" s="85">
        <v>0</v>
      </c>
      <c r="Z318" s="82"/>
      <c r="AA318" s="84"/>
      <c r="AB318" s="85">
        <v>0</v>
      </c>
      <c r="AC318" s="82"/>
      <c r="AD318" s="84"/>
      <c r="AE318" s="85">
        <v>0</v>
      </c>
      <c r="AF318" s="82"/>
      <c r="AG318" s="84"/>
    </row>
    <row r="319" spans="1:33" ht="15.75" thickBot="1" x14ac:dyDescent="0.3">
      <c r="A319" s="68"/>
      <c r="B319" s="68"/>
      <c r="C319" s="71" t="s">
        <v>76</v>
      </c>
      <c r="D319" s="78">
        <v>0</v>
      </c>
      <c r="E319" s="79"/>
      <c r="F319" s="79"/>
      <c r="G319" s="78">
        <v>0</v>
      </c>
      <c r="H319" s="79"/>
      <c r="I319" s="80"/>
      <c r="J319" s="78">
        <v>0</v>
      </c>
      <c r="K319" s="79"/>
      <c r="L319" s="80"/>
      <c r="M319" s="78">
        <v>0</v>
      </c>
      <c r="N319" s="79"/>
      <c r="O319" s="80"/>
      <c r="P319" s="78">
        <v>0</v>
      </c>
      <c r="Q319" s="79"/>
      <c r="R319" s="80"/>
      <c r="S319" s="78">
        <v>0</v>
      </c>
      <c r="T319" s="79"/>
      <c r="U319" s="80"/>
      <c r="V319" s="78">
        <v>0</v>
      </c>
      <c r="W319" s="79"/>
      <c r="X319" s="80"/>
      <c r="Y319" s="78">
        <v>0</v>
      </c>
      <c r="Z319" s="79"/>
      <c r="AA319" s="80"/>
      <c r="AB319" s="78">
        <v>0</v>
      </c>
      <c r="AC319" s="79"/>
      <c r="AD319" s="80"/>
      <c r="AE319" s="78">
        <v>0</v>
      </c>
      <c r="AF319" s="79"/>
      <c r="AG319" s="80"/>
    </row>
    <row r="320" spans="1:33" ht="15.75" thickBot="1" x14ac:dyDescent="0.3">
      <c r="A320" s="68"/>
      <c r="B320" s="68"/>
      <c r="C320" s="72" t="s">
        <v>37</v>
      </c>
      <c r="D320" s="86"/>
      <c r="E320" s="86"/>
      <c r="F320" s="89"/>
      <c r="G320" s="86"/>
      <c r="H320" s="86"/>
      <c r="I320" s="89"/>
      <c r="J320" s="86"/>
      <c r="K320" s="86"/>
      <c r="L320" s="89"/>
      <c r="M320" s="86"/>
      <c r="N320" s="86"/>
      <c r="O320" s="89"/>
      <c r="P320" s="86"/>
      <c r="Q320" s="86"/>
      <c r="R320" s="89"/>
      <c r="S320" s="86"/>
      <c r="T320" s="86"/>
      <c r="U320" s="89"/>
      <c r="V320" s="86"/>
      <c r="W320" s="86"/>
      <c r="X320" s="89"/>
      <c r="Y320" s="86"/>
      <c r="Z320" s="86"/>
      <c r="AA320" s="89"/>
      <c r="AB320" s="86"/>
      <c r="AC320" s="86"/>
      <c r="AD320" s="89"/>
      <c r="AE320" s="86"/>
      <c r="AF320" s="86"/>
      <c r="AG320" s="89"/>
    </row>
    <row r="321" spans="1:33" ht="15.75" thickBot="1" x14ac:dyDescent="0.3">
      <c r="A321" s="68"/>
      <c r="B321" s="68"/>
      <c r="D321" s="87"/>
      <c r="E321" s="87"/>
      <c r="F321" s="90"/>
      <c r="G321" s="87"/>
      <c r="H321" s="87"/>
      <c r="I321" s="90"/>
      <c r="J321" s="87"/>
      <c r="K321" s="87"/>
      <c r="L321" s="90"/>
      <c r="M321" s="87"/>
      <c r="N321" s="87"/>
      <c r="O321" s="90"/>
      <c r="P321" s="87"/>
      <c r="Q321" s="87"/>
      <c r="R321" s="90"/>
      <c r="S321" s="87"/>
      <c r="T321" s="87"/>
      <c r="U321" s="90"/>
      <c r="V321" s="87"/>
      <c r="W321" s="87"/>
      <c r="X321" s="90"/>
      <c r="Y321" s="87"/>
      <c r="Z321" s="87"/>
      <c r="AA321" s="90"/>
      <c r="AB321" s="87"/>
      <c r="AC321" s="87"/>
      <c r="AD321" s="90"/>
      <c r="AE321" s="87"/>
      <c r="AF321" s="87"/>
      <c r="AG321" s="90"/>
    </row>
    <row r="322" spans="1:33" ht="15.75" thickBot="1" x14ac:dyDescent="0.3">
      <c r="A322" s="68"/>
      <c r="B322" s="68"/>
      <c r="D322" s="88"/>
      <c r="E322" s="88"/>
      <c r="F322" s="91"/>
      <c r="G322" s="88"/>
      <c r="H322" s="88"/>
      <c r="I322" s="91"/>
      <c r="J322" s="88"/>
      <c r="K322" s="88"/>
      <c r="L322" s="91"/>
      <c r="M322" s="88"/>
      <c r="N322" s="88"/>
      <c r="O322" s="91"/>
      <c r="P322" s="88"/>
      <c r="Q322" s="88"/>
      <c r="R322" s="91"/>
      <c r="S322" s="88"/>
      <c r="T322" s="88"/>
      <c r="U322" s="91"/>
      <c r="V322" s="88"/>
      <c r="W322" s="88"/>
      <c r="X322" s="91"/>
      <c r="Y322" s="88"/>
      <c r="Z322" s="88"/>
      <c r="AA322" s="91"/>
      <c r="AB322" s="88"/>
      <c r="AC322" s="88"/>
      <c r="AD322" s="91"/>
      <c r="AE322" s="88"/>
      <c r="AF322" s="88"/>
      <c r="AG322" s="91"/>
    </row>
    <row r="323" spans="1:33" x14ac:dyDescent="0.25">
      <c r="C323" s="64"/>
      <c r="D323" s="92"/>
      <c r="E323" s="92"/>
      <c r="F323" s="93"/>
      <c r="G323" s="92"/>
      <c r="H323" s="92"/>
      <c r="I323" s="93"/>
      <c r="J323" s="92"/>
      <c r="K323" s="92"/>
      <c r="L323" s="93"/>
      <c r="M323" s="92"/>
      <c r="N323" s="92"/>
      <c r="O323" s="93"/>
      <c r="P323" s="92"/>
      <c r="Q323" s="92"/>
      <c r="R323" s="93"/>
      <c r="S323" s="92"/>
      <c r="T323" s="92"/>
      <c r="U323" s="93"/>
      <c r="V323" s="92"/>
      <c r="W323" s="92"/>
      <c r="X323" s="93"/>
      <c r="Y323" s="92"/>
      <c r="Z323" s="92"/>
      <c r="AA323" s="93"/>
      <c r="AB323" s="92"/>
      <c r="AC323" s="92"/>
      <c r="AD323" s="93"/>
      <c r="AE323" s="92"/>
      <c r="AF323" s="92"/>
      <c r="AG323" s="93"/>
    </row>
    <row r="324" spans="1:33" ht="15.75" thickBot="1" x14ac:dyDescent="0.3"/>
    <row r="325" spans="1:33" ht="15.75" thickBot="1" x14ac:dyDescent="0.3">
      <c r="A325" s="68" t="s">
        <v>109</v>
      </c>
      <c r="B325" s="68"/>
      <c r="C325" s="69" t="s">
        <v>74</v>
      </c>
      <c r="D325" s="52" t="s">
        <v>27</v>
      </c>
      <c r="E325" s="52"/>
      <c r="F325" s="52"/>
      <c r="G325" s="73" t="s">
        <v>28</v>
      </c>
      <c r="H325" s="73"/>
      <c r="I325" s="73"/>
      <c r="J325" s="52" t="s">
        <v>29</v>
      </c>
      <c r="K325" s="52"/>
      <c r="L325" s="52"/>
      <c r="M325" s="73" t="s">
        <v>30</v>
      </c>
      <c r="N325" s="73"/>
      <c r="O325" s="73"/>
      <c r="P325" s="52" t="s">
        <v>31</v>
      </c>
      <c r="Q325" s="52"/>
      <c r="R325" s="52"/>
      <c r="S325" s="73" t="s">
        <v>32</v>
      </c>
      <c r="T325" s="73"/>
      <c r="U325" s="73"/>
      <c r="V325" s="52" t="s">
        <v>33</v>
      </c>
      <c r="W325" s="52"/>
      <c r="X325" s="52"/>
      <c r="Y325" s="73" t="s">
        <v>34</v>
      </c>
      <c r="Z325" s="73"/>
      <c r="AA325" s="73"/>
      <c r="AB325" s="52" t="s">
        <v>35</v>
      </c>
      <c r="AC325" s="52"/>
      <c r="AD325" s="52"/>
      <c r="AE325" s="73" t="s">
        <v>36</v>
      </c>
      <c r="AF325" s="73"/>
      <c r="AG325" s="73"/>
    </row>
    <row r="326" spans="1:33" ht="15.75" thickBot="1" x14ac:dyDescent="0.3">
      <c r="A326" s="68"/>
      <c r="B326" s="68"/>
      <c r="C326" s="70" t="s">
        <v>14</v>
      </c>
      <c r="D326" s="74">
        <v>142</v>
      </c>
      <c r="E326" s="75"/>
      <c r="F326" s="76"/>
      <c r="G326" s="74">
        <v>204</v>
      </c>
      <c r="H326" s="75"/>
      <c r="I326" s="76"/>
      <c r="J326" s="74">
        <v>294</v>
      </c>
      <c r="K326" s="75"/>
      <c r="L326" s="76"/>
      <c r="M326" s="74">
        <v>424</v>
      </c>
      <c r="N326" s="75"/>
      <c r="O326" s="76"/>
      <c r="P326" s="74">
        <v>567</v>
      </c>
      <c r="Q326" s="75"/>
      <c r="R326" s="76"/>
      <c r="S326" s="74">
        <v>737</v>
      </c>
      <c r="T326" s="75"/>
      <c r="U326" s="76"/>
      <c r="V326" s="74">
        <v>958</v>
      </c>
      <c r="W326" s="75"/>
      <c r="X326" s="76"/>
      <c r="Y326" s="74">
        <v>1245</v>
      </c>
      <c r="Z326" s="75"/>
      <c r="AA326" s="76"/>
      <c r="AB326" s="74">
        <v>1618</v>
      </c>
      <c r="AC326" s="75"/>
      <c r="AD326" s="76"/>
      <c r="AE326" s="74">
        <v>2103</v>
      </c>
      <c r="AF326" s="75"/>
      <c r="AG326" s="76"/>
    </row>
    <row r="327" spans="1:33" ht="15.75" thickBot="1" x14ac:dyDescent="0.3">
      <c r="A327" s="68"/>
      <c r="B327" s="68"/>
      <c r="C327" s="77" t="s">
        <v>224</v>
      </c>
      <c r="D327" s="81">
        <v>0</v>
      </c>
      <c r="E327" s="82"/>
      <c r="F327" s="84"/>
      <c r="G327" s="85">
        <v>0</v>
      </c>
      <c r="H327" s="82"/>
      <c r="I327" s="84"/>
      <c r="J327" s="85">
        <v>0</v>
      </c>
      <c r="K327" s="82"/>
      <c r="L327" s="84"/>
      <c r="M327" s="85">
        <v>0</v>
      </c>
      <c r="N327" s="82"/>
      <c r="O327" s="82"/>
      <c r="P327" s="81">
        <v>0</v>
      </c>
      <c r="Q327" s="82"/>
      <c r="R327" s="83"/>
      <c r="S327" s="82">
        <v>0</v>
      </c>
      <c r="T327" s="82"/>
      <c r="U327" s="84"/>
      <c r="V327" s="85">
        <v>0</v>
      </c>
      <c r="W327" s="82"/>
      <c r="X327" s="84"/>
      <c r="Y327" s="85">
        <v>0</v>
      </c>
      <c r="Z327" s="82"/>
      <c r="AA327" s="84"/>
      <c r="AB327" s="85">
        <v>0</v>
      </c>
      <c r="AC327" s="82"/>
      <c r="AD327" s="84"/>
      <c r="AE327" s="85">
        <v>0</v>
      </c>
      <c r="AF327" s="82"/>
      <c r="AG327" s="84"/>
    </row>
    <row r="328" spans="1:33" ht="15.75" thickBot="1" x14ac:dyDescent="0.3">
      <c r="A328" s="68"/>
      <c r="B328" s="68"/>
      <c r="C328" s="71" t="s">
        <v>76</v>
      </c>
      <c r="D328" s="78">
        <v>0</v>
      </c>
      <c r="E328" s="79"/>
      <c r="F328" s="79"/>
      <c r="G328" s="78">
        <v>0</v>
      </c>
      <c r="H328" s="79"/>
      <c r="I328" s="80"/>
      <c r="J328" s="78">
        <v>0</v>
      </c>
      <c r="K328" s="79"/>
      <c r="L328" s="80"/>
      <c r="M328" s="78">
        <v>0</v>
      </c>
      <c r="N328" s="79"/>
      <c r="O328" s="80"/>
      <c r="P328" s="78">
        <v>0</v>
      </c>
      <c r="Q328" s="79"/>
      <c r="R328" s="80"/>
      <c r="S328" s="78">
        <v>0</v>
      </c>
      <c r="T328" s="79"/>
      <c r="U328" s="80"/>
      <c r="V328" s="78">
        <v>0</v>
      </c>
      <c r="W328" s="79"/>
      <c r="X328" s="80"/>
      <c r="Y328" s="78">
        <v>0</v>
      </c>
      <c r="Z328" s="79"/>
      <c r="AA328" s="80"/>
      <c r="AB328" s="78">
        <v>0</v>
      </c>
      <c r="AC328" s="79"/>
      <c r="AD328" s="80"/>
      <c r="AE328" s="78">
        <v>0</v>
      </c>
      <c r="AF328" s="79"/>
      <c r="AG328" s="80"/>
    </row>
    <row r="329" spans="1:33" ht="15.75" thickBot="1" x14ac:dyDescent="0.3">
      <c r="A329" s="68"/>
      <c r="B329" s="68"/>
      <c r="C329" s="72" t="s">
        <v>37</v>
      </c>
      <c r="D329" s="86"/>
      <c r="E329" s="86"/>
      <c r="F329" s="89"/>
      <c r="G329" s="86"/>
      <c r="H329" s="86"/>
      <c r="I329" s="89"/>
      <c r="J329" s="86"/>
      <c r="K329" s="86"/>
      <c r="L329" s="89"/>
      <c r="M329" s="86" t="s">
        <v>201</v>
      </c>
      <c r="N329" s="86"/>
      <c r="O329" s="89">
        <v>1</v>
      </c>
      <c r="P329" s="86" t="s">
        <v>201</v>
      </c>
      <c r="Q329" s="86"/>
      <c r="R329" s="89">
        <v>1</v>
      </c>
      <c r="S329" s="86" t="s">
        <v>201</v>
      </c>
      <c r="T329" s="86"/>
      <c r="U329" s="89">
        <v>1</v>
      </c>
      <c r="V329" s="86" t="s">
        <v>201</v>
      </c>
      <c r="W329" s="86"/>
      <c r="X329" s="89">
        <v>1</v>
      </c>
      <c r="Y329" s="86" t="s">
        <v>201</v>
      </c>
      <c r="Z329" s="86"/>
      <c r="AA329" s="89">
        <v>2</v>
      </c>
      <c r="AB329" s="86" t="s">
        <v>201</v>
      </c>
      <c r="AC329" s="86"/>
      <c r="AD329" s="89">
        <v>2</v>
      </c>
      <c r="AE329" s="86" t="s">
        <v>201</v>
      </c>
      <c r="AF329" s="86"/>
      <c r="AG329" s="89">
        <v>2</v>
      </c>
    </row>
    <row r="330" spans="1:33" ht="15.75" thickBot="1" x14ac:dyDescent="0.3">
      <c r="A330" s="68"/>
      <c r="B330" s="68"/>
      <c r="D330" s="87"/>
      <c r="E330" s="87"/>
      <c r="F330" s="90"/>
      <c r="G330" s="87"/>
      <c r="H330" s="87"/>
      <c r="I330" s="90"/>
      <c r="J330" s="87"/>
      <c r="K330" s="87"/>
      <c r="L330" s="90"/>
      <c r="M330" s="87"/>
      <c r="N330" s="87"/>
      <c r="O330" s="90"/>
      <c r="P330" s="87"/>
      <c r="Q330" s="87"/>
      <c r="R330" s="90"/>
      <c r="S330" s="87"/>
      <c r="T330" s="87"/>
      <c r="U330" s="90"/>
      <c r="V330" s="87"/>
      <c r="W330" s="87"/>
      <c r="X330" s="90"/>
      <c r="Y330" s="87"/>
      <c r="Z330" s="87"/>
      <c r="AA330" s="90"/>
      <c r="AB330" s="87"/>
      <c r="AC330" s="87"/>
      <c r="AD330" s="90"/>
      <c r="AE330" s="87"/>
      <c r="AF330" s="87"/>
      <c r="AG330" s="90"/>
    </row>
    <row r="331" spans="1:33" ht="15.75" thickBot="1" x14ac:dyDescent="0.3">
      <c r="A331" s="68"/>
      <c r="B331" s="68"/>
      <c r="D331" s="88"/>
      <c r="E331" s="88"/>
      <c r="F331" s="91"/>
      <c r="G331" s="88"/>
      <c r="H331" s="88"/>
      <c r="I331" s="91"/>
      <c r="J331" s="88"/>
      <c r="K331" s="88"/>
      <c r="L331" s="91"/>
      <c r="M331" s="88"/>
      <c r="N331" s="88"/>
      <c r="O331" s="91"/>
      <c r="P331" s="88"/>
      <c r="Q331" s="88"/>
      <c r="R331" s="91"/>
      <c r="S331" s="88"/>
      <c r="T331" s="88"/>
      <c r="U331" s="91"/>
      <c r="V331" s="88"/>
      <c r="W331" s="88"/>
      <c r="X331" s="91"/>
      <c r="Y331" s="88"/>
      <c r="Z331" s="88"/>
      <c r="AA331" s="91"/>
      <c r="AB331" s="88"/>
      <c r="AC331" s="88"/>
      <c r="AD331" s="91"/>
      <c r="AE331" s="88"/>
      <c r="AF331" s="88"/>
      <c r="AG331" s="91"/>
    </row>
    <row r="333" spans="1:33" ht="15.75" thickBot="1" x14ac:dyDescent="0.3"/>
    <row r="334" spans="1:33" ht="15.75" thickBot="1" x14ac:dyDescent="0.3">
      <c r="A334" s="68" t="s">
        <v>110</v>
      </c>
      <c r="B334" s="68"/>
      <c r="C334" s="69" t="s">
        <v>71</v>
      </c>
      <c r="D334" s="52" t="s">
        <v>27</v>
      </c>
      <c r="E334" s="52"/>
      <c r="F334" s="52"/>
      <c r="G334" s="73" t="s">
        <v>28</v>
      </c>
      <c r="H334" s="73"/>
      <c r="I334" s="73"/>
      <c r="J334" s="52" t="s">
        <v>29</v>
      </c>
      <c r="K334" s="52"/>
      <c r="L334" s="52"/>
      <c r="M334" s="73" t="s">
        <v>30</v>
      </c>
      <c r="N334" s="73"/>
      <c r="O334" s="73"/>
      <c r="P334" s="52" t="s">
        <v>31</v>
      </c>
      <c r="Q334" s="52"/>
      <c r="R334" s="52"/>
      <c r="S334" s="73" t="s">
        <v>32</v>
      </c>
      <c r="T334" s="73"/>
      <c r="U334" s="73"/>
      <c r="V334" s="52" t="s">
        <v>33</v>
      </c>
      <c r="W334" s="52"/>
      <c r="X334" s="52"/>
      <c r="Y334" s="73" t="s">
        <v>34</v>
      </c>
      <c r="Z334" s="73"/>
      <c r="AA334" s="73"/>
      <c r="AB334" s="52" t="s">
        <v>35</v>
      </c>
      <c r="AC334" s="52"/>
      <c r="AD334" s="52"/>
      <c r="AE334" s="73" t="s">
        <v>36</v>
      </c>
      <c r="AF334" s="73"/>
      <c r="AG334" s="73"/>
    </row>
    <row r="335" spans="1:33" ht="15.75" thickBot="1" x14ac:dyDescent="0.3">
      <c r="A335" s="68"/>
      <c r="B335" s="68"/>
      <c r="C335" s="70" t="s">
        <v>14</v>
      </c>
      <c r="D335" s="74">
        <v>142</v>
      </c>
      <c r="E335" s="75"/>
      <c r="F335" s="76"/>
      <c r="G335" s="74">
        <v>204</v>
      </c>
      <c r="H335" s="75"/>
      <c r="I335" s="76"/>
      <c r="J335" s="74">
        <v>294</v>
      </c>
      <c r="K335" s="75"/>
      <c r="L335" s="76"/>
      <c r="M335" s="74">
        <v>424</v>
      </c>
      <c r="N335" s="75"/>
      <c r="O335" s="76"/>
      <c r="P335" s="74">
        <v>567</v>
      </c>
      <c r="Q335" s="75"/>
      <c r="R335" s="76"/>
      <c r="S335" s="74">
        <v>737</v>
      </c>
      <c r="T335" s="75"/>
      <c r="U335" s="76"/>
      <c r="V335" s="74">
        <v>958</v>
      </c>
      <c r="W335" s="75"/>
      <c r="X335" s="76"/>
      <c r="Y335" s="74">
        <v>1245</v>
      </c>
      <c r="Z335" s="75"/>
      <c r="AA335" s="76"/>
      <c r="AB335" s="74">
        <v>1618</v>
      </c>
      <c r="AC335" s="75"/>
      <c r="AD335" s="76"/>
      <c r="AE335" s="74">
        <v>2103</v>
      </c>
      <c r="AF335" s="75"/>
      <c r="AG335" s="76"/>
    </row>
    <row r="336" spans="1:33" ht="15.75" thickBot="1" x14ac:dyDescent="0.3">
      <c r="A336" s="68"/>
      <c r="B336" s="68"/>
      <c r="C336" s="77" t="s">
        <v>55</v>
      </c>
      <c r="D336" s="81">
        <v>0</v>
      </c>
      <c r="E336" s="82"/>
      <c r="F336" s="84"/>
      <c r="G336" s="85">
        <v>0</v>
      </c>
      <c r="H336" s="82"/>
      <c r="I336" s="84"/>
      <c r="J336" s="85">
        <v>0</v>
      </c>
      <c r="K336" s="82"/>
      <c r="L336" s="84"/>
      <c r="M336" s="85">
        <v>0</v>
      </c>
      <c r="N336" s="82"/>
      <c r="O336" s="82"/>
      <c r="P336" s="81">
        <v>0</v>
      </c>
      <c r="Q336" s="82"/>
      <c r="R336" s="83"/>
      <c r="S336" s="82">
        <v>0</v>
      </c>
      <c r="T336" s="82"/>
      <c r="U336" s="84"/>
      <c r="V336" s="85">
        <v>0</v>
      </c>
      <c r="W336" s="82"/>
      <c r="X336" s="84"/>
      <c r="Y336" s="85">
        <v>0</v>
      </c>
      <c r="Z336" s="82"/>
      <c r="AA336" s="84"/>
      <c r="AB336" s="85">
        <v>0</v>
      </c>
      <c r="AC336" s="82"/>
      <c r="AD336" s="84"/>
      <c r="AE336" s="85">
        <v>0</v>
      </c>
      <c r="AF336" s="82"/>
      <c r="AG336" s="84"/>
    </row>
    <row r="337" spans="1:33" ht="15.75" thickBot="1" x14ac:dyDescent="0.3">
      <c r="A337" s="68"/>
      <c r="B337" s="68"/>
      <c r="C337" s="71" t="s">
        <v>76</v>
      </c>
      <c r="D337" s="78">
        <v>0</v>
      </c>
      <c r="E337" s="79"/>
      <c r="F337" s="79"/>
      <c r="G337" s="78">
        <v>0</v>
      </c>
      <c r="H337" s="79"/>
      <c r="I337" s="80"/>
      <c r="J337" s="78">
        <v>0</v>
      </c>
      <c r="K337" s="79"/>
      <c r="L337" s="80"/>
      <c r="M337" s="78">
        <v>0</v>
      </c>
      <c r="N337" s="79"/>
      <c r="O337" s="80"/>
      <c r="P337" s="78">
        <v>0</v>
      </c>
      <c r="Q337" s="79"/>
      <c r="R337" s="80"/>
      <c r="S337" s="78">
        <v>0</v>
      </c>
      <c r="T337" s="79"/>
      <c r="U337" s="80"/>
      <c r="V337" s="78">
        <v>0</v>
      </c>
      <c r="W337" s="79"/>
      <c r="X337" s="80"/>
      <c r="Y337" s="78">
        <v>0</v>
      </c>
      <c r="Z337" s="79"/>
      <c r="AA337" s="80"/>
      <c r="AB337" s="78">
        <v>0</v>
      </c>
      <c r="AC337" s="79"/>
      <c r="AD337" s="80"/>
      <c r="AE337" s="78">
        <v>0</v>
      </c>
      <c r="AF337" s="79"/>
      <c r="AG337" s="80"/>
    </row>
    <row r="338" spans="1:33" ht="15.75" thickBot="1" x14ac:dyDescent="0.3">
      <c r="A338" s="68"/>
      <c r="B338" s="68"/>
      <c r="C338" s="72" t="s">
        <v>37</v>
      </c>
      <c r="D338" s="86"/>
      <c r="E338" s="86"/>
      <c r="F338" s="89"/>
      <c r="G338" s="86"/>
      <c r="H338" s="86"/>
      <c r="I338" s="89"/>
      <c r="J338" s="86"/>
      <c r="K338" s="86"/>
      <c r="L338" s="89"/>
      <c r="M338" s="86"/>
      <c r="N338" s="86"/>
      <c r="O338" s="89"/>
      <c r="P338" s="86"/>
      <c r="Q338" s="86"/>
      <c r="R338" s="89"/>
      <c r="S338" s="86"/>
      <c r="T338" s="86"/>
      <c r="U338" s="89"/>
      <c r="V338" s="86"/>
      <c r="W338" s="86"/>
      <c r="X338" s="89"/>
      <c r="Y338" s="86"/>
      <c r="Z338" s="86"/>
      <c r="AA338" s="89"/>
      <c r="AB338" s="86"/>
      <c r="AC338" s="86"/>
      <c r="AD338" s="89"/>
      <c r="AE338" s="86"/>
      <c r="AF338" s="86"/>
      <c r="AG338" s="89"/>
    </row>
    <row r="339" spans="1:33" ht="15.75" thickBot="1" x14ac:dyDescent="0.3">
      <c r="A339" s="68"/>
      <c r="B339" s="68"/>
      <c r="D339" s="87"/>
      <c r="E339" s="87"/>
      <c r="F339" s="90"/>
      <c r="G339" s="87"/>
      <c r="H339" s="87"/>
      <c r="I339" s="90"/>
      <c r="J339" s="87"/>
      <c r="K339" s="87"/>
      <c r="L339" s="90"/>
      <c r="M339" s="87"/>
      <c r="N339" s="87"/>
      <c r="O339" s="90"/>
      <c r="P339" s="87"/>
      <c r="Q339" s="87"/>
      <c r="R339" s="90"/>
      <c r="S339" s="87"/>
      <c r="T339" s="87"/>
      <c r="U339" s="90"/>
      <c r="V339" s="87"/>
      <c r="W339" s="87"/>
      <c r="X339" s="90"/>
      <c r="Y339" s="87"/>
      <c r="Z339" s="87"/>
      <c r="AA339" s="90"/>
      <c r="AB339" s="87"/>
      <c r="AC339" s="87"/>
      <c r="AD339" s="90"/>
      <c r="AE339" s="87"/>
      <c r="AF339" s="87"/>
      <c r="AG339" s="90"/>
    </row>
    <row r="340" spans="1:33" ht="15.75" thickBot="1" x14ac:dyDescent="0.3">
      <c r="A340" s="68"/>
      <c r="B340" s="68"/>
      <c r="D340" s="88"/>
      <c r="E340" s="88"/>
      <c r="F340" s="91"/>
      <c r="G340" s="88"/>
      <c r="H340" s="88"/>
      <c r="I340" s="91"/>
      <c r="J340" s="88"/>
      <c r="K340" s="88"/>
      <c r="L340" s="91"/>
      <c r="M340" s="88"/>
      <c r="N340" s="88"/>
      <c r="O340" s="91"/>
      <c r="P340" s="88"/>
      <c r="Q340" s="88"/>
      <c r="R340" s="91"/>
      <c r="S340" s="88"/>
      <c r="T340" s="88"/>
      <c r="U340" s="91"/>
      <c r="V340" s="88"/>
      <c r="W340" s="88"/>
      <c r="X340" s="91"/>
      <c r="Y340" s="88"/>
      <c r="Z340" s="88"/>
      <c r="AA340" s="91"/>
      <c r="AB340" s="88"/>
      <c r="AC340" s="88"/>
      <c r="AD340" s="91"/>
      <c r="AE340" s="88"/>
      <c r="AF340" s="88"/>
      <c r="AG340" s="91"/>
    </row>
    <row r="341" spans="1:33" x14ac:dyDescent="0.25">
      <c r="C341" s="64"/>
      <c r="D341" s="92"/>
      <c r="E341" s="92"/>
      <c r="F341" s="93"/>
      <c r="G341" s="92"/>
      <c r="H341" s="92"/>
      <c r="I341" s="93"/>
      <c r="J341" s="92"/>
      <c r="K341" s="92"/>
      <c r="L341" s="93"/>
      <c r="M341" s="92"/>
      <c r="N341" s="92"/>
      <c r="O341" s="93"/>
      <c r="P341" s="92"/>
      <c r="Q341" s="92"/>
      <c r="R341" s="93"/>
      <c r="S341" s="92"/>
      <c r="T341" s="92"/>
      <c r="U341" s="93"/>
      <c r="V341" s="92"/>
      <c r="W341" s="92"/>
      <c r="X341" s="93"/>
      <c r="Y341" s="92"/>
      <c r="Z341" s="92"/>
      <c r="AA341" s="93"/>
      <c r="AB341" s="92"/>
      <c r="AC341" s="92"/>
      <c r="AD341" s="93"/>
      <c r="AE341" s="92"/>
      <c r="AF341" s="92"/>
      <c r="AG341" s="93"/>
    </row>
    <row r="342" spans="1:33" ht="15.75" thickBot="1" x14ac:dyDescent="0.3"/>
    <row r="343" spans="1:33" ht="15.75" thickBot="1" x14ac:dyDescent="0.3">
      <c r="A343" s="68" t="s">
        <v>111</v>
      </c>
      <c r="B343" s="68"/>
      <c r="C343" s="69" t="s">
        <v>71</v>
      </c>
      <c r="D343" s="52" t="s">
        <v>27</v>
      </c>
      <c r="E343" s="52"/>
      <c r="F343" s="52"/>
      <c r="G343" s="73" t="s">
        <v>28</v>
      </c>
      <c r="H343" s="73"/>
      <c r="I343" s="73"/>
      <c r="J343" s="52" t="s">
        <v>29</v>
      </c>
      <c r="K343" s="52"/>
      <c r="L343" s="52"/>
      <c r="M343" s="73" t="s">
        <v>30</v>
      </c>
      <c r="N343" s="73"/>
      <c r="O343" s="73"/>
      <c r="P343" s="52" t="s">
        <v>31</v>
      </c>
      <c r="Q343" s="52"/>
      <c r="R343" s="52"/>
      <c r="S343" s="73" t="s">
        <v>32</v>
      </c>
      <c r="T343" s="73"/>
      <c r="U343" s="73"/>
      <c r="V343" s="52" t="s">
        <v>33</v>
      </c>
      <c r="W343" s="52"/>
      <c r="X343" s="52"/>
      <c r="Y343" s="73" t="s">
        <v>34</v>
      </c>
      <c r="Z343" s="73"/>
      <c r="AA343" s="73"/>
      <c r="AB343" s="52" t="s">
        <v>35</v>
      </c>
      <c r="AC343" s="52"/>
      <c r="AD343" s="52"/>
      <c r="AE343" s="73" t="s">
        <v>36</v>
      </c>
      <c r="AF343" s="73"/>
      <c r="AG343" s="73"/>
    </row>
    <row r="344" spans="1:33" ht="15.75" thickBot="1" x14ac:dyDescent="0.3">
      <c r="A344" s="68"/>
      <c r="B344" s="68"/>
      <c r="C344" s="70" t="s">
        <v>14</v>
      </c>
      <c r="D344" s="74">
        <v>142</v>
      </c>
      <c r="E344" s="75"/>
      <c r="F344" s="76"/>
      <c r="G344" s="74">
        <v>204</v>
      </c>
      <c r="H344" s="75"/>
      <c r="I344" s="76"/>
      <c r="J344" s="74">
        <v>294</v>
      </c>
      <c r="K344" s="75"/>
      <c r="L344" s="76"/>
      <c r="M344" s="74">
        <v>424</v>
      </c>
      <c r="N344" s="75"/>
      <c r="O344" s="76"/>
      <c r="P344" s="74">
        <v>567</v>
      </c>
      <c r="Q344" s="75"/>
      <c r="R344" s="76"/>
      <c r="S344" s="74">
        <v>737</v>
      </c>
      <c r="T344" s="75"/>
      <c r="U344" s="76"/>
      <c r="V344" s="74">
        <v>958</v>
      </c>
      <c r="W344" s="75"/>
      <c r="X344" s="76"/>
      <c r="Y344" s="74">
        <v>1245</v>
      </c>
      <c r="Z344" s="75"/>
      <c r="AA344" s="76"/>
      <c r="AB344" s="74">
        <v>1618</v>
      </c>
      <c r="AC344" s="75"/>
      <c r="AD344" s="76"/>
      <c r="AE344" s="74">
        <v>2103</v>
      </c>
      <c r="AF344" s="75"/>
      <c r="AG344" s="76"/>
    </row>
    <row r="345" spans="1:33" ht="15.75" thickBot="1" x14ac:dyDescent="0.3">
      <c r="A345" s="68"/>
      <c r="B345" s="68"/>
      <c r="C345" s="77" t="s">
        <v>64</v>
      </c>
      <c r="D345" s="81">
        <v>0</v>
      </c>
      <c r="E345" s="82"/>
      <c r="F345" s="84"/>
      <c r="G345" s="85">
        <v>0</v>
      </c>
      <c r="H345" s="82"/>
      <c r="I345" s="84"/>
      <c r="J345" s="85">
        <v>0</v>
      </c>
      <c r="K345" s="82"/>
      <c r="L345" s="84"/>
      <c r="M345" s="85">
        <v>0</v>
      </c>
      <c r="N345" s="82"/>
      <c r="O345" s="82"/>
      <c r="P345" s="81">
        <v>0</v>
      </c>
      <c r="Q345" s="82"/>
      <c r="R345" s="83"/>
      <c r="S345" s="82">
        <v>0</v>
      </c>
      <c r="T345" s="82"/>
      <c r="U345" s="84"/>
      <c r="V345" s="85">
        <v>0</v>
      </c>
      <c r="W345" s="82"/>
      <c r="X345" s="84"/>
      <c r="Y345" s="85">
        <v>0</v>
      </c>
      <c r="Z345" s="82"/>
      <c r="AA345" s="84"/>
      <c r="AB345" s="85">
        <v>0</v>
      </c>
      <c r="AC345" s="82"/>
      <c r="AD345" s="84"/>
      <c r="AE345" s="85">
        <v>0</v>
      </c>
      <c r="AF345" s="82"/>
      <c r="AG345" s="84"/>
    </row>
    <row r="346" spans="1:33" ht="15.75" thickBot="1" x14ac:dyDescent="0.3">
      <c r="A346" s="68"/>
      <c r="B346" s="68"/>
      <c r="C346" s="71" t="s">
        <v>76</v>
      </c>
      <c r="D346" s="78">
        <v>0</v>
      </c>
      <c r="E346" s="79"/>
      <c r="F346" s="79"/>
      <c r="G346" s="78">
        <v>0</v>
      </c>
      <c r="H346" s="79"/>
      <c r="I346" s="80"/>
      <c r="J346" s="78">
        <v>0</v>
      </c>
      <c r="K346" s="79"/>
      <c r="L346" s="80"/>
      <c r="M346" s="78">
        <v>0</v>
      </c>
      <c r="N346" s="79"/>
      <c r="O346" s="80"/>
      <c r="P346" s="78">
        <v>0</v>
      </c>
      <c r="Q346" s="79"/>
      <c r="R346" s="80"/>
      <c r="S346" s="78">
        <v>0</v>
      </c>
      <c r="T346" s="79"/>
      <c r="U346" s="80"/>
      <c r="V346" s="78">
        <v>0</v>
      </c>
      <c r="W346" s="79"/>
      <c r="X346" s="80"/>
      <c r="Y346" s="78">
        <v>0</v>
      </c>
      <c r="Z346" s="79"/>
      <c r="AA346" s="80"/>
      <c r="AB346" s="78">
        <v>0</v>
      </c>
      <c r="AC346" s="79"/>
      <c r="AD346" s="80"/>
      <c r="AE346" s="78">
        <v>0</v>
      </c>
      <c r="AF346" s="79"/>
      <c r="AG346" s="80"/>
    </row>
    <row r="347" spans="1:33" ht="15.75" thickBot="1" x14ac:dyDescent="0.3">
      <c r="A347" s="68"/>
      <c r="B347" s="68"/>
      <c r="C347" s="72" t="s">
        <v>37</v>
      </c>
      <c r="D347" s="86"/>
      <c r="E347" s="86"/>
      <c r="F347" s="89"/>
      <c r="G347" s="86"/>
      <c r="H347" s="86"/>
      <c r="I347" s="89"/>
      <c r="J347" s="86"/>
      <c r="K347" s="86"/>
      <c r="L347" s="89"/>
      <c r="M347" s="86" t="s">
        <v>201</v>
      </c>
      <c r="N347" s="86"/>
      <c r="O347" s="89">
        <v>1</v>
      </c>
      <c r="P347" s="86" t="s">
        <v>201</v>
      </c>
      <c r="Q347" s="86"/>
      <c r="R347" s="89">
        <v>1</v>
      </c>
      <c r="S347" s="86" t="s">
        <v>201</v>
      </c>
      <c r="T347" s="86"/>
      <c r="U347" s="89">
        <v>1</v>
      </c>
      <c r="V347" s="86" t="s">
        <v>201</v>
      </c>
      <c r="W347" s="86"/>
      <c r="X347" s="89">
        <v>1</v>
      </c>
      <c r="Y347" s="86" t="s">
        <v>201</v>
      </c>
      <c r="Z347" s="86"/>
      <c r="AA347" s="89">
        <v>2</v>
      </c>
      <c r="AB347" s="86" t="s">
        <v>201</v>
      </c>
      <c r="AC347" s="86"/>
      <c r="AD347" s="89">
        <v>2</v>
      </c>
      <c r="AE347" s="86" t="s">
        <v>201</v>
      </c>
      <c r="AF347" s="86"/>
      <c r="AG347" s="89">
        <v>2</v>
      </c>
    </row>
    <row r="348" spans="1:33" ht="15.75" thickBot="1" x14ac:dyDescent="0.3">
      <c r="A348" s="68"/>
      <c r="B348" s="68"/>
      <c r="D348" s="87"/>
      <c r="E348" s="87"/>
      <c r="F348" s="90"/>
      <c r="G348" s="87"/>
      <c r="H348" s="87"/>
      <c r="I348" s="90"/>
      <c r="J348" s="87"/>
      <c r="K348" s="87"/>
      <c r="L348" s="90"/>
      <c r="M348" s="87"/>
      <c r="N348" s="87"/>
      <c r="O348" s="90"/>
      <c r="P348" s="87"/>
      <c r="Q348" s="87"/>
      <c r="R348" s="90"/>
      <c r="S348" s="87"/>
      <c r="T348" s="87"/>
      <c r="U348" s="90"/>
      <c r="V348" s="87"/>
      <c r="W348" s="87"/>
      <c r="X348" s="90"/>
      <c r="Y348" s="87"/>
      <c r="Z348" s="87"/>
      <c r="AA348" s="90"/>
      <c r="AB348" s="87"/>
      <c r="AC348" s="87"/>
      <c r="AD348" s="90"/>
      <c r="AE348" s="87"/>
      <c r="AF348" s="87"/>
      <c r="AG348" s="90"/>
    </row>
    <row r="349" spans="1:33" ht="15.75" thickBot="1" x14ac:dyDescent="0.3">
      <c r="A349" s="68"/>
      <c r="B349" s="68"/>
      <c r="D349" s="88"/>
      <c r="E349" s="88"/>
      <c r="F349" s="91"/>
      <c r="G349" s="88"/>
      <c r="H349" s="88"/>
      <c r="I349" s="91"/>
      <c r="J349" s="88"/>
      <c r="K349" s="88"/>
      <c r="L349" s="91"/>
      <c r="M349" s="88"/>
      <c r="N349" s="88"/>
      <c r="O349" s="91"/>
      <c r="P349" s="88"/>
      <c r="Q349" s="88"/>
      <c r="R349" s="91"/>
      <c r="S349" s="88"/>
      <c r="T349" s="88"/>
      <c r="U349" s="91"/>
      <c r="V349" s="88"/>
      <c r="W349" s="88"/>
      <c r="X349" s="91"/>
      <c r="Y349" s="88"/>
      <c r="Z349" s="88"/>
      <c r="AA349" s="91"/>
      <c r="AB349" s="88"/>
      <c r="AC349" s="88"/>
      <c r="AD349" s="91"/>
      <c r="AE349" s="88"/>
      <c r="AF349" s="88"/>
      <c r="AG349" s="91"/>
    </row>
    <row r="351" spans="1:33" ht="15.75" thickBot="1" x14ac:dyDescent="0.3"/>
    <row r="352" spans="1:33" ht="15.75" thickBot="1" x14ac:dyDescent="0.3">
      <c r="A352" s="68" t="s">
        <v>112</v>
      </c>
      <c r="B352" s="68"/>
      <c r="C352" s="69" t="s">
        <v>74</v>
      </c>
      <c r="D352" s="52" t="s">
        <v>27</v>
      </c>
      <c r="E352" s="52"/>
      <c r="F352" s="52"/>
      <c r="G352" s="73" t="s">
        <v>28</v>
      </c>
      <c r="H352" s="73"/>
      <c r="I352" s="73"/>
      <c r="J352" s="52" t="s">
        <v>29</v>
      </c>
      <c r="K352" s="52"/>
      <c r="L352" s="52"/>
      <c r="M352" s="73" t="s">
        <v>30</v>
      </c>
      <c r="N352" s="73"/>
      <c r="O352" s="73"/>
      <c r="P352" s="52" t="s">
        <v>31</v>
      </c>
      <c r="Q352" s="52"/>
      <c r="R352" s="52"/>
      <c r="S352" s="73" t="s">
        <v>32</v>
      </c>
      <c r="T352" s="73"/>
      <c r="U352" s="73"/>
      <c r="V352" s="52" t="s">
        <v>33</v>
      </c>
      <c r="W352" s="52"/>
      <c r="X352" s="52"/>
      <c r="Y352" s="73" t="s">
        <v>34</v>
      </c>
      <c r="Z352" s="73"/>
      <c r="AA352" s="73"/>
      <c r="AB352" s="52" t="s">
        <v>35</v>
      </c>
      <c r="AC352" s="52"/>
      <c r="AD352" s="52"/>
      <c r="AE352" s="73" t="s">
        <v>36</v>
      </c>
      <c r="AF352" s="73"/>
      <c r="AG352" s="73"/>
    </row>
    <row r="353" spans="1:33" ht="15.75" thickBot="1" x14ac:dyDescent="0.3">
      <c r="A353" s="68"/>
      <c r="B353" s="68"/>
      <c r="C353" s="70" t="s">
        <v>14</v>
      </c>
      <c r="D353" s="74">
        <v>142</v>
      </c>
      <c r="E353" s="75"/>
      <c r="F353" s="76"/>
      <c r="G353" s="74">
        <v>204</v>
      </c>
      <c r="H353" s="75"/>
      <c r="I353" s="76"/>
      <c r="J353" s="74">
        <v>294</v>
      </c>
      <c r="K353" s="75"/>
      <c r="L353" s="76"/>
      <c r="M353" s="74">
        <v>424</v>
      </c>
      <c r="N353" s="75"/>
      <c r="O353" s="76"/>
      <c r="P353" s="74">
        <v>567</v>
      </c>
      <c r="Q353" s="75"/>
      <c r="R353" s="76"/>
      <c r="S353" s="74">
        <v>737</v>
      </c>
      <c r="T353" s="75"/>
      <c r="U353" s="76"/>
      <c r="V353" s="74">
        <v>958</v>
      </c>
      <c r="W353" s="75"/>
      <c r="X353" s="76"/>
      <c r="Y353" s="74">
        <v>1245</v>
      </c>
      <c r="Z353" s="75"/>
      <c r="AA353" s="76"/>
      <c r="AB353" s="74">
        <v>1618</v>
      </c>
      <c r="AC353" s="75"/>
      <c r="AD353" s="76"/>
      <c r="AE353" s="74">
        <v>2103</v>
      </c>
      <c r="AF353" s="75"/>
      <c r="AG353" s="76"/>
    </row>
    <row r="354" spans="1:33" ht="15.75" thickBot="1" x14ac:dyDescent="0.3">
      <c r="A354" s="68"/>
      <c r="B354" s="68"/>
      <c r="C354" s="77" t="s">
        <v>63</v>
      </c>
      <c r="D354" s="81">
        <v>0</v>
      </c>
      <c r="E354" s="82"/>
      <c r="F354" s="84"/>
      <c r="G354" s="85">
        <v>0</v>
      </c>
      <c r="H354" s="82"/>
      <c r="I354" s="84"/>
      <c r="J354" s="85">
        <v>0</v>
      </c>
      <c r="K354" s="82"/>
      <c r="L354" s="84"/>
      <c r="M354" s="85">
        <v>0</v>
      </c>
      <c r="N354" s="82"/>
      <c r="O354" s="82"/>
      <c r="P354" s="81">
        <v>0</v>
      </c>
      <c r="Q354" s="82"/>
      <c r="R354" s="83"/>
      <c r="S354" s="82">
        <v>0</v>
      </c>
      <c r="T354" s="82"/>
      <c r="U354" s="84"/>
      <c r="V354" s="85">
        <v>0</v>
      </c>
      <c r="W354" s="82"/>
      <c r="X354" s="84"/>
      <c r="Y354" s="85">
        <v>0</v>
      </c>
      <c r="Z354" s="82"/>
      <c r="AA354" s="84"/>
      <c r="AB354" s="85">
        <v>0</v>
      </c>
      <c r="AC354" s="82"/>
      <c r="AD354" s="84"/>
      <c r="AE354" s="85">
        <v>0</v>
      </c>
      <c r="AF354" s="82"/>
      <c r="AG354" s="84"/>
    </row>
    <row r="355" spans="1:33" ht="15.75" thickBot="1" x14ac:dyDescent="0.3">
      <c r="A355" s="68"/>
      <c r="B355" s="68"/>
      <c r="C355" s="71" t="s">
        <v>76</v>
      </c>
      <c r="D355" s="78">
        <v>0</v>
      </c>
      <c r="E355" s="79"/>
      <c r="F355" s="79"/>
      <c r="G355" s="78">
        <v>0</v>
      </c>
      <c r="H355" s="79"/>
      <c r="I355" s="80"/>
      <c r="J355" s="78">
        <v>0</v>
      </c>
      <c r="K355" s="79"/>
      <c r="L355" s="80"/>
      <c r="M355" s="78">
        <v>0</v>
      </c>
      <c r="N355" s="79"/>
      <c r="O355" s="80"/>
      <c r="P355" s="78">
        <v>0</v>
      </c>
      <c r="Q355" s="79"/>
      <c r="R355" s="80"/>
      <c r="S355" s="78">
        <v>0</v>
      </c>
      <c r="T355" s="79"/>
      <c r="U355" s="80"/>
      <c r="V355" s="78">
        <v>0</v>
      </c>
      <c r="W355" s="79"/>
      <c r="X355" s="80"/>
      <c r="Y355" s="78">
        <v>0</v>
      </c>
      <c r="Z355" s="79"/>
      <c r="AA355" s="80"/>
      <c r="AB355" s="78">
        <v>0</v>
      </c>
      <c r="AC355" s="79"/>
      <c r="AD355" s="80"/>
      <c r="AE355" s="78">
        <v>0</v>
      </c>
      <c r="AF355" s="79"/>
      <c r="AG355" s="80"/>
    </row>
    <row r="356" spans="1:33" ht="15.75" thickBot="1" x14ac:dyDescent="0.3">
      <c r="A356" s="68"/>
      <c r="B356" s="68"/>
      <c r="C356" s="72" t="s">
        <v>37</v>
      </c>
      <c r="D356" s="86"/>
      <c r="E356" s="86"/>
      <c r="F356" s="89"/>
      <c r="G356" s="86"/>
      <c r="H356" s="86"/>
      <c r="I356" s="89"/>
      <c r="J356" s="86"/>
      <c r="K356" s="86"/>
      <c r="L356" s="89"/>
      <c r="M356" s="86"/>
      <c r="N356" s="86"/>
      <c r="O356" s="89"/>
      <c r="P356" s="86"/>
      <c r="Q356" s="86"/>
      <c r="R356" s="89"/>
      <c r="S356" s="86"/>
      <c r="T356" s="86"/>
      <c r="U356" s="89"/>
      <c r="V356" s="86"/>
      <c r="W356" s="86"/>
      <c r="X356" s="89"/>
      <c r="Y356" s="86"/>
      <c r="Z356" s="86"/>
      <c r="AA356" s="89"/>
      <c r="AB356" s="86"/>
      <c r="AC356" s="86"/>
      <c r="AD356" s="89"/>
      <c r="AE356" s="86"/>
      <c r="AF356" s="86"/>
      <c r="AG356" s="89"/>
    </row>
    <row r="357" spans="1:33" ht="15.75" thickBot="1" x14ac:dyDescent="0.3">
      <c r="A357" s="68"/>
      <c r="B357" s="68"/>
      <c r="D357" s="87"/>
      <c r="E357" s="87"/>
      <c r="F357" s="90"/>
      <c r="G357" s="87"/>
      <c r="H357" s="87"/>
      <c r="I357" s="90"/>
      <c r="J357" s="87"/>
      <c r="K357" s="87"/>
      <c r="L357" s="90"/>
      <c r="M357" s="87"/>
      <c r="N357" s="87"/>
      <c r="O357" s="90"/>
      <c r="P357" s="87"/>
      <c r="Q357" s="87"/>
      <c r="R357" s="90"/>
      <c r="S357" s="87"/>
      <c r="T357" s="87"/>
      <c r="U357" s="90"/>
      <c r="V357" s="87"/>
      <c r="W357" s="87"/>
      <c r="X357" s="90"/>
      <c r="Y357" s="87"/>
      <c r="Z357" s="87"/>
      <c r="AA357" s="90"/>
      <c r="AB357" s="87"/>
      <c r="AC357" s="87"/>
      <c r="AD357" s="90"/>
      <c r="AE357" s="87"/>
      <c r="AF357" s="87"/>
      <c r="AG357" s="90"/>
    </row>
    <row r="358" spans="1:33" ht="15.75" thickBot="1" x14ac:dyDescent="0.3">
      <c r="A358" s="68"/>
      <c r="B358" s="68"/>
      <c r="D358" s="88"/>
      <c r="E358" s="88"/>
      <c r="F358" s="91"/>
      <c r="G358" s="88"/>
      <c r="H358" s="88"/>
      <c r="I358" s="91"/>
      <c r="J358" s="88"/>
      <c r="K358" s="88"/>
      <c r="L358" s="91"/>
      <c r="M358" s="88"/>
      <c r="N358" s="88"/>
      <c r="O358" s="91"/>
      <c r="P358" s="88"/>
      <c r="Q358" s="88"/>
      <c r="R358" s="91"/>
      <c r="S358" s="88"/>
      <c r="T358" s="88"/>
      <c r="U358" s="91"/>
      <c r="V358" s="88"/>
      <c r="W358" s="88"/>
      <c r="X358" s="91"/>
      <c r="Y358" s="88"/>
      <c r="Z358" s="88"/>
      <c r="AA358" s="91"/>
      <c r="AB358" s="88"/>
      <c r="AC358" s="88"/>
      <c r="AD358" s="91"/>
      <c r="AE358" s="88"/>
      <c r="AF358" s="88"/>
      <c r="AG358" s="91"/>
    </row>
    <row r="359" spans="1:33" x14ac:dyDescent="0.25">
      <c r="C359" s="64"/>
      <c r="D359" s="92"/>
      <c r="E359" s="92"/>
      <c r="F359" s="93"/>
      <c r="G359" s="92"/>
      <c r="H359" s="92"/>
      <c r="I359" s="93"/>
      <c r="J359" s="92"/>
      <c r="K359" s="92"/>
      <c r="L359" s="93"/>
      <c r="M359" s="92"/>
      <c r="N359" s="92"/>
      <c r="O359" s="93"/>
      <c r="P359" s="92"/>
      <c r="Q359" s="92"/>
      <c r="R359" s="93"/>
      <c r="S359" s="92"/>
      <c r="T359" s="92"/>
      <c r="U359" s="93"/>
      <c r="V359" s="92"/>
      <c r="W359" s="92"/>
      <c r="X359" s="93"/>
      <c r="Y359" s="92"/>
      <c r="Z359" s="92"/>
      <c r="AA359" s="93"/>
      <c r="AB359" s="92"/>
      <c r="AC359" s="92"/>
      <c r="AD359" s="93"/>
      <c r="AE359" s="92"/>
      <c r="AF359" s="92"/>
      <c r="AG359" s="93"/>
    </row>
    <row r="360" spans="1:33" ht="15.75" thickBot="1" x14ac:dyDescent="0.3"/>
    <row r="361" spans="1:33" ht="15.75" thickBot="1" x14ac:dyDescent="0.3">
      <c r="A361" s="68" t="s">
        <v>238</v>
      </c>
      <c r="B361" s="68"/>
      <c r="C361" s="69" t="s">
        <v>72</v>
      </c>
      <c r="D361" s="52" t="s">
        <v>27</v>
      </c>
      <c r="E361" s="52"/>
      <c r="F361" s="52"/>
      <c r="G361" s="73" t="s">
        <v>28</v>
      </c>
      <c r="H361" s="73"/>
      <c r="I361" s="73"/>
      <c r="J361" s="52" t="s">
        <v>29</v>
      </c>
      <c r="K361" s="52"/>
      <c r="L361" s="52"/>
      <c r="M361" s="73" t="s">
        <v>30</v>
      </c>
      <c r="N361" s="73"/>
      <c r="O361" s="73"/>
      <c r="P361" s="52" t="s">
        <v>31</v>
      </c>
      <c r="Q361" s="52"/>
      <c r="R361" s="52"/>
      <c r="S361" s="73" t="s">
        <v>32</v>
      </c>
      <c r="T361" s="73"/>
      <c r="U361" s="73"/>
      <c r="V361" s="52" t="s">
        <v>33</v>
      </c>
      <c r="W361" s="52"/>
      <c r="X361" s="52"/>
      <c r="Y361" s="73" t="s">
        <v>34</v>
      </c>
      <c r="Z361" s="73"/>
      <c r="AA361" s="73"/>
      <c r="AB361" s="52" t="s">
        <v>35</v>
      </c>
      <c r="AC361" s="52"/>
      <c r="AD361" s="52"/>
      <c r="AE361" s="73" t="s">
        <v>36</v>
      </c>
      <c r="AF361" s="73"/>
      <c r="AG361" s="73"/>
    </row>
    <row r="362" spans="1:33" ht="15.75" thickBot="1" x14ac:dyDescent="0.3">
      <c r="A362" s="68"/>
      <c r="B362" s="68"/>
      <c r="C362" s="70" t="s">
        <v>14</v>
      </c>
      <c r="D362" s="74">
        <v>142</v>
      </c>
      <c r="E362" s="75"/>
      <c r="F362" s="76"/>
      <c r="G362" s="74">
        <v>204</v>
      </c>
      <c r="H362" s="75"/>
      <c r="I362" s="76"/>
      <c r="J362" s="74">
        <v>294</v>
      </c>
      <c r="K362" s="75"/>
      <c r="L362" s="76"/>
      <c r="M362" s="74">
        <v>424</v>
      </c>
      <c r="N362" s="75"/>
      <c r="O362" s="76"/>
      <c r="P362" s="74">
        <v>567</v>
      </c>
      <c r="Q362" s="75"/>
      <c r="R362" s="76"/>
      <c r="S362" s="74">
        <v>737</v>
      </c>
      <c r="T362" s="75"/>
      <c r="U362" s="76"/>
      <c r="V362" s="74">
        <v>958</v>
      </c>
      <c r="W362" s="75"/>
      <c r="X362" s="76"/>
      <c r="Y362" s="74">
        <v>1245</v>
      </c>
      <c r="Z362" s="75"/>
      <c r="AA362" s="76"/>
      <c r="AB362" s="74">
        <v>1618</v>
      </c>
      <c r="AC362" s="75"/>
      <c r="AD362" s="76"/>
      <c r="AE362" s="74">
        <v>2103</v>
      </c>
      <c r="AF362" s="75"/>
      <c r="AG362" s="76"/>
    </row>
    <row r="363" spans="1:33" ht="15.75" thickBot="1" x14ac:dyDescent="0.3">
      <c r="A363" s="68"/>
      <c r="B363" s="68"/>
      <c r="C363" s="77" t="s">
        <v>61</v>
      </c>
      <c r="D363" s="81">
        <v>0</v>
      </c>
      <c r="E363" s="82"/>
      <c r="F363" s="84"/>
      <c r="G363" s="85">
        <v>0</v>
      </c>
      <c r="H363" s="82"/>
      <c r="I363" s="84"/>
      <c r="J363" s="85">
        <v>0</v>
      </c>
      <c r="K363" s="82"/>
      <c r="L363" s="84"/>
      <c r="M363" s="85">
        <v>0</v>
      </c>
      <c r="N363" s="82"/>
      <c r="O363" s="82"/>
      <c r="P363" s="81">
        <v>0</v>
      </c>
      <c r="Q363" s="82"/>
      <c r="R363" s="83"/>
      <c r="S363" s="82">
        <v>0</v>
      </c>
      <c r="T363" s="82"/>
      <c r="U363" s="84"/>
      <c r="V363" s="85">
        <v>0</v>
      </c>
      <c r="W363" s="82"/>
      <c r="X363" s="84"/>
      <c r="Y363" s="85">
        <v>0</v>
      </c>
      <c r="Z363" s="82"/>
      <c r="AA363" s="84"/>
      <c r="AB363" s="85">
        <v>0</v>
      </c>
      <c r="AC363" s="82"/>
      <c r="AD363" s="84"/>
      <c r="AE363" s="85">
        <v>0</v>
      </c>
      <c r="AF363" s="82"/>
      <c r="AG363" s="84"/>
    </row>
    <row r="364" spans="1:33" ht="15.75" thickBot="1" x14ac:dyDescent="0.3">
      <c r="A364" s="68"/>
      <c r="B364" s="68"/>
      <c r="C364" s="71" t="s">
        <v>76</v>
      </c>
      <c r="D364" s="78">
        <v>0</v>
      </c>
      <c r="E364" s="79"/>
      <c r="F364" s="79"/>
      <c r="G364" s="78">
        <v>0</v>
      </c>
      <c r="H364" s="79"/>
      <c r="I364" s="80"/>
      <c r="J364" s="78">
        <v>0</v>
      </c>
      <c r="K364" s="79"/>
      <c r="L364" s="80"/>
      <c r="M364" s="78">
        <v>0</v>
      </c>
      <c r="N364" s="79"/>
      <c r="O364" s="80"/>
      <c r="P364" s="78">
        <v>0</v>
      </c>
      <c r="Q364" s="79"/>
      <c r="R364" s="80"/>
      <c r="S364" s="78">
        <v>0</v>
      </c>
      <c r="T364" s="79"/>
      <c r="U364" s="80"/>
      <c r="V364" s="78">
        <v>0</v>
      </c>
      <c r="W364" s="79"/>
      <c r="X364" s="80"/>
      <c r="Y364" s="78">
        <v>0</v>
      </c>
      <c r="Z364" s="79"/>
      <c r="AA364" s="80"/>
      <c r="AB364" s="78">
        <v>0</v>
      </c>
      <c r="AC364" s="79"/>
      <c r="AD364" s="80"/>
      <c r="AE364" s="78">
        <v>0</v>
      </c>
      <c r="AF364" s="79"/>
      <c r="AG364" s="80"/>
    </row>
    <row r="365" spans="1:33" ht="15.75" thickBot="1" x14ac:dyDescent="0.3">
      <c r="A365" s="68"/>
      <c r="B365" s="68"/>
      <c r="C365" s="72" t="s">
        <v>37</v>
      </c>
      <c r="D365" s="86"/>
      <c r="E365" s="86"/>
      <c r="F365" s="89"/>
      <c r="G365" s="86"/>
      <c r="H365" s="86"/>
      <c r="I365" s="89"/>
      <c r="J365" s="86"/>
      <c r="K365" s="86"/>
      <c r="L365" s="89"/>
      <c r="M365" s="86" t="s">
        <v>201</v>
      </c>
      <c r="N365" s="86"/>
      <c r="O365" s="89">
        <v>1</v>
      </c>
      <c r="P365" s="86" t="s">
        <v>201</v>
      </c>
      <c r="Q365" s="86"/>
      <c r="R365" s="89">
        <v>1</v>
      </c>
      <c r="S365" s="86" t="s">
        <v>201</v>
      </c>
      <c r="T365" s="86"/>
      <c r="U365" s="89">
        <v>1</v>
      </c>
      <c r="V365" s="86" t="s">
        <v>201</v>
      </c>
      <c r="W365" s="86"/>
      <c r="X365" s="89">
        <v>1</v>
      </c>
      <c r="Y365" s="86" t="s">
        <v>201</v>
      </c>
      <c r="Z365" s="86"/>
      <c r="AA365" s="89">
        <v>2</v>
      </c>
      <c r="AB365" s="86" t="s">
        <v>201</v>
      </c>
      <c r="AC365" s="86"/>
      <c r="AD365" s="89">
        <v>2</v>
      </c>
      <c r="AE365" s="86" t="s">
        <v>201</v>
      </c>
      <c r="AF365" s="86"/>
      <c r="AG365" s="89">
        <v>2</v>
      </c>
    </row>
    <row r="366" spans="1:33" ht="15.75" thickBot="1" x14ac:dyDescent="0.3">
      <c r="A366" s="68"/>
      <c r="B366" s="68"/>
      <c r="D366" s="87"/>
      <c r="E366" s="87"/>
      <c r="F366" s="90"/>
      <c r="G366" s="87"/>
      <c r="H366" s="87"/>
      <c r="I366" s="90"/>
      <c r="J366" s="87"/>
      <c r="K366" s="87"/>
      <c r="L366" s="90"/>
      <c r="M366" s="87"/>
      <c r="N366" s="87"/>
      <c r="O366" s="90"/>
      <c r="P366" s="87"/>
      <c r="Q366" s="87"/>
      <c r="R366" s="90"/>
      <c r="S366" s="87"/>
      <c r="T366" s="87"/>
      <c r="U366" s="90"/>
      <c r="V366" s="87"/>
      <c r="W366" s="87"/>
      <c r="X366" s="90"/>
      <c r="Y366" s="87"/>
      <c r="Z366" s="87"/>
      <c r="AA366" s="90"/>
      <c r="AB366" s="87"/>
      <c r="AC366" s="87"/>
      <c r="AD366" s="90"/>
      <c r="AE366" s="87"/>
      <c r="AF366" s="87"/>
      <c r="AG366" s="90"/>
    </row>
    <row r="367" spans="1:33" ht="15.75" thickBot="1" x14ac:dyDescent="0.3">
      <c r="A367" s="68"/>
      <c r="B367" s="68"/>
      <c r="D367" s="88"/>
      <c r="E367" s="88"/>
      <c r="F367" s="91"/>
      <c r="G367" s="88"/>
      <c r="H367" s="88"/>
      <c r="I367" s="91"/>
      <c r="J367" s="88"/>
      <c r="K367" s="88"/>
      <c r="L367" s="91"/>
      <c r="M367" s="88"/>
      <c r="N367" s="88"/>
      <c r="O367" s="91"/>
      <c r="P367" s="88"/>
      <c r="Q367" s="88"/>
      <c r="R367" s="91"/>
      <c r="S367" s="88"/>
      <c r="T367" s="88"/>
      <c r="U367" s="91"/>
      <c r="V367" s="88"/>
      <c r="W367" s="88"/>
      <c r="X367" s="91"/>
      <c r="Y367" s="88"/>
      <c r="Z367" s="88"/>
      <c r="AA367" s="91"/>
      <c r="AB367" s="88"/>
      <c r="AC367" s="88"/>
      <c r="AD367" s="91"/>
      <c r="AE367" s="88"/>
      <c r="AF367" s="88"/>
      <c r="AG367" s="91"/>
    </row>
    <row r="369" spans="1:33" ht="15.75" thickBot="1" x14ac:dyDescent="0.3"/>
    <row r="370" spans="1:33" ht="15.75" thickBot="1" x14ac:dyDescent="0.3">
      <c r="A370" s="68" t="s">
        <v>239</v>
      </c>
      <c r="B370" s="68"/>
      <c r="C370" s="69" t="s">
        <v>72</v>
      </c>
      <c r="D370" s="52" t="s">
        <v>27</v>
      </c>
      <c r="E370" s="52"/>
      <c r="F370" s="52"/>
      <c r="G370" s="73" t="s">
        <v>28</v>
      </c>
      <c r="H370" s="73"/>
      <c r="I370" s="73"/>
      <c r="J370" s="52" t="s">
        <v>29</v>
      </c>
      <c r="K370" s="52"/>
      <c r="L370" s="52"/>
      <c r="M370" s="73" t="s">
        <v>30</v>
      </c>
      <c r="N370" s="73"/>
      <c r="O370" s="73"/>
      <c r="P370" s="52" t="s">
        <v>31</v>
      </c>
      <c r="Q370" s="52"/>
      <c r="R370" s="52"/>
      <c r="S370" s="73" t="s">
        <v>32</v>
      </c>
      <c r="T370" s="73"/>
      <c r="U370" s="73"/>
      <c r="V370" s="52" t="s">
        <v>33</v>
      </c>
      <c r="W370" s="52"/>
      <c r="X370" s="52"/>
      <c r="Y370" s="73" t="s">
        <v>34</v>
      </c>
      <c r="Z370" s="73"/>
      <c r="AA370" s="73"/>
      <c r="AB370" s="52" t="s">
        <v>35</v>
      </c>
      <c r="AC370" s="52"/>
      <c r="AD370" s="52"/>
      <c r="AE370" s="73" t="s">
        <v>36</v>
      </c>
      <c r="AF370" s="73"/>
      <c r="AG370" s="73"/>
    </row>
    <row r="371" spans="1:33" ht="15.75" thickBot="1" x14ac:dyDescent="0.3">
      <c r="A371" s="68"/>
      <c r="B371" s="68"/>
      <c r="C371" s="70" t="s">
        <v>14</v>
      </c>
      <c r="D371" s="74">
        <v>142</v>
      </c>
      <c r="E371" s="75"/>
      <c r="F371" s="76"/>
      <c r="G371" s="74">
        <v>204</v>
      </c>
      <c r="H371" s="75"/>
      <c r="I371" s="76"/>
      <c r="J371" s="74">
        <v>294</v>
      </c>
      <c r="K371" s="75"/>
      <c r="L371" s="76"/>
      <c r="M371" s="74">
        <v>424</v>
      </c>
      <c r="N371" s="75"/>
      <c r="O371" s="76"/>
      <c r="P371" s="74">
        <v>567</v>
      </c>
      <c r="Q371" s="75"/>
      <c r="R371" s="76"/>
      <c r="S371" s="74">
        <v>737</v>
      </c>
      <c r="T371" s="75"/>
      <c r="U371" s="76"/>
      <c r="V371" s="74">
        <v>958</v>
      </c>
      <c r="W371" s="75"/>
      <c r="X371" s="76"/>
      <c r="Y371" s="74">
        <v>1245</v>
      </c>
      <c r="Z371" s="75"/>
      <c r="AA371" s="76"/>
      <c r="AB371" s="74">
        <v>1618</v>
      </c>
      <c r="AC371" s="75"/>
      <c r="AD371" s="76"/>
      <c r="AE371" s="74">
        <v>2103</v>
      </c>
      <c r="AF371" s="75"/>
      <c r="AG371" s="76"/>
    </row>
    <row r="372" spans="1:33" ht="15.75" thickBot="1" x14ac:dyDescent="0.3">
      <c r="A372" s="68"/>
      <c r="B372" s="68"/>
      <c r="C372" s="77" t="s">
        <v>62</v>
      </c>
      <c r="D372" s="81">
        <v>0</v>
      </c>
      <c r="E372" s="82"/>
      <c r="F372" s="84"/>
      <c r="G372" s="85">
        <v>0</v>
      </c>
      <c r="H372" s="82"/>
      <c r="I372" s="84"/>
      <c r="J372" s="85">
        <v>0</v>
      </c>
      <c r="K372" s="82"/>
      <c r="L372" s="84"/>
      <c r="M372" s="85">
        <v>0</v>
      </c>
      <c r="N372" s="82"/>
      <c r="O372" s="82"/>
      <c r="P372" s="81">
        <v>0</v>
      </c>
      <c r="Q372" s="82"/>
      <c r="R372" s="83"/>
      <c r="S372" s="82">
        <v>0</v>
      </c>
      <c r="T372" s="82"/>
      <c r="U372" s="84"/>
      <c r="V372" s="85">
        <v>0</v>
      </c>
      <c r="W372" s="82"/>
      <c r="X372" s="84"/>
      <c r="Y372" s="85">
        <v>0</v>
      </c>
      <c r="Z372" s="82"/>
      <c r="AA372" s="84"/>
      <c r="AB372" s="85">
        <v>0</v>
      </c>
      <c r="AC372" s="82"/>
      <c r="AD372" s="84"/>
      <c r="AE372" s="85">
        <v>0</v>
      </c>
      <c r="AF372" s="82"/>
      <c r="AG372" s="84"/>
    </row>
    <row r="373" spans="1:33" ht="15.75" thickBot="1" x14ac:dyDescent="0.3">
      <c r="A373" s="68"/>
      <c r="B373" s="68"/>
      <c r="C373" s="71" t="s">
        <v>76</v>
      </c>
      <c r="D373" s="78">
        <v>0</v>
      </c>
      <c r="E373" s="79"/>
      <c r="F373" s="79"/>
      <c r="G373" s="78">
        <v>0</v>
      </c>
      <c r="H373" s="79"/>
      <c r="I373" s="80"/>
      <c r="J373" s="78">
        <v>0</v>
      </c>
      <c r="K373" s="79"/>
      <c r="L373" s="80"/>
      <c r="M373" s="78">
        <v>0</v>
      </c>
      <c r="N373" s="79"/>
      <c r="O373" s="80"/>
      <c r="P373" s="78">
        <v>0</v>
      </c>
      <c r="Q373" s="79"/>
      <c r="R373" s="80"/>
      <c r="S373" s="78">
        <v>0</v>
      </c>
      <c r="T373" s="79"/>
      <c r="U373" s="80"/>
      <c r="V373" s="78">
        <v>0</v>
      </c>
      <c r="W373" s="79"/>
      <c r="X373" s="80"/>
      <c r="Y373" s="78">
        <v>0</v>
      </c>
      <c r="Z373" s="79"/>
      <c r="AA373" s="80"/>
      <c r="AB373" s="78">
        <v>0</v>
      </c>
      <c r="AC373" s="79"/>
      <c r="AD373" s="80"/>
      <c r="AE373" s="78">
        <v>0</v>
      </c>
      <c r="AF373" s="79"/>
      <c r="AG373" s="80"/>
    </row>
    <row r="374" spans="1:33" ht="15.75" thickBot="1" x14ac:dyDescent="0.3">
      <c r="A374" s="68"/>
      <c r="B374" s="68"/>
      <c r="C374" s="72" t="s">
        <v>37</v>
      </c>
      <c r="D374" s="86"/>
      <c r="E374" s="86"/>
      <c r="F374" s="89"/>
      <c r="G374" s="86"/>
      <c r="H374" s="86"/>
      <c r="I374" s="89"/>
      <c r="J374" s="86"/>
      <c r="K374" s="86"/>
      <c r="L374" s="89"/>
      <c r="M374" s="86"/>
      <c r="N374" s="86"/>
      <c r="O374" s="89"/>
      <c r="P374" s="86"/>
      <c r="Q374" s="86"/>
      <c r="R374" s="89"/>
      <c r="S374" s="86"/>
      <c r="T374" s="86"/>
      <c r="U374" s="89"/>
      <c r="V374" s="86"/>
      <c r="W374" s="86"/>
      <c r="X374" s="89"/>
      <c r="Y374" s="86"/>
      <c r="Z374" s="86"/>
      <c r="AA374" s="89"/>
      <c r="AB374" s="86"/>
      <c r="AC374" s="86"/>
      <c r="AD374" s="89"/>
      <c r="AE374" s="86"/>
      <c r="AF374" s="86"/>
      <c r="AG374" s="89"/>
    </row>
    <row r="375" spans="1:33" ht="15.75" thickBot="1" x14ac:dyDescent="0.3">
      <c r="A375" s="68"/>
      <c r="B375" s="68"/>
      <c r="D375" s="87"/>
      <c r="E375" s="87"/>
      <c r="F375" s="90"/>
      <c r="G375" s="87"/>
      <c r="H375" s="87"/>
      <c r="I375" s="90"/>
      <c r="J375" s="87"/>
      <c r="K375" s="87"/>
      <c r="L375" s="90"/>
      <c r="M375" s="87"/>
      <c r="N375" s="87"/>
      <c r="O375" s="90"/>
      <c r="P375" s="87"/>
      <c r="Q375" s="87"/>
      <c r="R375" s="90"/>
      <c r="S375" s="87"/>
      <c r="T375" s="87"/>
      <c r="U375" s="90"/>
      <c r="V375" s="87"/>
      <c r="W375" s="87"/>
      <c r="X375" s="90"/>
      <c r="Y375" s="87"/>
      <c r="Z375" s="87"/>
      <c r="AA375" s="90"/>
      <c r="AB375" s="87"/>
      <c r="AC375" s="87"/>
      <c r="AD375" s="90"/>
      <c r="AE375" s="87"/>
      <c r="AF375" s="87"/>
      <c r="AG375" s="90"/>
    </row>
    <row r="376" spans="1:33" ht="15.75" thickBot="1" x14ac:dyDescent="0.3">
      <c r="A376" s="68"/>
      <c r="B376" s="68"/>
      <c r="D376" s="88"/>
      <c r="E376" s="88"/>
      <c r="F376" s="91"/>
      <c r="G376" s="88"/>
      <c r="H376" s="88"/>
      <c r="I376" s="91"/>
      <c r="J376" s="88"/>
      <c r="K376" s="88"/>
      <c r="L376" s="91"/>
      <c r="M376" s="88"/>
      <c r="N376" s="88"/>
      <c r="O376" s="91"/>
      <c r="P376" s="88"/>
      <c r="Q376" s="88"/>
      <c r="R376" s="91"/>
      <c r="S376" s="88"/>
      <c r="T376" s="88"/>
      <c r="U376" s="91"/>
      <c r="V376" s="88"/>
      <c r="W376" s="88"/>
      <c r="X376" s="91"/>
      <c r="Y376" s="88"/>
      <c r="Z376" s="88"/>
      <c r="AA376" s="91"/>
      <c r="AB376" s="88"/>
      <c r="AC376" s="88"/>
      <c r="AD376" s="91"/>
      <c r="AE376" s="88"/>
      <c r="AF376" s="88"/>
      <c r="AG376" s="91"/>
    </row>
    <row r="377" spans="1:33" x14ac:dyDescent="0.25">
      <c r="C377" s="64"/>
      <c r="D377" s="92"/>
      <c r="E377" s="92"/>
      <c r="F377" s="93"/>
      <c r="G377" s="92"/>
      <c r="H377" s="92"/>
      <c r="I377" s="93"/>
      <c r="J377" s="92"/>
      <c r="K377" s="92"/>
      <c r="L377" s="93"/>
      <c r="M377" s="92"/>
      <c r="N377" s="92"/>
      <c r="O377" s="93"/>
      <c r="P377" s="92"/>
      <c r="Q377" s="92"/>
      <c r="R377" s="93"/>
      <c r="S377" s="92"/>
      <c r="T377" s="92"/>
      <c r="U377" s="93"/>
      <c r="V377" s="92"/>
      <c r="W377" s="92"/>
      <c r="X377" s="93"/>
      <c r="Y377" s="92"/>
      <c r="Z377" s="92"/>
      <c r="AA377" s="93"/>
      <c r="AB377" s="92"/>
      <c r="AC377" s="92"/>
      <c r="AD377" s="93"/>
      <c r="AE377" s="92"/>
      <c r="AF377" s="92"/>
      <c r="AG377" s="93"/>
    </row>
    <row r="378" spans="1:33" ht="15.75" thickBot="1" x14ac:dyDescent="0.3"/>
    <row r="379" spans="1:33" ht="15.75" thickBot="1" x14ac:dyDescent="0.3">
      <c r="A379" s="68" t="s">
        <v>240</v>
      </c>
      <c r="B379" s="68"/>
      <c r="C379" s="69" t="s">
        <v>233</v>
      </c>
      <c r="D379" s="52" t="s">
        <v>27</v>
      </c>
      <c r="E379" s="52"/>
      <c r="F379" s="52"/>
      <c r="G379" s="73" t="s">
        <v>28</v>
      </c>
      <c r="H379" s="73"/>
      <c r="I379" s="73"/>
      <c r="J379" s="52" t="s">
        <v>29</v>
      </c>
      <c r="K379" s="52"/>
      <c r="L379" s="52"/>
      <c r="M379" s="73" t="s">
        <v>30</v>
      </c>
      <c r="N379" s="73"/>
      <c r="O379" s="73"/>
      <c r="P379" s="52" t="s">
        <v>31</v>
      </c>
      <c r="Q379" s="52"/>
      <c r="R379" s="52"/>
      <c r="S379" s="73" t="s">
        <v>32</v>
      </c>
      <c r="T379" s="73"/>
      <c r="U379" s="73"/>
      <c r="V379" s="52" t="s">
        <v>33</v>
      </c>
      <c r="W379" s="52"/>
      <c r="X379" s="52"/>
      <c r="Y379" s="73" t="s">
        <v>34</v>
      </c>
      <c r="Z379" s="73"/>
      <c r="AA379" s="73"/>
      <c r="AB379" s="52" t="s">
        <v>35</v>
      </c>
      <c r="AC379" s="52"/>
      <c r="AD379" s="52"/>
      <c r="AE379" s="73" t="s">
        <v>36</v>
      </c>
      <c r="AF379" s="73"/>
      <c r="AG379" s="73"/>
    </row>
    <row r="380" spans="1:33" ht="15.75" thickBot="1" x14ac:dyDescent="0.3">
      <c r="A380" s="68"/>
      <c r="B380" s="68"/>
      <c r="C380" s="70" t="s">
        <v>14</v>
      </c>
      <c r="D380" s="74">
        <v>142</v>
      </c>
      <c r="E380" s="75"/>
      <c r="F380" s="76"/>
      <c r="G380" s="74">
        <v>204</v>
      </c>
      <c r="H380" s="75"/>
      <c r="I380" s="76"/>
      <c r="J380" s="74">
        <v>294</v>
      </c>
      <c r="K380" s="75"/>
      <c r="L380" s="76"/>
      <c r="M380" s="74">
        <v>424</v>
      </c>
      <c r="N380" s="75"/>
      <c r="O380" s="76"/>
      <c r="P380" s="74">
        <v>567</v>
      </c>
      <c r="Q380" s="75"/>
      <c r="R380" s="76"/>
      <c r="S380" s="74">
        <v>737</v>
      </c>
      <c r="T380" s="75"/>
      <c r="U380" s="76"/>
      <c r="V380" s="74">
        <v>958</v>
      </c>
      <c r="W380" s="75"/>
      <c r="X380" s="76"/>
      <c r="Y380" s="74">
        <v>1245</v>
      </c>
      <c r="Z380" s="75"/>
      <c r="AA380" s="76"/>
      <c r="AB380" s="74">
        <v>1618</v>
      </c>
      <c r="AC380" s="75"/>
      <c r="AD380" s="76"/>
      <c r="AE380" s="74">
        <v>2103</v>
      </c>
      <c r="AF380" s="75"/>
      <c r="AG380" s="76"/>
    </row>
    <row r="381" spans="1:33" ht="15.75" thickBot="1" x14ac:dyDescent="0.3">
      <c r="A381" s="68"/>
      <c r="B381" s="68"/>
      <c r="C381" s="77" t="s">
        <v>55</v>
      </c>
      <c r="D381" s="81">
        <v>0</v>
      </c>
      <c r="E381" s="82"/>
      <c r="F381" s="84"/>
      <c r="G381" s="85">
        <v>0</v>
      </c>
      <c r="H381" s="82"/>
      <c r="I381" s="84"/>
      <c r="J381" s="85">
        <v>0</v>
      </c>
      <c r="K381" s="82"/>
      <c r="L381" s="84"/>
      <c r="M381" s="85">
        <v>0</v>
      </c>
      <c r="N381" s="82"/>
      <c r="O381" s="82"/>
      <c r="P381" s="81">
        <v>0</v>
      </c>
      <c r="Q381" s="82"/>
      <c r="R381" s="83"/>
      <c r="S381" s="82">
        <v>0</v>
      </c>
      <c r="T381" s="82"/>
      <c r="U381" s="84"/>
      <c r="V381" s="85">
        <v>0</v>
      </c>
      <c r="W381" s="82"/>
      <c r="X381" s="84"/>
      <c r="Y381" s="85">
        <v>0</v>
      </c>
      <c r="Z381" s="82"/>
      <c r="AA381" s="84"/>
      <c r="AB381" s="85">
        <v>0</v>
      </c>
      <c r="AC381" s="82"/>
      <c r="AD381" s="84"/>
      <c r="AE381" s="85">
        <v>0</v>
      </c>
      <c r="AF381" s="82"/>
      <c r="AG381" s="84"/>
    </row>
    <row r="382" spans="1:33" ht="15.75" thickBot="1" x14ac:dyDescent="0.3">
      <c r="A382" s="68"/>
      <c r="B382" s="68"/>
      <c r="C382" s="71" t="s">
        <v>76</v>
      </c>
      <c r="D382" s="78">
        <v>0</v>
      </c>
      <c r="E382" s="79"/>
      <c r="F382" s="79"/>
      <c r="G382" s="78">
        <v>0</v>
      </c>
      <c r="H382" s="79"/>
      <c r="I382" s="80"/>
      <c r="J382" s="78">
        <v>0</v>
      </c>
      <c r="K382" s="79"/>
      <c r="L382" s="80"/>
      <c r="M382" s="78">
        <v>0</v>
      </c>
      <c r="N382" s="79"/>
      <c r="O382" s="80"/>
      <c r="P382" s="78">
        <v>0</v>
      </c>
      <c r="Q382" s="79"/>
      <c r="R382" s="80"/>
      <c r="S382" s="78">
        <v>0</v>
      </c>
      <c r="T382" s="79"/>
      <c r="U382" s="80"/>
      <c r="V382" s="78">
        <v>0</v>
      </c>
      <c r="W382" s="79"/>
      <c r="X382" s="80"/>
      <c r="Y382" s="78">
        <v>0</v>
      </c>
      <c r="Z382" s="79"/>
      <c r="AA382" s="80"/>
      <c r="AB382" s="78">
        <v>0</v>
      </c>
      <c r="AC382" s="79"/>
      <c r="AD382" s="80"/>
      <c r="AE382" s="78">
        <v>0</v>
      </c>
      <c r="AF382" s="79"/>
      <c r="AG382" s="80"/>
    </row>
    <row r="383" spans="1:33" ht="15.75" thickBot="1" x14ac:dyDescent="0.3">
      <c r="A383" s="68"/>
      <c r="B383" s="68"/>
      <c r="C383" s="72" t="s">
        <v>37</v>
      </c>
      <c r="D383" s="86"/>
      <c r="E383" s="86"/>
      <c r="F383" s="89"/>
      <c r="G383" s="86"/>
      <c r="H383" s="86"/>
      <c r="I383" s="89"/>
      <c r="J383" s="86"/>
      <c r="K383" s="86"/>
      <c r="L383" s="89"/>
      <c r="M383" s="86" t="s">
        <v>201</v>
      </c>
      <c r="N383" s="86"/>
      <c r="O383" s="89">
        <v>1</v>
      </c>
      <c r="P383" s="86" t="s">
        <v>201</v>
      </c>
      <c r="Q383" s="86"/>
      <c r="R383" s="89">
        <v>1</v>
      </c>
      <c r="S383" s="86" t="s">
        <v>201</v>
      </c>
      <c r="T383" s="86"/>
      <c r="U383" s="89">
        <v>1</v>
      </c>
      <c r="V383" s="86" t="s">
        <v>201</v>
      </c>
      <c r="W383" s="86"/>
      <c r="X383" s="89">
        <v>1</v>
      </c>
      <c r="Y383" s="86" t="s">
        <v>201</v>
      </c>
      <c r="Z383" s="86"/>
      <c r="AA383" s="89">
        <v>2</v>
      </c>
      <c r="AB383" s="86" t="s">
        <v>201</v>
      </c>
      <c r="AC383" s="86"/>
      <c r="AD383" s="89">
        <v>2</v>
      </c>
      <c r="AE383" s="86" t="s">
        <v>201</v>
      </c>
      <c r="AF383" s="86"/>
      <c r="AG383" s="89">
        <v>2</v>
      </c>
    </row>
    <row r="384" spans="1:33" ht="15.75" thickBot="1" x14ac:dyDescent="0.3">
      <c r="A384" s="68"/>
      <c r="B384" s="68"/>
      <c r="D384" s="87"/>
      <c r="E384" s="87"/>
      <c r="F384" s="90"/>
      <c r="G384" s="87"/>
      <c r="H384" s="87"/>
      <c r="I384" s="90"/>
      <c r="J384" s="87"/>
      <c r="K384" s="87"/>
      <c r="L384" s="90"/>
      <c r="M384" s="87"/>
      <c r="N384" s="87"/>
      <c r="O384" s="90"/>
      <c r="P384" s="87"/>
      <c r="Q384" s="87"/>
      <c r="R384" s="90"/>
      <c r="S384" s="87"/>
      <c r="T384" s="87"/>
      <c r="U384" s="90"/>
      <c r="V384" s="87"/>
      <c r="W384" s="87"/>
      <c r="X384" s="90"/>
      <c r="Y384" s="87"/>
      <c r="Z384" s="87"/>
      <c r="AA384" s="90"/>
      <c r="AB384" s="87"/>
      <c r="AC384" s="87"/>
      <c r="AD384" s="90"/>
      <c r="AE384" s="87"/>
      <c r="AF384" s="87"/>
      <c r="AG384" s="90"/>
    </row>
    <row r="385" spans="1:33" ht="15.75" thickBot="1" x14ac:dyDescent="0.3">
      <c r="A385" s="68"/>
      <c r="B385" s="68"/>
      <c r="D385" s="88"/>
      <c r="E385" s="88"/>
      <c r="F385" s="91"/>
      <c r="G385" s="88"/>
      <c r="H385" s="88"/>
      <c r="I385" s="91"/>
      <c r="J385" s="88"/>
      <c r="K385" s="88"/>
      <c r="L385" s="91"/>
      <c r="M385" s="88"/>
      <c r="N385" s="88"/>
      <c r="O385" s="91"/>
      <c r="P385" s="88"/>
      <c r="Q385" s="88"/>
      <c r="R385" s="91"/>
      <c r="S385" s="88"/>
      <c r="T385" s="88"/>
      <c r="U385" s="91"/>
      <c r="V385" s="88"/>
      <c r="W385" s="88"/>
      <c r="X385" s="91"/>
      <c r="Y385" s="88"/>
      <c r="Z385" s="88"/>
      <c r="AA385" s="91"/>
      <c r="AB385" s="88"/>
      <c r="AC385" s="88"/>
      <c r="AD385" s="91"/>
      <c r="AE385" s="88"/>
      <c r="AF385" s="88"/>
      <c r="AG385" s="91"/>
    </row>
    <row r="387" spans="1:33" ht="15.75" thickBot="1" x14ac:dyDescent="0.3"/>
    <row r="388" spans="1:33" ht="15.75" thickBot="1" x14ac:dyDescent="0.3">
      <c r="A388" s="68" t="s">
        <v>241</v>
      </c>
      <c r="B388" s="68"/>
      <c r="C388" s="69" t="s">
        <v>233</v>
      </c>
      <c r="D388" s="52" t="s">
        <v>27</v>
      </c>
      <c r="E388" s="52"/>
      <c r="F388" s="52"/>
      <c r="G388" s="73" t="s">
        <v>28</v>
      </c>
      <c r="H388" s="73"/>
      <c r="I388" s="73"/>
      <c r="J388" s="52" t="s">
        <v>29</v>
      </c>
      <c r="K388" s="52"/>
      <c r="L388" s="52"/>
      <c r="M388" s="73" t="s">
        <v>30</v>
      </c>
      <c r="N388" s="73"/>
      <c r="O388" s="73"/>
      <c r="P388" s="52" t="s">
        <v>31</v>
      </c>
      <c r="Q388" s="52"/>
      <c r="R388" s="52"/>
      <c r="S388" s="73" t="s">
        <v>32</v>
      </c>
      <c r="T388" s="73"/>
      <c r="U388" s="73"/>
      <c r="V388" s="52" t="s">
        <v>33</v>
      </c>
      <c r="W388" s="52"/>
      <c r="X388" s="52"/>
      <c r="Y388" s="73" t="s">
        <v>34</v>
      </c>
      <c r="Z388" s="73"/>
      <c r="AA388" s="73"/>
      <c r="AB388" s="52" t="s">
        <v>35</v>
      </c>
      <c r="AC388" s="52"/>
      <c r="AD388" s="52"/>
      <c r="AE388" s="73" t="s">
        <v>36</v>
      </c>
      <c r="AF388" s="73"/>
      <c r="AG388" s="73"/>
    </row>
    <row r="389" spans="1:33" ht="15.75" thickBot="1" x14ac:dyDescent="0.3">
      <c r="A389" s="68"/>
      <c r="B389" s="68"/>
      <c r="C389" s="70" t="s">
        <v>14</v>
      </c>
      <c r="D389" s="74">
        <v>142</v>
      </c>
      <c r="E389" s="75"/>
      <c r="F389" s="76"/>
      <c r="G389" s="74">
        <v>204</v>
      </c>
      <c r="H389" s="75"/>
      <c r="I389" s="76"/>
      <c r="J389" s="74">
        <v>294</v>
      </c>
      <c r="K389" s="75"/>
      <c r="L389" s="76"/>
      <c r="M389" s="74">
        <v>424</v>
      </c>
      <c r="N389" s="75"/>
      <c r="O389" s="76"/>
      <c r="P389" s="74">
        <v>567</v>
      </c>
      <c r="Q389" s="75"/>
      <c r="R389" s="76"/>
      <c r="S389" s="74">
        <v>737</v>
      </c>
      <c r="T389" s="75"/>
      <c r="U389" s="76"/>
      <c r="V389" s="74">
        <v>958</v>
      </c>
      <c r="W389" s="75"/>
      <c r="X389" s="76"/>
      <c r="Y389" s="74">
        <v>1245</v>
      </c>
      <c r="Z389" s="75"/>
      <c r="AA389" s="76"/>
      <c r="AB389" s="74">
        <v>1618</v>
      </c>
      <c r="AC389" s="75"/>
      <c r="AD389" s="76"/>
      <c r="AE389" s="74">
        <v>2103</v>
      </c>
      <c r="AF389" s="75"/>
      <c r="AG389" s="76"/>
    </row>
    <row r="390" spans="1:33" ht="15.75" thickBot="1" x14ac:dyDescent="0.3">
      <c r="A390" s="68"/>
      <c r="B390" s="68"/>
      <c r="C390" s="77" t="s">
        <v>55</v>
      </c>
      <c r="D390" s="81">
        <v>0</v>
      </c>
      <c r="E390" s="82"/>
      <c r="F390" s="84"/>
      <c r="G390" s="85">
        <v>0</v>
      </c>
      <c r="H390" s="82"/>
      <c r="I390" s="84"/>
      <c r="J390" s="85">
        <v>0</v>
      </c>
      <c r="K390" s="82"/>
      <c r="L390" s="84"/>
      <c r="M390" s="85">
        <v>0</v>
      </c>
      <c r="N390" s="82"/>
      <c r="O390" s="82"/>
      <c r="P390" s="81">
        <v>0</v>
      </c>
      <c r="Q390" s="82"/>
      <c r="R390" s="83"/>
      <c r="S390" s="82">
        <v>0</v>
      </c>
      <c r="T390" s="82"/>
      <c r="U390" s="84"/>
      <c r="V390" s="85">
        <v>0</v>
      </c>
      <c r="W390" s="82"/>
      <c r="X390" s="84"/>
      <c r="Y390" s="85">
        <v>0</v>
      </c>
      <c r="Z390" s="82"/>
      <c r="AA390" s="84"/>
      <c r="AB390" s="85">
        <v>0</v>
      </c>
      <c r="AC390" s="82"/>
      <c r="AD390" s="84"/>
      <c r="AE390" s="85">
        <v>0</v>
      </c>
      <c r="AF390" s="82"/>
      <c r="AG390" s="84"/>
    </row>
    <row r="391" spans="1:33" ht="15.75" thickBot="1" x14ac:dyDescent="0.3">
      <c r="A391" s="68"/>
      <c r="B391" s="68"/>
      <c r="C391" s="71" t="s">
        <v>76</v>
      </c>
      <c r="D391" s="78">
        <v>0</v>
      </c>
      <c r="E391" s="79"/>
      <c r="F391" s="79"/>
      <c r="G391" s="78">
        <v>0</v>
      </c>
      <c r="H391" s="79"/>
      <c r="I391" s="80"/>
      <c r="J391" s="78">
        <v>0</v>
      </c>
      <c r="K391" s="79"/>
      <c r="L391" s="80"/>
      <c r="M391" s="78">
        <v>0</v>
      </c>
      <c r="N391" s="79"/>
      <c r="O391" s="80"/>
      <c r="P391" s="78">
        <v>0</v>
      </c>
      <c r="Q391" s="79"/>
      <c r="R391" s="80"/>
      <c r="S391" s="78">
        <v>0</v>
      </c>
      <c r="T391" s="79"/>
      <c r="U391" s="80"/>
      <c r="V391" s="78">
        <v>0</v>
      </c>
      <c r="W391" s="79"/>
      <c r="X391" s="80"/>
      <c r="Y391" s="78">
        <v>0</v>
      </c>
      <c r="Z391" s="79"/>
      <c r="AA391" s="80"/>
      <c r="AB391" s="78">
        <v>0</v>
      </c>
      <c r="AC391" s="79"/>
      <c r="AD391" s="80"/>
      <c r="AE391" s="78">
        <v>0</v>
      </c>
      <c r="AF391" s="79"/>
      <c r="AG391" s="80"/>
    </row>
    <row r="392" spans="1:33" ht="15.75" thickBot="1" x14ac:dyDescent="0.3">
      <c r="A392" s="68"/>
      <c r="B392" s="68"/>
      <c r="C392" s="72" t="s">
        <v>37</v>
      </c>
      <c r="D392" s="86"/>
      <c r="E392" s="86"/>
      <c r="F392" s="89"/>
      <c r="G392" s="86"/>
      <c r="H392" s="86"/>
      <c r="I392" s="89"/>
      <c r="J392" s="86"/>
      <c r="K392" s="86"/>
      <c r="L392" s="89"/>
      <c r="M392" s="86" t="s">
        <v>201</v>
      </c>
      <c r="N392" s="86"/>
      <c r="O392" s="89">
        <v>1</v>
      </c>
      <c r="P392" s="86" t="s">
        <v>201</v>
      </c>
      <c r="Q392" s="86"/>
      <c r="R392" s="89">
        <v>1</v>
      </c>
      <c r="S392" s="86" t="s">
        <v>201</v>
      </c>
      <c r="T392" s="86"/>
      <c r="U392" s="89">
        <v>1</v>
      </c>
      <c r="V392" s="86" t="s">
        <v>201</v>
      </c>
      <c r="W392" s="86"/>
      <c r="X392" s="89">
        <v>1</v>
      </c>
      <c r="Y392" s="86" t="s">
        <v>201</v>
      </c>
      <c r="Z392" s="86"/>
      <c r="AA392" s="89">
        <v>2</v>
      </c>
      <c r="AB392" s="86" t="s">
        <v>201</v>
      </c>
      <c r="AC392" s="86"/>
      <c r="AD392" s="89">
        <v>2</v>
      </c>
      <c r="AE392" s="86" t="s">
        <v>201</v>
      </c>
      <c r="AF392" s="86"/>
      <c r="AG392" s="89">
        <v>2</v>
      </c>
    </row>
    <row r="393" spans="1:33" ht="15.75" thickBot="1" x14ac:dyDescent="0.3">
      <c r="A393" s="68"/>
      <c r="B393" s="68"/>
      <c r="D393" s="87"/>
      <c r="E393" s="87"/>
      <c r="F393" s="90"/>
      <c r="G393" s="87"/>
      <c r="H393" s="87"/>
      <c r="I393" s="90"/>
      <c r="J393" s="87"/>
      <c r="K393" s="87"/>
      <c r="L393" s="90"/>
      <c r="M393" s="87"/>
      <c r="N393" s="87"/>
      <c r="O393" s="90"/>
      <c r="P393" s="87"/>
      <c r="Q393" s="87"/>
      <c r="R393" s="90"/>
      <c r="S393" s="87"/>
      <c r="T393" s="87"/>
      <c r="U393" s="90"/>
      <c r="V393" s="87"/>
      <c r="W393" s="87"/>
      <c r="X393" s="90"/>
      <c r="Y393" s="87"/>
      <c r="Z393" s="87"/>
      <c r="AA393" s="90"/>
      <c r="AB393" s="87"/>
      <c r="AC393" s="87"/>
      <c r="AD393" s="90"/>
      <c r="AE393" s="87"/>
      <c r="AF393" s="87"/>
      <c r="AG393" s="90"/>
    </row>
    <row r="394" spans="1:33" ht="15.75" thickBot="1" x14ac:dyDescent="0.3">
      <c r="A394" s="68"/>
      <c r="B394" s="68"/>
      <c r="D394" s="88"/>
      <c r="E394" s="88"/>
      <c r="F394" s="91"/>
      <c r="G394" s="88"/>
      <c r="H394" s="88"/>
      <c r="I394" s="91"/>
      <c r="J394" s="88"/>
      <c r="K394" s="88"/>
      <c r="L394" s="91"/>
      <c r="M394" s="88"/>
      <c r="N394" s="88"/>
      <c r="O394" s="91"/>
      <c r="P394" s="88"/>
      <c r="Q394" s="88"/>
      <c r="R394" s="91"/>
      <c r="S394" s="88"/>
      <c r="T394" s="88"/>
      <c r="U394" s="91"/>
      <c r="V394" s="88"/>
      <c r="W394" s="88"/>
      <c r="X394" s="91"/>
      <c r="Y394" s="88"/>
      <c r="Z394" s="88"/>
      <c r="AA394" s="91"/>
      <c r="AB394" s="88"/>
      <c r="AC394" s="88"/>
      <c r="AD394" s="91"/>
      <c r="AE394" s="88"/>
      <c r="AF394" s="88"/>
      <c r="AG394" s="91"/>
    </row>
  </sheetData>
  <mergeCells count="3124">
    <mergeCell ref="AE394:AF394"/>
    <mergeCell ref="D394:E394"/>
    <mergeCell ref="G394:H394"/>
    <mergeCell ref="J394:K394"/>
    <mergeCell ref="M394:N394"/>
    <mergeCell ref="P394:Q394"/>
    <mergeCell ref="S394:T394"/>
    <mergeCell ref="V394:W394"/>
    <mergeCell ref="Y394:Z394"/>
    <mergeCell ref="AB394:AC394"/>
    <mergeCell ref="AE392:AF392"/>
    <mergeCell ref="D393:E393"/>
    <mergeCell ref="G393:H393"/>
    <mergeCell ref="J393:K393"/>
    <mergeCell ref="M393:N393"/>
    <mergeCell ref="P393:Q393"/>
    <mergeCell ref="S393:T393"/>
    <mergeCell ref="V393:W393"/>
    <mergeCell ref="Y393:Z393"/>
    <mergeCell ref="AB393:AC393"/>
    <mergeCell ref="AE393:AF393"/>
    <mergeCell ref="D392:E392"/>
    <mergeCell ref="G392:H392"/>
    <mergeCell ref="J392:K392"/>
    <mergeCell ref="M392:N392"/>
    <mergeCell ref="P392:Q392"/>
    <mergeCell ref="S392:T392"/>
    <mergeCell ref="V392:W392"/>
    <mergeCell ref="Y392:Z392"/>
    <mergeCell ref="AB392:AC392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D391:F391"/>
    <mergeCell ref="G391:I391"/>
    <mergeCell ref="J391:L391"/>
    <mergeCell ref="M391:O391"/>
    <mergeCell ref="P391:R391"/>
    <mergeCell ref="S391:U391"/>
    <mergeCell ref="V391:X391"/>
    <mergeCell ref="Y391:AA391"/>
    <mergeCell ref="AB391:AD391"/>
    <mergeCell ref="AE391:AG391"/>
    <mergeCell ref="AE385:AF385"/>
    <mergeCell ref="A388:B394"/>
    <mergeCell ref="D388:F388"/>
    <mergeCell ref="G388:I388"/>
    <mergeCell ref="J388:L388"/>
    <mergeCell ref="M388:O388"/>
    <mergeCell ref="P388:R388"/>
    <mergeCell ref="S388:U388"/>
    <mergeCell ref="V388:X388"/>
    <mergeCell ref="Y388:AA388"/>
    <mergeCell ref="AB388:AD388"/>
    <mergeCell ref="AE388:AG388"/>
    <mergeCell ref="D389:F389"/>
    <mergeCell ref="G389:I389"/>
    <mergeCell ref="J389:L389"/>
    <mergeCell ref="M389:O389"/>
    <mergeCell ref="P389:R389"/>
    <mergeCell ref="S389:U389"/>
    <mergeCell ref="V389:X389"/>
    <mergeCell ref="Y389:AA389"/>
    <mergeCell ref="AB389:AD389"/>
    <mergeCell ref="AE389:AG389"/>
    <mergeCell ref="D390:F390"/>
    <mergeCell ref="G390:I390"/>
    <mergeCell ref="D385:E385"/>
    <mergeCell ref="G385:H385"/>
    <mergeCell ref="J385:K385"/>
    <mergeCell ref="M385:N385"/>
    <mergeCell ref="P385:Q385"/>
    <mergeCell ref="S385:T385"/>
    <mergeCell ref="V385:W385"/>
    <mergeCell ref="Y385:Z385"/>
    <mergeCell ref="AB385:AC385"/>
    <mergeCell ref="AE383:AF383"/>
    <mergeCell ref="D384:E384"/>
    <mergeCell ref="G384:H384"/>
    <mergeCell ref="J384:K384"/>
    <mergeCell ref="M384:N384"/>
    <mergeCell ref="P384:Q384"/>
    <mergeCell ref="S384:T384"/>
    <mergeCell ref="V384:W384"/>
    <mergeCell ref="Y384:Z384"/>
    <mergeCell ref="AB384:AC384"/>
    <mergeCell ref="AE384:AF384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D382:F382"/>
    <mergeCell ref="G382:I382"/>
    <mergeCell ref="J382:L382"/>
    <mergeCell ref="M382:O382"/>
    <mergeCell ref="P382:R382"/>
    <mergeCell ref="S382:U382"/>
    <mergeCell ref="V382:X382"/>
    <mergeCell ref="Y382:AA382"/>
    <mergeCell ref="AB382:AD382"/>
    <mergeCell ref="AE382:AG382"/>
    <mergeCell ref="AE376:AF376"/>
    <mergeCell ref="A379:B385"/>
    <mergeCell ref="D379:F379"/>
    <mergeCell ref="G379:I379"/>
    <mergeCell ref="J379:L379"/>
    <mergeCell ref="M379:O379"/>
    <mergeCell ref="P379:R379"/>
    <mergeCell ref="S379:U379"/>
    <mergeCell ref="V379:X379"/>
    <mergeCell ref="Y379:AA379"/>
    <mergeCell ref="AB379:AD379"/>
    <mergeCell ref="AE379:AG379"/>
    <mergeCell ref="D380:F380"/>
    <mergeCell ref="G380:I380"/>
    <mergeCell ref="J380:L380"/>
    <mergeCell ref="M380:O380"/>
    <mergeCell ref="P380:R380"/>
    <mergeCell ref="S380:U380"/>
    <mergeCell ref="V380:X380"/>
    <mergeCell ref="Y380:AA380"/>
    <mergeCell ref="AB380:AD380"/>
    <mergeCell ref="AE380:AG380"/>
    <mergeCell ref="D381:F381"/>
    <mergeCell ref="G381:I381"/>
    <mergeCell ref="D376:E376"/>
    <mergeCell ref="G376:H376"/>
    <mergeCell ref="J376:K376"/>
    <mergeCell ref="M376:N376"/>
    <mergeCell ref="P376:Q376"/>
    <mergeCell ref="S376:T376"/>
    <mergeCell ref="V376:W376"/>
    <mergeCell ref="Y376:Z376"/>
    <mergeCell ref="AB376:AC376"/>
    <mergeCell ref="AE374:AF374"/>
    <mergeCell ref="D375:E375"/>
    <mergeCell ref="G375:H375"/>
    <mergeCell ref="J375:K375"/>
    <mergeCell ref="M375:N375"/>
    <mergeCell ref="P375:Q375"/>
    <mergeCell ref="S375:T375"/>
    <mergeCell ref="V375:W375"/>
    <mergeCell ref="Y375:Z375"/>
    <mergeCell ref="AB375:AC375"/>
    <mergeCell ref="AE375:AF375"/>
    <mergeCell ref="D374:E374"/>
    <mergeCell ref="G374:H374"/>
    <mergeCell ref="J374:K374"/>
    <mergeCell ref="M374:N374"/>
    <mergeCell ref="P374:Q374"/>
    <mergeCell ref="S374:T374"/>
    <mergeCell ref="V374:W374"/>
    <mergeCell ref="Y374:Z374"/>
    <mergeCell ref="AB374:AC374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D373:F373"/>
    <mergeCell ref="G373:I373"/>
    <mergeCell ref="J373:L373"/>
    <mergeCell ref="M373:O373"/>
    <mergeCell ref="P373:R373"/>
    <mergeCell ref="S373:U373"/>
    <mergeCell ref="V373:X373"/>
    <mergeCell ref="Y373:AA373"/>
    <mergeCell ref="AB373:AD373"/>
    <mergeCell ref="AE373:AG373"/>
    <mergeCell ref="AE367:AF367"/>
    <mergeCell ref="A370:B376"/>
    <mergeCell ref="D370:F370"/>
    <mergeCell ref="G370:I370"/>
    <mergeCell ref="J370:L370"/>
    <mergeCell ref="M370:O370"/>
    <mergeCell ref="P370:R370"/>
    <mergeCell ref="S370:U370"/>
    <mergeCell ref="V370:X370"/>
    <mergeCell ref="Y370:AA370"/>
    <mergeCell ref="AB370:AD370"/>
    <mergeCell ref="AE370:AG370"/>
    <mergeCell ref="D371:F371"/>
    <mergeCell ref="G371:I371"/>
    <mergeCell ref="J371:L371"/>
    <mergeCell ref="M371:O371"/>
    <mergeCell ref="P371:R371"/>
    <mergeCell ref="S371:U371"/>
    <mergeCell ref="V371:X371"/>
    <mergeCell ref="Y371:AA371"/>
    <mergeCell ref="AB371:AD371"/>
    <mergeCell ref="AE371:AG371"/>
    <mergeCell ref="D372:F372"/>
    <mergeCell ref="G372:I372"/>
    <mergeCell ref="D367:E367"/>
    <mergeCell ref="G367:H367"/>
    <mergeCell ref="J367:K367"/>
    <mergeCell ref="M367:N367"/>
    <mergeCell ref="P367:Q367"/>
    <mergeCell ref="S367:T367"/>
    <mergeCell ref="V367:W367"/>
    <mergeCell ref="Y367:Z367"/>
    <mergeCell ref="AB367:AC367"/>
    <mergeCell ref="AE365:AF365"/>
    <mergeCell ref="D366:E366"/>
    <mergeCell ref="G366:H366"/>
    <mergeCell ref="J366:K366"/>
    <mergeCell ref="M366:N366"/>
    <mergeCell ref="P366:Q366"/>
    <mergeCell ref="S366:T366"/>
    <mergeCell ref="V366:W366"/>
    <mergeCell ref="Y366:Z366"/>
    <mergeCell ref="AB366:AC366"/>
    <mergeCell ref="AE366:AF366"/>
    <mergeCell ref="D365:E365"/>
    <mergeCell ref="G365:H365"/>
    <mergeCell ref="J365:K365"/>
    <mergeCell ref="M365:N365"/>
    <mergeCell ref="P365:Q365"/>
    <mergeCell ref="S365:T365"/>
    <mergeCell ref="V365:W365"/>
    <mergeCell ref="Y365:Z365"/>
    <mergeCell ref="AB365:AC365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D364:F364"/>
    <mergeCell ref="G364:I364"/>
    <mergeCell ref="J364:L364"/>
    <mergeCell ref="M364:O364"/>
    <mergeCell ref="P364:R364"/>
    <mergeCell ref="S364:U364"/>
    <mergeCell ref="V364:X364"/>
    <mergeCell ref="Y364:AA364"/>
    <mergeCell ref="AB364:AD364"/>
    <mergeCell ref="AE364:AG364"/>
    <mergeCell ref="AE358:AF358"/>
    <mergeCell ref="A361:B367"/>
    <mergeCell ref="D361:F361"/>
    <mergeCell ref="G361:I361"/>
    <mergeCell ref="J361:L361"/>
    <mergeCell ref="M361:O361"/>
    <mergeCell ref="P361:R361"/>
    <mergeCell ref="S361:U361"/>
    <mergeCell ref="V361:X361"/>
    <mergeCell ref="Y361:AA361"/>
    <mergeCell ref="AB361:AD361"/>
    <mergeCell ref="AE361:AG361"/>
    <mergeCell ref="D362:F362"/>
    <mergeCell ref="G362:I362"/>
    <mergeCell ref="J362:L362"/>
    <mergeCell ref="M362:O362"/>
    <mergeCell ref="P362:R362"/>
    <mergeCell ref="S362:U362"/>
    <mergeCell ref="V362:X362"/>
    <mergeCell ref="Y362:AA362"/>
    <mergeCell ref="AB362:AD362"/>
    <mergeCell ref="AE362:AG362"/>
    <mergeCell ref="D363:F363"/>
    <mergeCell ref="G363:I363"/>
    <mergeCell ref="D358:E358"/>
    <mergeCell ref="G358:H358"/>
    <mergeCell ref="J358:K358"/>
    <mergeCell ref="M358:N358"/>
    <mergeCell ref="P358:Q358"/>
    <mergeCell ref="S358:T358"/>
    <mergeCell ref="V358:W358"/>
    <mergeCell ref="Y358:Z358"/>
    <mergeCell ref="AB358:AC358"/>
    <mergeCell ref="AE356:AF356"/>
    <mergeCell ref="D357:E357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AE357:AF357"/>
    <mergeCell ref="D356:E356"/>
    <mergeCell ref="G356:H356"/>
    <mergeCell ref="J356:K356"/>
    <mergeCell ref="M356:N356"/>
    <mergeCell ref="P356:Q356"/>
    <mergeCell ref="S356:T356"/>
    <mergeCell ref="V356:W356"/>
    <mergeCell ref="Y356:Z356"/>
    <mergeCell ref="AB356:AC356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D355:F355"/>
    <mergeCell ref="G355:I355"/>
    <mergeCell ref="J355:L355"/>
    <mergeCell ref="M355:O355"/>
    <mergeCell ref="P355:R355"/>
    <mergeCell ref="S355:U355"/>
    <mergeCell ref="V355:X355"/>
    <mergeCell ref="Y355:AA355"/>
    <mergeCell ref="AB355:AD355"/>
    <mergeCell ref="AE355:AG355"/>
    <mergeCell ref="AE349:AF349"/>
    <mergeCell ref="A352:B358"/>
    <mergeCell ref="D352:F352"/>
    <mergeCell ref="G352:I352"/>
    <mergeCell ref="J352:L352"/>
    <mergeCell ref="M352:O352"/>
    <mergeCell ref="P352:R352"/>
    <mergeCell ref="S352:U352"/>
    <mergeCell ref="V352:X352"/>
    <mergeCell ref="Y352:AA352"/>
    <mergeCell ref="AB352:AD352"/>
    <mergeCell ref="AE352:AG352"/>
    <mergeCell ref="D353:F353"/>
    <mergeCell ref="G353:I353"/>
    <mergeCell ref="J353:L353"/>
    <mergeCell ref="M353:O353"/>
    <mergeCell ref="P353:R353"/>
    <mergeCell ref="S353:U353"/>
    <mergeCell ref="V353:X353"/>
    <mergeCell ref="Y353:AA353"/>
    <mergeCell ref="AB353:AD353"/>
    <mergeCell ref="AE353:AG353"/>
    <mergeCell ref="D354:F354"/>
    <mergeCell ref="G354:I354"/>
    <mergeCell ref="D349:E349"/>
    <mergeCell ref="G349:H349"/>
    <mergeCell ref="J349:K349"/>
    <mergeCell ref="M349:N349"/>
    <mergeCell ref="P349:Q349"/>
    <mergeCell ref="S349:T349"/>
    <mergeCell ref="V349:W349"/>
    <mergeCell ref="Y349:Z349"/>
    <mergeCell ref="AB349:AC349"/>
    <mergeCell ref="AE347:AF347"/>
    <mergeCell ref="D348:E348"/>
    <mergeCell ref="G348:H348"/>
    <mergeCell ref="J348:K348"/>
    <mergeCell ref="M348:N348"/>
    <mergeCell ref="P348:Q348"/>
    <mergeCell ref="S348:T348"/>
    <mergeCell ref="V348:W348"/>
    <mergeCell ref="Y348:Z348"/>
    <mergeCell ref="AB348:AC348"/>
    <mergeCell ref="AE348:AF348"/>
    <mergeCell ref="D347:E347"/>
    <mergeCell ref="G347:H347"/>
    <mergeCell ref="J347:K347"/>
    <mergeCell ref="M347:N347"/>
    <mergeCell ref="P347:Q347"/>
    <mergeCell ref="S347:T347"/>
    <mergeCell ref="V347:W347"/>
    <mergeCell ref="Y347:Z347"/>
    <mergeCell ref="AB347:AC347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D346:F346"/>
    <mergeCell ref="G346:I346"/>
    <mergeCell ref="J346:L346"/>
    <mergeCell ref="M346:O346"/>
    <mergeCell ref="P346:R346"/>
    <mergeCell ref="S346:U346"/>
    <mergeCell ref="V346:X346"/>
    <mergeCell ref="Y346:AA346"/>
    <mergeCell ref="AB346:AD346"/>
    <mergeCell ref="AE346:AG346"/>
    <mergeCell ref="AE340:AF340"/>
    <mergeCell ref="A343:B349"/>
    <mergeCell ref="D343:F343"/>
    <mergeCell ref="G343:I343"/>
    <mergeCell ref="J343:L343"/>
    <mergeCell ref="M343:O343"/>
    <mergeCell ref="P343:R343"/>
    <mergeCell ref="S343:U343"/>
    <mergeCell ref="V343:X343"/>
    <mergeCell ref="Y343:AA343"/>
    <mergeCell ref="AB343:AD343"/>
    <mergeCell ref="AE343:AG343"/>
    <mergeCell ref="D344:F344"/>
    <mergeCell ref="G344:I344"/>
    <mergeCell ref="J344:L344"/>
    <mergeCell ref="M344:O344"/>
    <mergeCell ref="P344:R344"/>
    <mergeCell ref="S344:U344"/>
    <mergeCell ref="V344:X344"/>
    <mergeCell ref="Y344:AA344"/>
    <mergeCell ref="AB344:AD344"/>
    <mergeCell ref="AE344:AG344"/>
    <mergeCell ref="D345:F345"/>
    <mergeCell ref="G345:I345"/>
    <mergeCell ref="D340:E340"/>
    <mergeCell ref="G340:H340"/>
    <mergeCell ref="J340:K340"/>
    <mergeCell ref="M340:N340"/>
    <mergeCell ref="P340:Q340"/>
    <mergeCell ref="S340:T340"/>
    <mergeCell ref="V340:W340"/>
    <mergeCell ref="Y340:Z340"/>
    <mergeCell ref="AB340:AC340"/>
    <mergeCell ref="AE338:AF338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B339:AC339"/>
    <mergeCell ref="AE339:AF339"/>
    <mergeCell ref="D338:E338"/>
    <mergeCell ref="G338:H338"/>
    <mergeCell ref="J338:K338"/>
    <mergeCell ref="M338:N338"/>
    <mergeCell ref="P338:Q338"/>
    <mergeCell ref="S338:T338"/>
    <mergeCell ref="V338:W338"/>
    <mergeCell ref="Y338:Z338"/>
    <mergeCell ref="AB338:AC338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D337:F337"/>
    <mergeCell ref="G337:I337"/>
    <mergeCell ref="J337:L337"/>
    <mergeCell ref="M337:O337"/>
    <mergeCell ref="P337:R337"/>
    <mergeCell ref="S337:U337"/>
    <mergeCell ref="V337:X337"/>
    <mergeCell ref="Y337:AA337"/>
    <mergeCell ref="AB337:AD337"/>
    <mergeCell ref="AE337:AG337"/>
    <mergeCell ref="AE331:AF331"/>
    <mergeCell ref="A334:B340"/>
    <mergeCell ref="D334:F334"/>
    <mergeCell ref="G334:I334"/>
    <mergeCell ref="J334:L334"/>
    <mergeCell ref="M334:O334"/>
    <mergeCell ref="P334:R334"/>
    <mergeCell ref="S334:U334"/>
    <mergeCell ref="V334:X334"/>
    <mergeCell ref="Y334:AA334"/>
    <mergeCell ref="AB334:AD334"/>
    <mergeCell ref="AE334:AG334"/>
    <mergeCell ref="D335:F335"/>
    <mergeCell ref="G335:I335"/>
    <mergeCell ref="J335:L335"/>
    <mergeCell ref="M335:O335"/>
    <mergeCell ref="P335:R335"/>
    <mergeCell ref="S335:U335"/>
    <mergeCell ref="V335:X335"/>
    <mergeCell ref="Y335:AA335"/>
    <mergeCell ref="AB335:AD335"/>
    <mergeCell ref="AE335:AG335"/>
    <mergeCell ref="D336:F336"/>
    <mergeCell ref="G336:I336"/>
    <mergeCell ref="D331:E331"/>
    <mergeCell ref="G331:H331"/>
    <mergeCell ref="J331:K331"/>
    <mergeCell ref="M331:N331"/>
    <mergeCell ref="P331:Q331"/>
    <mergeCell ref="S331:T331"/>
    <mergeCell ref="V331:W331"/>
    <mergeCell ref="Y331:Z331"/>
    <mergeCell ref="AB331:AC331"/>
    <mergeCell ref="AE329:AF329"/>
    <mergeCell ref="D330:E330"/>
    <mergeCell ref="G330:H330"/>
    <mergeCell ref="J330:K330"/>
    <mergeCell ref="M330:N330"/>
    <mergeCell ref="P330:Q330"/>
    <mergeCell ref="S330:T330"/>
    <mergeCell ref="V330:W330"/>
    <mergeCell ref="Y330:Z330"/>
    <mergeCell ref="AB330:AC330"/>
    <mergeCell ref="AE330:AF330"/>
    <mergeCell ref="D329:E329"/>
    <mergeCell ref="G329:H329"/>
    <mergeCell ref="J329:K329"/>
    <mergeCell ref="M329:N329"/>
    <mergeCell ref="P329:Q329"/>
    <mergeCell ref="S329:T329"/>
    <mergeCell ref="V329:W329"/>
    <mergeCell ref="Y329:Z329"/>
    <mergeCell ref="AB329:AC329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D328:F328"/>
    <mergeCell ref="G328:I328"/>
    <mergeCell ref="J328:L328"/>
    <mergeCell ref="M328:O328"/>
    <mergeCell ref="P328:R328"/>
    <mergeCell ref="S328:U328"/>
    <mergeCell ref="V328:X328"/>
    <mergeCell ref="Y328:AA328"/>
    <mergeCell ref="AB328:AD328"/>
    <mergeCell ref="AE328:AG328"/>
    <mergeCell ref="AE322:AF322"/>
    <mergeCell ref="A325:B331"/>
    <mergeCell ref="D325:F325"/>
    <mergeCell ref="G325:I325"/>
    <mergeCell ref="J325:L325"/>
    <mergeCell ref="M325:O325"/>
    <mergeCell ref="P325:R325"/>
    <mergeCell ref="S325:U325"/>
    <mergeCell ref="V325:X325"/>
    <mergeCell ref="Y325:AA325"/>
    <mergeCell ref="AB325:AD325"/>
    <mergeCell ref="AE325:AG325"/>
    <mergeCell ref="D326:F326"/>
    <mergeCell ref="G326:I326"/>
    <mergeCell ref="J326:L326"/>
    <mergeCell ref="M326:O326"/>
    <mergeCell ref="P326:R326"/>
    <mergeCell ref="S326:U326"/>
    <mergeCell ref="V326:X326"/>
    <mergeCell ref="Y326:AA326"/>
    <mergeCell ref="AB326:AD326"/>
    <mergeCell ref="AE326:AG326"/>
    <mergeCell ref="D327:F327"/>
    <mergeCell ref="G327:I327"/>
    <mergeCell ref="D322:E322"/>
    <mergeCell ref="G322:H322"/>
    <mergeCell ref="J322:K322"/>
    <mergeCell ref="M322:N322"/>
    <mergeCell ref="P322:Q322"/>
    <mergeCell ref="S322:T322"/>
    <mergeCell ref="V322:W322"/>
    <mergeCell ref="Y322:Z322"/>
    <mergeCell ref="AB322:AC322"/>
    <mergeCell ref="AE320:AF320"/>
    <mergeCell ref="D321:E321"/>
    <mergeCell ref="G321:H321"/>
    <mergeCell ref="J321:K321"/>
    <mergeCell ref="M321:N321"/>
    <mergeCell ref="P321:Q321"/>
    <mergeCell ref="S321:T321"/>
    <mergeCell ref="V321:W321"/>
    <mergeCell ref="Y321:Z321"/>
    <mergeCell ref="AB321:AC321"/>
    <mergeCell ref="AE321:AF321"/>
    <mergeCell ref="D320:E320"/>
    <mergeCell ref="G320:H320"/>
    <mergeCell ref="J320:K320"/>
    <mergeCell ref="M320:N320"/>
    <mergeCell ref="P320:Q320"/>
    <mergeCell ref="S320:T320"/>
    <mergeCell ref="V320:W320"/>
    <mergeCell ref="Y320:Z320"/>
    <mergeCell ref="AB320:AC320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D319:F319"/>
    <mergeCell ref="G319:I319"/>
    <mergeCell ref="J319:L319"/>
    <mergeCell ref="M319:O319"/>
    <mergeCell ref="P319:R319"/>
    <mergeCell ref="S319:U319"/>
    <mergeCell ref="V319:X319"/>
    <mergeCell ref="Y319:AA319"/>
    <mergeCell ref="AB319:AD319"/>
    <mergeCell ref="AE319:AG319"/>
    <mergeCell ref="AE313:AF313"/>
    <mergeCell ref="A316:B322"/>
    <mergeCell ref="D316:F316"/>
    <mergeCell ref="G316:I316"/>
    <mergeCell ref="J316:L316"/>
    <mergeCell ref="M316:O316"/>
    <mergeCell ref="P316:R316"/>
    <mergeCell ref="S316:U316"/>
    <mergeCell ref="V316:X316"/>
    <mergeCell ref="Y316:AA316"/>
    <mergeCell ref="AB316:AD316"/>
    <mergeCell ref="AE316:AG316"/>
    <mergeCell ref="D317:F317"/>
    <mergeCell ref="G317:I317"/>
    <mergeCell ref="J317:L317"/>
    <mergeCell ref="M317:O317"/>
    <mergeCell ref="P317:R317"/>
    <mergeCell ref="S317:U317"/>
    <mergeCell ref="V317:X317"/>
    <mergeCell ref="Y317:AA317"/>
    <mergeCell ref="AB317:AD317"/>
    <mergeCell ref="AE317:AG317"/>
    <mergeCell ref="D318:F318"/>
    <mergeCell ref="G318:I318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Y311:Z311"/>
    <mergeCell ref="AB311:AC311"/>
    <mergeCell ref="AE311:AF311"/>
    <mergeCell ref="D312:E312"/>
    <mergeCell ref="G312:H312"/>
    <mergeCell ref="J312:K312"/>
    <mergeCell ref="M312:N312"/>
    <mergeCell ref="P312:Q312"/>
    <mergeCell ref="S312:T312"/>
    <mergeCell ref="V312:W312"/>
    <mergeCell ref="Y312:Z312"/>
    <mergeCell ref="AB312:AC312"/>
    <mergeCell ref="AE312:AF312"/>
    <mergeCell ref="AB309:AD309"/>
    <mergeCell ref="AE309:AG309"/>
    <mergeCell ref="D310:F310"/>
    <mergeCell ref="G310:I310"/>
    <mergeCell ref="J310:L310"/>
    <mergeCell ref="M310:O310"/>
    <mergeCell ref="P310:R310"/>
    <mergeCell ref="S310:U310"/>
    <mergeCell ref="V310:X310"/>
    <mergeCell ref="Y310:AA310"/>
    <mergeCell ref="AB310:AD310"/>
    <mergeCell ref="AE310:AG310"/>
    <mergeCell ref="AB307:AD307"/>
    <mergeCell ref="AE307:AG307"/>
    <mergeCell ref="D308:F308"/>
    <mergeCell ref="G308:I308"/>
    <mergeCell ref="J308:L308"/>
    <mergeCell ref="M308:O308"/>
    <mergeCell ref="P308:R308"/>
    <mergeCell ref="S308:U308"/>
    <mergeCell ref="V308:X308"/>
    <mergeCell ref="Y308:AA308"/>
    <mergeCell ref="AB308:AD308"/>
    <mergeCell ref="AE308:AG308"/>
    <mergeCell ref="A307:B313"/>
    <mergeCell ref="D307:F307"/>
    <mergeCell ref="G307:I307"/>
    <mergeCell ref="J307:L307"/>
    <mergeCell ref="M307:O307"/>
    <mergeCell ref="P307:R307"/>
    <mergeCell ref="S307:U307"/>
    <mergeCell ref="V307:X307"/>
    <mergeCell ref="Y307:AA30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D311:E311"/>
    <mergeCell ref="G311:H311"/>
    <mergeCell ref="J311:K311"/>
    <mergeCell ref="M311:N311"/>
    <mergeCell ref="P311:Q311"/>
    <mergeCell ref="S311:T311"/>
    <mergeCell ref="V311:W311"/>
    <mergeCell ref="AE293:AF293"/>
    <mergeCell ref="A298:B304"/>
    <mergeCell ref="D298:F298"/>
    <mergeCell ref="G298:I298"/>
    <mergeCell ref="J298:L298"/>
    <mergeCell ref="M298:O298"/>
    <mergeCell ref="P298:R298"/>
    <mergeCell ref="S298:U298"/>
    <mergeCell ref="V298:X298"/>
    <mergeCell ref="Y298:AA298"/>
    <mergeCell ref="AB298:AD298"/>
    <mergeCell ref="AE298:AG298"/>
    <mergeCell ref="D299:F299"/>
    <mergeCell ref="G299:I299"/>
    <mergeCell ref="J299:L299"/>
    <mergeCell ref="M299:O299"/>
    <mergeCell ref="P299:R299"/>
    <mergeCell ref="S299:U299"/>
    <mergeCell ref="V299:X299"/>
    <mergeCell ref="Y299:AA299"/>
    <mergeCell ref="AB299:AD299"/>
    <mergeCell ref="AE299:AG299"/>
    <mergeCell ref="D300:F300"/>
    <mergeCell ref="G300:I300"/>
    <mergeCell ref="D293:E293"/>
    <mergeCell ref="G293:H293"/>
    <mergeCell ref="J293:K293"/>
    <mergeCell ref="M293:N293"/>
    <mergeCell ref="P293:Q293"/>
    <mergeCell ref="S293:T293"/>
    <mergeCell ref="V293:W293"/>
    <mergeCell ref="Y293:Z293"/>
    <mergeCell ref="AB293:AC293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D292:F292"/>
    <mergeCell ref="G292:I292"/>
    <mergeCell ref="J292:L292"/>
    <mergeCell ref="M292:O292"/>
    <mergeCell ref="P292:R292"/>
    <mergeCell ref="S292:U292"/>
    <mergeCell ref="V292:X292"/>
    <mergeCell ref="Y292:AA292"/>
    <mergeCell ref="AB292:AD292"/>
    <mergeCell ref="AE292:AG292"/>
    <mergeCell ref="AE285:AF285"/>
    <mergeCell ref="A289:B295"/>
    <mergeCell ref="D289:F289"/>
    <mergeCell ref="G289:I289"/>
    <mergeCell ref="J289:L289"/>
    <mergeCell ref="M289:O289"/>
    <mergeCell ref="P289:R289"/>
    <mergeCell ref="S289:U289"/>
    <mergeCell ref="V289:X289"/>
    <mergeCell ref="Y289:AA289"/>
    <mergeCell ref="AB289:AD289"/>
    <mergeCell ref="AE289:AG289"/>
    <mergeCell ref="D290:F290"/>
    <mergeCell ref="G290:I290"/>
    <mergeCell ref="J290:L290"/>
    <mergeCell ref="M290:O290"/>
    <mergeCell ref="P290:R290"/>
    <mergeCell ref="S290:U290"/>
    <mergeCell ref="V290:X290"/>
    <mergeCell ref="Y290:AA290"/>
    <mergeCell ref="AB290:AD290"/>
    <mergeCell ref="AE290:AG290"/>
    <mergeCell ref="D291:F291"/>
    <mergeCell ref="G291:I291"/>
    <mergeCell ref="D285:E285"/>
    <mergeCell ref="G285:H285"/>
    <mergeCell ref="J285:K285"/>
    <mergeCell ref="M285:N285"/>
    <mergeCell ref="P285:Q285"/>
    <mergeCell ref="S285:T285"/>
    <mergeCell ref="V285:W285"/>
    <mergeCell ref="Y285:Z285"/>
    <mergeCell ref="AB285:AC285"/>
    <mergeCell ref="S283:U283"/>
    <mergeCell ref="V283:X283"/>
    <mergeCell ref="Y283:AA283"/>
    <mergeCell ref="AB283:AD283"/>
    <mergeCell ref="AE283:AG283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E284:AF284"/>
    <mergeCell ref="AE277:AF277"/>
    <mergeCell ref="A280:B286"/>
    <mergeCell ref="D280:F280"/>
    <mergeCell ref="G280:I280"/>
    <mergeCell ref="J280:L280"/>
    <mergeCell ref="M280:O280"/>
    <mergeCell ref="P280:R280"/>
    <mergeCell ref="S280:U280"/>
    <mergeCell ref="V280:X280"/>
    <mergeCell ref="Y280:AA280"/>
    <mergeCell ref="AB280:AD280"/>
    <mergeCell ref="AE280:AG280"/>
    <mergeCell ref="D281:F281"/>
    <mergeCell ref="G281:I281"/>
    <mergeCell ref="J281:L281"/>
    <mergeCell ref="M281:O281"/>
    <mergeCell ref="P281:R281"/>
    <mergeCell ref="S281:U281"/>
    <mergeCell ref="V281:X281"/>
    <mergeCell ref="Y281:AA281"/>
    <mergeCell ref="AB281:AD281"/>
    <mergeCell ref="AE281:AG281"/>
    <mergeCell ref="D282:F282"/>
    <mergeCell ref="G282:I282"/>
    <mergeCell ref="D277:E277"/>
    <mergeCell ref="G277:H277"/>
    <mergeCell ref="J277:K277"/>
    <mergeCell ref="M277:N277"/>
    <mergeCell ref="P277:Q277"/>
    <mergeCell ref="S277:T277"/>
    <mergeCell ref="V277:W277"/>
    <mergeCell ref="Y277:Z277"/>
    <mergeCell ref="AB277:AC277"/>
    <mergeCell ref="AE275:AF275"/>
    <mergeCell ref="D276:E276"/>
    <mergeCell ref="G276:H276"/>
    <mergeCell ref="J276:K276"/>
    <mergeCell ref="M276:N276"/>
    <mergeCell ref="P276:Q276"/>
    <mergeCell ref="S276:T276"/>
    <mergeCell ref="V276:W276"/>
    <mergeCell ref="Y276:Z276"/>
    <mergeCell ref="AB276:AC276"/>
    <mergeCell ref="AE276:AF276"/>
    <mergeCell ref="D275:E275"/>
    <mergeCell ref="G275:H275"/>
    <mergeCell ref="J275:K275"/>
    <mergeCell ref="M275:N275"/>
    <mergeCell ref="P275:Q275"/>
    <mergeCell ref="S275:T275"/>
    <mergeCell ref="V275:W275"/>
    <mergeCell ref="Y275:Z275"/>
    <mergeCell ref="AB275:AC275"/>
    <mergeCell ref="Y273:AA273"/>
    <mergeCell ref="AB273:AD273"/>
    <mergeCell ref="AE273:AG273"/>
    <mergeCell ref="D274:F274"/>
    <mergeCell ref="G274:I274"/>
    <mergeCell ref="J274:L274"/>
    <mergeCell ref="M274:O274"/>
    <mergeCell ref="P274:R274"/>
    <mergeCell ref="S274:U274"/>
    <mergeCell ref="V274:X274"/>
    <mergeCell ref="Y274:AA274"/>
    <mergeCell ref="AB274:AD274"/>
    <mergeCell ref="AE274:AG274"/>
    <mergeCell ref="A271:B277"/>
    <mergeCell ref="D271:F271"/>
    <mergeCell ref="G271:I271"/>
    <mergeCell ref="J271:L271"/>
    <mergeCell ref="M271:O271"/>
    <mergeCell ref="P271:R271"/>
    <mergeCell ref="S271:U271"/>
    <mergeCell ref="V271:X271"/>
    <mergeCell ref="Y271:AA271"/>
    <mergeCell ref="D272:F272"/>
    <mergeCell ref="G272:I272"/>
    <mergeCell ref="J272:L272"/>
    <mergeCell ref="M272:O272"/>
    <mergeCell ref="P272:R272"/>
    <mergeCell ref="S272:U272"/>
    <mergeCell ref="V272:X272"/>
    <mergeCell ref="Y272:AA272"/>
    <mergeCell ref="D273:F273"/>
    <mergeCell ref="G273:I273"/>
    <mergeCell ref="J273:L273"/>
    <mergeCell ref="M273:O273"/>
    <mergeCell ref="P273:R273"/>
    <mergeCell ref="S273:U273"/>
    <mergeCell ref="V273:X273"/>
    <mergeCell ref="AE267:AF267"/>
    <mergeCell ref="D268:E268"/>
    <mergeCell ref="G268:H268"/>
    <mergeCell ref="J268:K268"/>
    <mergeCell ref="M268:N268"/>
    <mergeCell ref="P268:Q268"/>
    <mergeCell ref="S268:T268"/>
    <mergeCell ref="V268:W268"/>
    <mergeCell ref="Y268:Z268"/>
    <mergeCell ref="AB268:AC268"/>
    <mergeCell ref="AE268:AF268"/>
    <mergeCell ref="D267:E267"/>
    <mergeCell ref="G267:H267"/>
    <mergeCell ref="J267:K267"/>
    <mergeCell ref="M267:N267"/>
    <mergeCell ref="P267:Q267"/>
    <mergeCell ref="S267:T267"/>
    <mergeCell ref="V267:W267"/>
    <mergeCell ref="Y267:Z267"/>
    <mergeCell ref="AB267:AC267"/>
    <mergeCell ref="S265:U265"/>
    <mergeCell ref="V265:X265"/>
    <mergeCell ref="Y265:AA265"/>
    <mergeCell ref="AB265:AD265"/>
    <mergeCell ref="AE265:AG265"/>
    <mergeCell ref="D266:E266"/>
    <mergeCell ref="G266:H266"/>
    <mergeCell ref="J266:K266"/>
    <mergeCell ref="M266:N266"/>
    <mergeCell ref="P266:Q266"/>
    <mergeCell ref="S266:T266"/>
    <mergeCell ref="V266:W266"/>
    <mergeCell ref="Y266:Z266"/>
    <mergeCell ref="AB266:AC266"/>
    <mergeCell ref="AE266:AF266"/>
    <mergeCell ref="AE259:AF259"/>
    <mergeCell ref="A262:B268"/>
    <mergeCell ref="D262:F262"/>
    <mergeCell ref="G262:I262"/>
    <mergeCell ref="J262:L262"/>
    <mergeCell ref="M262:O262"/>
    <mergeCell ref="P262:R262"/>
    <mergeCell ref="S262:U262"/>
    <mergeCell ref="V262:X262"/>
    <mergeCell ref="Y262:AA262"/>
    <mergeCell ref="AB262:AD262"/>
    <mergeCell ref="AE262:AG262"/>
    <mergeCell ref="D263:F263"/>
    <mergeCell ref="G263:I263"/>
    <mergeCell ref="J263:L263"/>
    <mergeCell ref="M263:O263"/>
    <mergeCell ref="P263:R263"/>
    <mergeCell ref="S263:U263"/>
    <mergeCell ref="V263:X263"/>
    <mergeCell ref="Y263:AA263"/>
    <mergeCell ref="AB263:AD263"/>
    <mergeCell ref="AE263:AG263"/>
    <mergeCell ref="D264:F264"/>
    <mergeCell ref="G264:I264"/>
    <mergeCell ref="D259:E259"/>
    <mergeCell ref="G259:H259"/>
    <mergeCell ref="J259:K259"/>
    <mergeCell ref="M259:N259"/>
    <mergeCell ref="P259:Q259"/>
    <mergeCell ref="S259:T259"/>
    <mergeCell ref="V259:W259"/>
    <mergeCell ref="Y259:Z259"/>
    <mergeCell ref="AB259:AC259"/>
    <mergeCell ref="AE257:AF257"/>
    <mergeCell ref="D258:E258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7:E257"/>
    <mergeCell ref="G257:H257"/>
    <mergeCell ref="J257:K257"/>
    <mergeCell ref="M257:N257"/>
    <mergeCell ref="P257:Q257"/>
    <mergeCell ref="S257:T257"/>
    <mergeCell ref="V257:W257"/>
    <mergeCell ref="Y257:Z257"/>
    <mergeCell ref="AB257:AC257"/>
    <mergeCell ref="A253:B259"/>
    <mergeCell ref="D254:F254"/>
    <mergeCell ref="G254:I254"/>
    <mergeCell ref="J254:L254"/>
    <mergeCell ref="M254:O254"/>
    <mergeCell ref="P254:R254"/>
    <mergeCell ref="S254:U254"/>
    <mergeCell ref="V254:X254"/>
    <mergeCell ref="Y254:AA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D256:F256"/>
    <mergeCell ref="G256:I256"/>
    <mergeCell ref="J256:L256"/>
    <mergeCell ref="M256:O256"/>
    <mergeCell ref="P256:R256"/>
    <mergeCell ref="S256:U256"/>
    <mergeCell ref="V256:X256"/>
    <mergeCell ref="AB247:AD247"/>
    <mergeCell ref="AE247:AG247"/>
    <mergeCell ref="D249:E249"/>
    <mergeCell ref="G249:H249"/>
    <mergeCell ref="J249:K249"/>
    <mergeCell ref="M249:N249"/>
    <mergeCell ref="P249:Q249"/>
    <mergeCell ref="S249:T249"/>
    <mergeCell ref="V249:W249"/>
    <mergeCell ref="Y249:Z249"/>
    <mergeCell ref="AB249:AC249"/>
    <mergeCell ref="AE249:AF249"/>
    <mergeCell ref="AE241:AF241"/>
    <mergeCell ref="A244:B250"/>
    <mergeCell ref="D244:F244"/>
    <mergeCell ref="G244:I244"/>
    <mergeCell ref="J244:L244"/>
    <mergeCell ref="M244:O244"/>
    <mergeCell ref="P244:R244"/>
    <mergeCell ref="S244:U244"/>
    <mergeCell ref="V244:X244"/>
    <mergeCell ref="Y244:AA244"/>
    <mergeCell ref="AB244:AD244"/>
    <mergeCell ref="AE244:AG24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D247:F247"/>
    <mergeCell ref="G247:I247"/>
    <mergeCell ref="D241:E241"/>
    <mergeCell ref="G241:H241"/>
    <mergeCell ref="J241:K241"/>
    <mergeCell ref="M241:N241"/>
    <mergeCell ref="P241:Q241"/>
    <mergeCell ref="S241:T241"/>
    <mergeCell ref="V241:W241"/>
    <mergeCell ref="Y241:Z241"/>
    <mergeCell ref="AB241:AC241"/>
    <mergeCell ref="A235:B241"/>
    <mergeCell ref="D235:F235"/>
    <mergeCell ref="G235:I235"/>
    <mergeCell ref="J235:L235"/>
    <mergeCell ref="M235:O235"/>
    <mergeCell ref="P235:R235"/>
    <mergeCell ref="S235:U235"/>
    <mergeCell ref="V235:X235"/>
    <mergeCell ref="Y235:AA235"/>
    <mergeCell ref="D236:F236"/>
    <mergeCell ref="G236:I236"/>
    <mergeCell ref="J236:L236"/>
    <mergeCell ref="M236:O236"/>
    <mergeCell ref="P236:R236"/>
    <mergeCell ref="S236:U236"/>
    <mergeCell ref="V236:X236"/>
    <mergeCell ref="Y236:AA236"/>
    <mergeCell ref="D238:F238"/>
    <mergeCell ref="G238:I238"/>
    <mergeCell ref="J238:L238"/>
    <mergeCell ref="M238:O238"/>
    <mergeCell ref="P238:R238"/>
    <mergeCell ref="S238:U238"/>
    <mergeCell ref="V238:X238"/>
    <mergeCell ref="AE16:AF16"/>
    <mergeCell ref="A1:B7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D4:F4"/>
    <mergeCell ref="G4:I4"/>
    <mergeCell ref="D16:E16"/>
    <mergeCell ref="G16:H16"/>
    <mergeCell ref="J16:K16"/>
    <mergeCell ref="M16:N16"/>
    <mergeCell ref="P16:Q16"/>
    <mergeCell ref="S16:T16"/>
    <mergeCell ref="V16:W16"/>
    <mergeCell ref="Y16:Z16"/>
    <mergeCell ref="AB16:AC16"/>
    <mergeCell ref="Y14:Z14"/>
    <mergeCell ref="AB14:AC14"/>
    <mergeCell ref="AE14:AF14"/>
    <mergeCell ref="D15:E15"/>
    <mergeCell ref="G15:H15"/>
    <mergeCell ref="J15:K15"/>
    <mergeCell ref="M15:N15"/>
    <mergeCell ref="P15:Q15"/>
    <mergeCell ref="S15:T15"/>
    <mergeCell ref="V15:W15"/>
    <mergeCell ref="Y15:Z15"/>
    <mergeCell ref="AB15:AC15"/>
    <mergeCell ref="AE15:AF15"/>
    <mergeCell ref="AB12:AD12"/>
    <mergeCell ref="AE12:AG12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B10:AD10"/>
    <mergeCell ref="AE10:AG10"/>
    <mergeCell ref="D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AE11:AG11"/>
    <mergeCell ref="A10:B16"/>
    <mergeCell ref="D10:F10"/>
    <mergeCell ref="G10:I10"/>
    <mergeCell ref="J10:L10"/>
    <mergeCell ref="M10:O10"/>
    <mergeCell ref="P10:R10"/>
    <mergeCell ref="S10:U10"/>
    <mergeCell ref="V10:X10"/>
    <mergeCell ref="Y10:AA10"/>
    <mergeCell ref="D12:F12"/>
    <mergeCell ref="G12:I12"/>
    <mergeCell ref="J12:L12"/>
    <mergeCell ref="M12:O12"/>
    <mergeCell ref="P12:R12"/>
    <mergeCell ref="S12:U12"/>
    <mergeCell ref="V12:X12"/>
    <mergeCell ref="Y12:AA12"/>
    <mergeCell ref="D14:E14"/>
    <mergeCell ref="G14:H14"/>
    <mergeCell ref="J14:K14"/>
    <mergeCell ref="M14:N14"/>
    <mergeCell ref="P14:Q14"/>
    <mergeCell ref="S14:T14"/>
    <mergeCell ref="V14:W14"/>
    <mergeCell ref="AE6:AF6"/>
    <mergeCell ref="D7:E7"/>
    <mergeCell ref="G7:H7"/>
    <mergeCell ref="J7:K7"/>
    <mergeCell ref="M7:N7"/>
    <mergeCell ref="P7:Q7"/>
    <mergeCell ref="S7:T7"/>
    <mergeCell ref="V7:W7"/>
    <mergeCell ref="Y7:Z7"/>
    <mergeCell ref="AB7:AC7"/>
    <mergeCell ref="AE7:AF7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J4:L4"/>
    <mergeCell ref="M4:O4"/>
    <mergeCell ref="P4:R4"/>
    <mergeCell ref="S4:U4"/>
    <mergeCell ref="V4:X4"/>
    <mergeCell ref="Y4:AA4"/>
    <mergeCell ref="AB4:AD4"/>
    <mergeCell ref="AE4:AG4"/>
    <mergeCell ref="D5:E5"/>
    <mergeCell ref="G5:H5"/>
    <mergeCell ref="J5:K5"/>
    <mergeCell ref="M5:N5"/>
    <mergeCell ref="P5:Q5"/>
    <mergeCell ref="S5:T5"/>
    <mergeCell ref="V5:W5"/>
    <mergeCell ref="Y5:Z5"/>
    <mergeCell ref="AB5:AC5"/>
    <mergeCell ref="AE5:AF5"/>
    <mergeCell ref="AE231:AF231"/>
    <mergeCell ref="D231:E231"/>
    <mergeCell ref="G231:H231"/>
    <mergeCell ref="J231:K231"/>
    <mergeCell ref="M231:N231"/>
    <mergeCell ref="P231:Q231"/>
    <mergeCell ref="S231:T231"/>
    <mergeCell ref="V231:W231"/>
    <mergeCell ref="Y231:Z231"/>
    <mergeCell ref="AB231:AC231"/>
    <mergeCell ref="Y229:AA229"/>
    <mergeCell ref="AB229:AD229"/>
    <mergeCell ref="AE229:AG229"/>
    <mergeCell ref="D230:E230"/>
    <mergeCell ref="G230:H230"/>
    <mergeCell ref="J230:K230"/>
    <mergeCell ref="M230:N230"/>
    <mergeCell ref="P230:Q230"/>
    <mergeCell ref="S230:T230"/>
    <mergeCell ref="V230:W230"/>
    <mergeCell ref="Y230:Z230"/>
    <mergeCell ref="AB230:AC230"/>
    <mergeCell ref="AE230:AF230"/>
    <mergeCell ref="AB227:AD227"/>
    <mergeCell ref="AE227:AG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226:B232"/>
    <mergeCell ref="D226:F226"/>
    <mergeCell ref="G226:I226"/>
    <mergeCell ref="J226:L226"/>
    <mergeCell ref="M226:O226"/>
    <mergeCell ref="P226:R226"/>
    <mergeCell ref="S226:U226"/>
    <mergeCell ref="V226:X226"/>
    <mergeCell ref="Y226:AA226"/>
    <mergeCell ref="D227:F227"/>
    <mergeCell ref="G227:I227"/>
    <mergeCell ref="J227:L227"/>
    <mergeCell ref="M227:O227"/>
    <mergeCell ref="P227:R227"/>
    <mergeCell ref="S227:U227"/>
    <mergeCell ref="V227:X227"/>
    <mergeCell ref="Y227:AA227"/>
    <mergeCell ref="D229:F229"/>
    <mergeCell ref="G229:I229"/>
    <mergeCell ref="J229:L229"/>
    <mergeCell ref="M229:O229"/>
    <mergeCell ref="P229:R229"/>
    <mergeCell ref="S229:U229"/>
    <mergeCell ref="V229:X229"/>
    <mergeCell ref="AE222:AF222"/>
    <mergeCell ref="D223:E223"/>
    <mergeCell ref="G223:H223"/>
    <mergeCell ref="J223:K223"/>
    <mergeCell ref="M223:N223"/>
    <mergeCell ref="P223:Q223"/>
    <mergeCell ref="S223:T223"/>
    <mergeCell ref="V223:W223"/>
    <mergeCell ref="Y223:Z223"/>
    <mergeCell ref="AB223:AC223"/>
    <mergeCell ref="AE223:AF223"/>
    <mergeCell ref="D222:E222"/>
    <mergeCell ref="G222:H222"/>
    <mergeCell ref="J222:K222"/>
    <mergeCell ref="M222:N222"/>
    <mergeCell ref="P222:Q222"/>
    <mergeCell ref="S222:T222"/>
    <mergeCell ref="V222:W222"/>
    <mergeCell ref="Y222:Z222"/>
    <mergeCell ref="AB222:AC222"/>
    <mergeCell ref="AB220:AD220"/>
    <mergeCell ref="AE220:AG220"/>
    <mergeCell ref="D221:E221"/>
    <mergeCell ref="G221:H221"/>
    <mergeCell ref="J221:K221"/>
    <mergeCell ref="M221:N221"/>
    <mergeCell ref="P221:Q221"/>
    <mergeCell ref="S221:T221"/>
    <mergeCell ref="V221:W221"/>
    <mergeCell ref="Y221:Z221"/>
    <mergeCell ref="AB221:AC221"/>
    <mergeCell ref="AE221:AF221"/>
    <mergeCell ref="A217:B223"/>
    <mergeCell ref="D217:F217"/>
    <mergeCell ref="G217:I217"/>
    <mergeCell ref="J217:L217"/>
    <mergeCell ref="M217:O217"/>
    <mergeCell ref="P217:R217"/>
    <mergeCell ref="S217:U217"/>
    <mergeCell ref="V217:X217"/>
    <mergeCell ref="Y217:AA217"/>
    <mergeCell ref="D218:F218"/>
    <mergeCell ref="G218:I218"/>
    <mergeCell ref="J218:L218"/>
    <mergeCell ref="M218:O218"/>
    <mergeCell ref="P218:R218"/>
    <mergeCell ref="S218:U218"/>
    <mergeCell ref="V218:X218"/>
    <mergeCell ref="Y218:AA218"/>
    <mergeCell ref="D219:F219"/>
    <mergeCell ref="G219:I219"/>
    <mergeCell ref="J219:L219"/>
    <mergeCell ref="M219:O219"/>
    <mergeCell ref="P219:R219"/>
    <mergeCell ref="S219:U219"/>
    <mergeCell ref="V219:X219"/>
    <mergeCell ref="AE213:AF213"/>
    <mergeCell ref="D214:E214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E214:AF214"/>
    <mergeCell ref="D213:E213"/>
    <mergeCell ref="G213:H213"/>
    <mergeCell ref="J213:K213"/>
    <mergeCell ref="M213:N213"/>
    <mergeCell ref="P213:Q213"/>
    <mergeCell ref="S213:T213"/>
    <mergeCell ref="V213:W213"/>
    <mergeCell ref="Y213:Z213"/>
    <mergeCell ref="AB213:AC213"/>
    <mergeCell ref="Y211:AA211"/>
    <mergeCell ref="AB211:AD211"/>
    <mergeCell ref="AE211:AG211"/>
    <mergeCell ref="D212:E212"/>
    <mergeCell ref="G212:H212"/>
    <mergeCell ref="J212:K212"/>
    <mergeCell ref="M212:N212"/>
    <mergeCell ref="P212:Q212"/>
    <mergeCell ref="S212:T212"/>
    <mergeCell ref="V212:W212"/>
    <mergeCell ref="Y212:Z212"/>
    <mergeCell ref="AB212:AC212"/>
    <mergeCell ref="AE212:AF212"/>
    <mergeCell ref="AB208:AD208"/>
    <mergeCell ref="AE208:AG208"/>
    <mergeCell ref="D209:F209"/>
    <mergeCell ref="G209:I209"/>
    <mergeCell ref="J209:L209"/>
    <mergeCell ref="M209:O209"/>
    <mergeCell ref="P209:R209"/>
    <mergeCell ref="S209:U209"/>
    <mergeCell ref="V209:X209"/>
    <mergeCell ref="Y209:AA209"/>
    <mergeCell ref="AB209:AD209"/>
    <mergeCell ref="AE209:AG209"/>
    <mergeCell ref="A208:B214"/>
    <mergeCell ref="D208:F208"/>
    <mergeCell ref="G208:I208"/>
    <mergeCell ref="J208:L208"/>
    <mergeCell ref="M208:O208"/>
    <mergeCell ref="P208:R208"/>
    <mergeCell ref="S208:U208"/>
    <mergeCell ref="V208:X208"/>
    <mergeCell ref="Y208:AA20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D211:F211"/>
    <mergeCell ref="G211:I211"/>
    <mergeCell ref="J211:L211"/>
    <mergeCell ref="M211:O211"/>
    <mergeCell ref="P211:R211"/>
    <mergeCell ref="S211:U211"/>
    <mergeCell ref="V211:X211"/>
    <mergeCell ref="AE204:AF204"/>
    <mergeCell ref="D205:E205"/>
    <mergeCell ref="G205:H205"/>
    <mergeCell ref="J205:K205"/>
    <mergeCell ref="M205:N205"/>
    <mergeCell ref="P205:Q205"/>
    <mergeCell ref="S205:T205"/>
    <mergeCell ref="V205:W205"/>
    <mergeCell ref="Y205:Z205"/>
    <mergeCell ref="AB205:AC205"/>
    <mergeCell ref="AE205:AF205"/>
    <mergeCell ref="D204:E204"/>
    <mergeCell ref="G204:H204"/>
    <mergeCell ref="J204:K204"/>
    <mergeCell ref="M204:N204"/>
    <mergeCell ref="P204:Q204"/>
    <mergeCell ref="S204:T204"/>
    <mergeCell ref="V204:W204"/>
    <mergeCell ref="Y204:Z204"/>
    <mergeCell ref="AB204:AC204"/>
    <mergeCell ref="A199:B205"/>
    <mergeCell ref="D200:F200"/>
    <mergeCell ref="G200:I200"/>
    <mergeCell ref="J200:L200"/>
    <mergeCell ref="M200:O200"/>
    <mergeCell ref="P200:R200"/>
    <mergeCell ref="S200:U200"/>
    <mergeCell ref="V200:X200"/>
    <mergeCell ref="Y200:AA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D202:F202"/>
    <mergeCell ref="G202:I202"/>
    <mergeCell ref="J202:L202"/>
    <mergeCell ref="M202:O202"/>
    <mergeCell ref="P202:R202"/>
    <mergeCell ref="S202:U202"/>
    <mergeCell ref="V202:X202"/>
    <mergeCell ref="AE195:AF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E196:AF196"/>
    <mergeCell ref="D195:E195"/>
    <mergeCell ref="G195:H195"/>
    <mergeCell ref="J195:K195"/>
    <mergeCell ref="M195:N195"/>
    <mergeCell ref="P195:Q195"/>
    <mergeCell ref="S195:T195"/>
    <mergeCell ref="V195:W195"/>
    <mergeCell ref="Y195:Z195"/>
    <mergeCell ref="AB195:AC195"/>
    <mergeCell ref="A190:B196"/>
    <mergeCell ref="D190:F190"/>
    <mergeCell ref="G190:I190"/>
    <mergeCell ref="J190:L190"/>
    <mergeCell ref="M190:O190"/>
    <mergeCell ref="P190:R190"/>
    <mergeCell ref="S190:U190"/>
    <mergeCell ref="V190:X190"/>
    <mergeCell ref="Y190:AA19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D193:F193"/>
    <mergeCell ref="G193:I193"/>
    <mergeCell ref="J193:L193"/>
    <mergeCell ref="M193:O193"/>
    <mergeCell ref="P193:R193"/>
    <mergeCell ref="S193:U193"/>
    <mergeCell ref="V193:X193"/>
    <mergeCell ref="AB181:AD181"/>
    <mergeCell ref="AE181:AG181"/>
    <mergeCell ref="D182:F182"/>
    <mergeCell ref="G182:I182"/>
    <mergeCell ref="J182:L182"/>
    <mergeCell ref="M182:O182"/>
    <mergeCell ref="P182:R182"/>
    <mergeCell ref="S182:U182"/>
    <mergeCell ref="V182:X182"/>
    <mergeCell ref="Y182:AA182"/>
    <mergeCell ref="AB182:AD182"/>
    <mergeCell ref="AE182:AG182"/>
    <mergeCell ref="A181:B187"/>
    <mergeCell ref="D181:F181"/>
    <mergeCell ref="G181:I181"/>
    <mergeCell ref="J181:L181"/>
    <mergeCell ref="M181:O181"/>
    <mergeCell ref="P181:R181"/>
    <mergeCell ref="S181:U181"/>
    <mergeCell ref="V181:X181"/>
    <mergeCell ref="Y181:AA181"/>
    <mergeCell ref="D184:F184"/>
    <mergeCell ref="G184:I184"/>
    <mergeCell ref="J184:L184"/>
    <mergeCell ref="M184:O184"/>
    <mergeCell ref="P184:R184"/>
    <mergeCell ref="S184:U184"/>
    <mergeCell ref="V184:X184"/>
    <mergeCell ref="Y184:AA184"/>
    <mergeCell ref="D187:E187"/>
    <mergeCell ref="G187:H187"/>
    <mergeCell ref="J187:K187"/>
    <mergeCell ref="M187:N187"/>
    <mergeCell ref="P187:Q187"/>
    <mergeCell ref="S187:T187"/>
    <mergeCell ref="V187:W187"/>
    <mergeCell ref="AE167:AF167"/>
    <mergeCell ref="A172:B178"/>
    <mergeCell ref="D172:F172"/>
    <mergeCell ref="G172:I172"/>
    <mergeCell ref="J172:L172"/>
    <mergeCell ref="M172:O172"/>
    <mergeCell ref="P172:R172"/>
    <mergeCell ref="S172:U172"/>
    <mergeCell ref="V172:X172"/>
    <mergeCell ref="Y172:AA172"/>
    <mergeCell ref="AB172:AD172"/>
    <mergeCell ref="AE172:AG172"/>
    <mergeCell ref="D173:F173"/>
    <mergeCell ref="G173:I173"/>
    <mergeCell ref="J173:L173"/>
    <mergeCell ref="M173:O173"/>
    <mergeCell ref="P173:R173"/>
    <mergeCell ref="S173:U173"/>
    <mergeCell ref="V173:X173"/>
    <mergeCell ref="Y173:AA173"/>
    <mergeCell ref="AB173:AD173"/>
    <mergeCell ref="AE173:AG173"/>
    <mergeCell ref="D174:F174"/>
    <mergeCell ref="G174:I174"/>
    <mergeCell ref="D167:E167"/>
    <mergeCell ref="G167:H167"/>
    <mergeCell ref="J167:K167"/>
    <mergeCell ref="M167:N167"/>
    <mergeCell ref="P167:Q167"/>
    <mergeCell ref="S167:T167"/>
    <mergeCell ref="V167:W167"/>
    <mergeCell ref="Y167:Z167"/>
    <mergeCell ref="AB167:AC167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D166:F166"/>
    <mergeCell ref="G166:I166"/>
    <mergeCell ref="J166:L166"/>
    <mergeCell ref="M166:O166"/>
    <mergeCell ref="P166:R166"/>
    <mergeCell ref="S166:U166"/>
    <mergeCell ref="V166:X166"/>
    <mergeCell ref="Y166:AA166"/>
    <mergeCell ref="AB166:AD166"/>
    <mergeCell ref="AE166:AG166"/>
    <mergeCell ref="AE159:AF159"/>
    <mergeCell ref="A163:B169"/>
    <mergeCell ref="D163:F163"/>
    <mergeCell ref="G163:I163"/>
    <mergeCell ref="J163:L163"/>
    <mergeCell ref="M163:O163"/>
    <mergeCell ref="P163:R163"/>
    <mergeCell ref="S163:U163"/>
    <mergeCell ref="V163:X163"/>
    <mergeCell ref="Y163:AA163"/>
    <mergeCell ref="AB163:AD163"/>
    <mergeCell ref="AE163:AG163"/>
    <mergeCell ref="D164:F164"/>
    <mergeCell ref="G164:I164"/>
    <mergeCell ref="J164:L164"/>
    <mergeCell ref="M164:O164"/>
    <mergeCell ref="P164:R164"/>
    <mergeCell ref="S164:U164"/>
    <mergeCell ref="V164:X164"/>
    <mergeCell ref="Y164:AA164"/>
    <mergeCell ref="AB164:AD164"/>
    <mergeCell ref="AE164:AG164"/>
    <mergeCell ref="D165:F165"/>
    <mergeCell ref="G165:I165"/>
    <mergeCell ref="D159:E159"/>
    <mergeCell ref="G159:H159"/>
    <mergeCell ref="J159:K159"/>
    <mergeCell ref="M159:N159"/>
    <mergeCell ref="P159:Q159"/>
    <mergeCell ref="S159:T159"/>
    <mergeCell ref="V159:W159"/>
    <mergeCell ref="Y159:Z159"/>
    <mergeCell ref="AB159:AC159"/>
    <mergeCell ref="S157:U157"/>
    <mergeCell ref="V157:X157"/>
    <mergeCell ref="Y157:AA157"/>
    <mergeCell ref="AB157:AD157"/>
    <mergeCell ref="AE157:AG157"/>
    <mergeCell ref="D158:E158"/>
    <mergeCell ref="G158:H158"/>
    <mergeCell ref="J158:K158"/>
    <mergeCell ref="M158:N158"/>
    <mergeCell ref="P158:Q158"/>
    <mergeCell ref="S158:T158"/>
    <mergeCell ref="V158:W158"/>
    <mergeCell ref="Y158:Z158"/>
    <mergeCell ref="AB158:AC158"/>
    <mergeCell ref="AE158:AF158"/>
    <mergeCell ref="AE151:AF151"/>
    <mergeCell ref="A154:B160"/>
    <mergeCell ref="D154:F154"/>
    <mergeCell ref="G154:I154"/>
    <mergeCell ref="J154:L154"/>
    <mergeCell ref="M154:O154"/>
    <mergeCell ref="P154:R154"/>
    <mergeCell ref="S154:U154"/>
    <mergeCell ref="V154:X154"/>
    <mergeCell ref="Y154:AA154"/>
    <mergeCell ref="AB154:AD154"/>
    <mergeCell ref="AE154:AG154"/>
    <mergeCell ref="D155:F155"/>
    <mergeCell ref="G155:I155"/>
    <mergeCell ref="J155:L155"/>
    <mergeCell ref="M155:O155"/>
    <mergeCell ref="P155:R155"/>
    <mergeCell ref="S155:U155"/>
    <mergeCell ref="V155:X155"/>
    <mergeCell ref="Y155:AA155"/>
    <mergeCell ref="AB155:AD155"/>
    <mergeCell ref="AE155:AG155"/>
    <mergeCell ref="D156:F156"/>
    <mergeCell ref="G156:I156"/>
    <mergeCell ref="D151:E151"/>
    <mergeCell ref="G151:H151"/>
    <mergeCell ref="J151:K151"/>
    <mergeCell ref="M151:N151"/>
    <mergeCell ref="P151:Q151"/>
    <mergeCell ref="S151:T151"/>
    <mergeCell ref="V151:W151"/>
    <mergeCell ref="Y151:Z151"/>
    <mergeCell ref="AB151:AC151"/>
    <mergeCell ref="AE149:AF149"/>
    <mergeCell ref="D150:E150"/>
    <mergeCell ref="G150:H150"/>
    <mergeCell ref="J150:K150"/>
    <mergeCell ref="M150:N150"/>
    <mergeCell ref="P150:Q150"/>
    <mergeCell ref="S150:T150"/>
    <mergeCell ref="V150:W150"/>
    <mergeCell ref="Y150:Z150"/>
    <mergeCell ref="AB150:AC150"/>
    <mergeCell ref="AE150:AF150"/>
    <mergeCell ref="D149:E149"/>
    <mergeCell ref="G149:H149"/>
    <mergeCell ref="J149:K149"/>
    <mergeCell ref="M149:N149"/>
    <mergeCell ref="P149:Q149"/>
    <mergeCell ref="S149:T149"/>
    <mergeCell ref="V149:W149"/>
    <mergeCell ref="Y149:Z149"/>
    <mergeCell ref="AB149:AC149"/>
    <mergeCell ref="Y147:AA147"/>
    <mergeCell ref="AB147:AD147"/>
    <mergeCell ref="AE147:AG147"/>
    <mergeCell ref="D148:F148"/>
    <mergeCell ref="G148:I148"/>
    <mergeCell ref="J148:L148"/>
    <mergeCell ref="M148:O148"/>
    <mergeCell ref="P148:R148"/>
    <mergeCell ref="S148:U148"/>
    <mergeCell ref="V148:X148"/>
    <mergeCell ref="Y148:AA148"/>
    <mergeCell ref="AB148:AD148"/>
    <mergeCell ref="AE148:AG148"/>
    <mergeCell ref="A145:B151"/>
    <mergeCell ref="D145:F145"/>
    <mergeCell ref="G145:I145"/>
    <mergeCell ref="J145:L145"/>
    <mergeCell ref="M145:O145"/>
    <mergeCell ref="P145:R145"/>
    <mergeCell ref="S145:U145"/>
    <mergeCell ref="V145:X145"/>
    <mergeCell ref="Y145:AA145"/>
    <mergeCell ref="D146:F146"/>
    <mergeCell ref="G146:I146"/>
    <mergeCell ref="J146:L146"/>
    <mergeCell ref="M146:O146"/>
    <mergeCell ref="P146:R146"/>
    <mergeCell ref="S146:U146"/>
    <mergeCell ref="V146:X146"/>
    <mergeCell ref="Y146:AA146"/>
    <mergeCell ref="D147:F147"/>
    <mergeCell ref="G147:I147"/>
    <mergeCell ref="J147:L147"/>
    <mergeCell ref="M147:O147"/>
    <mergeCell ref="P147:R147"/>
    <mergeCell ref="S147:U147"/>
    <mergeCell ref="V147:X147"/>
    <mergeCell ref="AE141:AF141"/>
    <mergeCell ref="D142:E142"/>
    <mergeCell ref="G142:H142"/>
    <mergeCell ref="J142:K142"/>
    <mergeCell ref="M142:N142"/>
    <mergeCell ref="P142:Q142"/>
    <mergeCell ref="S142:T142"/>
    <mergeCell ref="V142:W142"/>
    <mergeCell ref="Y142:Z142"/>
    <mergeCell ref="AB142:AC142"/>
    <mergeCell ref="AE142:AF142"/>
    <mergeCell ref="D141:E141"/>
    <mergeCell ref="G141:H141"/>
    <mergeCell ref="J141:K141"/>
    <mergeCell ref="M141:N141"/>
    <mergeCell ref="P141:Q141"/>
    <mergeCell ref="S141:T141"/>
    <mergeCell ref="V141:W141"/>
    <mergeCell ref="Y141:Z141"/>
    <mergeCell ref="AB141:AC141"/>
    <mergeCell ref="S139:U139"/>
    <mergeCell ref="V139:X139"/>
    <mergeCell ref="Y139:AA139"/>
    <mergeCell ref="AB139:AD139"/>
    <mergeCell ref="AE139:AG139"/>
    <mergeCell ref="D140:E140"/>
    <mergeCell ref="G140:H140"/>
    <mergeCell ref="J140:K140"/>
    <mergeCell ref="M140:N140"/>
    <mergeCell ref="P140:Q140"/>
    <mergeCell ref="S140:T140"/>
    <mergeCell ref="V140:W140"/>
    <mergeCell ref="Y140:Z140"/>
    <mergeCell ref="AB140:AC140"/>
    <mergeCell ref="AE140:AF140"/>
    <mergeCell ref="AE133:AF133"/>
    <mergeCell ref="A136:B142"/>
    <mergeCell ref="D136:F136"/>
    <mergeCell ref="G136:I136"/>
    <mergeCell ref="J136:L136"/>
    <mergeCell ref="M136:O136"/>
    <mergeCell ref="P136:R136"/>
    <mergeCell ref="S136:U136"/>
    <mergeCell ref="V136:X136"/>
    <mergeCell ref="Y136:AA136"/>
    <mergeCell ref="AB136:AD136"/>
    <mergeCell ref="AE136:AG136"/>
    <mergeCell ref="D137:F137"/>
    <mergeCell ref="G137:I137"/>
    <mergeCell ref="J137:L137"/>
    <mergeCell ref="M137:O137"/>
    <mergeCell ref="P137:R137"/>
    <mergeCell ref="S137:U137"/>
    <mergeCell ref="V137:X137"/>
    <mergeCell ref="Y137:AA137"/>
    <mergeCell ref="AB137:AD137"/>
    <mergeCell ref="AE137:AG137"/>
    <mergeCell ref="D138:F138"/>
    <mergeCell ref="G138:I138"/>
    <mergeCell ref="D133:E133"/>
    <mergeCell ref="G133:H133"/>
    <mergeCell ref="J133:K133"/>
    <mergeCell ref="M133:N133"/>
    <mergeCell ref="P133:Q133"/>
    <mergeCell ref="S133:T133"/>
    <mergeCell ref="V133:W133"/>
    <mergeCell ref="Y133:Z133"/>
    <mergeCell ref="AB133:AC133"/>
    <mergeCell ref="AE131:AF131"/>
    <mergeCell ref="D132:E132"/>
    <mergeCell ref="G132:H132"/>
    <mergeCell ref="J132:K132"/>
    <mergeCell ref="M132:N132"/>
    <mergeCell ref="P132:Q132"/>
    <mergeCell ref="S132:T132"/>
    <mergeCell ref="V132:W132"/>
    <mergeCell ref="Y132:Z132"/>
    <mergeCell ref="AB132:AC132"/>
    <mergeCell ref="AE132:AF132"/>
    <mergeCell ref="D131:E131"/>
    <mergeCell ref="G131:H131"/>
    <mergeCell ref="J131:K131"/>
    <mergeCell ref="M131:N131"/>
    <mergeCell ref="P131:Q131"/>
    <mergeCell ref="S131:T131"/>
    <mergeCell ref="V131:W131"/>
    <mergeCell ref="Y131:Z131"/>
    <mergeCell ref="AB131:AC131"/>
    <mergeCell ref="A127:B133"/>
    <mergeCell ref="D128:F128"/>
    <mergeCell ref="G128:I128"/>
    <mergeCell ref="J128:L128"/>
    <mergeCell ref="M128:O128"/>
    <mergeCell ref="P128:R128"/>
    <mergeCell ref="S128:U128"/>
    <mergeCell ref="V128:X128"/>
    <mergeCell ref="Y128:AA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D130:F130"/>
    <mergeCell ref="G130:I130"/>
    <mergeCell ref="J130:L130"/>
    <mergeCell ref="M130:O130"/>
    <mergeCell ref="P130:R130"/>
    <mergeCell ref="S130:U130"/>
    <mergeCell ref="V130:X130"/>
    <mergeCell ref="AB121:AD121"/>
    <mergeCell ref="AE121:AG121"/>
    <mergeCell ref="D123:E123"/>
    <mergeCell ref="G123:H123"/>
    <mergeCell ref="J123:K123"/>
    <mergeCell ref="M123:N123"/>
    <mergeCell ref="P123:Q123"/>
    <mergeCell ref="S123:T123"/>
    <mergeCell ref="V123:W123"/>
    <mergeCell ref="Y123:Z123"/>
    <mergeCell ref="AB123:AC123"/>
    <mergeCell ref="AE123:AF123"/>
    <mergeCell ref="AE115:AF115"/>
    <mergeCell ref="A118:B124"/>
    <mergeCell ref="D118:F118"/>
    <mergeCell ref="G118:I118"/>
    <mergeCell ref="J118:L118"/>
    <mergeCell ref="M118:O118"/>
    <mergeCell ref="P118:R118"/>
    <mergeCell ref="S118:U118"/>
    <mergeCell ref="V118:X118"/>
    <mergeCell ref="Y118:AA118"/>
    <mergeCell ref="AB118:AD118"/>
    <mergeCell ref="AE118:AG11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D121:F121"/>
    <mergeCell ref="G121:I121"/>
    <mergeCell ref="D115:E115"/>
    <mergeCell ref="G115:H115"/>
    <mergeCell ref="J115:K115"/>
    <mergeCell ref="M115:N115"/>
    <mergeCell ref="P115:Q115"/>
    <mergeCell ref="S115:T115"/>
    <mergeCell ref="V115:W115"/>
    <mergeCell ref="Y115:Z115"/>
    <mergeCell ref="AB115:AC115"/>
    <mergeCell ref="AB102:AD102"/>
    <mergeCell ref="AE102:AG102"/>
    <mergeCell ref="A109:B115"/>
    <mergeCell ref="D109:F109"/>
    <mergeCell ref="G109:I109"/>
    <mergeCell ref="J109:L109"/>
    <mergeCell ref="M109:O109"/>
    <mergeCell ref="P109:R109"/>
    <mergeCell ref="S109:U109"/>
    <mergeCell ref="V109:X109"/>
    <mergeCell ref="Y109:AA109"/>
    <mergeCell ref="AB109:AD109"/>
    <mergeCell ref="AE109:AG109"/>
    <mergeCell ref="D110:F110"/>
    <mergeCell ref="G110:I110"/>
    <mergeCell ref="J110:L110"/>
    <mergeCell ref="M110:O110"/>
    <mergeCell ref="P110:R110"/>
    <mergeCell ref="S110:U110"/>
    <mergeCell ref="V110:X110"/>
    <mergeCell ref="Y110:AA110"/>
    <mergeCell ref="AB110:AD110"/>
    <mergeCell ref="AE110:AG110"/>
    <mergeCell ref="D112:F112"/>
    <mergeCell ref="AB100:AD100"/>
    <mergeCell ref="AE100:AG100"/>
    <mergeCell ref="D101:F101"/>
    <mergeCell ref="G101:I101"/>
    <mergeCell ref="J101:L101"/>
    <mergeCell ref="M101:O101"/>
    <mergeCell ref="P101:R101"/>
    <mergeCell ref="S101:U101"/>
    <mergeCell ref="V101:X101"/>
    <mergeCell ref="Y101:AA101"/>
    <mergeCell ref="AB101:AD101"/>
    <mergeCell ref="AE101:AG101"/>
    <mergeCell ref="A100:B106"/>
    <mergeCell ref="D100:F100"/>
    <mergeCell ref="G100:I100"/>
    <mergeCell ref="J100:L100"/>
    <mergeCell ref="M100:O100"/>
    <mergeCell ref="P100:R100"/>
    <mergeCell ref="S100:U100"/>
    <mergeCell ref="V100:X100"/>
    <mergeCell ref="Y100:AA10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S94:U94"/>
    <mergeCell ref="V94:X94"/>
    <mergeCell ref="Y94:AA94"/>
    <mergeCell ref="AB94:AD94"/>
    <mergeCell ref="AE94:AG94"/>
    <mergeCell ref="D95:E95"/>
    <mergeCell ref="G95:H95"/>
    <mergeCell ref="J95:K95"/>
    <mergeCell ref="M95:N95"/>
    <mergeCell ref="P95:Q95"/>
    <mergeCell ref="S95:T95"/>
    <mergeCell ref="V95:W95"/>
    <mergeCell ref="Y95:Z95"/>
    <mergeCell ref="AB95:AC95"/>
    <mergeCell ref="AE95:AF95"/>
    <mergeCell ref="AE87:AF87"/>
    <mergeCell ref="A91:B97"/>
    <mergeCell ref="D91:F91"/>
    <mergeCell ref="G91:I91"/>
    <mergeCell ref="J91:L91"/>
    <mergeCell ref="M91:O91"/>
    <mergeCell ref="P91:R91"/>
    <mergeCell ref="S91:U91"/>
    <mergeCell ref="V91:X91"/>
    <mergeCell ref="Y91:AA91"/>
    <mergeCell ref="AB91:AD91"/>
    <mergeCell ref="AE91:AG91"/>
    <mergeCell ref="D92:F92"/>
    <mergeCell ref="G92:I92"/>
    <mergeCell ref="J92:L92"/>
    <mergeCell ref="M92:O92"/>
    <mergeCell ref="P92:R92"/>
    <mergeCell ref="S92:U92"/>
    <mergeCell ref="V92:X92"/>
    <mergeCell ref="Y92:AA92"/>
    <mergeCell ref="AB92:AD92"/>
    <mergeCell ref="AE92:AG92"/>
    <mergeCell ref="D93:F93"/>
    <mergeCell ref="G93:I93"/>
    <mergeCell ref="D87:E87"/>
    <mergeCell ref="G87:H87"/>
    <mergeCell ref="J87:K87"/>
    <mergeCell ref="M87:N87"/>
    <mergeCell ref="P87:Q87"/>
    <mergeCell ref="S87:T87"/>
    <mergeCell ref="V87:W87"/>
    <mergeCell ref="Y87:Z87"/>
    <mergeCell ref="AB87:AC87"/>
    <mergeCell ref="Y85:AA85"/>
    <mergeCell ref="AB85:AD85"/>
    <mergeCell ref="AE85:AG85"/>
    <mergeCell ref="D86:E86"/>
    <mergeCell ref="G86:H86"/>
    <mergeCell ref="J86:K86"/>
    <mergeCell ref="M86:N86"/>
    <mergeCell ref="P86:Q86"/>
    <mergeCell ref="S86:T86"/>
    <mergeCell ref="V86:W86"/>
    <mergeCell ref="Y86:Z86"/>
    <mergeCell ref="AB86:AC86"/>
    <mergeCell ref="AE86:AF86"/>
    <mergeCell ref="AB83:AD83"/>
    <mergeCell ref="AE83:AG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82:B88"/>
    <mergeCell ref="D82:F82"/>
    <mergeCell ref="G82:I82"/>
    <mergeCell ref="J82:L82"/>
    <mergeCell ref="M82:O82"/>
    <mergeCell ref="P82:R82"/>
    <mergeCell ref="S82:U82"/>
    <mergeCell ref="V82:X82"/>
    <mergeCell ref="Y82:AA82"/>
    <mergeCell ref="D83:F83"/>
    <mergeCell ref="G83:I83"/>
    <mergeCell ref="J83:L83"/>
    <mergeCell ref="M83:O83"/>
    <mergeCell ref="P83:R83"/>
    <mergeCell ref="S83:U83"/>
    <mergeCell ref="V83:X83"/>
    <mergeCell ref="Y83:AA83"/>
    <mergeCell ref="D85:F85"/>
    <mergeCell ref="G85:I85"/>
    <mergeCell ref="J85:L85"/>
    <mergeCell ref="M85:O85"/>
    <mergeCell ref="P85:R85"/>
    <mergeCell ref="S85:U85"/>
    <mergeCell ref="V85:X85"/>
    <mergeCell ref="AE78:AF78"/>
    <mergeCell ref="D79:E79"/>
    <mergeCell ref="G79:H79"/>
    <mergeCell ref="J79:K79"/>
    <mergeCell ref="M79:N79"/>
    <mergeCell ref="P79:Q79"/>
    <mergeCell ref="S79:T79"/>
    <mergeCell ref="V79:W79"/>
    <mergeCell ref="Y79:Z79"/>
    <mergeCell ref="AB79:AC79"/>
    <mergeCell ref="AE79:AF79"/>
    <mergeCell ref="D78:E78"/>
    <mergeCell ref="G78:H78"/>
    <mergeCell ref="J78:K78"/>
    <mergeCell ref="M78:N78"/>
    <mergeCell ref="P78:Q78"/>
    <mergeCell ref="S78:T78"/>
    <mergeCell ref="V78:W78"/>
    <mergeCell ref="Y78:Z78"/>
    <mergeCell ref="AB78:AC78"/>
    <mergeCell ref="AB76:AD76"/>
    <mergeCell ref="AE76:AG76"/>
    <mergeCell ref="D77:E77"/>
    <mergeCell ref="G77:H77"/>
    <mergeCell ref="J77:K77"/>
    <mergeCell ref="M77:N77"/>
    <mergeCell ref="P77:Q77"/>
    <mergeCell ref="S77:T77"/>
    <mergeCell ref="V77:W77"/>
    <mergeCell ref="Y77:Z77"/>
    <mergeCell ref="AB77:AC77"/>
    <mergeCell ref="AE77:AF77"/>
    <mergeCell ref="A73:B79"/>
    <mergeCell ref="D73:F73"/>
    <mergeCell ref="G73:I73"/>
    <mergeCell ref="J73:L73"/>
    <mergeCell ref="M73:O73"/>
    <mergeCell ref="P73:R73"/>
    <mergeCell ref="S73:U73"/>
    <mergeCell ref="V73:X73"/>
    <mergeCell ref="Y73:AA73"/>
    <mergeCell ref="D74:F74"/>
    <mergeCell ref="G74:I74"/>
    <mergeCell ref="J74:L74"/>
    <mergeCell ref="M74:O74"/>
    <mergeCell ref="P74:R74"/>
    <mergeCell ref="S74:U74"/>
    <mergeCell ref="V74:X74"/>
    <mergeCell ref="Y74:AA74"/>
    <mergeCell ref="D75:F75"/>
    <mergeCell ref="G75:I75"/>
    <mergeCell ref="J75:L75"/>
    <mergeCell ref="M75:O75"/>
    <mergeCell ref="P75:R75"/>
    <mergeCell ref="S75:U75"/>
    <mergeCell ref="V75:X75"/>
    <mergeCell ref="AE69:AF69"/>
    <mergeCell ref="D70:E70"/>
    <mergeCell ref="G70:H70"/>
    <mergeCell ref="J70:K70"/>
    <mergeCell ref="M70:N70"/>
    <mergeCell ref="P70:Q70"/>
    <mergeCell ref="S70:T70"/>
    <mergeCell ref="V70:W70"/>
    <mergeCell ref="Y70:Z70"/>
    <mergeCell ref="AB70:AC70"/>
    <mergeCell ref="AE70:AF70"/>
    <mergeCell ref="D69:E69"/>
    <mergeCell ref="G69:H69"/>
    <mergeCell ref="J69:K69"/>
    <mergeCell ref="M69:N69"/>
    <mergeCell ref="P69:Q69"/>
    <mergeCell ref="S69:T69"/>
    <mergeCell ref="V69:W69"/>
    <mergeCell ref="Y69:Z69"/>
    <mergeCell ref="AB69:AC69"/>
    <mergeCell ref="Y67:AA67"/>
    <mergeCell ref="AB67:AD67"/>
    <mergeCell ref="AE67:AG67"/>
    <mergeCell ref="D68:E68"/>
    <mergeCell ref="G68:H68"/>
    <mergeCell ref="J68:K68"/>
    <mergeCell ref="M68:N68"/>
    <mergeCell ref="P68:Q68"/>
    <mergeCell ref="S68:T68"/>
    <mergeCell ref="V68:W68"/>
    <mergeCell ref="Y68:Z68"/>
    <mergeCell ref="AB68:AC68"/>
    <mergeCell ref="AE68:AF68"/>
    <mergeCell ref="AB64:AD64"/>
    <mergeCell ref="AE64:AG64"/>
    <mergeCell ref="D65:F65"/>
    <mergeCell ref="G65:I65"/>
    <mergeCell ref="J65:L65"/>
    <mergeCell ref="M65:O65"/>
    <mergeCell ref="P65:R65"/>
    <mergeCell ref="S65:U65"/>
    <mergeCell ref="V65:X65"/>
    <mergeCell ref="Y65:AA65"/>
    <mergeCell ref="AB65:AD65"/>
    <mergeCell ref="AE65:AG65"/>
    <mergeCell ref="A64:B70"/>
    <mergeCell ref="D64:F64"/>
    <mergeCell ref="G64:I64"/>
    <mergeCell ref="J64:L64"/>
    <mergeCell ref="M64:O64"/>
    <mergeCell ref="P64:R64"/>
    <mergeCell ref="S64:U64"/>
    <mergeCell ref="V64:X64"/>
    <mergeCell ref="Y64:AA64"/>
    <mergeCell ref="D66:F66"/>
    <mergeCell ref="G66:I66"/>
    <mergeCell ref="J66:L66"/>
    <mergeCell ref="M66:O66"/>
    <mergeCell ref="P66:R66"/>
    <mergeCell ref="S66:U66"/>
    <mergeCell ref="V66:X66"/>
    <mergeCell ref="Y66:AA66"/>
    <mergeCell ref="D67:F67"/>
    <mergeCell ref="G67:I67"/>
    <mergeCell ref="J67:L67"/>
    <mergeCell ref="M67:O67"/>
    <mergeCell ref="P67:R67"/>
    <mergeCell ref="S67:U67"/>
    <mergeCell ref="V67:X67"/>
    <mergeCell ref="AE60:AF60"/>
    <mergeCell ref="D61:E61"/>
    <mergeCell ref="G61:H61"/>
    <mergeCell ref="J61:K61"/>
    <mergeCell ref="M61:N61"/>
    <mergeCell ref="P61:Q61"/>
    <mergeCell ref="S61:T61"/>
    <mergeCell ref="V61:W61"/>
    <mergeCell ref="Y61:Z61"/>
    <mergeCell ref="AB61:AC61"/>
    <mergeCell ref="AE61:AF61"/>
    <mergeCell ref="D60:E60"/>
    <mergeCell ref="G60:H60"/>
    <mergeCell ref="J60:K60"/>
    <mergeCell ref="M60:N60"/>
    <mergeCell ref="P60:Q60"/>
    <mergeCell ref="S60:T60"/>
    <mergeCell ref="V60:W60"/>
    <mergeCell ref="Y60:Z60"/>
    <mergeCell ref="AB60:AC60"/>
    <mergeCell ref="A55:B61"/>
    <mergeCell ref="D56:F56"/>
    <mergeCell ref="G56:I56"/>
    <mergeCell ref="J56:L56"/>
    <mergeCell ref="M56:O56"/>
    <mergeCell ref="P56:R56"/>
    <mergeCell ref="S56:U56"/>
    <mergeCell ref="V56:X56"/>
    <mergeCell ref="Y56:AA56"/>
    <mergeCell ref="D57:F57"/>
    <mergeCell ref="G57:I57"/>
    <mergeCell ref="J57:L57"/>
    <mergeCell ref="M57:O57"/>
    <mergeCell ref="P57:R57"/>
    <mergeCell ref="S57:U57"/>
    <mergeCell ref="V57:X57"/>
    <mergeCell ref="Y57:AA57"/>
    <mergeCell ref="D58:F58"/>
    <mergeCell ref="G58:I58"/>
    <mergeCell ref="J58:L58"/>
    <mergeCell ref="M58:O58"/>
    <mergeCell ref="P58:R58"/>
    <mergeCell ref="S58:U58"/>
    <mergeCell ref="V58:X58"/>
    <mergeCell ref="AE51:AF51"/>
    <mergeCell ref="D52:E52"/>
    <mergeCell ref="G52:H52"/>
    <mergeCell ref="J52:K52"/>
    <mergeCell ref="M52:N52"/>
    <mergeCell ref="P52:Q52"/>
    <mergeCell ref="S52:T52"/>
    <mergeCell ref="V52:W52"/>
    <mergeCell ref="Y52:Z52"/>
    <mergeCell ref="AB52:AC52"/>
    <mergeCell ref="AE52:AF52"/>
    <mergeCell ref="D51:E51"/>
    <mergeCell ref="G51:H51"/>
    <mergeCell ref="J51:K51"/>
    <mergeCell ref="M51:N51"/>
    <mergeCell ref="P51:Q51"/>
    <mergeCell ref="S51:T51"/>
    <mergeCell ref="V51:W51"/>
    <mergeCell ref="Y51:Z51"/>
    <mergeCell ref="AB51:AC51"/>
    <mergeCell ref="A46:B52"/>
    <mergeCell ref="D46:F46"/>
    <mergeCell ref="G46:I46"/>
    <mergeCell ref="J46:L46"/>
    <mergeCell ref="M46:O46"/>
    <mergeCell ref="P46:R46"/>
    <mergeCell ref="S46:U46"/>
    <mergeCell ref="V46:X46"/>
    <mergeCell ref="Y46:AA46"/>
    <mergeCell ref="D48:F48"/>
    <mergeCell ref="G48:I48"/>
    <mergeCell ref="J48:L48"/>
    <mergeCell ref="M48:O48"/>
    <mergeCell ref="P48:R48"/>
    <mergeCell ref="S48:U48"/>
    <mergeCell ref="V48:X48"/>
    <mergeCell ref="Y48:AA48"/>
    <mergeCell ref="D49:F49"/>
    <mergeCell ref="G49:I49"/>
    <mergeCell ref="J49:L49"/>
    <mergeCell ref="M49:O49"/>
    <mergeCell ref="P49:R49"/>
    <mergeCell ref="S49:U49"/>
    <mergeCell ref="V49:X49"/>
    <mergeCell ref="AB37:AD37"/>
    <mergeCell ref="AE37:AG37"/>
    <mergeCell ref="D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AE38:AG38"/>
    <mergeCell ref="A37:B43"/>
    <mergeCell ref="D37:F37"/>
    <mergeCell ref="G37:I37"/>
    <mergeCell ref="J37:L37"/>
    <mergeCell ref="M37:O37"/>
    <mergeCell ref="P37:R37"/>
    <mergeCell ref="S37:U37"/>
    <mergeCell ref="V37:X37"/>
    <mergeCell ref="Y37:AA37"/>
    <mergeCell ref="D40:F40"/>
    <mergeCell ref="G40:I40"/>
    <mergeCell ref="J40:L40"/>
    <mergeCell ref="M40:O40"/>
    <mergeCell ref="P40:R40"/>
    <mergeCell ref="S40:U40"/>
    <mergeCell ref="V40:X40"/>
    <mergeCell ref="Y40:AA40"/>
    <mergeCell ref="D43:E43"/>
    <mergeCell ref="G43:H43"/>
    <mergeCell ref="J43:K43"/>
    <mergeCell ref="M43:N43"/>
    <mergeCell ref="P43:Q43"/>
    <mergeCell ref="S43:T43"/>
    <mergeCell ref="V43:W43"/>
    <mergeCell ref="AE20:AG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G29:I29"/>
    <mergeCell ref="D29:F29"/>
    <mergeCell ref="AE30:AG30"/>
    <mergeCell ref="AB30:AD30"/>
    <mergeCell ref="Y30:AA30"/>
    <mergeCell ref="V30:X30"/>
    <mergeCell ref="S30:U30"/>
    <mergeCell ref="P30:R30"/>
    <mergeCell ref="M30:O30"/>
    <mergeCell ref="J30:L30"/>
    <mergeCell ref="G30:I30"/>
    <mergeCell ref="D30:F30"/>
    <mergeCell ref="AE28:AG28"/>
    <mergeCell ref="AE29:AG29"/>
    <mergeCell ref="AB29:AD29"/>
    <mergeCell ref="Y29:AA29"/>
    <mergeCell ref="V29:X29"/>
    <mergeCell ref="S29:U29"/>
    <mergeCell ref="P29:R29"/>
    <mergeCell ref="M29:O29"/>
    <mergeCell ref="J29:L29"/>
    <mergeCell ref="AE303:AF303"/>
    <mergeCell ref="D304:E304"/>
    <mergeCell ref="G304:H304"/>
    <mergeCell ref="J304:K304"/>
    <mergeCell ref="M304:N304"/>
    <mergeCell ref="P304:Q304"/>
    <mergeCell ref="S304:T304"/>
    <mergeCell ref="V304:W304"/>
    <mergeCell ref="Y304:Z304"/>
    <mergeCell ref="AB304:AC304"/>
    <mergeCell ref="AE304:AF304"/>
    <mergeCell ref="D303:E303"/>
    <mergeCell ref="G303:H303"/>
    <mergeCell ref="J303:K303"/>
    <mergeCell ref="M303:N303"/>
    <mergeCell ref="P303:Q303"/>
    <mergeCell ref="S303:T303"/>
    <mergeCell ref="V303:W303"/>
    <mergeCell ref="Y303:Z303"/>
    <mergeCell ref="AB303:AC303"/>
    <mergeCell ref="D302:E302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E294:AF294"/>
    <mergeCell ref="D295:E295"/>
    <mergeCell ref="G295:H295"/>
    <mergeCell ref="J295:K295"/>
    <mergeCell ref="M295:N295"/>
    <mergeCell ref="P295:Q295"/>
    <mergeCell ref="S295:T295"/>
    <mergeCell ref="V295:W295"/>
    <mergeCell ref="Y295:Z295"/>
    <mergeCell ref="AB295:AC295"/>
    <mergeCell ref="AE295:AF295"/>
    <mergeCell ref="D294:E294"/>
    <mergeCell ref="G294:H294"/>
    <mergeCell ref="J294:K294"/>
    <mergeCell ref="M294:N294"/>
    <mergeCell ref="P294:Q294"/>
    <mergeCell ref="S294:T294"/>
    <mergeCell ref="V294:W294"/>
    <mergeCell ref="Y294:Z294"/>
    <mergeCell ref="AB294:AC294"/>
    <mergeCell ref="D286:E286"/>
    <mergeCell ref="G286:H286"/>
    <mergeCell ref="J286:K286"/>
    <mergeCell ref="M286:N286"/>
    <mergeCell ref="P286:Q286"/>
    <mergeCell ref="S286:T286"/>
    <mergeCell ref="V286:W286"/>
    <mergeCell ref="Y286:Z286"/>
    <mergeCell ref="AB286:AC286"/>
    <mergeCell ref="AE286:AF286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D283:F283"/>
    <mergeCell ref="G283:I283"/>
    <mergeCell ref="J283:L283"/>
    <mergeCell ref="M283:O283"/>
    <mergeCell ref="P283:R283"/>
    <mergeCell ref="AB271:AD271"/>
    <mergeCell ref="AE271:AG271"/>
    <mergeCell ref="AB272:AD272"/>
    <mergeCell ref="AE272:AG272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D265:F265"/>
    <mergeCell ref="G265:I265"/>
    <mergeCell ref="J265:L265"/>
    <mergeCell ref="M265:O265"/>
    <mergeCell ref="P265:R265"/>
    <mergeCell ref="AB255:AD255"/>
    <mergeCell ref="AE255:AG255"/>
    <mergeCell ref="Y256:AA256"/>
    <mergeCell ref="AB256:AD256"/>
    <mergeCell ref="AE256:AG256"/>
    <mergeCell ref="AE248:AF248"/>
    <mergeCell ref="D250:E250"/>
    <mergeCell ref="G250:H250"/>
    <mergeCell ref="J250:K250"/>
    <mergeCell ref="M250:N250"/>
    <mergeCell ref="P250:Q250"/>
    <mergeCell ref="S250:T250"/>
    <mergeCell ref="V250:W250"/>
    <mergeCell ref="Y250:Z250"/>
    <mergeCell ref="AB250:AC250"/>
    <mergeCell ref="AE250:AF250"/>
    <mergeCell ref="AB254:AD254"/>
    <mergeCell ref="AE254:AG254"/>
    <mergeCell ref="D248:E248"/>
    <mergeCell ref="G248:H248"/>
    <mergeCell ref="J248:K248"/>
    <mergeCell ref="M248:N248"/>
    <mergeCell ref="P248:Q248"/>
    <mergeCell ref="S248:T248"/>
    <mergeCell ref="V248:W248"/>
    <mergeCell ref="Y248:Z248"/>
    <mergeCell ref="AB248:AC248"/>
    <mergeCell ref="J247:L247"/>
    <mergeCell ref="M247:O247"/>
    <mergeCell ref="P247:R247"/>
    <mergeCell ref="S247:U247"/>
    <mergeCell ref="V247:X247"/>
    <mergeCell ref="Y247:AA247"/>
    <mergeCell ref="J239:K239"/>
    <mergeCell ref="M239:N239"/>
    <mergeCell ref="P239:Q239"/>
    <mergeCell ref="S239:T239"/>
    <mergeCell ref="V239:W239"/>
    <mergeCell ref="Y239:Z239"/>
    <mergeCell ref="AB239:AC239"/>
    <mergeCell ref="AE239:AF239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E240:AF240"/>
    <mergeCell ref="AB235:AD235"/>
    <mergeCell ref="AE235:AG235"/>
    <mergeCell ref="AB236:AD236"/>
    <mergeCell ref="AE236:AG236"/>
    <mergeCell ref="Y238:AA238"/>
    <mergeCell ref="AB238:AD238"/>
    <mergeCell ref="AE238:AG238"/>
    <mergeCell ref="J232:K232"/>
    <mergeCell ref="M232:N232"/>
    <mergeCell ref="P232:Q232"/>
    <mergeCell ref="S232:T232"/>
    <mergeCell ref="V232:W232"/>
    <mergeCell ref="Y232:Z232"/>
    <mergeCell ref="AB232:AC232"/>
    <mergeCell ref="AE232:AF232"/>
    <mergeCell ref="AB226:AD226"/>
    <mergeCell ref="AE226:AG226"/>
    <mergeCell ref="AB218:AD218"/>
    <mergeCell ref="AE218:AG218"/>
    <mergeCell ref="Y219:AA219"/>
    <mergeCell ref="AB219:AD219"/>
    <mergeCell ref="AE219:AG219"/>
    <mergeCell ref="D220:F220"/>
    <mergeCell ref="G220:I220"/>
    <mergeCell ref="J220:L220"/>
    <mergeCell ref="M220:O220"/>
    <mergeCell ref="P220:R220"/>
    <mergeCell ref="S220:U220"/>
    <mergeCell ref="V220:X220"/>
    <mergeCell ref="Y220:AA220"/>
    <mergeCell ref="AB217:AD217"/>
    <mergeCell ref="AE217:AG217"/>
    <mergeCell ref="AB210:AD210"/>
    <mergeCell ref="AE210:AG210"/>
    <mergeCell ref="Y202:AA202"/>
    <mergeCell ref="AB202:AD202"/>
    <mergeCell ref="AE202:AG202"/>
    <mergeCell ref="D203:E203"/>
    <mergeCell ref="G203:H203"/>
    <mergeCell ref="J203:K203"/>
    <mergeCell ref="M203:N203"/>
    <mergeCell ref="P203:Q203"/>
    <mergeCell ref="S203:T203"/>
    <mergeCell ref="V203:W203"/>
    <mergeCell ref="Y203:Z203"/>
    <mergeCell ref="AB203:AC203"/>
    <mergeCell ref="AE203:AF203"/>
    <mergeCell ref="AB200:AD200"/>
    <mergeCell ref="AE200:AG200"/>
    <mergeCell ref="AB201:AD201"/>
    <mergeCell ref="AE201:AG201"/>
    <mergeCell ref="D194:E194"/>
    <mergeCell ref="G194:H194"/>
    <mergeCell ref="J194:K194"/>
    <mergeCell ref="M194:N194"/>
    <mergeCell ref="P194:Q194"/>
    <mergeCell ref="S194:T194"/>
    <mergeCell ref="V194:W194"/>
    <mergeCell ref="Y194:Z194"/>
    <mergeCell ref="AB194:AC194"/>
    <mergeCell ref="AE194:AF194"/>
    <mergeCell ref="Y193:AA193"/>
    <mergeCell ref="AB193:AD193"/>
    <mergeCell ref="AE193:AG193"/>
    <mergeCell ref="AE186:AF186"/>
    <mergeCell ref="Y187:Z187"/>
    <mergeCell ref="AB187:AC187"/>
    <mergeCell ref="AE187:AF187"/>
    <mergeCell ref="AB190:AD190"/>
    <mergeCell ref="AE190:AG190"/>
    <mergeCell ref="AB192:AD192"/>
    <mergeCell ref="AE192:AG192"/>
    <mergeCell ref="D186:E186"/>
    <mergeCell ref="G186:H186"/>
    <mergeCell ref="J186:K186"/>
    <mergeCell ref="M186:N186"/>
    <mergeCell ref="P186:Q186"/>
    <mergeCell ref="S186:T186"/>
    <mergeCell ref="V186:W186"/>
    <mergeCell ref="Y186:Z186"/>
    <mergeCell ref="AB186:AC186"/>
    <mergeCell ref="D185:E185"/>
    <mergeCell ref="G185:H185"/>
    <mergeCell ref="J185:K185"/>
    <mergeCell ref="M185:N185"/>
    <mergeCell ref="P185:Q185"/>
    <mergeCell ref="S185:T185"/>
    <mergeCell ref="V185:W185"/>
    <mergeCell ref="Y185:Z185"/>
    <mergeCell ref="AB185:AC185"/>
    <mergeCell ref="AE185:AF185"/>
    <mergeCell ref="AB184:AD184"/>
    <mergeCell ref="AE184:AG184"/>
    <mergeCell ref="J177:K177"/>
    <mergeCell ref="M177:N177"/>
    <mergeCell ref="P177:Q177"/>
    <mergeCell ref="S177:T177"/>
    <mergeCell ref="V177:W177"/>
    <mergeCell ref="Y177:Z177"/>
    <mergeCell ref="AB177:AC177"/>
    <mergeCell ref="AE177:AF177"/>
    <mergeCell ref="D178:E178"/>
    <mergeCell ref="G178:H178"/>
    <mergeCell ref="J178:K178"/>
    <mergeCell ref="M178:N178"/>
    <mergeCell ref="P178:Q178"/>
    <mergeCell ref="S178:T178"/>
    <mergeCell ref="V178:W178"/>
    <mergeCell ref="Y178:Z178"/>
    <mergeCell ref="AB178:AC178"/>
    <mergeCell ref="AE178:AF178"/>
    <mergeCell ref="D176:E176"/>
    <mergeCell ref="G176:H176"/>
    <mergeCell ref="J176:K176"/>
    <mergeCell ref="M176:N176"/>
    <mergeCell ref="P176:Q176"/>
    <mergeCell ref="S176:T176"/>
    <mergeCell ref="V176:W176"/>
    <mergeCell ref="Y176:Z176"/>
    <mergeCell ref="AB176:AC176"/>
    <mergeCell ref="AE176:AF176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J168:K168"/>
    <mergeCell ref="M168:N168"/>
    <mergeCell ref="P168:Q168"/>
    <mergeCell ref="S168:T168"/>
    <mergeCell ref="V168:W168"/>
    <mergeCell ref="Y168:Z168"/>
    <mergeCell ref="AB168:AC168"/>
    <mergeCell ref="AE168:AF168"/>
    <mergeCell ref="D169:E169"/>
    <mergeCell ref="G169:H169"/>
    <mergeCell ref="J169:K169"/>
    <mergeCell ref="M169:N169"/>
    <mergeCell ref="P169:Q169"/>
    <mergeCell ref="S169:T169"/>
    <mergeCell ref="V169:W169"/>
    <mergeCell ref="Y169:Z169"/>
    <mergeCell ref="AB169:AC169"/>
    <mergeCell ref="AE169:AF169"/>
    <mergeCell ref="D160:E160"/>
    <mergeCell ref="G160:H160"/>
    <mergeCell ref="J160:K160"/>
    <mergeCell ref="M160:N160"/>
    <mergeCell ref="P160:Q160"/>
    <mergeCell ref="S160:T160"/>
    <mergeCell ref="V160:W160"/>
    <mergeCell ref="Y160:Z160"/>
    <mergeCell ref="AB160:AC160"/>
    <mergeCell ref="AE160:AF160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D157:F157"/>
    <mergeCell ref="G157:I157"/>
    <mergeCell ref="J157:L157"/>
    <mergeCell ref="M157:O157"/>
    <mergeCell ref="P157:R157"/>
    <mergeCell ref="AB145:AD145"/>
    <mergeCell ref="AE145:AG145"/>
    <mergeCell ref="AB146:AD146"/>
    <mergeCell ref="AE146:AG146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D139:F139"/>
    <mergeCell ref="G139:I139"/>
    <mergeCell ref="J139:L139"/>
    <mergeCell ref="M139:O139"/>
    <mergeCell ref="P139:R139"/>
    <mergeCell ref="AB129:AD129"/>
    <mergeCell ref="AE129:AG129"/>
    <mergeCell ref="Y130:AA130"/>
    <mergeCell ref="AB130:AD130"/>
    <mergeCell ref="AE130:AG130"/>
    <mergeCell ref="AE122:AF122"/>
    <mergeCell ref="D124:E124"/>
    <mergeCell ref="G124:H124"/>
    <mergeCell ref="J124:K124"/>
    <mergeCell ref="M124:N124"/>
    <mergeCell ref="P124:Q124"/>
    <mergeCell ref="S124:T124"/>
    <mergeCell ref="V124:W124"/>
    <mergeCell ref="Y124:Z124"/>
    <mergeCell ref="AB124:AC124"/>
    <mergeCell ref="AE124:AF124"/>
    <mergeCell ref="AB128:AD128"/>
    <mergeCell ref="AE128:AG128"/>
    <mergeCell ref="D122:E122"/>
    <mergeCell ref="G122:H122"/>
    <mergeCell ref="J122:K122"/>
    <mergeCell ref="M122:N122"/>
    <mergeCell ref="P122:Q122"/>
    <mergeCell ref="S122:T122"/>
    <mergeCell ref="V122:W122"/>
    <mergeCell ref="Y122:Z122"/>
    <mergeCell ref="AB122:AC122"/>
    <mergeCell ref="J121:L121"/>
    <mergeCell ref="M121:O121"/>
    <mergeCell ref="P121:R121"/>
    <mergeCell ref="S121:U121"/>
    <mergeCell ref="V121:X121"/>
    <mergeCell ref="Y121:AA121"/>
    <mergeCell ref="J113:K113"/>
    <mergeCell ref="M113:N113"/>
    <mergeCell ref="P113:Q113"/>
    <mergeCell ref="S113:T113"/>
    <mergeCell ref="V113:W113"/>
    <mergeCell ref="Y113:Z113"/>
    <mergeCell ref="AB113:AC113"/>
    <mergeCell ref="AE113:AF113"/>
    <mergeCell ref="D114:E114"/>
    <mergeCell ref="G114:H114"/>
    <mergeCell ref="J114:K114"/>
    <mergeCell ref="M114:N114"/>
    <mergeCell ref="P114:Q114"/>
    <mergeCell ref="S114:T114"/>
    <mergeCell ref="V114:W114"/>
    <mergeCell ref="Y114:Z114"/>
    <mergeCell ref="AB114:AC114"/>
    <mergeCell ref="AE114:AF114"/>
    <mergeCell ref="AE106:AF106"/>
    <mergeCell ref="G112:I112"/>
    <mergeCell ref="J112:L112"/>
    <mergeCell ref="M112:O112"/>
    <mergeCell ref="P112:R112"/>
    <mergeCell ref="S112:U112"/>
    <mergeCell ref="V112:X112"/>
    <mergeCell ref="Y112:AA112"/>
    <mergeCell ref="AB112:AD112"/>
    <mergeCell ref="AE112:AG112"/>
    <mergeCell ref="D106:E106"/>
    <mergeCell ref="G106:H106"/>
    <mergeCell ref="J106:K106"/>
    <mergeCell ref="M106:N106"/>
    <mergeCell ref="P106:Q106"/>
    <mergeCell ref="S106:T106"/>
    <mergeCell ref="V106:W106"/>
    <mergeCell ref="Y106:Z106"/>
    <mergeCell ref="AB106:AC106"/>
    <mergeCell ref="J104:K104"/>
    <mergeCell ref="M104:N104"/>
    <mergeCell ref="P104:Q104"/>
    <mergeCell ref="S104:T104"/>
    <mergeCell ref="V104:W104"/>
    <mergeCell ref="Y104:Z104"/>
    <mergeCell ref="AB104:AC104"/>
    <mergeCell ref="AE104:AF104"/>
    <mergeCell ref="D105:E105"/>
    <mergeCell ref="G105:H105"/>
    <mergeCell ref="J105:K105"/>
    <mergeCell ref="M105:N105"/>
    <mergeCell ref="P105:Q105"/>
    <mergeCell ref="S105:T105"/>
    <mergeCell ref="V105:W105"/>
    <mergeCell ref="Y105:Z105"/>
    <mergeCell ref="AB105:AC105"/>
    <mergeCell ref="AE105:AF105"/>
    <mergeCell ref="J97:K97"/>
    <mergeCell ref="M97:N97"/>
    <mergeCell ref="P97:Q97"/>
    <mergeCell ref="S97:T97"/>
    <mergeCell ref="V97:W97"/>
    <mergeCell ref="Y97:Z97"/>
    <mergeCell ref="AB97:AC97"/>
    <mergeCell ref="AE97:AF97"/>
    <mergeCell ref="D96:E96"/>
    <mergeCell ref="G96:H96"/>
    <mergeCell ref="J96:K96"/>
    <mergeCell ref="M96:N96"/>
    <mergeCell ref="P96:Q96"/>
    <mergeCell ref="S96:T96"/>
    <mergeCell ref="V96:W96"/>
    <mergeCell ref="Y96:Z96"/>
    <mergeCell ref="AB96:AC96"/>
    <mergeCell ref="AE96:AF96"/>
    <mergeCell ref="J93:L93"/>
    <mergeCell ref="M93:O93"/>
    <mergeCell ref="P93:R93"/>
    <mergeCell ref="S93:U93"/>
    <mergeCell ref="V93:X93"/>
    <mergeCell ref="Y93:AA93"/>
    <mergeCell ref="AB93:AD93"/>
    <mergeCell ref="AE93:AG93"/>
    <mergeCell ref="D94:F94"/>
    <mergeCell ref="G94:I94"/>
    <mergeCell ref="J94:L94"/>
    <mergeCell ref="M94:O94"/>
    <mergeCell ref="P94:R94"/>
    <mergeCell ref="J88:K88"/>
    <mergeCell ref="M88:N88"/>
    <mergeCell ref="P88:Q88"/>
    <mergeCell ref="S88:T88"/>
    <mergeCell ref="V88:W88"/>
    <mergeCell ref="Y88:Z88"/>
    <mergeCell ref="AB88:AC88"/>
    <mergeCell ref="AE88:AF88"/>
    <mergeCell ref="AB82:AD82"/>
    <mergeCell ref="AE82:AG82"/>
    <mergeCell ref="AB74:AD74"/>
    <mergeCell ref="AE74:AG74"/>
    <mergeCell ref="Y75:AA75"/>
    <mergeCell ref="AB75:AD75"/>
    <mergeCell ref="AE75:AG75"/>
    <mergeCell ref="D76:F76"/>
    <mergeCell ref="G76:I76"/>
    <mergeCell ref="J76:L76"/>
    <mergeCell ref="M76:O76"/>
    <mergeCell ref="P76:R76"/>
    <mergeCell ref="S76:U76"/>
    <mergeCell ref="V76:X76"/>
    <mergeCell ref="Y76:AA76"/>
    <mergeCell ref="AB73:AD73"/>
    <mergeCell ref="AE73:AG73"/>
    <mergeCell ref="AB66:AD66"/>
    <mergeCell ref="AE66:AG66"/>
    <mergeCell ref="Y58:AA58"/>
    <mergeCell ref="AB58:AD58"/>
    <mergeCell ref="AE58:AG58"/>
    <mergeCell ref="D59:E59"/>
    <mergeCell ref="G59:H59"/>
    <mergeCell ref="J59:K59"/>
    <mergeCell ref="M59:N59"/>
    <mergeCell ref="P59:Q59"/>
    <mergeCell ref="S59:T59"/>
    <mergeCell ref="V59:W59"/>
    <mergeCell ref="Y59:Z59"/>
    <mergeCell ref="AB59:AC59"/>
    <mergeCell ref="AE59:AF59"/>
    <mergeCell ref="AB56:AD56"/>
    <mergeCell ref="AE56:AG56"/>
    <mergeCell ref="AB57:AD57"/>
    <mergeCell ref="AE57:AG57"/>
    <mergeCell ref="D50:E50"/>
    <mergeCell ref="G50:H50"/>
    <mergeCell ref="J50:K50"/>
    <mergeCell ref="M50:N50"/>
    <mergeCell ref="P50:Q50"/>
    <mergeCell ref="S50:T50"/>
    <mergeCell ref="V50:W50"/>
    <mergeCell ref="Y50:Z50"/>
    <mergeCell ref="AB50:AC50"/>
    <mergeCell ref="AE50:AF50"/>
    <mergeCell ref="Y49:AA49"/>
    <mergeCell ref="AB49:AD49"/>
    <mergeCell ref="AE49:AG49"/>
    <mergeCell ref="AE42:AF42"/>
    <mergeCell ref="Y43:Z43"/>
    <mergeCell ref="AB43:AC43"/>
    <mergeCell ref="AE43:AF43"/>
    <mergeCell ref="AB46:AD46"/>
    <mergeCell ref="AE46:AG46"/>
    <mergeCell ref="AB48:AD48"/>
    <mergeCell ref="AE48:AG48"/>
    <mergeCell ref="D42:E42"/>
    <mergeCell ref="G42:H42"/>
    <mergeCell ref="J42:K42"/>
    <mergeCell ref="M42:N42"/>
    <mergeCell ref="P42:Q42"/>
    <mergeCell ref="S42:T42"/>
    <mergeCell ref="V42:W42"/>
    <mergeCell ref="Y42:Z42"/>
    <mergeCell ref="AB42:AC42"/>
    <mergeCell ref="D41:E41"/>
    <mergeCell ref="G41:H41"/>
    <mergeCell ref="J41:K41"/>
    <mergeCell ref="M41:N41"/>
    <mergeCell ref="P41:Q41"/>
    <mergeCell ref="S41:T41"/>
    <mergeCell ref="V41:W41"/>
    <mergeCell ref="Y41:Z41"/>
    <mergeCell ref="AB41:AC41"/>
    <mergeCell ref="AE41:AF41"/>
    <mergeCell ref="AB40:AD40"/>
    <mergeCell ref="AE40:AG40"/>
    <mergeCell ref="P33:Q33"/>
    <mergeCell ref="S33:T33"/>
    <mergeCell ref="V33:W33"/>
    <mergeCell ref="Y33:Z33"/>
    <mergeCell ref="AB33:AC33"/>
    <mergeCell ref="AE33:AF33"/>
    <mergeCell ref="D34:E34"/>
    <mergeCell ref="G34:H34"/>
    <mergeCell ref="J34:K34"/>
    <mergeCell ref="M34:N34"/>
    <mergeCell ref="P34:Q34"/>
    <mergeCell ref="S34:T34"/>
    <mergeCell ref="V34:W34"/>
    <mergeCell ref="Y34:Z34"/>
    <mergeCell ref="AB34:AC34"/>
    <mergeCell ref="AE34:AF34"/>
    <mergeCell ref="V24:W24"/>
    <mergeCell ref="V25:W25"/>
    <mergeCell ref="Y23:Z23"/>
    <mergeCell ref="Y24:Z24"/>
    <mergeCell ref="Y25:Z25"/>
    <mergeCell ref="AB23:AC23"/>
    <mergeCell ref="AB24:AC24"/>
    <mergeCell ref="AB25:AC25"/>
    <mergeCell ref="AE23:AF23"/>
    <mergeCell ref="AE24:AF24"/>
    <mergeCell ref="AE25:AF25"/>
    <mergeCell ref="M301:O301"/>
    <mergeCell ref="P301:R301"/>
    <mergeCell ref="S301:U301"/>
    <mergeCell ref="V301:X301"/>
    <mergeCell ref="Y301:AA301"/>
    <mergeCell ref="D23:E23"/>
    <mergeCell ref="D24:E24"/>
    <mergeCell ref="D25:E25"/>
    <mergeCell ref="G23:H23"/>
    <mergeCell ref="G24:H24"/>
    <mergeCell ref="G25:H25"/>
    <mergeCell ref="J23:K23"/>
    <mergeCell ref="J24:K24"/>
    <mergeCell ref="J25:K25"/>
    <mergeCell ref="M23:N23"/>
    <mergeCell ref="M24:N24"/>
    <mergeCell ref="M25:N25"/>
    <mergeCell ref="P23:Q23"/>
    <mergeCell ref="P24:Q24"/>
    <mergeCell ref="P25:Q25"/>
    <mergeCell ref="S23:T23"/>
    <mergeCell ref="S24:T24"/>
    <mergeCell ref="S25:T25"/>
    <mergeCell ref="D301:F301"/>
    <mergeCell ref="G301:I301"/>
    <mergeCell ref="J301:L301"/>
    <mergeCell ref="AB301:AD301"/>
    <mergeCell ref="AE301:AG301"/>
    <mergeCell ref="AB253:AD253"/>
    <mergeCell ref="AE253:AG253"/>
    <mergeCell ref="M253:O253"/>
    <mergeCell ref="P253:R253"/>
    <mergeCell ref="S253:U253"/>
    <mergeCell ref="V253:X253"/>
    <mergeCell ref="Y253:AA253"/>
    <mergeCell ref="D253:F253"/>
    <mergeCell ref="G253:I253"/>
    <mergeCell ref="J253:L253"/>
    <mergeCell ref="AB245:AD245"/>
    <mergeCell ref="AE245:AG245"/>
    <mergeCell ref="M245:O245"/>
    <mergeCell ref="P245:R245"/>
    <mergeCell ref="S245:U245"/>
    <mergeCell ref="V245:X245"/>
    <mergeCell ref="Y245:AA245"/>
    <mergeCell ref="D245:F245"/>
    <mergeCell ref="G245:I245"/>
    <mergeCell ref="J245:L245"/>
    <mergeCell ref="AB237:AD237"/>
    <mergeCell ref="AE237:AG237"/>
    <mergeCell ref="M237:O237"/>
    <mergeCell ref="P237:R237"/>
    <mergeCell ref="S237:U237"/>
    <mergeCell ref="V237:X237"/>
    <mergeCell ref="Y237:AA237"/>
    <mergeCell ref="D239:E239"/>
    <mergeCell ref="G239:H239"/>
    <mergeCell ref="D237:F237"/>
    <mergeCell ref="G237:I237"/>
    <mergeCell ref="J237:L237"/>
    <mergeCell ref="D232:E232"/>
    <mergeCell ref="G232:H232"/>
    <mergeCell ref="AB199:AD199"/>
    <mergeCell ref="AE199:AG199"/>
    <mergeCell ref="M199:O199"/>
    <mergeCell ref="P199:R199"/>
    <mergeCell ref="S199:U199"/>
    <mergeCell ref="V199:X199"/>
    <mergeCell ref="Y199:AA199"/>
    <mergeCell ref="D199:F199"/>
    <mergeCell ref="G199:I199"/>
    <mergeCell ref="J199:L199"/>
    <mergeCell ref="AB191:AD191"/>
    <mergeCell ref="AE191:AG191"/>
    <mergeCell ref="M191:O191"/>
    <mergeCell ref="P191:R191"/>
    <mergeCell ref="S191:U191"/>
    <mergeCell ref="V191:X191"/>
    <mergeCell ref="Y191:AA191"/>
    <mergeCell ref="D191:F191"/>
    <mergeCell ref="G191:I191"/>
    <mergeCell ref="J191:L191"/>
    <mergeCell ref="AB183:AD183"/>
    <mergeCell ref="AE183:AG183"/>
    <mergeCell ref="M183:O183"/>
    <mergeCell ref="P183:R183"/>
    <mergeCell ref="S183:U183"/>
    <mergeCell ref="V183:X183"/>
    <mergeCell ref="Y183:AA183"/>
    <mergeCell ref="D183:F183"/>
    <mergeCell ref="G183:I183"/>
    <mergeCell ref="J183:L183"/>
    <mergeCell ref="AB175:AD175"/>
    <mergeCell ref="AE175:AG175"/>
    <mergeCell ref="M175:O175"/>
    <mergeCell ref="P175:R175"/>
    <mergeCell ref="S175:U175"/>
    <mergeCell ref="V175:X175"/>
    <mergeCell ref="Y175:AA175"/>
    <mergeCell ref="D177:E177"/>
    <mergeCell ref="G177:H177"/>
    <mergeCell ref="D175:F175"/>
    <mergeCell ref="G175:I175"/>
    <mergeCell ref="J175:L175"/>
    <mergeCell ref="D168:E168"/>
    <mergeCell ref="G168:H168"/>
    <mergeCell ref="AB127:AD127"/>
    <mergeCell ref="AE127:AG127"/>
    <mergeCell ref="M127:O127"/>
    <mergeCell ref="P127:R127"/>
    <mergeCell ref="S127:U127"/>
    <mergeCell ref="V127:X127"/>
    <mergeCell ref="Y127:AA127"/>
    <mergeCell ref="D127:F127"/>
    <mergeCell ref="G127:I127"/>
    <mergeCell ref="J127:L127"/>
    <mergeCell ref="AB119:AD119"/>
    <mergeCell ref="AE119:AG119"/>
    <mergeCell ref="M119:O119"/>
    <mergeCell ref="P119:R119"/>
    <mergeCell ref="S119:U119"/>
    <mergeCell ref="V119:X119"/>
    <mergeCell ref="Y119:AA119"/>
    <mergeCell ref="D119:F119"/>
    <mergeCell ref="G119:I119"/>
    <mergeCell ref="J119:L119"/>
    <mergeCell ref="AB111:AD111"/>
    <mergeCell ref="AE111:AG111"/>
    <mergeCell ref="M111:O111"/>
    <mergeCell ref="P111:R111"/>
    <mergeCell ref="S111:U111"/>
    <mergeCell ref="V111:X111"/>
    <mergeCell ref="Y111:AA111"/>
    <mergeCell ref="D113:E113"/>
    <mergeCell ref="G113:H113"/>
    <mergeCell ref="D111:F111"/>
    <mergeCell ref="G111:I111"/>
    <mergeCell ref="J111:L111"/>
    <mergeCell ref="AB103:AD103"/>
    <mergeCell ref="AE103:AG103"/>
    <mergeCell ref="M103:O103"/>
    <mergeCell ref="P103:R103"/>
    <mergeCell ref="S103:U103"/>
    <mergeCell ref="V103:X103"/>
    <mergeCell ref="Y103:AA103"/>
    <mergeCell ref="D104:E104"/>
    <mergeCell ref="G104:H104"/>
    <mergeCell ref="D103:F103"/>
    <mergeCell ref="G103:I103"/>
    <mergeCell ref="J103:L103"/>
    <mergeCell ref="D97:E97"/>
    <mergeCell ref="G97:H97"/>
    <mergeCell ref="D88:E88"/>
    <mergeCell ref="G88:H88"/>
    <mergeCell ref="AB55:AD55"/>
    <mergeCell ref="AE55:AG55"/>
    <mergeCell ref="M55:O55"/>
    <mergeCell ref="P55:R55"/>
    <mergeCell ref="S55:U55"/>
    <mergeCell ref="V55:X55"/>
    <mergeCell ref="Y55:AA55"/>
    <mergeCell ref="D55:F55"/>
    <mergeCell ref="G55:I55"/>
    <mergeCell ref="J55:L55"/>
    <mergeCell ref="AB47:AD47"/>
    <mergeCell ref="AE47:AG47"/>
    <mergeCell ref="M47:O47"/>
    <mergeCell ref="P47:R47"/>
    <mergeCell ref="S47:U47"/>
    <mergeCell ref="V47:X47"/>
    <mergeCell ref="Y47:AA47"/>
    <mergeCell ref="D47:F47"/>
    <mergeCell ref="G47:I47"/>
    <mergeCell ref="J47:L47"/>
    <mergeCell ref="AB39:AD39"/>
    <mergeCell ref="AE39:AG39"/>
    <mergeCell ref="M39:O39"/>
    <mergeCell ref="P39:R39"/>
    <mergeCell ref="S39:U39"/>
    <mergeCell ref="V39:X39"/>
    <mergeCell ref="Y39:AA39"/>
    <mergeCell ref="D39:F39"/>
    <mergeCell ref="G39:I39"/>
    <mergeCell ref="J39:L39"/>
    <mergeCell ref="M22:O22"/>
    <mergeCell ref="J22:L22"/>
    <mergeCell ref="G22:I22"/>
    <mergeCell ref="D31:F31"/>
    <mergeCell ref="G31:I31"/>
    <mergeCell ref="J31:L31"/>
    <mergeCell ref="M31:O31"/>
    <mergeCell ref="D32:E32"/>
    <mergeCell ref="G32:H32"/>
    <mergeCell ref="J32:K32"/>
    <mergeCell ref="M32:N32"/>
    <mergeCell ref="D33:E33"/>
    <mergeCell ref="G33:H33"/>
    <mergeCell ref="J33:K33"/>
    <mergeCell ref="M33:N33"/>
    <mergeCell ref="A28:B34"/>
    <mergeCell ref="D28:F28"/>
    <mergeCell ref="G28:I28"/>
    <mergeCell ref="AE22:AG22"/>
    <mergeCell ref="AB22:AD22"/>
    <mergeCell ref="Y22:AA22"/>
    <mergeCell ref="V22:X22"/>
    <mergeCell ref="S22:U22"/>
    <mergeCell ref="D22:F22"/>
    <mergeCell ref="V23:W23"/>
    <mergeCell ref="D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19:B25"/>
    <mergeCell ref="AE1:AG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P22:R22"/>
    <mergeCell ref="V31:X31"/>
    <mergeCell ref="Y31:AA31"/>
    <mergeCell ref="AB31:AD31"/>
    <mergeCell ref="AE31:AG31"/>
    <mergeCell ref="P31:R31"/>
    <mergeCell ref="S31:U31"/>
    <mergeCell ref="P32:Q32"/>
    <mergeCell ref="S32:T32"/>
    <mergeCell ref="V32:W32"/>
    <mergeCell ref="Y32:Z32"/>
    <mergeCell ref="AB32:AC32"/>
    <mergeCell ref="AE32:AF32"/>
    <mergeCell ref="J28:L28"/>
    <mergeCell ref="M28:O28"/>
    <mergeCell ref="P28:R28"/>
    <mergeCell ref="S28:U28"/>
    <mergeCell ref="V28:X28"/>
    <mergeCell ref="Y28:AA28"/>
    <mergeCell ref="AB28:AD28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C740-5DD8-4517-BA84-693CCEB421AA}">
  <sheetPr codeName="Sheet4"/>
  <dimension ref="A1:U67"/>
  <sheetViews>
    <sheetView workbookViewId="0">
      <selection activeCell="J61" sqref="J61"/>
    </sheetView>
  </sheetViews>
  <sheetFormatPr defaultRowHeight="15" x14ac:dyDescent="0.25"/>
  <cols>
    <col min="5" max="5" width="9.85546875" customWidth="1"/>
    <col min="8" max="18" width="9.7109375" customWidth="1"/>
  </cols>
  <sheetData>
    <row r="1" spans="2:21" ht="15.75" thickBot="1" x14ac:dyDescent="0.3"/>
    <row r="2" spans="2:21" ht="15.75" thickBot="1" x14ac:dyDescent="0.3">
      <c r="B2" s="52" t="s">
        <v>41</v>
      </c>
      <c r="C2" s="52"/>
      <c r="E2" s="52" t="s">
        <v>60</v>
      </c>
      <c r="F2" s="52"/>
      <c r="I2" s="30" t="s">
        <v>27</v>
      </c>
      <c r="J2" s="30" t="s">
        <v>28</v>
      </c>
      <c r="K2" s="30" t="s">
        <v>29</v>
      </c>
      <c r="L2" s="30" t="s">
        <v>30</v>
      </c>
      <c r="M2" s="30" t="s">
        <v>31</v>
      </c>
      <c r="N2" s="30" t="s">
        <v>32</v>
      </c>
      <c r="O2" s="30" t="s">
        <v>33</v>
      </c>
      <c r="P2" s="30" t="s">
        <v>34</v>
      </c>
      <c r="Q2" s="30" t="s">
        <v>35</v>
      </c>
      <c r="R2" s="1" t="s">
        <v>36</v>
      </c>
      <c r="U2" s="21" t="s">
        <v>69</v>
      </c>
    </row>
    <row r="3" spans="2:21" ht="15.75" thickBot="1" x14ac:dyDescent="0.3">
      <c r="B3" s="55" t="s">
        <v>54</v>
      </c>
      <c r="C3" s="55"/>
      <c r="E3" s="18" t="s">
        <v>55</v>
      </c>
      <c r="F3" s="17"/>
      <c r="I3" s="52" t="s">
        <v>66</v>
      </c>
      <c r="J3" s="52"/>
      <c r="K3" s="52"/>
      <c r="L3" s="52"/>
      <c r="M3" s="52"/>
      <c r="N3" s="52"/>
      <c r="O3" s="52"/>
      <c r="P3" s="52"/>
      <c r="Q3" s="52"/>
      <c r="R3" s="52"/>
      <c r="T3" s="9" t="s">
        <v>72</v>
      </c>
      <c r="U3" s="8">
        <v>5</v>
      </c>
    </row>
    <row r="4" spans="2:21" ht="15.75" thickBot="1" x14ac:dyDescent="0.3">
      <c r="B4" s="53" t="s">
        <v>42</v>
      </c>
      <c r="C4" s="53"/>
      <c r="E4" s="19" t="s">
        <v>57</v>
      </c>
      <c r="F4" s="11"/>
      <c r="H4" s="9" t="s">
        <v>72</v>
      </c>
      <c r="I4" s="22">
        <v>42</v>
      </c>
      <c r="J4" s="17">
        <v>61</v>
      </c>
      <c r="K4" s="17">
        <v>87</v>
      </c>
      <c r="L4" s="17">
        <v>126</v>
      </c>
      <c r="M4" s="17">
        <v>181</v>
      </c>
      <c r="N4" s="17">
        <v>235</v>
      </c>
      <c r="O4" s="17">
        <v>306</v>
      </c>
      <c r="P4" s="17">
        <v>397</v>
      </c>
      <c r="Q4" s="17">
        <v>516</v>
      </c>
      <c r="R4" s="27">
        <v>671</v>
      </c>
      <c r="T4" s="9" t="s">
        <v>74</v>
      </c>
      <c r="U4" s="8">
        <v>3</v>
      </c>
    </row>
    <row r="5" spans="2:21" ht="15.75" thickBot="1" x14ac:dyDescent="0.3">
      <c r="B5" s="53" t="s">
        <v>43</v>
      </c>
      <c r="C5" s="53"/>
      <c r="E5" s="19" t="s">
        <v>61</v>
      </c>
      <c r="F5" s="12"/>
      <c r="H5" s="9" t="s">
        <v>74</v>
      </c>
      <c r="I5" s="23">
        <v>66</v>
      </c>
      <c r="J5" s="10">
        <v>96</v>
      </c>
      <c r="K5" s="10">
        <v>137</v>
      </c>
      <c r="L5" s="10">
        <v>198</v>
      </c>
      <c r="M5" s="10">
        <v>284</v>
      </c>
      <c r="N5" s="10">
        <v>369</v>
      </c>
      <c r="O5" s="10">
        <v>480</v>
      </c>
      <c r="P5" s="10">
        <v>624</v>
      </c>
      <c r="Q5" s="10">
        <v>811</v>
      </c>
      <c r="R5" s="28">
        <v>1054</v>
      </c>
      <c r="T5" s="9" t="s">
        <v>71</v>
      </c>
      <c r="U5" s="8">
        <v>2</v>
      </c>
    </row>
    <row r="6" spans="2:21" ht="15.75" thickBot="1" x14ac:dyDescent="0.3">
      <c r="B6" s="53" t="s">
        <v>44</v>
      </c>
      <c r="C6" s="53"/>
      <c r="E6" s="19" t="s">
        <v>62</v>
      </c>
      <c r="F6" s="13"/>
      <c r="H6" s="9" t="s">
        <v>71</v>
      </c>
      <c r="I6" s="24">
        <v>82</v>
      </c>
      <c r="J6" s="20">
        <v>119</v>
      </c>
      <c r="K6" s="20">
        <v>170</v>
      </c>
      <c r="L6" s="20">
        <v>246</v>
      </c>
      <c r="M6" s="20">
        <v>353</v>
      </c>
      <c r="N6" s="20">
        <v>459</v>
      </c>
      <c r="O6" s="20">
        <v>597</v>
      </c>
      <c r="P6" s="20">
        <v>775</v>
      </c>
      <c r="Q6" s="20">
        <v>1007</v>
      </c>
      <c r="R6" s="29">
        <v>1309</v>
      </c>
      <c r="T6" s="6"/>
    </row>
    <row r="7" spans="2:21" ht="15.75" thickBot="1" x14ac:dyDescent="0.3">
      <c r="B7" s="53" t="s">
        <v>45</v>
      </c>
      <c r="C7" s="53"/>
      <c r="E7" s="19" t="s">
        <v>63</v>
      </c>
      <c r="F7" s="14"/>
      <c r="H7" s="7"/>
      <c r="I7" s="54" t="s">
        <v>67</v>
      </c>
      <c r="J7" s="52"/>
      <c r="K7" s="52"/>
      <c r="L7" s="52"/>
      <c r="M7" s="52"/>
      <c r="N7" s="52"/>
      <c r="O7" s="52"/>
      <c r="P7" s="52"/>
      <c r="Q7" s="52"/>
      <c r="R7" s="52"/>
    </row>
    <row r="8" spans="2:21" ht="15.75" thickBot="1" x14ac:dyDescent="0.3">
      <c r="B8" s="53" t="s">
        <v>46</v>
      </c>
      <c r="C8" s="53"/>
      <c r="E8" s="19" t="s">
        <v>64</v>
      </c>
      <c r="F8" s="15"/>
      <c r="H8" s="9" t="s">
        <v>72</v>
      </c>
      <c r="I8" s="22">
        <v>68</v>
      </c>
      <c r="J8" s="17">
        <v>98</v>
      </c>
      <c r="K8" s="17">
        <v>141</v>
      </c>
      <c r="L8" s="17">
        <v>204</v>
      </c>
      <c r="M8" s="17">
        <v>293</v>
      </c>
      <c r="N8" s="17">
        <v>381</v>
      </c>
      <c r="O8" s="17">
        <v>495</v>
      </c>
      <c r="P8" s="17">
        <v>643</v>
      </c>
      <c r="Q8" s="17">
        <v>836</v>
      </c>
      <c r="R8" s="27">
        <v>1086</v>
      </c>
    </row>
    <row r="9" spans="2:21" ht="15.75" thickBot="1" x14ac:dyDescent="0.3">
      <c r="B9" s="53" t="s">
        <v>48</v>
      </c>
      <c r="C9" s="53"/>
      <c r="E9" s="19" t="s">
        <v>65</v>
      </c>
      <c r="F9" s="16"/>
      <c r="H9" s="9" t="s">
        <v>74</v>
      </c>
      <c r="I9" s="23">
        <v>158</v>
      </c>
      <c r="J9" s="10">
        <v>228</v>
      </c>
      <c r="K9" s="10">
        <v>328</v>
      </c>
      <c r="L9" s="10">
        <v>473</v>
      </c>
      <c r="M9" s="10">
        <v>680</v>
      </c>
      <c r="N9" s="10">
        <v>884</v>
      </c>
      <c r="O9" s="10">
        <v>1149</v>
      </c>
      <c r="P9" s="10">
        <v>1494</v>
      </c>
      <c r="Q9" s="10">
        <v>1941</v>
      </c>
      <c r="R9" s="28">
        <v>2522</v>
      </c>
    </row>
    <row r="10" spans="2:21" ht="15.75" thickBot="1" x14ac:dyDescent="0.3">
      <c r="B10" s="53" t="s">
        <v>49</v>
      </c>
      <c r="C10" s="53"/>
      <c r="H10" s="9" t="s">
        <v>71</v>
      </c>
      <c r="I10" s="24">
        <v>114</v>
      </c>
      <c r="J10" s="20">
        <v>165</v>
      </c>
      <c r="K10" s="20">
        <v>236</v>
      </c>
      <c r="L10" s="20">
        <v>341</v>
      </c>
      <c r="M10" s="20">
        <v>491</v>
      </c>
      <c r="N10" s="20">
        <v>638</v>
      </c>
      <c r="O10" s="20">
        <v>829</v>
      </c>
      <c r="P10" s="20">
        <v>1078</v>
      </c>
      <c r="Q10" s="20">
        <v>1400</v>
      </c>
      <c r="R10" s="29">
        <v>1820</v>
      </c>
    </row>
    <row r="11" spans="2:21" ht="15.75" thickBot="1" x14ac:dyDescent="0.3">
      <c r="B11" s="53" t="s">
        <v>52</v>
      </c>
      <c r="C11" s="53"/>
      <c r="H11" s="7"/>
      <c r="I11" s="54" t="s">
        <v>68</v>
      </c>
      <c r="J11" s="52"/>
      <c r="K11" s="52"/>
      <c r="L11" s="52"/>
      <c r="M11" s="52"/>
      <c r="N11" s="52"/>
      <c r="O11" s="52"/>
      <c r="P11" s="52"/>
      <c r="Q11" s="52"/>
      <c r="R11" s="52"/>
    </row>
    <row r="12" spans="2:21" ht="15.75" thickBot="1" x14ac:dyDescent="0.3">
      <c r="B12" s="53" t="s">
        <v>51</v>
      </c>
      <c r="C12" s="53"/>
      <c r="H12" s="9" t="s">
        <v>72</v>
      </c>
      <c r="I12" s="22">
        <v>56</v>
      </c>
      <c r="J12" s="17">
        <v>80</v>
      </c>
      <c r="K12" s="17">
        <v>114</v>
      </c>
      <c r="L12" s="17">
        <v>165</v>
      </c>
      <c r="M12" s="17">
        <v>237</v>
      </c>
      <c r="N12" s="17">
        <v>308</v>
      </c>
      <c r="O12" s="17">
        <v>400</v>
      </c>
      <c r="P12" s="17">
        <v>520</v>
      </c>
      <c r="Q12" s="17">
        <v>676</v>
      </c>
      <c r="R12" s="27">
        <v>878</v>
      </c>
    </row>
    <row r="13" spans="2:21" ht="15.75" thickBot="1" x14ac:dyDescent="0.3">
      <c r="B13" s="53" t="s">
        <v>47</v>
      </c>
      <c r="C13" s="53"/>
      <c r="H13" s="9" t="s">
        <v>74</v>
      </c>
      <c r="I13" s="23">
        <v>66</v>
      </c>
      <c r="J13" s="10">
        <v>96</v>
      </c>
      <c r="K13" s="10">
        <v>137</v>
      </c>
      <c r="L13" s="10">
        <v>198</v>
      </c>
      <c r="M13" s="10">
        <v>284</v>
      </c>
      <c r="N13" s="10">
        <v>369</v>
      </c>
      <c r="O13" s="10">
        <v>480</v>
      </c>
      <c r="P13" s="10">
        <v>624</v>
      </c>
      <c r="Q13" s="10">
        <v>811</v>
      </c>
      <c r="R13" s="28">
        <v>1054</v>
      </c>
    </row>
    <row r="14" spans="2:21" ht="15.75" thickBot="1" x14ac:dyDescent="0.3">
      <c r="B14" s="53" t="s">
        <v>50</v>
      </c>
      <c r="C14" s="53"/>
      <c r="H14" s="9" t="s">
        <v>71</v>
      </c>
      <c r="I14" s="25">
        <v>72</v>
      </c>
      <c r="J14" s="26">
        <v>104</v>
      </c>
      <c r="K14" s="26">
        <v>150</v>
      </c>
      <c r="L14" s="26">
        <v>216</v>
      </c>
      <c r="M14" s="26">
        <v>310</v>
      </c>
      <c r="N14" s="26">
        <v>403</v>
      </c>
      <c r="O14" s="26">
        <v>524</v>
      </c>
      <c r="P14" s="26">
        <v>681</v>
      </c>
      <c r="Q14" s="26">
        <v>885</v>
      </c>
      <c r="R14" s="29">
        <v>1150</v>
      </c>
    </row>
    <row r="15" spans="2:21" x14ac:dyDescent="0.25">
      <c r="B15" s="53" t="s">
        <v>53</v>
      </c>
      <c r="C15" s="53"/>
    </row>
    <row r="17" spans="1:8" ht="15.75" thickBot="1" x14ac:dyDescent="0.3"/>
    <row r="18" spans="1:8" ht="15.75" thickBot="1" x14ac:dyDescent="0.3">
      <c r="A18" s="34" t="s">
        <v>236</v>
      </c>
      <c r="B18" s="34"/>
      <c r="C18" s="34"/>
      <c r="D18" s="34"/>
      <c r="E18" s="34"/>
      <c r="F18" s="34"/>
      <c r="G18" s="34"/>
      <c r="H18" s="34"/>
    </row>
    <row r="19" spans="1:8" ht="15.75" thickBot="1" x14ac:dyDescent="0.3">
      <c r="A19" s="94" t="s">
        <v>237</v>
      </c>
      <c r="B19" s="95"/>
      <c r="C19" s="94"/>
      <c r="D19" s="95"/>
      <c r="E19" s="94"/>
      <c r="F19" s="95"/>
      <c r="G19" s="94"/>
      <c r="H19" s="95"/>
    </row>
    <row r="20" spans="1:8" x14ac:dyDescent="0.25">
      <c r="A20" s="96" t="str" cm="1">
        <f t="array" ref="A20:A63">_xlfn.UNIQUE(_xlfn._xlws.FILTER(Gunlance!A1:A500,Gunlance!A1:A500&lt;&gt;"",""))</f>
        <v>IRON</v>
      </c>
      <c r="B20" s="97"/>
      <c r="C20" s="96"/>
      <c r="D20" s="97"/>
      <c r="E20" s="96"/>
      <c r="F20" s="97"/>
      <c r="G20" s="96"/>
      <c r="H20" s="97"/>
    </row>
    <row r="21" spans="1:8" x14ac:dyDescent="0.25">
      <c r="A21" s="98" t="str">
        <v>BONE</v>
      </c>
      <c r="B21" s="7"/>
      <c r="C21" s="98"/>
      <c r="D21" s="7"/>
      <c r="E21" s="98"/>
      <c r="F21" s="7"/>
      <c r="G21" s="98"/>
      <c r="H21" s="7"/>
    </row>
    <row r="22" spans="1:8" x14ac:dyDescent="0.25">
      <c r="A22" s="98" t="str">
        <v>GREAT JAGRAS</v>
      </c>
      <c r="B22" s="7"/>
      <c r="C22" s="98"/>
      <c r="D22" s="7"/>
      <c r="E22" s="98"/>
      <c r="F22" s="7"/>
      <c r="G22" s="98"/>
      <c r="H22" s="7"/>
    </row>
    <row r="23" spans="1:8" x14ac:dyDescent="0.25">
      <c r="A23" s="98" t="str">
        <v>BARROTH</v>
      </c>
      <c r="B23" s="7"/>
      <c r="C23" s="98"/>
      <c r="D23" s="7"/>
      <c r="E23" s="98"/>
      <c r="F23" s="7"/>
      <c r="G23" s="98"/>
      <c r="H23" s="7"/>
    </row>
    <row r="24" spans="1:8" x14ac:dyDescent="0.25">
      <c r="A24" s="98" t="str">
        <v>GREAT GIRROS</v>
      </c>
      <c r="B24" s="7"/>
      <c r="C24" s="98"/>
      <c r="D24" s="7"/>
      <c r="E24" s="98"/>
      <c r="F24" s="7"/>
      <c r="G24" s="98"/>
      <c r="H24" s="7"/>
    </row>
    <row r="25" spans="1:8" x14ac:dyDescent="0.25">
      <c r="A25" s="98" t="str">
        <v>TOBI-KADACHI</v>
      </c>
      <c r="B25" s="7"/>
      <c r="C25" s="98"/>
      <c r="D25" s="7"/>
      <c r="E25" s="98"/>
      <c r="F25" s="7"/>
      <c r="G25" s="98"/>
      <c r="H25" s="7"/>
    </row>
    <row r="26" spans="1:8" x14ac:dyDescent="0.25">
      <c r="A26" s="98" t="str">
        <v>JYURATODUS</v>
      </c>
      <c r="B26" s="7"/>
      <c r="C26" s="98"/>
      <c r="D26" s="7"/>
      <c r="E26" s="98"/>
      <c r="F26" s="7"/>
      <c r="G26" s="98"/>
      <c r="H26" s="7"/>
    </row>
    <row r="27" spans="1:8" x14ac:dyDescent="0.25">
      <c r="A27" s="98" t="str">
        <v>ANJANATH</v>
      </c>
      <c r="B27" s="7"/>
      <c r="C27" s="98"/>
      <c r="D27" s="7"/>
      <c r="E27" s="98"/>
      <c r="F27" s="7"/>
      <c r="G27" s="98"/>
      <c r="H27" s="7"/>
    </row>
    <row r="28" spans="1:8" x14ac:dyDescent="0.25">
      <c r="A28" s="98" t="str">
        <v>FULGUR ANJANATH</v>
      </c>
      <c r="B28" s="7"/>
      <c r="C28" s="98"/>
      <c r="D28" s="7"/>
      <c r="E28" s="98"/>
      <c r="F28" s="7"/>
      <c r="G28" s="98"/>
      <c r="H28" s="7"/>
    </row>
    <row r="29" spans="1:8" x14ac:dyDescent="0.25">
      <c r="A29" s="98" t="str">
        <v>RATHIAN</v>
      </c>
      <c r="B29" s="7"/>
      <c r="C29" s="98"/>
      <c r="D29" s="7"/>
      <c r="E29" s="98"/>
      <c r="F29" s="7"/>
      <c r="G29" s="98"/>
      <c r="H29" s="7"/>
    </row>
    <row r="30" spans="1:8" x14ac:dyDescent="0.25">
      <c r="A30" s="98" t="str">
        <v>PINK RATHIAN</v>
      </c>
      <c r="B30" s="7"/>
      <c r="C30" s="98"/>
      <c r="D30" s="7"/>
      <c r="E30" s="98"/>
      <c r="F30" s="7"/>
      <c r="G30" s="98"/>
      <c r="H30" s="7"/>
    </row>
    <row r="31" spans="1:8" x14ac:dyDescent="0.25">
      <c r="A31" s="98" t="str">
        <v>GOLD RATHIAN</v>
      </c>
      <c r="B31" s="7"/>
      <c r="C31" s="98"/>
      <c r="D31" s="7"/>
      <c r="E31" s="98"/>
      <c r="F31" s="7"/>
      <c r="G31" s="98"/>
      <c r="H31" s="7"/>
    </row>
    <row r="32" spans="1:8" x14ac:dyDescent="0.25">
      <c r="A32" s="98" t="str">
        <v>LEGIANA</v>
      </c>
      <c r="B32" s="7"/>
      <c r="C32" s="98"/>
      <c r="D32" s="7"/>
      <c r="E32" s="98"/>
      <c r="F32" s="7"/>
      <c r="G32" s="98"/>
      <c r="H32" s="7"/>
    </row>
    <row r="33" spans="1:8" x14ac:dyDescent="0.25">
      <c r="A33" s="98" t="str">
        <v>RATHALOS</v>
      </c>
      <c r="B33" s="7"/>
      <c r="C33" s="98"/>
      <c r="D33" s="7"/>
      <c r="E33" s="98"/>
      <c r="F33" s="7"/>
      <c r="G33" s="98"/>
      <c r="H33" s="7"/>
    </row>
    <row r="34" spans="1:8" x14ac:dyDescent="0.25">
      <c r="A34" s="98" t="str">
        <v>AZURE RATHALOS</v>
      </c>
      <c r="B34" s="7"/>
      <c r="C34" s="98"/>
      <c r="D34" s="7"/>
      <c r="E34" s="98"/>
      <c r="F34" s="7"/>
      <c r="G34" s="98"/>
      <c r="H34" s="7"/>
    </row>
    <row r="35" spans="1:8" x14ac:dyDescent="0.25">
      <c r="A35" s="98" t="str">
        <v>SILVER RATHALOS</v>
      </c>
      <c r="B35" s="7"/>
      <c r="C35" s="98"/>
      <c r="D35" s="7"/>
      <c r="E35" s="98"/>
      <c r="F35" s="7"/>
      <c r="G35" s="98"/>
      <c r="H35" s="7"/>
    </row>
    <row r="36" spans="1:8" x14ac:dyDescent="0.25">
      <c r="A36" s="98" t="str">
        <v>BANBARO</v>
      </c>
      <c r="B36" s="7"/>
      <c r="C36" s="98"/>
      <c r="D36" s="7"/>
      <c r="E36" s="98"/>
      <c r="F36" s="7"/>
      <c r="G36" s="98"/>
      <c r="H36" s="7"/>
    </row>
    <row r="37" spans="1:8" x14ac:dyDescent="0.25">
      <c r="A37" s="98" t="str">
        <v>BARIOTH</v>
      </c>
      <c r="B37" s="7"/>
      <c r="C37" s="98"/>
      <c r="D37" s="7"/>
      <c r="E37" s="98"/>
      <c r="F37" s="7"/>
      <c r="G37" s="98"/>
      <c r="H37" s="7"/>
    </row>
    <row r="38" spans="1:8" x14ac:dyDescent="0.25">
      <c r="A38" s="98" t="str">
        <v>ZINOGRE</v>
      </c>
      <c r="B38" s="7"/>
      <c r="C38" s="98"/>
      <c r="D38" s="7"/>
      <c r="E38" s="98"/>
      <c r="F38" s="7"/>
      <c r="G38" s="98"/>
      <c r="H38" s="7"/>
    </row>
    <row r="39" spans="1:8" x14ac:dyDescent="0.25">
      <c r="A39" s="98" t="str">
        <v>DEVILJHO</v>
      </c>
      <c r="B39" s="7"/>
      <c r="C39" s="98"/>
      <c r="D39" s="7"/>
      <c r="E39" s="98"/>
      <c r="F39" s="7"/>
      <c r="G39" s="98"/>
      <c r="H39" s="7"/>
    </row>
    <row r="40" spans="1:8" x14ac:dyDescent="0.25">
      <c r="A40" s="98" t="str">
        <v>KHEZU</v>
      </c>
      <c r="B40" s="7"/>
      <c r="C40" s="98"/>
      <c r="D40" s="7"/>
      <c r="E40" s="98"/>
      <c r="F40" s="7"/>
      <c r="G40" s="98"/>
      <c r="H40" s="7"/>
    </row>
    <row r="41" spans="1:8" x14ac:dyDescent="0.25">
      <c r="A41" s="98" t="str">
        <v>KUSHALA DAORA</v>
      </c>
      <c r="B41" s="7"/>
      <c r="C41" s="98"/>
      <c r="D41" s="7"/>
      <c r="E41" s="98"/>
      <c r="F41" s="7"/>
      <c r="G41" s="98"/>
      <c r="H41" s="7"/>
    </row>
    <row r="42" spans="1:8" x14ac:dyDescent="0.25">
      <c r="A42" s="98" t="str">
        <v>MIZUTSUNE</v>
      </c>
      <c r="B42" s="7"/>
      <c r="C42" s="98"/>
      <c r="D42" s="7"/>
      <c r="E42" s="98"/>
      <c r="F42" s="7"/>
      <c r="G42" s="98"/>
      <c r="H42" s="7"/>
    </row>
    <row r="43" spans="1:8" x14ac:dyDescent="0.25">
      <c r="A43" s="98" t="str">
        <v>AKNOSOM</v>
      </c>
      <c r="B43" s="7"/>
      <c r="C43" s="98"/>
      <c r="D43" s="7"/>
      <c r="E43" s="98"/>
      <c r="F43" s="7"/>
      <c r="G43" s="98"/>
      <c r="H43" s="7"/>
    </row>
    <row r="44" spans="1:8" x14ac:dyDescent="0.25">
      <c r="A44" s="98" t="str">
        <v>MAGNAMALO</v>
      </c>
      <c r="B44" s="7"/>
      <c r="C44" s="98"/>
      <c r="D44" s="7"/>
      <c r="E44" s="98"/>
      <c r="F44" s="7"/>
      <c r="G44" s="98"/>
      <c r="H44" s="7"/>
    </row>
    <row r="45" spans="1:8" x14ac:dyDescent="0.25">
      <c r="A45" s="98" t="str">
        <v>RAJANG</v>
      </c>
      <c r="B45" s="7"/>
      <c r="C45" s="98"/>
      <c r="D45" s="7"/>
      <c r="E45" s="98"/>
      <c r="F45" s="7"/>
      <c r="G45" s="98"/>
      <c r="H45" s="7"/>
    </row>
    <row r="46" spans="1:8" x14ac:dyDescent="0.25">
      <c r="A46" s="98" t="str">
        <v>NERGIGANTE</v>
      </c>
      <c r="B46" s="7"/>
      <c r="C46" s="98"/>
      <c r="D46" s="7"/>
      <c r="E46" s="98"/>
      <c r="F46" s="7"/>
      <c r="G46" s="98"/>
      <c r="H46" s="7"/>
    </row>
    <row r="47" spans="1:8" x14ac:dyDescent="0.25">
      <c r="A47" s="98" t="str">
        <v>LAGOMBI</v>
      </c>
      <c r="B47" s="7"/>
      <c r="C47" s="98"/>
      <c r="D47" s="7"/>
      <c r="E47" s="98"/>
      <c r="F47" s="7"/>
      <c r="G47" s="98"/>
      <c r="H47" s="7"/>
    </row>
    <row r="48" spans="1:8" x14ac:dyDescent="0.25">
      <c r="A48" s="98" t="str">
        <v>VOLVIDON</v>
      </c>
      <c r="B48" s="7"/>
      <c r="C48" s="98"/>
      <c r="D48" s="7"/>
      <c r="E48" s="98"/>
      <c r="F48" s="7"/>
      <c r="G48" s="98"/>
      <c r="H48" s="7"/>
    </row>
    <row r="49" spans="1:8" x14ac:dyDescent="0.25">
      <c r="A49" s="98" t="str">
        <v>TIGREX</v>
      </c>
      <c r="B49" s="7"/>
      <c r="C49" s="98"/>
      <c r="D49" s="7"/>
      <c r="E49" s="98"/>
      <c r="F49" s="7"/>
      <c r="G49" s="98"/>
      <c r="H49" s="7"/>
    </row>
    <row r="50" spans="1:8" x14ac:dyDescent="0.25">
      <c r="A50" s="98" t="str">
        <v>BRUTE TIGREX</v>
      </c>
      <c r="B50" s="7"/>
      <c r="C50" s="98"/>
      <c r="D50" s="7"/>
      <c r="E50" s="98"/>
      <c r="F50" s="7"/>
      <c r="G50" s="98"/>
      <c r="H50" s="7"/>
    </row>
    <row r="51" spans="1:8" x14ac:dyDescent="0.25">
      <c r="A51" s="98" t="str">
        <v>BAZELGEUSE</v>
      </c>
      <c r="B51" s="7"/>
      <c r="C51" s="98"/>
      <c r="D51" s="7"/>
      <c r="E51" s="98"/>
      <c r="F51" s="7"/>
      <c r="G51" s="98"/>
      <c r="H51" s="7"/>
    </row>
    <row r="52" spans="1:8" x14ac:dyDescent="0.25">
      <c r="A52" s="98" t="str">
        <v>GLAVENUS</v>
      </c>
      <c r="B52" s="7"/>
      <c r="C52" s="98"/>
      <c r="D52" s="7"/>
      <c r="E52" s="98"/>
      <c r="F52" s="7"/>
      <c r="G52" s="98"/>
      <c r="H52" s="7"/>
    </row>
    <row r="53" spans="1:8" x14ac:dyDescent="0.25">
      <c r="A53" s="98" t="str">
        <v>CHAMELEOS</v>
      </c>
      <c r="B53" s="7"/>
      <c r="C53" s="98"/>
      <c r="D53" s="7"/>
      <c r="E53" s="98"/>
      <c r="F53" s="7"/>
      <c r="G53" s="98"/>
      <c r="H53" s="7"/>
    </row>
    <row r="54" spans="1:8" x14ac:dyDescent="0.25">
      <c r="A54" s="98" t="str">
        <v>NARGACUGA</v>
      </c>
      <c r="B54" s="7"/>
      <c r="C54" s="98"/>
      <c r="D54" s="7"/>
      <c r="E54" s="98"/>
      <c r="F54" s="7"/>
      <c r="G54" s="98"/>
      <c r="H54" s="7"/>
    </row>
    <row r="55" spans="1:8" x14ac:dyDescent="0.25">
      <c r="A55" s="98" t="str">
        <v>NAMIELLE</v>
      </c>
      <c r="B55" s="7"/>
      <c r="C55" s="98"/>
      <c r="D55" s="7"/>
      <c r="E55" s="98"/>
      <c r="F55" s="7"/>
      <c r="G55" s="98"/>
      <c r="H55" s="7"/>
    </row>
    <row r="56" spans="1:8" x14ac:dyDescent="0.25">
      <c r="A56" s="98" t="str">
        <v>LUNAGARON</v>
      </c>
      <c r="B56" s="7"/>
      <c r="C56" s="98"/>
      <c r="D56" s="7"/>
      <c r="E56" s="98"/>
      <c r="F56" s="7"/>
      <c r="G56" s="98"/>
      <c r="H56" s="7"/>
    </row>
    <row r="57" spans="1:8" x14ac:dyDescent="0.25">
      <c r="A57" s="98" t="str">
        <v>GARANGOLM</v>
      </c>
      <c r="B57" s="7"/>
      <c r="C57" s="98"/>
      <c r="D57" s="7"/>
      <c r="E57" s="98"/>
      <c r="F57" s="7"/>
      <c r="G57" s="98"/>
      <c r="H57" s="7"/>
    </row>
    <row r="58" spans="1:8" x14ac:dyDescent="0.25">
      <c r="A58" s="98" t="str">
        <v>ESPINAS</v>
      </c>
      <c r="B58" s="7"/>
      <c r="C58" s="98"/>
      <c r="D58" s="7"/>
      <c r="E58" s="98"/>
      <c r="F58" s="7"/>
      <c r="G58" s="98"/>
      <c r="H58" s="7"/>
    </row>
    <row r="59" spans="1:8" x14ac:dyDescent="0.25">
      <c r="A59" s="98" t="str">
        <v>MALZENO</v>
      </c>
      <c r="B59" s="7"/>
      <c r="C59" s="98"/>
      <c r="D59" s="7"/>
      <c r="E59" s="98"/>
      <c r="F59" s="7"/>
      <c r="G59" s="98"/>
      <c r="H59" s="7"/>
    </row>
    <row r="60" spans="1:8" x14ac:dyDescent="0.25">
      <c r="A60" s="98" t="str">
        <v>QUEMATRICE</v>
      </c>
      <c r="B60" s="7"/>
      <c r="C60" s="98"/>
      <c r="D60" s="7"/>
      <c r="E60" s="98"/>
      <c r="F60" s="7"/>
      <c r="G60" s="98"/>
      <c r="H60" s="7"/>
    </row>
    <row r="61" spans="1:8" x14ac:dyDescent="0.25">
      <c r="A61" s="98" t="str">
        <v>ASTALOS</v>
      </c>
      <c r="B61" s="7"/>
      <c r="C61" s="98"/>
      <c r="D61" s="7"/>
      <c r="E61" s="98"/>
      <c r="F61" s="7"/>
      <c r="G61" s="98"/>
      <c r="H61" s="7"/>
    </row>
    <row r="62" spans="1:8" x14ac:dyDescent="0.25">
      <c r="A62" s="98" t="str">
        <v>CARNIVAL 24</v>
      </c>
      <c r="B62" s="7"/>
      <c r="C62" s="98"/>
      <c r="D62" s="7"/>
      <c r="E62" s="98"/>
      <c r="F62" s="7"/>
      <c r="G62" s="98"/>
      <c r="H62" s="7"/>
    </row>
    <row r="63" spans="1:8" x14ac:dyDescent="0.25">
      <c r="A63" s="98" t="str">
        <v>HOPE</v>
      </c>
      <c r="B63" s="7"/>
      <c r="C63" s="98"/>
      <c r="D63" s="7"/>
      <c r="E63" s="98"/>
      <c r="F63" s="7"/>
      <c r="G63" s="98"/>
      <c r="H63" s="7"/>
    </row>
    <row r="64" spans="1:8" x14ac:dyDescent="0.25">
      <c r="A64" s="98"/>
      <c r="B64" s="7"/>
      <c r="C64" s="98"/>
      <c r="D64" s="7"/>
      <c r="E64" s="98"/>
      <c r="F64" s="7"/>
      <c r="G64" s="98"/>
      <c r="H64" s="7"/>
    </row>
    <row r="65" spans="1:8" x14ac:dyDescent="0.25">
      <c r="A65" s="98"/>
      <c r="B65" s="7"/>
      <c r="C65" s="98"/>
      <c r="D65" s="7"/>
      <c r="E65" s="98"/>
      <c r="F65" s="7"/>
      <c r="G65" s="98"/>
      <c r="H65" s="7"/>
    </row>
    <row r="66" spans="1:8" x14ac:dyDescent="0.25">
      <c r="A66" s="98"/>
      <c r="B66" s="7"/>
      <c r="C66" s="98"/>
      <c r="D66" s="7"/>
      <c r="E66" s="98"/>
      <c r="F66" s="7"/>
      <c r="G66" s="98"/>
      <c r="H66" s="7"/>
    </row>
    <row r="67" spans="1:8" ht="15.75" thickBot="1" x14ac:dyDescent="0.3">
      <c r="A67" s="99"/>
      <c r="B67" s="100"/>
      <c r="C67" s="99"/>
      <c r="D67" s="100"/>
      <c r="E67" s="99"/>
      <c r="F67" s="100"/>
      <c r="G67" s="99"/>
      <c r="H67" s="100"/>
    </row>
  </sheetData>
  <mergeCells count="23">
    <mergeCell ref="B4:C4"/>
    <mergeCell ref="B3:C3"/>
    <mergeCell ref="A18:H18"/>
    <mergeCell ref="A19:B19"/>
    <mergeCell ref="C19:D19"/>
    <mergeCell ref="G19:H19"/>
    <mergeCell ref="E19:F19"/>
    <mergeCell ref="B14:C14"/>
    <mergeCell ref="B15:C15"/>
    <mergeCell ref="E2:F2"/>
    <mergeCell ref="I3:R3"/>
    <mergeCell ref="I7:R7"/>
    <mergeCell ref="I11:R11"/>
    <mergeCell ref="B2:C2"/>
    <mergeCell ref="B13:C13"/>
    <mergeCell ref="B12:C12"/>
    <mergeCell ref="B11:C11"/>
    <mergeCell ref="B10:C10"/>
    <mergeCell ref="B9:C9"/>
    <mergeCell ref="B8:C8"/>
    <mergeCell ref="B7:C7"/>
    <mergeCell ref="B6:C6"/>
    <mergeCell ref="B5:C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4B8D-606F-4CE8-85ED-7F87DFE18CA4}">
  <dimension ref="A1:C26"/>
  <sheetViews>
    <sheetView workbookViewId="0">
      <selection activeCell="B8" sqref="B8"/>
    </sheetView>
  </sheetViews>
  <sheetFormatPr defaultRowHeight="15" x14ac:dyDescent="0.25"/>
  <cols>
    <col min="1" max="1" width="11.5703125" customWidth="1"/>
  </cols>
  <sheetData>
    <row r="1" spans="1:3" ht="15.75" thickBot="1" x14ac:dyDescent="0.3">
      <c r="A1" s="61" t="s">
        <v>231</v>
      </c>
      <c r="B1" s="62"/>
      <c r="C1" s="63"/>
    </row>
    <row r="2" spans="1:3" ht="15.75" thickBot="1" x14ac:dyDescent="0.3">
      <c r="A2" s="8" t="e" cm="1">
        <f t="array" ref="A2">_xlfn.UNIQUE(_xlfn._xlws.FILTER(Build!#REF!, Build!#REF! &lt;&gt; ""))</f>
        <v>#REF!</v>
      </c>
      <c r="B2" s="8" t="e">
        <f>SUMIF(Build!#REF!,Utility!A2,Build!#REF!)</f>
        <v>#REF!</v>
      </c>
    </row>
    <row r="3" spans="1:3" ht="15.75" thickBot="1" x14ac:dyDescent="0.3">
      <c r="A3" s="8"/>
      <c r="B3" s="8">
        <f>SUMIF(Build!J30:J30,Utility!A3,Build!M26:M26)</f>
        <v>0</v>
      </c>
    </row>
    <row r="4" spans="1:3" ht="15.75" thickBot="1" x14ac:dyDescent="0.3">
      <c r="A4" s="8"/>
      <c r="B4" s="8">
        <f>SUMIF(Build!J30:J31,Utility!A4,Build!M26:M27)</f>
        <v>0</v>
      </c>
    </row>
    <row r="5" spans="1:3" ht="15.75" thickBot="1" x14ac:dyDescent="0.3">
      <c r="A5" s="8"/>
      <c r="B5" s="8">
        <f>SUMIF(Build!J30:J32,Utility!A5,Build!M26:M28)</f>
        <v>0</v>
      </c>
    </row>
    <row r="6" spans="1:3" ht="15.75" thickBot="1" x14ac:dyDescent="0.3">
      <c r="A6" s="8"/>
      <c r="B6" s="8">
        <f>SUMIF(Build!J26:J27,Utility!A6,Build!M26:M29)</f>
        <v>0</v>
      </c>
    </row>
    <row r="7" spans="1:3" ht="15.75" thickBot="1" x14ac:dyDescent="0.3">
      <c r="A7" s="8"/>
      <c r="B7" s="8">
        <f ca="1">SUMIF(Build!J26:J35,Utility!A7,Build!M26:M30)</f>
        <v>0</v>
      </c>
    </row>
    <row r="8" spans="1:3" ht="15.75" thickBot="1" x14ac:dyDescent="0.3">
      <c r="A8" s="8"/>
      <c r="B8" s="8">
        <f ca="1">SUMIF(Build!J26:J36,Utility!A8,Build!M26:M31)</f>
        <v>0</v>
      </c>
    </row>
    <row r="9" spans="1:3" ht="15.75" thickBot="1" x14ac:dyDescent="0.3">
      <c r="A9" s="8"/>
      <c r="B9" s="8">
        <f ca="1">SUMIF(Build!J26:J37,Utility!A9,Build!M26:M32)</f>
        <v>0</v>
      </c>
    </row>
    <row r="10" spans="1:3" ht="15.75" thickBot="1" x14ac:dyDescent="0.3">
      <c r="A10" s="8"/>
      <c r="B10" s="8">
        <f ca="1">SUMIF(Build!J26:J38,Utility!A10,Build!M26:M33)</f>
        <v>0</v>
      </c>
    </row>
    <row r="11" spans="1:3" ht="15.75" thickBot="1" x14ac:dyDescent="0.3">
      <c r="A11" s="8"/>
      <c r="B11" s="8">
        <f ca="1">SUMIF(Build!J26:J39,Utility!A11,Build!M26:M34)</f>
        <v>0</v>
      </c>
    </row>
    <row r="12" spans="1:3" ht="15.75" thickBot="1" x14ac:dyDescent="0.3">
      <c r="A12" s="8"/>
      <c r="B12" s="8">
        <f>SUMIF(Build!J26:J34,Utility!A12,Build!M26:M35)</f>
        <v>0</v>
      </c>
    </row>
    <row r="13" spans="1:3" ht="15.75" thickBot="1" x14ac:dyDescent="0.3">
      <c r="A13" s="8"/>
      <c r="B13" s="8">
        <f>SUMIF(Build!J26:J34,Utility!A13,Build!M26:M36)</f>
        <v>0</v>
      </c>
    </row>
    <row r="14" spans="1:3" ht="15.75" thickBot="1" x14ac:dyDescent="0.3">
      <c r="A14" s="8"/>
      <c r="B14" s="8">
        <f>SUMIF(Build!J26:J34,Utility!A14,Build!M26:M37)</f>
        <v>0</v>
      </c>
    </row>
    <row r="15" spans="1:3" ht="15.75" thickBot="1" x14ac:dyDescent="0.3">
      <c r="A15" s="8"/>
      <c r="B15" s="8">
        <f>SUMIF(Build!J26:J34,Utility!A15,Build!M26:M38)</f>
        <v>0</v>
      </c>
    </row>
    <row r="16" spans="1:3" ht="15.75" thickBot="1" x14ac:dyDescent="0.3">
      <c r="A16" s="8"/>
      <c r="B16" s="8">
        <f>SUMIF(Build!J26:J39,Utility!A16,Build!M26:M39)</f>
        <v>0</v>
      </c>
    </row>
    <row r="17" spans="1:2" ht="15.75" thickBot="1" x14ac:dyDescent="0.3">
      <c r="A17" s="8"/>
      <c r="B17" s="8">
        <f>SUMIF(Build!J26:J40,Utility!A17,Build!M26:M40)</f>
        <v>0</v>
      </c>
    </row>
    <row r="18" spans="1:2" ht="15.75" thickBot="1" x14ac:dyDescent="0.3">
      <c r="A18" s="8"/>
      <c r="B18" s="8">
        <f>SUMIF(Build!J26:J41,Utility!A18,Build!M26:M41)</f>
        <v>0</v>
      </c>
    </row>
    <row r="19" spans="1:2" ht="15.75" thickBot="1" x14ac:dyDescent="0.3">
      <c r="A19" s="8"/>
      <c r="B19" s="8">
        <f>SUMIF(Build!J26:J42,Utility!A19,Build!M26:M42)</f>
        <v>0</v>
      </c>
    </row>
    <row r="20" spans="1:2" ht="15.75" thickBot="1" x14ac:dyDescent="0.3">
      <c r="A20" s="8"/>
      <c r="B20" s="8">
        <f>SUMIF(Build!J26:J43,Utility!A20,Build!M26:M43)</f>
        <v>0</v>
      </c>
    </row>
    <row r="21" spans="1:2" ht="15.75" thickBot="1" x14ac:dyDescent="0.3">
      <c r="A21" s="8"/>
      <c r="B21" s="8">
        <f>SUMIF(Build!J26:J44,Utility!A21,Build!M26:M44)</f>
        <v>0</v>
      </c>
    </row>
    <row r="22" spans="1:2" ht="15.75" thickBot="1" x14ac:dyDescent="0.3">
      <c r="A22" s="8"/>
      <c r="B22" s="8">
        <f>SUMIF(Build!J26:J45,Utility!A22,Build!M26:M45)</f>
        <v>0</v>
      </c>
    </row>
    <row r="23" spans="1:2" ht="15.75" thickBot="1" x14ac:dyDescent="0.3">
      <c r="A23" s="8"/>
      <c r="B23" s="8">
        <f>SUMIF(Build!J26:J46,Utility!A23,Build!M26:M46)</f>
        <v>0</v>
      </c>
    </row>
    <row r="24" spans="1:2" ht="15.75" thickBot="1" x14ac:dyDescent="0.3">
      <c r="A24" s="8"/>
      <c r="B24" s="8">
        <f>SUMIF(Build!J26:J47,Utility!A24,Build!M26:M47)</f>
        <v>0</v>
      </c>
    </row>
    <row r="25" spans="1:2" ht="15.75" thickBot="1" x14ac:dyDescent="0.3">
      <c r="A25" s="8"/>
      <c r="B25" s="8">
        <f>SUMIF(Build!J26:J48,Utility!A25,Build!M26:M48)</f>
        <v>0</v>
      </c>
    </row>
    <row r="26" spans="1:2" ht="15.75" thickBot="1" x14ac:dyDescent="0.3">
      <c r="A26" s="8"/>
      <c r="B26" s="8">
        <f>SUMIF(Build!J27:J49,Utility!A26,Build!M27:M49)</f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Build</vt:lpstr>
      <vt:lpstr>Skills</vt:lpstr>
      <vt:lpstr>Helmets</vt:lpstr>
      <vt:lpstr>Bodies</vt:lpstr>
      <vt:lpstr>Arms</vt:lpstr>
      <vt:lpstr>Waists</vt:lpstr>
      <vt:lpstr>Legs</vt:lpstr>
      <vt:lpstr>Gunlance</vt:lpstr>
      <vt:lpstr>Lists</vt:lpstr>
      <vt:lpstr>Utility</vt:lpstr>
      <vt:lpstr>Arms_List</vt:lpstr>
      <vt:lpstr>Bodies_List</vt:lpstr>
      <vt:lpstr>Gunlance_List</vt:lpstr>
      <vt:lpstr>Helmets_List</vt:lpstr>
      <vt:lpstr>Legs_List</vt:lpstr>
      <vt:lpstr>Waists_List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Mascoutah Yard</dc:creator>
  <cp:lastModifiedBy>Mascoutah Yard</cp:lastModifiedBy>
  <dcterms:created xsi:type="dcterms:W3CDTF">2025-12-04T15:51:53Z</dcterms:created>
  <dcterms:modified xsi:type="dcterms:W3CDTF">2025-12-10T21:44:15Z</dcterms:modified>
</cp:coreProperties>
</file>